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__Incoming Students\"/>
    </mc:Choice>
  </mc:AlternateContent>
  <xr:revisionPtr revIDLastSave="0" documentId="13_ncr:1_{29169C58-B5EB-4ECB-A898-AED27B12ED6C}" xr6:coauthVersionLast="44" xr6:coauthVersionMax="45" xr10:uidLastSave="{00000000-0000-0000-0000-000000000000}"/>
  <bookViews>
    <workbookView xWindow="57490" yWindow="5680" windowWidth="29020" windowHeight="15820" activeTab="1" xr2:uid="{288CC4F6-1D21-4551-8B73-6CB65C5CF7BC}"/>
  </bookViews>
  <sheets>
    <sheet name="Instructions" sheetId="4" r:id="rId1"/>
    <sheet name="FA Report" sheetId="1" r:id="rId2"/>
    <sheet name="Tracking" sheetId="2" r:id="rId3"/>
    <sheet name="Combined" sheetId="13" r:id="rId4"/>
    <sheet name="MR" sheetId="8" r:id="rId5"/>
    <sheet name="LT" sheetId="12" r:id="rId6"/>
    <sheet name="Tracking1" sheetId="3" r:id="rId7"/>
  </sheets>
  <externalReferences>
    <externalReference r:id="rId8"/>
  </externalReferences>
  <definedNames>
    <definedName name="AO">#REF!</definedName>
    <definedName name="ExternalData_1" localSheetId="3" hidden="1">Combined!$A$1:$FU$496</definedName>
    <definedName name="ExternalData_1" localSheetId="5" hidden="1">LT!$A$1:$FN$264</definedName>
    <definedName name="ExternalData_1" localSheetId="4" hidden="1">MR!$A$1:$FP$233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6" i="1" l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3" i="1"/>
  <c r="C10" i="1"/>
  <c r="C8" i="1"/>
  <c r="C7" i="1"/>
  <c r="C9" i="1" s="1"/>
  <c r="C11" i="1" l="1"/>
  <c r="C1" i="1"/>
  <c r="C12" i="1" s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3" i="1"/>
  <c r="E10" i="1"/>
  <c r="E8" i="1"/>
  <c r="E7" i="1"/>
  <c r="C17" i="1" l="1"/>
  <c r="C16" i="1"/>
  <c r="E9" i="1"/>
  <c r="E11" i="1"/>
  <c r="J4" i="1"/>
  <c r="D36" i="1" l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3" i="1"/>
  <c r="D10" i="1"/>
  <c r="D8" i="1"/>
  <c r="D7" i="1"/>
  <c r="N23" i="1" l="1"/>
  <c r="N22" i="1"/>
  <c r="N19" i="1"/>
  <c r="D9" i="1"/>
  <c r="D11" i="1"/>
  <c r="P2" i="3"/>
  <c r="AD2" i="3" l="1"/>
  <c r="AC2" i="3"/>
  <c r="AB2" i="3"/>
  <c r="AA2" i="3"/>
  <c r="Z2" i="3"/>
  <c r="Y2" i="3"/>
  <c r="X2" i="3"/>
  <c r="W2" i="3"/>
  <c r="V2" i="3"/>
  <c r="U2" i="3"/>
  <c r="T2" i="3"/>
  <c r="S2" i="3"/>
  <c r="R2" i="3"/>
  <c r="Q2" i="3"/>
  <c r="O2" i="3"/>
  <c r="N2" i="3"/>
  <c r="H2" i="3"/>
  <c r="E2" i="3"/>
  <c r="C2" i="3"/>
  <c r="B2" i="3"/>
  <c r="AS226" i="2" l="1"/>
  <c r="AR226" i="2"/>
  <c r="AP226" i="2"/>
  <c r="AO226" i="2"/>
  <c r="AQ226" i="2" s="1"/>
  <c r="AM226" i="2"/>
  <c r="AL226" i="2"/>
  <c r="AN226" i="2" s="1"/>
  <c r="AJ226" i="2"/>
  <c r="AI226" i="2"/>
  <c r="AG226" i="2"/>
  <c r="AF226" i="2"/>
  <c r="AE226" i="2"/>
  <c r="AW226" i="2" s="1"/>
  <c r="AH226" i="2" l="1"/>
  <c r="AT226" i="2"/>
  <c r="AK226" i="2"/>
  <c r="AU226" i="2" l="1"/>
  <c r="AE2" i="2" l="1"/>
  <c r="AF2" i="2"/>
  <c r="AH2" i="2" s="1"/>
  <c r="AG2" i="2"/>
  <c r="AI2" i="2"/>
  <c r="AJ2" i="2"/>
  <c r="AK2" i="2"/>
  <c r="AL2" i="2"/>
  <c r="AM2" i="2"/>
  <c r="AO2" i="2"/>
  <c r="AP2" i="2"/>
  <c r="AR2" i="2"/>
  <c r="AS2" i="2"/>
  <c r="AT2" i="2" s="1"/>
  <c r="AE3" i="2"/>
  <c r="AF3" i="2"/>
  <c r="AG3" i="2"/>
  <c r="AI3" i="2"/>
  <c r="AJ3" i="2"/>
  <c r="AL3" i="2"/>
  <c r="AN3" i="2" s="1"/>
  <c r="AM3" i="2"/>
  <c r="AO3" i="2"/>
  <c r="AQ3" i="2" s="1"/>
  <c r="AP3" i="2"/>
  <c r="AR3" i="2"/>
  <c r="AS3" i="2"/>
  <c r="AE4" i="2"/>
  <c r="AF4" i="2"/>
  <c r="AG4" i="2"/>
  <c r="AH4" i="2"/>
  <c r="AI4" i="2"/>
  <c r="AJ4" i="2"/>
  <c r="AL4" i="2"/>
  <c r="AN4" i="2" s="1"/>
  <c r="AM4" i="2"/>
  <c r="AO4" i="2"/>
  <c r="AP4" i="2"/>
  <c r="AR4" i="2"/>
  <c r="AS4" i="2"/>
  <c r="AE5" i="2"/>
  <c r="AF5" i="2"/>
  <c r="AG5" i="2"/>
  <c r="AH5" i="2" s="1"/>
  <c r="AI5" i="2"/>
  <c r="AK5" i="2" s="1"/>
  <c r="AJ5" i="2"/>
  <c r="AL5" i="2"/>
  <c r="AM5" i="2"/>
  <c r="AO5" i="2"/>
  <c r="AP5" i="2"/>
  <c r="AR5" i="2"/>
  <c r="AS5" i="2"/>
  <c r="AE6" i="2"/>
  <c r="AF6" i="2"/>
  <c r="AG6" i="2"/>
  <c r="AH6" i="2" s="1"/>
  <c r="AI6" i="2"/>
  <c r="AK6" i="2" s="1"/>
  <c r="AJ6" i="2"/>
  <c r="AL6" i="2"/>
  <c r="AN6" i="2" s="1"/>
  <c r="AM6" i="2"/>
  <c r="AO6" i="2"/>
  <c r="AP6" i="2"/>
  <c r="AR6" i="2"/>
  <c r="AS6" i="2"/>
  <c r="AE7" i="2"/>
  <c r="AF7" i="2"/>
  <c r="AG7" i="2"/>
  <c r="AI7" i="2"/>
  <c r="AJ7" i="2"/>
  <c r="AL7" i="2"/>
  <c r="AN7" i="2" s="1"/>
  <c r="AM7" i="2"/>
  <c r="AO7" i="2"/>
  <c r="AQ7" i="2" s="1"/>
  <c r="AP7" i="2"/>
  <c r="AR7" i="2"/>
  <c r="AT7" i="2" s="1"/>
  <c r="AS7" i="2"/>
  <c r="AW7" i="2"/>
  <c r="AE8" i="2"/>
  <c r="AW8" i="2" s="1"/>
  <c r="AF8" i="2"/>
  <c r="AG8" i="2"/>
  <c r="AI8" i="2"/>
  <c r="AK8" i="2" s="1"/>
  <c r="AJ8" i="2"/>
  <c r="AL8" i="2"/>
  <c r="AN8" i="2" s="1"/>
  <c r="AM8" i="2"/>
  <c r="AO8" i="2"/>
  <c r="AP8" i="2"/>
  <c r="AR8" i="2"/>
  <c r="AS8" i="2"/>
  <c r="AT8" i="2"/>
  <c r="AE9" i="2"/>
  <c r="AF9" i="2"/>
  <c r="AH9" i="2" s="1"/>
  <c r="AG9" i="2"/>
  <c r="AI9" i="2"/>
  <c r="AJ9" i="2"/>
  <c r="AL9" i="2"/>
  <c r="AM9" i="2"/>
  <c r="AO9" i="2"/>
  <c r="AQ9" i="2" s="1"/>
  <c r="AP9" i="2"/>
  <c r="AR9" i="2"/>
  <c r="AS9" i="2"/>
  <c r="AE10" i="2"/>
  <c r="AW10" i="2" s="1"/>
  <c r="AF10" i="2"/>
  <c r="AG10" i="2"/>
  <c r="AH10" i="2"/>
  <c r="AI10" i="2"/>
  <c r="AK10" i="2" s="1"/>
  <c r="AJ10" i="2"/>
  <c r="AL10" i="2"/>
  <c r="AN10" i="2" s="1"/>
  <c r="AM10" i="2"/>
  <c r="AO10" i="2"/>
  <c r="AQ10" i="2" s="1"/>
  <c r="AP10" i="2"/>
  <c r="AR10" i="2"/>
  <c r="AS10" i="2"/>
  <c r="AE11" i="2"/>
  <c r="AF11" i="2"/>
  <c r="AG11" i="2"/>
  <c r="AI11" i="2"/>
  <c r="AJ11" i="2"/>
  <c r="AL11" i="2"/>
  <c r="AM11" i="2"/>
  <c r="AN11" i="2"/>
  <c r="AO11" i="2"/>
  <c r="AP11" i="2"/>
  <c r="AR11" i="2"/>
  <c r="AS11" i="2"/>
  <c r="AW11" i="2"/>
  <c r="AE12" i="2"/>
  <c r="AW12" i="2" s="1"/>
  <c r="AF12" i="2"/>
  <c r="AG12" i="2"/>
  <c r="AI12" i="2"/>
  <c r="AJ12" i="2"/>
  <c r="AL12" i="2"/>
  <c r="AM12" i="2"/>
  <c r="AO12" i="2"/>
  <c r="AP12" i="2"/>
  <c r="AR12" i="2"/>
  <c r="AS12" i="2"/>
  <c r="AE13" i="2"/>
  <c r="AW13" i="2" s="1"/>
  <c r="AF13" i="2"/>
  <c r="AH13" i="2" s="1"/>
  <c r="AG13" i="2"/>
  <c r="AI13" i="2"/>
  <c r="AK13" i="2" s="1"/>
  <c r="AJ13" i="2"/>
  <c r="AL13" i="2"/>
  <c r="AM13" i="2"/>
  <c r="AO13" i="2"/>
  <c r="AP13" i="2"/>
  <c r="AR13" i="2"/>
  <c r="AS13" i="2"/>
  <c r="AE14" i="2"/>
  <c r="AW14" i="2" s="1"/>
  <c r="AF14" i="2"/>
  <c r="AG14" i="2"/>
  <c r="AH14" i="2" s="1"/>
  <c r="AI14" i="2"/>
  <c r="AK14" i="2" s="1"/>
  <c r="AJ14" i="2"/>
  <c r="AL14" i="2"/>
  <c r="AN14" i="2" s="1"/>
  <c r="AM14" i="2"/>
  <c r="AO14" i="2"/>
  <c r="AP14" i="2"/>
  <c r="AQ14" i="2" s="1"/>
  <c r="AR14" i="2"/>
  <c r="AS14" i="2"/>
  <c r="AE15" i="2"/>
  <c r="AF15" i="2"/>
  <c r="AG15" i="2"/>
  <c r="AI15" i="2"/>
  <c r="AJ15" i="2"/>
  <c r="AL15" i="2"/>
  <c r="AN15" i="2" s="1"/>
  <c r="AM15" i="2"/>
  <c r="AO15" i="2"/>
  <c r="AQ15" i="2" s="1"/>
  <c r="AP15" i="2"/>
  <c r="AR15" i="2"/>
  <c r="AS15" i="2"/>
  <c r="AW15" i="2"/>
  <c r="AE16" i="2"/>
  <c r="AW16" i="2" s="1"/>
  <c r="AF16" i="2"/>
  <c r="AH16" i="2" s="1"/>
  <c r="AG16" i="2"/>
  <c r="AI16" i="2"/>
  <c r="AK16" i="2" s="1"/>
  <c r="AJ16" i="2"/>
  <c r="AL16" i="2"/>
  <c r="AM16" i="2"/>
  <c r="AO16" i="2"/>
  <c r="AP16" i="2"/>
  <c r="AR16" i="2"/>
  <c r="AT16" i="2" s="1"/>
  <c r="AS16" i="2"/>
  <c r="AE17" i="2"/>
  <c r="AW17" i="2" s="1"/>
  <c r="AF17" i="2"/>
  <c r="AG17" i="2"/>
  <c r="AI17" i="2"/>
  <c r="AJ17" i="2"/>
  <c r="AK17" i="2"/>
  <c r="AL17" i="2"/>
  <c r="AM17" i="2"/>
  <c r="AO17" i="2"/>
  <c r="AQ17" i="2" s="1"/>
  <c r="AP17" i="2"/>
  <c r="AR17" i="2"/>
  <c r="AS17" i="2"/>
  <c r="AE18" i="2"/>
  <c r="AW18" i="2" s="1"/>
  <c r="AF18" i="2"/>
  <c r="AG18" i="2"/>
  <c r="AH18" i="2"/>
  <c r="AI18" i="2"/>
  <c r="AK18" i="2" s="1"/>
  <c r="AJ18" i="2"/>
  <c r="AL18" i="2"/>
  <c r="AM18" i="2"/>
  <c r="AO18" i="2"/>
  <c r="AP18" i="2"/>
  <c r="AQ18" i="2" s="1"/>
  <c r="AR18" i="2"/>
  <c r="AS18" i="2"/>
  <c r="AE19" i="2"/>
  <c r="AF19" i="2"/>
  <c r="AG19" i="2"/>
  <c r="AI19" i="2"/>
  <c r="AJ19" i="2"/>
  <c r="AL19" i="2"/>
  <c r="AN19" i="2" s="1"/>
  <c r="AM19" i="2"/>
  <c r="AO19" i="2"/>
  <c r="AQ19" i="2" s="1"/>
  <c r="AP19" i="2"/>
  <c r="AR19" i="2"/>
  <c r="AS19" i="2"/>
  <c r="AW19" i="2"/>
  <c r="AE20" i="2"/>
  <c r="AW20" i="2" s="1"/>
  <c r="AF20" i="2"/>
  <c r="AG20" i="2"/>
  <c r="AI20" i="2"/>
  <c r="AK20" i="2" s="1"/>
  <c r="AJ20" i="2"/>
  <c r="AL20" i="2"/>
  <c r="AM20" i="2"/>
  <c r="AO20" i="2"/>
  <c r="AP20" i="2"/>
  <c r="AR20" i="2"/>
  <c r="AS20" i="2"/>
  <c r="AT20" i="2" s="1"/>
  <c r="AE21" i="2"/>
  <c r="AW21" i="2" s="1"/>
  <c r="AF21" i="2"/>
  <c r="AG21" i="2"/>
  <c r="AI21" i="2"/>
  <c r="AJ21" i="2"/>
  <c r="AL21" i="2"/>
  <c r="AN21" i="2" s="1"/>
  <c r="AM21" i="2"/>
  <c r="AO21" i="2"/>
  <c r="AQ21" i="2" s="1"/>
  <c r="AP21" i="2"/>
  <c r="AR21" i="2"/>
  <c r="AS21" i="2"/>
  <c r="AE22" i="2"/>
  <c r="AW22" i="2" s="1"/>
  <c r="AF22" i="2"/>
  <c r="AG22" i="2"/>
  <c r="AH22" i="2" s="1"/>
  <c r="AI22" i="2"/>
  <c r="AJ22" i="2"/>
  <c r="AL22" i="2"/>
  <c r="AM22" i="2"/>
  <c r="AO22" i="2"/>
  <c r="AP22" i="2"/>
  <c r="AR22" i="2"/>
  <c r="AS22" i="2"/>
  <c r="AE23" i="2"/>
  <c r="AF23" i="2"/>
  <c r="AG23" i="2"/>
  <c r="AI23" i="2"/>
  <c r="AJ23" i="2"/>
  <c r="AL23" i="2"/>
  <c r="AM23" i="2"/>
  <c r="AO23" i="2"/>
  <c r="AP23" i="2"/>
  <c r="AR23" i="2"/>
  <c r="AS23" i="2"/>
  <c r="AW23" i="2"/>
  <c r="AE24" i="2"/>
  <c r="AW24" i="2" s="1"/>
  <c r="AF24" i="2"/>
  <c r="AH24" i="2" s="1"/>
  <c r="AG24" i="2"/>
  <c r="AI24" i="2"/>
  <c r="AJ24" i="2"/>
  <c r="AL24" i="2"/>
  <c r="AM24" i="2"/>
  <c r="AO24" i="2"/>
  <c r="AP24" i="2"/>
  <c r="AQ24" i="2" s="1"/>
  <c r="AR24" i="2"/>
  <c r="AT24" i="2" s="1"/>
  <c r="AS24" i="2"/>
  <c r="AE25" i="2"/>
  <c r="AW25" i="2" s="1"/>
  <c r="AF25" i="2"/>
  <c r="AG25" i="2"/>
  <c r="AH25" i="2" s="1"/>
  <c r="AI25" i="2"/>
  <c r="AK25" i="2" s="1"/>
  <c r="AJ25" i="2"/>
  <c r="AL25" i="2"/>
  <c r="AM25" i="2"/>
  <c r="AO25" i="2"/>
  <c r="AP25" i="2"/>
  <c r="AR25" i="2"/>
  <c r="AS25" i="2"/>
  <c r="AE26" i="2"/>
  <c r="AW26" i="2" s="1"/>
  <c r="AF26" i="2"/>
  <c r="AG26" i="2"/>
  <c r="AH26" i="2" s="1"/>
  <c r="AI26" i="2"/>
  <c r="AJ26" i="2"/>
  <c r="AL26" i="2"/>
  <c r="AM26" i="2"/>
  <c r="AO26" i="2"/>
  <c r="AP26" i="2"/>
  <c r="AR26" i="2"/>
  <c r="AS26" i="2"/>
  <c r="AE27" i="2"/>
  <c r="AF27" i="2"/>
  <c r="AG27" i="2"/>
  <c r="AI27" i="2"/>
  <c r="AK27" i="2" s="1"/>
  <c r="AJ27" i="2"/>
  <c r="AL27" i="2"/>
  <c r="AM27" i="2"/>
  <c r="AN27" i="2" s="1"/>
  <c r="AO27" i="2"/>
  <c r="AP27" i="2"/>
  <c r="AR27" i="2"/>
  <c r="AS27" i="2"/>
  <c r="AW27" i="2"/>
  <c r="AE28" i="2"/>
  <c r="AW28" i="2" s="1"/>
  <c r="AF28" i="2"/>
  <c r="AG28" i="2"/>
  <c r="AI28" i="2"/>
  <c r="AJ28" i="2"/>
  <c r="AL28" i="2"/>
  <c r="AM28" i="2"/>
  <c r="AO28" i="2"/>
  <c r="AQ28" i="2" s="1"/>
  <c r="AP28" i="2"/>
  <c r="AR28" i="2"/>
  <c r="AT28" i="2" s="1"/>
  <c r="AS28" i="2"/>
  <c r="AE29" i="2"/>
  <c r="AW29" i="2" s="1"/>
  <c r="AF29" i="2"/>
  <c r="AG29" i="2"/>
  <c r="AH29" i="2" s="1"/>
  <c r="AI29" i="2"/>
  <c r="AK29" i="2" s="1"/>
  <c r="AJ29" i="2"/>
  <c r="AL29" i="2"/>
  <c r="AN29" i="2" s="1"/>
  <c r="AM29" i="2"/>
  <c r="AO29" i="2"/>
  <c r="AP29" i="2"/>
  <c r="AR29" i="2"/>
  <c r="AS29" i="2"/>
  <c r="AE30" i="2"/>
  <c r="AW30" i="2" s="1"/>
  <c r="AF30" i="2"/>
  <c r="AG30" i="2"/>
  <c r="AH30" i="2" s="1"/>
  <c r="AI30" i="2"/>
  <c r="AJ30" i="2"/>
  <c r="AL30" i="2"/>
  <c r="AM30" i="2"/>
  <c r="AO30" i="2"/>
  <c r="AQ30" i="2" s="1"/>
  <c r="AP30" i="2"/>
  <c r="AR30" i="2"/>
  <c r="AS30" i="2"/>
  <c r="AE31" i="2"/>
  <c r="AF31" i="2"/>
  <c r="AG31" i="2"/>
  <c r="AI31" i="2"/>
  <c r="AK31" i="2" s="1"/>
  <c r="AJ31" i="2"/>
  <c r="AL31" i="2"/>
  <c r="AM31" i="2"/>
  <c r="AO31" i="2"/>
  <c r="AP31" i="2"/>
  <c r="AR31" i="2"/>
  <c r="AS31" i="2"/>
  <c r="AT31" i="2" s="1"/>
  <c r="AW31" i="2"/>
  <c r="AE32" i="2"/>
  <c r="AW32" i="2" s="1"/>
  <c r="AF32" i="2"/>
  <c r="AH32" i="2" s="1"/>
  <c r="AG32" i="2"/>
  <c r="AI32" i="2"/>
  <c r="AJ32" i="2"/>
  <c r="AL32" i="2"/>
  <c r="AM32" i="2"/>
  <c r="AO32" i="2"/>
  <c r="AP32" i="2"/>
  <c r="AQ32" i="2"/>
  <c r="AR32" i="2"/>
  <c r="AT32" i="2" s="1"/>
  <c r="AS32" i="2"/>
  <c r="AE33" i="2"/>
  <c r="AW33" i="2" s="1"/>
  <c r="AF33" i="2"/>
  <c r="AG33" i="2"/>
  <c r="AH33" i="2" s="1"/>
  <c r="AI33" i="2"/>
  <c r="AJ33" i="2"/>
  <c r="AL33" i="2"/>
  <c r="AN33" i="2" s="1"/>
  <c r="AM33" i="2"/>
  <c r="AO33" i="2"/>
  <c r="AP33" i="2"/>
  <c r="AR33" i="2"/>
  <c r="AS33" i="2"/>
  <c r="AE34" i="2"/>
  <c r="AW34" i="2" s="1"/>
  <c r="AF34" i="2"/>
  <c r="AG34" i="2"/>
  <c r="AH34" i="2" s="1"/>
  <c r="AI34" i="2"/>
  <c r="AJ34" i="2"/>
  <c r="AL34" i="2"/>
  <c r="AM34" i="2"/>
  <c r="AO34" i="2"/>
  <c r="AP34" i="2"/>
  <c r="AR34" i="2"/>
  <c r="AS34" i="2"/>
  <c r="AE35" i="2"/>
  <c r="AF35" i="2"/>
  <c r="AG35" i="2"/>
  <c r="AI35" i="2"/>
  <c r="AJ35" i="2"/>
  <c r="AK35" i="2" s="1"/>
  <c r="AL35" i="2"/>
  <c r="AN35" i="2" s="1"/>
  <c r="AM35" i="2"/>
  <c r="AO35" i="2"/>
  <c r="AP35" i="2"/>
  <c r="AR35" i="2"/>
  <c r="AS35" i="2"/>
  <c r="AT35" i="2" s="1"/>
  <c r="AW35" i="2"/>
  <c r="AE36" i="2"/>
  <c r="AW36" i="2" s="1"/>
  <c r="AF36" i="2"/>
  <c r="AG36" i="2"/>
  <c r="AI36" i="2"/>
  <c r="AJ36" i="2"/>
  <c r="AL36" i="2"/>
  <c r="AM36" i="2"/>
  <c r="AO36" i="2"/>
  <c r="AP36" i="2"/>
  <c r="AR36" i="2"/>
  <c r="AS36" i="2"/>
  <c r="AT36" i="2"/>
  <c r="AE37" i="2"/>
  <c r="AW37" i="2" s="1"/>
  <c r="AF37" i="2"/>
  <c r="AG37" i="2"/>
  <c r="AH37" i="2" s="1"/>
  <c r="AI37" i="2"/>
  <c r="AJ37" i="2"/>
  <c r="AL37" i="2"/>
  <c r="AM37" i="2"/>
  <c r="AO37" i="2"/>
  <c r="AQ37" i="2" s="1"/>
  <c r="AP37" i="2"/>
  <c r="AR37" i="2"/>
  <c r="AS37" i="2"/>
  <c r="AE38" i="2"/>
  <c r="AW38" i="2" s="1"/>
  <c r="AF38" i="2"/>
  <c r="AG38" i="2"/>
  <c r="AH38" i="2" s="1"/>
  <c r="AI38" i="2"/>
  <c r="AK38" i="2" s="1"/>
  <c r="AJ38" i="2"/>
  <c r="AL38" i="2"/>
  <c r="AM38" i="2"/>
  <c r="AO38" i="2"/>
  <c r="AP38" i="2"/>
  <c r="AR38" i="2"/>
  <c r="AS38" i="2"/>
  <c r="AE39" i="2"/>
  <c r="AF39" i="2"/>
  <c r="AG39" i="2"/>
  <c r="AI39" i="2"/>
  <c r="AK39" i="2" s="1"/>
  <c r="AJ39" i="2"/>
  <c r="AL39" i="2"/>
  <c r="AN39" i="2" s="1"/>
  <c r="AM39" i="2"/>
  <c r="AO39" i="2"/>
  <c r="AP39" i="2"/>
  <c r="AR39" i="2"/>
  <c r="AS39" i="2"/>
  <c r="AW39" i="2"/>
  <c r="AE40" i="2"/>
  <c r="AF40" i="2"/>
  <c r="AH40" i="2" s="1"/>
  <c r="AG40" i="2"/>
  <c r="AI40" i="2"/>
  <c r="AJ40" i="2"/>
  <c r="AL40" i="2"/>
  <c r="AM40" i="2"/>
  <c r="AO40" i="2"/>
  <c r="AP40" i="2"/>
  <c r="AQ40" i="2"/>
  <c r="AR40" i="2"/>
  <c r="AS40" i="2"/>
  <c r="AE41" i="2"/>
  <c r="AF41" i="2"/>
  <c r="AG41" i="2"/>
  <c r="AI41" i="2"/>
  <c r="AJ41" i="2"/>
  <c r="AL41" i="2"/>
  <c r="AN41" i="2" s="1"/>
  <c r="AM41" i="2"/>
  <c r="AO41" i="2"/>
  <c r="AP41" i="2"/>
  <c r="AR41" i="2"/>
  <c r="AS41" i="2"/>
  <c r="AE42" i="2"/>
  <c r="AW42" i="2" s="1"/>
  <c r="AF42" i="2"/>
  <c r="AG42" i="2"/>
  <c r="AH42" i="2" s="1"/>
  <c r="AI42" i="2"/>
  <c r="AK42" i="2" s="1"/>
  <c r="AJ42" i="2"/>
  <c r="AL42" i="2"/>
  <c r="AM42" i="2"/>
  <c r="AO42" i="2"/>
  <c r="AQ42" i="2" s="1"/>
  <c r="AP42" i="2"/>
  <c r="AR42" i="2"/>
  <c r="AS42" i="2"/>
  <c r="AE43" i="2"/>
  <c r="AF43" i="2"/>
  <c r="AG43" i="2"/>
  <c r="AI43" i="2"/>
  <c r="AK43" i="2" s="1"/>
  <c r="AJ43" i="2"/>
  <c r="AL43" i="2"/>
  <c r="AN43" i="2" s="1"/>
  <c r="AM43" i="2"/>
  <c r="AO43" i="2"/>
  <c r="AP43" i="2"/>
  <c r="AR43" i="2"/>
  <c r="AS43" i="2"/>
  <c r="AW43" i="2"/>
  <c r="AE44" i="2"/>
  <c r="AF44" i="2"/>
  <c r="AH44" i="2" s="1"/>
  <c r="AG44" i="2"/>
  <c r="AI44" i="2"/>
  <c r="AJ44" i="2"/>
  <c r="AL44" i="2"/>
  <c r="AN44" i="2" s="1"/>
  <c r="AM44" i="2"/>
  <c r="AO44" i="2"/>
  <c r="AQ44" i="2" s="1"/>
  <c r="AP44" i="2"/>
  <c r="AR44" i="2"/>
  <c r="AT44" i="2" s="1"/>
  <c r="AS44" i="2"/>
  <c r="AE45" i="2"/>
  <c r="AF45" i="2"/>
  <c r="AG45" i="2"/>
  <c r="AI45" i="2"/>
  <c r="AJ45" i="2"/>
  <c r="AL45" i="2"/>
  <c r="AM45" i="2"/>
  <c r="AO45" i="2"/>
  <c r="AP45" i="2"/>
  <c r="AR45" i="2"/>
  <c r="AS45" i="2"/>
  <c r="AE46" i="2"/>
  <c r="AW46" i="2" s="1"/>
  <c r="AF46" i="2"/>
  <c r="AG46" i="2"/>
  <c r="AH46" i="2" s="1"/>
  <c r="AI46" i="2"/>
  <c r="AJ46" i="2"/>
  <c r="AL46" i="2"/>
  <c r="AM46" i="2"/>
  <c r="AO46" i="2"/>
  <c r="AP46" i="2"/>
  <c r="AR46" i="2"/>
  <c r="AS46" i="2"/>
  <c r="AE47" i="2"/>
  <c r="AF47" i="2"/>
  <c r="AH47" i="2" s="1"/>
  <c r="AG47" i="2"/>
  <c r="AI47" i="2"/>
  <c r="AJ47" i="2"/>
  <c r="AL47" i="2"/>
  <c r="AM47" i="2"/>
  <c r="AN47" i="2" s="1"/>
  <c r="AO47" i="2"/>
  <c r="AP47" i="2"/>
  <c r="AR47" i="2"/>
  <c r="AT47" i="2" s="1"/>
  <c r="AS47" i="2"/>
  <c r="AW47" i="2"/>
  <c r="AE48" i="2"/>
  <c r="AF48" i="2"/>
  <c r="AG48" i="2"/>
  <c r="AI48" i="2"/>
  <c r="AJ48" i="2"/>
  <c r="AL48" i="2"/>
  <c r="AN48" i="2" s="1"/>
  <c r="AM48" i="2"/>
  <c r="AO48" i="2"/>
  <c r="AQ48" i="2" s="1"/>
  <c r="AP48" i="2"/>
  <c r="AR48" i="2"/>
  <c r="AT48" i="2" s="1"/>
  <c r="AS48" i="2"/>
  <c r="AE49" i="2"/>
  <c r="AF49" i="2"/>
  <c r="AH49" i="2" s="1"/>
  <c r="AG49" i="2"/>
  <c r="AI49" i="2"/>
  <c r="AK49" i="2" s="1"/>
  <c r="AJ49" i="2"/>
  <c r="AL49" i="2"/>
  <c r="AM49" i="2"/>
  <c r="AO49" i="2"/>
  <c r="AP49" i="2"/>
  <c r="AR49" i="2"/>
  <c r="AS49" i="2"/>
  <c r="AE50" i="2"/>
  <c r="AW50" i="2" s="1"/>
  <c r="AF50" i="2"/>
  <c r="AG50" i="2"/>
  <c r="AH50" i="2" s="1"/>
  <c r="AI50" i="2"/>
  <c r="AJ50" i="2"/>
  <c r="AL50" i="2"/>
  <c r="AM50" i="2"/>
  <c r="AO50" i="2"/>
  <c r="AP50" i="2"/>
  <c r="AR50" i="2"/>
  <c r="AS50" i="2"/>
  <c r="AE51" i="2"/>
  <c r="AF51" i="2"/>
  <c r="AH51" i="2" s="1"/>
  <c r="AG51" i="2"/>
  <c r="AI51" i="2"/>
  <c r="AK51" i="2" s="1"/>
  <c r="AJ51" i="2"/>
  <c r="AL51" i="2"/>
  <c r="AM51" i="2"/>
  <c r="AO51" i="2"/>
  <c r="AP51" i="2"/>
  <c r="AR51" i="2"/>
  <c r="AS51" i="2"/>
  <c r="AW51" i="2"/>
  <c r="AE52" i="2"/>
  <c r="AW52" i="2" s="1"/>
  <c r="AF52" i="2"/>
  <c r="AH52" i="2" s="1"/>
  <c r="AG52" i="2"/>
  <c r="AI52" i="2"/>
  <c r="AJ52" i="2"/>
  <c r="AL52" i="2"/>
  <c r="AM52" i="2"/>
  <c r="AO52" i="2"/>
  <c r="AP52" i="2"/>
  <c r="AQ52" i="2"/>
  <c r="AR52" i="2"/>
  <c r="AT52" i="2" s="1"/>
  <c r="AS52" i="2"/>
  <c r="AE53" i="2"/>
  <c r="AF53" i="2"/>
  <c r="AG53" i="2"/>
  <c r="AI53" i="2"/>
  <c r="AJ53" i="2"/>
  <c r="AL53" i="2"/>
  <c r="AN53" i="2" s="1"/>
  <c r="AM53" i="2"/>
  <c r="AO53" i="2"/>
  <c r="AP53" i="2"/>
  <c r="AR53" i="2"/>
  <c r="AT53" i="2" s="1"/>
  <c r="AS53" i="2"/>
  <c r="AE54" i="2"/>
  <c r="AW54" i="2" s="1"/>
  <c r="AF54" i="2"/>
  <c r="AG54" i="2"/>
  <c r="AH54" i="2" s="1"/>
  <c r="AI54" i="2"/>
  <c r="AJ54" i="2"/>
  <c r="AL54" i="2"/>
  <c r="AN54" i="2" s="1"/>
  <c r="AM54" i="2"/>
  <c r="AO54" i="2"/>
  <c r="AP54" i="2"/>
  <c r="AR54" i="2"/>
  <c r="AS54" i="2"/>
  <c r="AE55" i="2"/>
  <c r="AF55" i="2"/>
  <c r="AG55" i="2"/>
  <c r="AI55" i="2"/>
  <c r="AJ55" i="2"/>
  <c r="AL55" i="2"/>
  <c r="AN55" i="2" s="1"/>
  <c r="AM55" i="2"/>
  <c r="AO55" i="2"/>
  <c r="AP55" i="2"/>
  <c r="AR55" i="2"/>
  <c r="AS55" i="2"/>
  <c r="AW55" i="2"/>
  <c r="AE56" i="2"/>
  <c r="AW56" i="2" s="1"/>
  <c r="AF56" i="2"/>
  <c r="AG56" i="2"/>
  <c r="AI56" i="2"/>
  <c r="AJ56" i="2"/>
  <c r="AL56" i="2"/>
  <c r="AM56" i="2"/>
  <c r="AO56" i="2"/>
  <c r="AQ56" i="2" s="1"/>
  <c r="AP56" i="2"/>
  <c r="AR56" i="2"/>
  <c r="AS56" i="2"/>
  <c r="AT56" i="2"/>
  <c r="AE57" i="2"/>
  <c r="AW57" i="2" s="1"/>
  <c r="AF57" i="2"/>
  <c r="AG57" i="2"/>
  <c r="AI57" i="2"/>
  <c r="AK57" i="2" s="1"/>
  <c r="AJ57" i="2"/>
  <c r="AL57" i="2"/>
  <c r="AM57" i="2"/>
  <c r="AO57" i="2"/>
  <c r="AP57" i="2"/>
  <c r="AR57" i="2"/>
  <c r="AS57" i="2"/>
  <c r="AE58" i="2"/>
  <c r="AW58" i="2" s="1"/>
  <c r="AF58" i="2"/>
  <c r="AG58" i="2"/>
  <c r="AH58" i="2" s="1"/>
  <c r="AI58" i="2"/>
  <c r="AJ58" i="2"/>
  <c r="AL58" i="2"/>
  <c r="AM58" i="2"/>
  <c r="AO58" i="2"/>
  <c r="AP58" i="2"/>
  <c r="AR58" i="2"/>
  <c r="AS58" i="2"/>
  <c r="AE59" i="2"/>
  <c r="AF59" i="2"/>
  <c r="AG59" i="2"/>
  <c r="AI59" i="2"/>
  <c r="AK59" i="2" s="1"/>
  <c r="AJ59" i="2"/>
  <c r="AL59" i="2"/>
  <c r="AM59" i="2"/>
  <c r="AO59" i="2"/>
  <c r="AP59" i="2"/>
  <c r="AR59" i="2"/>
  <c r="AT59" i="2" s="1"/>
  <c r="AS59" i="2"/>
  <c r="AW59" i="2"/>
  <c r="AE60" i="2"/>
  <c r="AW60" i="2" s="1"/>
  <c r="AF60" i="2"/>
  <c r="AG60" i="2"/>
  <c r="AI60" i="2"/>
  <c r="AJ60" i="2"/>
  <c r="AL60" i="2"/>
  <c r="AM60" i="2"/>
  <c r="AO60" i="2"/>
  <c r="AQ60" i="2" s="1"/>
  <c r="AP60" i="2"/>
  <c r="AR60" i="2"/>
  <c r="AS60" i="2"/>
  <c r="AE61" i="2"/>
  <c r="AW61" i="2" s="1"/>
  <c r="AF61" i="2"/>
  <c r="AG61" i="2"/>
  <c r="AI61" i="2"/>
  <c r="AK61" i="2" s="1"/>
  <c r="AJ61" i="2"/>
  <c r="AL61" i="2"/>
  <c r="AM61" i="2"/>
  <c r="AO61" i="2"/>
  <c r="AP61" i="2"/>
  <c r="AR61" i="2"/>
  <c r="AS61" i="2"/>
  <c r="AE62" i="2"/>
  <c r="AW62" i="2" s="1"/>
  <c r="AF62" i="2"/>
  <c r="AG62" i="2"/>
  <c r="AH62" i="2" s="1"/>
  <c r="AI62" i="2"/>
  <c r="AK62" i="2" s="1"/>
  <c r="AJ62" i="2"/>
  <c r="AL62" i="2"/>
  <c r="AM62" i="2"/>
  <c r="AO62" i="2"/>
  <c r="AP62" i="2"/>
  <c r="AQ62" i="2" s="1"/>
  <c r="AR62" i="2"/>
  <c r="AS62" i="2"/>
  <c r="AE63" i="2"/>
  <c r="AF63" i="2"/>
  <c r="AG63" i="2"/>
  <c r="AI63" i="2"/>
  <c r="AJ63" i="2"/>
  <c r="AK63" i="2" s="1"/>
  <c r="AL63" i="2"/>
  <c r="AM63" i="2"/>
  <c r="AO63" i="2"/>
  <c r="AP63" i="2"/>
  <c r="AR63" i="2"/>
  <c r="AT63" i="2" s="1"/>
  <c r="AS63" i="2"/>
  <c r="AW63" i="2"/>
  <c r="AE64" i="2"/>
  <c r="AW64" i="2" s="1"/>
  <c r="AF64" i="2"/>
  <c r="AG64" i="2"/>
  <c r="AI64" i="2"/>
  <c r="AJ64" i="2"/>
  <c r="AL64" i="2"/>
  <c r="AM64" i="2"/>
  <c r="AO64" i="2"/>
  <c r="AQ64" i="2" s="1"/>
  <c r="AP64" i="2"/>
  <c r="AR64" i="2"/>
  <c r="AT64" i="2" s="1"/>
  <c r="AS64" i="2"/>
  <c r="AE65" i="2"/>
  <c r="AW65" i="2" s="1"/>
  <c r="AF65" i="2"/>
  <c r="AG65" i="2"/>
  <c r="AI65" i="2"/>
  <c r="AK65" i="2" s="1"/>
  <c r="AJ65" i="2"/>
  <c r="AL65" i="2"/>
  <c r="AM65" i="2"/>
  <c r="AO65" i="2"/>
  <c r="AP65" i="2"/>
  <c r="AR65" i="2"/>
  <c r="AS65" i="2"/>
  <c r="AE66" i="2"/>
  <c r="AW66" i="2" s="1"/>
  <c r="AF66" i="2"/>
  <c r="AG66" i="2"/>
  <c r="AH66" i="2"/>
  <c r="AI66" i="2"/>
  <c r="AJ66" i="2"/>
  <c r="AL66" i="2"/>
  <c r="AM66" i="2"/>
  <c r="AO66" i="2"/>
  <c r="AQ66" i="2" s="1"/>
  <c r="AP66" i="2"/>
  <c r="AR66" i="2"/>
  <c r="AS66" i="2"/>
  <c r="AE67" i="2"/>
  <c r="AF67" i="2"/>
  <c r="AH67" i="2" s="1"/>
  <c r="AG67" i="2"/>
  <c r="AI67" i="2"/>
  <c r="AJ67" i="2"/>
  <c r="AL67" i="2"/>
  <c r="AN67" i="2" s="1"/>
  <c r="AM67" i="2"/>
  <c r="AO67" i="2"/>
  <c r="AQ67" i="2" s="1"/>
  <c r="AP67" i="2"/>
  <c r="AR67" i="2"/>
  <c r="AS67" i="2"/>
  <c r="AW67" i="2"/>
  <c r="AE68" i="2"/>
  <c r="AW68" i="2" s="1"/>
  <c r="AF68" i="2"/>
  <c r="AH68" i="2" s="1"/>
  <c r="AG68" i="2"/>
  <c r="AI68" i="2"/>
  <c r="AK68" i="2" s="1"/>
  <c r="AJ68" i="2"/>
  <c r="AL68" i="2"/>
  <c r="AM68" i="2"/>
  <c r="AO68" i="2"/>
  <c r="AP68" i="2"/>
  <c r="AQ68" i="2" s="1"/>
  <c r="AR68" i="2"/>
  <c r="AS68" i="2"/>
  <c r="AT68" i="2" s="1"/>
  <c r="AE69" i="2"/>
  <c r="AW69" i="2" s="1"/>
  <c r="AF69" i="2"/>
  <c r="AG69" i="2"/>
  <c r="AI69" i="2"/>
  <c r="AJ69" i="2"/>
  <c r="AL69" i="2"/>
  <c r="AN69" i="2" s="1"/>
  <c r="AM69" i="2"/>
  <c r="AO69" i="2"/>
  <c r="AQ69" i="2" s="1"/>
  <c r="AP69" i="2"/>
  <c r="AR69" i="2"/>
  <c r="AS69" i="2"/>
  <c r="AE70" i="2"/>
  <c r="AW70" i="2" s="1"/>
  <c r="AF70" i="2"/>
  <c r="AG70" i="2"/>
  <c r="AH70" i="2" s="1"/>
  <c r="AI70" i="2"/>
  <c r="AJ70" i="2"/>
  <c r="AL70" i="2"/>
  <c r="AM70" i="2"/>
  <c r="AO70" i="2"/>
  <c r="AP70" i="2"/>
  <c r="AR70" i="2"/>
  <c r="AT70" i="2" s="1"/>
  <c r="AS70" i="2"/>
  <c r="AE71" i="2"/>
  <c r="AF71" i="2"/>
  <c r="AG71" i="2"/>
  <c r="AI71" i="2"/>
  <c r="AK71" i="2" s="1"/>
  <c r="AJ71" i="2"/>
  <c r="AL71" i="2"/>
  <c r="AM71" i="2"/>
  <c r="AO71" i="2"/>
  <c r="AP71" i="2"/>
  <c r="AR71" i="2"/>
  <c r="AS71" i="2"/>
  <c r="AW71" i="2"/>
  <c r="AE72" i="2"/>
  <c r="AW72" i="2" s="1"/>
  <c r="AF72" i="2"/>
  <c r="AG72" i="2"/>
  <c r="AI72" i="2"/>
  <c r="AJ72" i="2"/>
  <c r="AL72" i="2"/>
  <c r="AM72" i="2"/>
  <c r="AO72" i="2"/>
  <c r="AP72" i="2"/>
  <c r="AR72" i="2"/>
  <c r="AS72" i="2"/>
  <c r="AE73" i="2"/>
  <c r="AF73" i="2"/>
  <c r="AG73" i="2"/>
  <c r="AI73" i="2"/>
  <c r="AJ73" i="2"/>
  <c r="AL73" i="2"/>
  <c r="AM73" i="2"/>
  <c r="AO73" i="2"/>
  <c r="AQ73" i="2" s="1"/>
  <c r="AP73" i="2"/>
  <c r="AR73" i="2"/>
  <c r="AS73" i="2"/>
  <c r="AE74" i="2"/>
  <c r="AW74" i="2" s="1"/>
  <c r="AF74" i="2"/>
  <c r="AG74" i="2"/>
  <c r="AH74" i="2" s="1"/>
  <c r="AI74" i="2"/>
  <c r="AK74" i="2" s="1"/>
  <c r="AJ74" i="2"/>
  <c r="AL74" i="2"/>
  <c r="AM74" i="2"/>
  <c r="AO74" i="2"/>
  <c r="AP74" i="2"/>
  <c r="AR74" i="2"/>
  <c r="AS74" i="2"/>
  <c r="AE75" i="2"/>
  <c r="AF75" i="2"/>
  <c r="AG75" i="2"/>
  <c r="AI75" i="2"/>
  <c r="AK75" i="2" s="1"/>
  <c r="AJ75" i="2"/>
  <c r="AL75" i="2"/>
  <c r="AN75" i="2" s="1"/>
  <c r="AM75" i="2"/>
  <c r="AO75" i="2"/>
  <c r="AP75" i="2"/>
  <c r="AR75" i="2"/>
  <c r="AS75" i="2"/>
  <c r="AW75" i="2"/>
  <c r="AE76" i="2"/>
  <c r="AW76" i="2" s="1"/>
  <c r="AF76" i="2"/>
  <c r="AG76" i="2"/>
  <c r="AI76" i="2"/>
  <c r="AJ76" i="2"/>
  <c r="AL76" i="2"/>
  <c r="AM76" i="2"/>
  <c r="AO76" i="2"/>
  <c r="AP76" i="2"/>
  <c r="AQ76" i="2" s="1"/>
  <c r="AR76" i="2"/>
  <c r="AS76" i="2"/>
  <c r="AT76" i="2" s="1"/>
  <c r="AE77" i="2"/>
  <c r="AF77" i="2"/>
  <c r="AG77" i="2"/>
  <c r="AI77" i="2"/>
  <c r="AJ77" i="2"/>
  <c r="AL77" i="2"/>
  <c r="AM77" i="2"/>
  <c r="AO77" i="2"/>
  <c r="AP77" i="2"/>
  <c r="AR77" i="2"/>
  <c r="AS77" i="2"/>
  <c r="AE78" i="2"/>
  <c r="AW78" i="2" s="1"/>
  <c r="AF78" i="2"/>
  <c r="AG78" i="2"/>
  <c r="AH78" i="2"/>
  <c r="AI78" i="2"/>
  <c r="AJ78" i="2"/>
  <c r="AL78" i="2"/>
  <c r="AM78" i="2"/>
  <c r="AO78" i="2"/>
  <c r="AQ78" i="2" s="1"/>
  <c r="AP78" i="2"/>
  <c r="AR78" i="2"/>
  <c r="AS78" i="2"/>
  <c r="AE79" i="2"/>
  <c r="AF79" i="2"/>
  <c r="AG79" i="2"/>
  <c r="AI79" i="2"/>
  <c r="AJ79" i="2"/>
  <c r="AL79" i="2"/>
  <c r="AM79" i="2"/>
  <c r="AO79" i="2"/>
  <c r="AQ79" i="2" s="1"/>
  <c r="AP79" i="2"/>
  <c r="AR79" i="2"/>
  <c r="AS79" i="2"/>
  <c r="AE80" i="2"/>
  <c r="AW80" i="2" s="1"/>
  <c r="AF80" i="2"/>
  <c r="AG80" i="2"/>
  <c r="AI80" i="2"/>
  <c r="AJ80" i="2"/>
  <c r="AL80" i="2"/>
  <c r="AM80" i="2"/>
  <c r="AO80" i="2"/>
  <c r="AQ80" i="2" s="1"/>
  <c r="AP80" i="2"/>
  <c r="AR80" i="2"/>
  <c r="AT80" i="2" s="1"/>
  <c r="AS80" i="2"/>
  <c r="AE81" i="2"/>
  <c r="AF81" i="2"/>
  <c r="AG81" i="2"/>
  <c r="AI81" i="2"/>
  <c r="AJ81" i="2"/>
  <c r="AL81" i="2"/>
  <c r="AM81" i="2"/>
  <c r="AO81" i="2"/>
  <c r="AQ81" i="2" s="1"/>
  <c r="AP81" i="2"/>
  <c r="AR81" i="2"/>
  <c r="AS81" i="2"/>
  <c r="AE82" i="2"/>
  <c r="AW82" i="2" s="1"/>
  <c r="AF82" i="2"/>
  <c r="AG82" i="2"/>
  <c r="AH82" i="2" s="1"/>
  <c r="AI82" i="2"/>
  <c r="AK82" i="2" s="1"/>
  <c r="AJ82" i="2"/>
  <c r="AL82" i="2"/>
  <c r="AM82" i="2"/>
  <c r="AN82" i="2" s="1"/>
  <c r="AO82" i="2"/>
  <c r="AP82" i="2"/>
  <c r="AQ82" i="2"/>
  <c r="AR82" i="2"/>
  <c r="AS82" i="2"/>
  <c r="AE83" i="2"/>
  <c r="AF83" i="2"/>
  <c r="AG83" i="2"/>
  <c r="AI83" i="2"/>
  <c r="AJ83" i="2"/>
  <c r="AK83" i="2"/>
  <c r="AL83" i="2"/>
  <c r="AM83" i="2"/>
  <c r="AO83" i="2"/>
  <c r="AP83" i="2"/>
  <c r="AR83" i="2"/>
  <c r="AS83" i="2"/>
  <c r="AW83" i="2"/>
  <c r="AE84" i="2"/>
  <c r="AF84" i="2"/>
  <c r="AG84" i="2"/>
  <c r="AI84" i="2"/>
  <c r="AJ84" i="2"/>
  <c r="AK84" i="2"/>
  <c r="AL84" i="2"/>
  <c r="AM84" i="2"/>
  <c r="AO84" i="2"/>
  <c r="AQ84" i="2" s="1"/>
  <c r="AP84" i="2"/>
  <c r="AR84" i="2"/>
  <c r="AT84" i="2" s="1"/>
  <c r="AS84" i="2"/>
  <c r="AE85" i="2"/>
  <c r="AW85" i="2" s="1"/>
  <c r="AF85" i="2"/>
  <c r="AG85" i="2"/>
  <c r="AI85" i="2"/>
  <c r="AK85" i="2" s="1"/>
  <c r="AJ85" i="2"/>
  <c r="AL85" i="2"/>
  <c r="AM85" i="2"/>
  <c r="AO85" i="2"/>
  <c r="AP85" i="2"/>
  <c r="AR85" i="2"/>
  <c r="AT85" i="2" s="1"/>
  <c r="AS85" i="2"/>
  <c r="AE86" i="2"/>
  <c r="AF86" i="2"/>
  <c r="AG86" i="2"/>
  <c r="AH86" i="2" s="1"/>
  <c r="AI86" i="2"/>
  <c r="AJ86" i="2"/>
  <c r="AL86" i="2"/>
  <c r="AM86" i="2"/>
  <c r="AO86" i="2"/>
  <c r="AP86" i="2"/>
  <c r="AQ86" i="2" s="1"/>
  <c r="AR86" i="2"/>
  <c r="AS86" i="2"/>
  <c r="AE87" i="2"/>
  <c r="AF87" i="2"/>
  <c r="AG87" i="2"/>
  <c r="AH87" i="2" s="1"/>
  <c r="AI87" i="2"/>
  <c r="AJ87" i="2"/>
  <c r="AL87" i="2"/>
  <c r="AN87" i="2" s="1"/>
  <c r="AM87" i="2"/>
  <c r="AO87" i="2"/>
  <c r="AP87" i="2"/>
  <c r="AQ87" i="2" s="1"/>
  <c r="AR87" i="2"/>
  <c r="AS87" i="2"/>
  <c r="AW87" i="2"/>
  <c r="AE88" i="2"/>
  <c r="AF88" i="2"/>
  <c r="AG88" i="2"/>
  <c r="AI88" i="2"/>
  <c r="AJ88" i="2"/>
  <c r="AL88" i="2"/>
  <c r="AN88" i="2" s="1"/>
  <c r="AM88" i="2"/>
  <c r="AO88" i="2"/>
  <c r="AP88" i="2"/>
  <c r="AQ88" i="2"/>
  <c r="AR88" i="2"/>
  <c r="AS88" i="2"/>
  <c r="AT88" i="2" s="1"/>
  <c r="AW88" i="2"/>
  <c r="AE89" i="2"/>
  <c r="AF89" i="2"/>
  <c r="AG89" i="2"/>
  <c r="AI89" i="2"/>
  <c r="AJ89" i="2"/>
  <c r="AL89" i="2"/>
  <c r="AM89" i="2"/>
  <c r="AO89" i="2"/>
  <c r="AQ89" i="2" s="1"/>
  <c r="AP89" i="2"/>
  <c r="AR89" i="2"/>
  <c r="AT89" i="2" s="1"/>
  <c r="AS89" i="2"/>
  <c r="AW89" i="2"/>
  <c r="AE90" i="2"/>
  <c r="AW90" i="2" s="1"/>
  <c r="AF90" i="2"/>
  <c r="AG90" i="2"/>
  <c r="AH90" i="2" s="1"/>
  <c r="AI90" i="2"/>
  <c r="AJ90" i="2"/>
  <c r="AL90" i="2"/>
  <c r="AN90" i="2" s="1"/>
  <c r="AM90" i="2"/>
  <c r="AO90" i="2"/>
  <c r="AQ90" i="2" s="1"/>
  <c r="AP90" i="2"/>
  <c r="AR90" i="2"/>
  <c r="AS90" i="2"/>
  <c r="AE91" i="2"/>
  <c r="AF91" i="2"/>
  <c r="AG91" i="2"/>
  <c r="AH91" i="2" s="1"/>
  <c r="AI91" i="2"/>
  <c r="AJ91" i="2"/>
  <c r="AL91" i="2"/>
  <c r="AM91" i="2"/>
  <c r="AN91" i="2"/>
  <c r="AO91" i="2"/>
  <c r="AP91" i="2"/>
  <c r="AR91" i="2"/>
  <c r="AT91" i="2" s="1"/>
  <c r="AS91" i="2"/>
  <c r="AW91" i="2"/>
  <c r="AE92" i="2"/>
  <c r="AF92" i="2"/>
  <c r="AG92" i="2"/>
  <c r="AI92" i="2"/>
  <c r="AK92" i="2" s="1"/>
  <c r="AJ92" i="2"/>
  <c r="AL92" i="2"/>
  <c r="AN92" i="2" s="1"/>
  <c r="AM92" i="2"/>
  <c r="AO92" i="2"/>
  <c r="AQ92" i="2" s="1"/>
  <c r="AP92" i="2"/>
  <c r="AR92" i="2"/>
  <c r="AS92" i="2"/>
  <c r="AW92" i="2"/>
  <c r="AE93" i="2"/>
  <c r="AF93" i="2"/>
  <c r="AH93" i="2" s="1"/>
  <c r="AG93" i="2"/>
  <c r="AI93" i="2"/>
  <c r="AJ93" i="2"/>
  <c r="AL93" i="2"/>
  <c r="AM93" i="2"/>
  <c r="AO93" i="2"/>
  <c r="AQ93" i="2" s="1"/>
  <c r="AP93" i="2"/>
  <c r="AR93" i="2"/>
  <c r="AT93" i="2" s="1"/>
  <c r="AS93" i="2"/>
  <c r="AW93" i="2"/>
  <c r="AE94" i="2"/>
  <c r="AW94" i="2" s="1"/>
  <c r="AF94" i="2"/>
  <c r="AG94" i="2"/>
  <c r="AH94" i="2" s="1"/>
  <c r="AI94" i="2"/>
  <c r="AJ94" i="2"/>
  <c r="AL94" i="2"/>
  <c r="AM94" i="2"/>
  <c r="AO94" i="2"/>
  <c r="AQ94" i="2" s="1"/>
  <c r="AP94" i="2"/>
  <c r="AR94" i="2"/>
  <c r="AS94" i="2"/>
  <c r="AE95" i="2"/>
  <c r="AF95" i="2"/>
  <c r="AG95" i="2"/>
  <c r="AI95" i="2"/>
  <c r="AJ95" i="2"/>
  <c r="AL95" i="2"/>
  <c r="AM95" i="2"/>
  <c r="AO95" i="2"/>
  <c r="AP95" i="2"/>
  <c r="AR95" i="2"/>
  <c r="AS95" i="2"/>
  <c r="AW95" i="2"/>
  <c r="AE96" i="2"/>
  <c r="AF96" i="2"/>
  <c r="AG96" i="2"/>
  <c r="AI96" i="2"/>
  <c r="AJ96" i="2"/>
  <c r="AL96" i="2"/>
  <c r="AM96" i="2"/>
  <c r="AO96" i="2"/>
  <c r="AP96" i="2"/>
  <c r="AQ96" i="2" s="1"/>
  <c r="AR96" i="2"/>
  <c r="AS96" i="2"/>
  <c r="AW96" i="2"/>
  <c r="AE97" i="2"/>
  <c r="AF97" i="2"/>
  <c r="AG97" i="2"/>
  <c r="AI97" i="2"/>
  <c r="AJ97" i="2"/>
  <c r="AL97" i="2"/>
  <c r="AM97" i="2"/>
  <c r="AO97" i="2"/>
  <c r="AP97" i="2"/>
  <c r="AR97" i="2"/>
  <c r="AS97" i="2"/>
  <c r="AT97" i="2" s="1"/>
  <c r="AW97" i="2"/>
  <c r="AE98" i="2"/>
  <c r="AW98" i="2" s="1"/>
  <c r="AF98" i="2"/>
  <c r="AG98" i="2"/>
  <c r="AH98" i="2"/>
  <c r="AI98" i="2"/>
  <c r="AJ98" i="2"/>
  <c r="AL98" i="2"/>
  <c r="AM98" i="2"/>
  <c r="AO98" i="2"/>
  <c r="AP98" i="2"/>
  <c r="AR98" i="2"/>
  <c r="AS98" i="2"/>
  <c r="AE99" i="2"/>
  <c r="AF99" i="2"/>
  <c r="AG99" i="2"/>
  <c r="AH99" i="2" s="1"/>
  <c r="AI99" i="2"/>
  <c r="AK99" i="2" s="1"/>
  <c r="AJ99" i="2"/>
  <c r="AL99" i="2"/>
  <c r="AN99" i="2" s="1"/>
  <c r="AM99" i="2"/>
  <c r="AO99" i="2"/>
  <c r="AP99" i="2"/>
  <c r="AR99" i="2"/>
  <c r="AS99" i="2"/>
  <c r="AW99" i="2"/>
  <c r="AE100" i="2"/>
  <c r="AF100" i="2"/>
  <c r="AG100" i="2"/>
  <c r="AI100" i="2"/>
  <c r="AJ100" i="2"/>
  <c r="AL100" i="2"/>
  <c r="AM100" i="2"/>
  <c r="AO100" i="2"/>
  <c r="AP100" i="2"/>
  <c r="AR100" i="2"/>
  <c r="AT100" i="2" s="1"/>
  <c r="AS100" i="2"/>
  <c r="AW100" i="2"/>
  <c r="AE101" i="2"/>
  <c r="AW101" i="2" s="1"/>
  <c r="AF101" i="2"/>
  <c r="AG101" i="2"/>
  <c r="AI101" i="2"/>
  <c r="AJ101" i="2"/>
  <c r="AK101" i="2" s="1"/>
  <c r="AL101" i="2"/>
  <c r="AM101" i="2"/>
  <c r="AO101" i="2"/>
  <c r="AP101" i="2"/>
  <c r="AR101" i="2"/>
  <c r="AT101" i="2" s="1"/>
  <c r="AS101" i="2"/>
  <c r="AE102" i="2"/>
  <c r="AW102" i="2" s="1"/>
  <c r="AF102" i="2"/>
  <c r="AG102" i="2"/>
  <c r="AH102" i="2" s="1"/>
  <c r="AI102" i="2"/>
  <c r="AJ102" i="2"/>
  <c r="AK102" i="2" s="1"/>
  <c r="AL102" i="2"/>
  <c r="AM102" i="2"/>
  <c r="AO102" i="2"/>
  <c r="AP102" i="2"/>
  <c r="AR102" i="2"/>
  <c r="AT102" i="2" s="1"/>
  <c r="AS102" i="2"/>
  <c r="AE103" i="2"/>
  <c r="AF103" i="2"/>
  <c r="AG103" i="2"/>
  <c r="AH103" i="2" s="1"/>
  <c r="AI103" i="2"/>
  <c r="AK103" i="2" s="1"/>
  <c r="AJ103" i="2"/>
  <c r="AL103" i="2"/>
  <c r="AM103" i="2"/>
  <c r="AN103" i="2" s="1"/>
  <c r="AO103" i="2"/>
  <c r="AP103" i="2"/>
  <c r="AR103" i="2"/>
  <c r="AS103" i="2"/>
  <c r="AW103" i="2"/>
  <c r="AE104" i="2"/>
  <c r="AF104" i="2"/>
  <c r="AG104" i="2"/>
  <c r="AI104" i="2"/>
  <c r="AJ104" i="2"/>
  <c r="AL104" i="2"/>
  <c r="AM104" i="2"/>
  <c r="AO104" i="2"/>
  <c r="AP104" i="2"/>
  <c r="AR104" i="2"/>
  <c r="AT104" i="2" s="1"/>
  <c r="AS104" i="2"/>
  <c r="AW104" i="2"/>
  <c r="AE105" i="2"/>
  <c r="AW105" i="2" s="1"/>
  <c r="AF105" i="2"/>
  <c r="AG105" i="2"/>
  <c r="AI105" i="2"/>
  <c r="AJ105" i="2"/>
  <c r="AK105" i="2" s="1"/>
  <c r="AL105" i="2"/>
  <c r="AN105" i="2" s="1"/>
  <c r="AM105" i="2"/>
  <c r="AO105" i="2"/>
  <c r="AP105" i="2"/>
  <c r="AR105" i="2"/>
  <c r="AS105" i="2"/>
  <c r="AE106" i="2"/>
  <c r="AW106" i="2" s="1"/>
  <c r="AF106" i="2"/>
  <c r="AG106" i="2"/>
  <c r="AH106" i="2" s="1"/>
  <c r="AI106" i="2"/>
  <c r="AJ106" i="2"/>
  <c r="AL106" i="2"/>
  <c r="AN106" i="2" s="1"/>
  <c r="AM106" i="2"/>
  <c r="AO106" i="2"/>
  <c r="AP106" i="2"/>
  <c r="AR106" i="2"/>
  <c r="AS106" i="2"/>
  <c r="AE107" i="2"/>
  <c r="AF107" i="2"/>
  <c r="AG107" i="2"/>
  <c r="AI107" i="2"/>
  <c r="AK107" i="2" s="1"/>
  <c r="AJ107" i="2"/>
  <c r="AL107" i="2"/>
  <c r="AM107" i="2"/>
  <c r="AN107" i="2" s="1"/>
  <c r="AO107" i="2"/>
  <c r="AP107" i="2"/>
  <c r="AQ107" i="2" s="1"/>
  <c r="AR107" i="2"/>
  <c r="AS107" i="2"/>
  <c r="AW107" i="2"/>
  <c r="AE108" i="2"/>
  <c r="AF108" i="2"/>
  <c r="AG108" i="2"/>
  <c r="AI108" i="2"/>
  <c r="AJ108" i="2"/>
  <c r="AL108" i="2"/>
  <c r="AN108" i="2" s="1"/>
  <c r="AM108" i="2"/>
  <c r="AO108" i="2"/>
  <c r="AP108" i="2"/>
  <c r="AQ108" i="2" s="1"/>
  <c r="AR108" i="2"/>
  <c r="AS108" i="2"/>
  <c r="AW108" i="2"/>
  <c r="AE109" i="2"/>
  <c r="AW109" i="2" s="1"/>
  <c r="AF109" i="2"/>
  <c r="AG109" i="2"/>
  <c r="AI109" i="2"/>
  <c r="AJ109" i="2"/>
  <c r="AL109" i="2"/>
  <c r="AM109" i="2"/>
  <c r="AO109" i="2"/>
  <c r="AP109" i="2"/>
  <c r="AR109" i="2"/>
  <c r="AS109" i="2"/>
  <c r="AT109" i="2"/>
  <c r="AE110" i="2"/>
  <c r="AW110" i="2" s="1"/>
  <c r="AF110" i="2"/>
  <c r="AG110" i="2"/>
  <c r="AH110" i="2" s="1"/>
  <c r="AI110" i="2"/>
  <c r="AJ110" i="2"/>
  <c r="AL110" i="2"/>
  <c r="AM110" i="2"/>
  <c r="AO110" i="2"/>
  <c r="AP110" i="2"/>
  <c r="AR110" i="2"/>
  <c r="AS110" i="2"/>
  <c r="AE111" i="2"/>
  <c r="AF111" i="2"/>
  <c r="AG111" i="2"/>
  <c r="AH111" i="2"/>
  <c r="AI111" i="2"/>
  <c r="AK111" i="2" s="1"/>
  <c r="AJ111" i="2"/>
  <c r="AL111" i="2"/>
  <c r="AN111" i="2" s="1"/>
  <c r="AM111" i="2"/>
  <c r="AO111" i="2"/>
  <c r="AP111" i="2"/>
  <c r="AQ111" i="2" s="1"/>
  <c r="AR111" i="2"/>
  <c r="AS111" i="2"/>
  <c r="AW111" i="2"/>
  <c r="AE112" i="2"/>
  <c r="AF112" i="2"/>
  <c r="AG112" i="2"/>
  <c r="AI112" i="2"/>
  <c r="AJ112" i="2"/>
  <c r="AL112" i="2"/>
  <c r="AN112" i="2" s="1"/>
  <c r="AM112" i="2"/>
  <c r="AO112" i="2"/>
  <c r="AQ112" i="2" s="1"/>
  <c r="AP112" i="2"/>
  <c r="AR112" i="2"/>
  <c r="AS112" i="2"/>
  <c r="AW112" i="2"/>
  <c r="AE113" i="2"/>
  <c r="AW113" i="2" s="1"/>
  <c r="AF113" i="2"/>
  <c r="AG113" i="2"/>
  <c r="AI113" i="2"/>
  <c r="AJ113" i="2"/>
  <c r="AL113" i="2"/>
  <c r="AN113" i="2" s="1"/>
  <c r="AM113" i="2"/>
  <c r="AO113" i="2"/>
  <c r="AP113" i="2"/>
  <c r="AR113" i="2"/>
  <c r="AS113" i="2"/>
  <c r="AT113" i="2"/>
  <c r="AE114" i="2"/>
  <c r="AW114" i="2" s="1"/>
  <c r="AF114" i="2"/>
  <c r="AG114" i="2"/>
  <c r="AH114" i="2"/>
  <c r="AI114" i="2"/>
  <c r="AJ114" i="2"/>
  <c r="AL114" i="2"/>
  <c r="AM114" i="2"/>
  <c r="AO114" i="2"/>
  <c r="AP114" i="2"/>
  <c r="AQ114" i="2" s="1"/>
  <c r="AR114" i="2"/>
  <c r="AS114" i="2"/>
  <c r="AE115" i="2"/>
  <c r="AF115" i="2"/>
  <c r="AG115" i="2"/>
  <c r="AH115" i="2"/>
  <c r="AI115" i="2"/>
  <c r="AJ115" i="2"/>
  <c r="AK115" i="2" s="1"/>
  <c r="AL115" i="2"/>
  <c r="AM115" i="2"/>
  <c r="AO115" i="2"/>
  <c r="AP115" i="2"/>
  <c r="AR115" i="2"/>
  <c r="AS115" i="2"/>
  <c r="AW115" i="2"/>
  <c r="AE116" i="2"/>
  <c r="AF116" i="2"/>
  <c r="AG116" i="2"/>
  <c r="AI116" i="2"/>
  <c r="AJ116" i="2"/>
  <c r="AL116" i="2"/>
  <c r="AM116" i="2"/>
  <c r="AO116" i="2"/>
  <c r="AP116" i="2"/>
  <c r="AR116" i="2"/>
  <c r="AS116" i="2"/>
  <c r="AT116" i="2"/>
  <c r="AW116" i="2"/>
  <c r="AE117" i="2"/>
  <c r="AW117" i="2" s="1"/>
  <c r="AF117" i="2"/>
  <c r="AG117" i="2"/>
  <c r="AI117" i="2"/>
  <c r="AJ117" i="2"/>
  <c r="AL117" i="2"/>
  <c r="AM117" i="2"/>
  <c r="AO117" i="2"/>
  <c r="AP117" i="2"/>
  <c r="AR117" i="2"/>
  <c r="AT117" i="2" s="1"/>
  <c r="AS117" i="2"/>
  <c r="AE118" i="2"/>
  <c r="AW118" i="2" s="1"/>
  <c r="AF118" i="2"/>
  <c r="AG118" i="2"/>
  <c r="AH118" i="2" s="1"/>
  <c r="AI118" i="2"/>
  <c r="AJ118" i="2"/>
  <c r="AL118" i="2"/>
  <c r="AM118" i="2"/>
  <c r="AO118" i="2"/>
  <c r="AP118" i="2"/>
  <c r="AQ118" i="2" s="1"/>
  <c r="AR118" i="2"/>
  <c r="AS118" i="2"/>
  <c r="AE119" i="2"/>
  <c r="AF119" i="2"/>
  <c r="AG119" i="2"/>
  <c r="AH119" i="2" s="1"/>
  <c r="AI119" i="2"/>
  <c r="AK119" i="2" s="1"/>
  <c r="AJ119" i="2"/>
  <c r="AL119" i="2"/>
  <c r="AM119" i="2"/>
  <c r="AN119" i="2" s="1"/>
  <c r="AO119" i="2"/>
  <c r="AP119" i="2"/>
  <c r="AR119" i="2"/>
  <c r="AS119" i="2"/>
  <c r="AW119" i="2"/>
  <c r="AE120" i="2"/>
  <c r="AF120" i="2"/>
  <c r="AG120" i="2"/>
  <c r="AI120" i="2"/>
  <c r="AK120" i="2" s="1"/>
  <c r="AJ120" i="2"/>
  <c r="AL120" i="2"/>
  <c r="AN120" i="2" s="1"/>
  <c r="AM120" i="2"/>
  <c r="AO120" i="2"/>
  <c r="AP120" i="2"/>
  <c r="AR120" i="2"/>
  <c r="AS120" i="2"/>
  <c r="AW120" i="2"/>
  <c r="AE121" i="2"/>
  <c r="AW121" i="2" s="1"/>
  <c r="AF121" i="2"/>
  <c r="AG121" i="2"/>
  <c r="AI121" i="2"/>
  <c r="AJ121" i="2"/>
  <c r="AL121" i="2"/>
  <c r="AM121" i="2"/>
  <c r="AO121" i="2"/>
  <c r="AP121" i="2"/>
  <c r="AR121" i="2"/>
  <c r="AS121" i="2"/>
  <c r="AE122" i="2"/>
  <c r="AW122" i="2" s="1"/>
  <c r="AF122" i="2"/>
  <c r="AG122" i="2"/>
  <c r="AH122" i="2"/>
  <c r="AI122" i="2"/>
  <c r="AJ122" i="2"/>
  <c r="AL122" i="2"/>
  <c r="AM122" i="2"/>
  <c r="AO122" i="2"/>
  <c r="AP122" i="2"/>
  <c r="AR122" i="2"/>
  <c r="AS122" i="2"/>
  <c r="AE123" i="2"/>
  <c r="AF123" i="2"/>
  <c r="AG123" i="2"/>
  <c r="AH123" i="2" s="1"/>
  <c r="AI123" i="2"/>
  <c r="AJ123" i="2"/>
  <c r="AL123" i="2"/>
  <c r="AM123" i="2"/>
  <c r="AO123" i="2"/>
  <c r="AP123" i="2"/>
  <c r="AR123" i="2"/>
  <c r="AS123" i="2"/>
  <c r="AW123" i="2"/>
  <c r="AE124" i="2"/>
  <c r="AF124" i="2"/>
  <c r="AG124" i="2"/>
  <c r="AI124" i="2"/>
  <c r="AK124" i="2" s="1"/>
  <c r="AJ124" i="2"/>
  <c r="AL124" i="2"/>
  <c r="AM124" i="2"/>
  <c r="AO124" i="2"/>
  <c r="AP124" i="2"/>
  <c r="AQ124" i="2" s="1"/>
  <c r="AR124" i="2"/>
  <c r="AS124" i="2"/>
  <c r="AT124" i="2" s="1"/>
  <c r="AW124" i="2"/>
  <c r="AE125" i="2"/>
  <c r="AW125" i="2" s="1"/>
  <c r="AF125" i="2"/>
  <c r="AG125" i="2"/>
  <c r="AI125" i="2"/>
  <c r="AJ125" i="2"/>
  <c r="AL125" i="2"/>
  <c r="AM125" i="2"/>
  <c r="AO125" i="2"/>
  <c r="AP125" i="2"/>
  <c r="AR125" i="2"/>
  <c r="AS125" i="2"/>
  <c r="AE126" i="2"/>
  <c r="AW126" i="2" s="1"/>
  <c r="AF126" i="2"/>
  <c r="AG126" i="2"/>
  <c r="AH126" i="2" s="1"/>
  <c r="AI126" i="2"/>
  <c r="AJ126" i="2"/>
  <c r="AL126" i="2"/>
  <c r="AM126" i="2"/>
  <c r="AO126" i="2"/>
  <c r="AP126" i="2"/>
  <c r="AR126" i="2"/>
  <c r="AS126" i="2"/>
  <c r="AE127" i="2"/>
  <c r="AF127" i="2"/>
  <c r="AG127" i="2"/>
  <c r="AH127" i="2"/>
  <c r="AI127" i="2"/>
  <c r="AJ127" i="2"/>
  <c r="AK127" i="2" s="1"/>
  <c r="AL127" i="2"/>
  <c r="AM127" i="2"/>
  <c r="AO127" i="2"/>
  <c r="AP127" i="2"/>
  <c r="AQ127" i="2" s="1"/>
  <c r="AR127" i="2"/>
  <c r="AS127" i="2"/>
  <c r="AW127" i="2"/>
  <c r="AE128" i="2"/>
  <c r="AF128" i="2"/>
  <c r="AG128" i="2"/>
  <c r="AI128" i="2"/>
  <c r="AJ128" i="2"/>
  <c r="AL128" i="2"/>
  <c r="AN128" i="2" s="1"/>
  <c r="AM128" i="2"/>
  <c r="AO128" i="2"/>
  <c r="AP128" i="2"/>
  <c r="AR128" i="2"/>
  <c r="AT128" i="2" s="1"/>
  <c r="AS128" i="2"/>
  <c r="AW128" i="2"/>
  <c r="AE129" i="2"/>
  <c r="AW129" i="2" s="1"/>
  <c r="AF129" i="2"/>
  <c r="AG129" i="2"/>
  <c r="AI129" i="2"/>
  <c r="AJ129" i="2"/>
  <c r="AL129" i="2"/>
  <c r="AM129" i="2"/>
  <c r="AO129" i="2"/>
  <c r="AP129" i="2"/>
  <c r="AR129" i="2"/>
  <c r="AS129" i="2"/>
  <c r="AE130" i="2"/>
  <c r="AW130" i="2" s="1"/>
  <c r="AF130" i="2"/>
  <c r="AG130" i="2"/>
  <c r="AH130" i="2" s="1"/>
  <c r="AI130" i="2"/>
  <c r="AJ130" i="2"/>
  <c r="AK130" i="2" s="1"/>
  <c r="AL130" i="2"/>
  <c r="AM130" i="2"/>
  <c r="AO130" i="2"/>
  <c r="AP130" i="2"/>
  <c r="AQ130" i="2" s="1"/>
  <c r="AR130" i="2"/>
  <c r="AS130" i="2"/>
  <c r="AE131" i="2"/>
  <c r="AF131" i="2"/>
  <c r="AH131" i="2" s="1"/>
  <c r="AG131" i="2"/>
  <c r="AI131" i="2"/>
  <c r="AJ131" i="2"/>
  <c r="AL131" i="2"/>
  <c r="AM131" i="2"/>
  <c r="AO131" i="2"/>
  <c r="AP131" i="2"/>
  <c r="AR131" i="2"/>
  <c r="AS131" i="2"/>
  <c r="AE132" i="2"/>
  <c r="AF132" i="2"/>
  <c r="AG132" i="2"/>
  <c r="AI132" i="2"/>
  <c r="AJ132" i="2"/>
  <c r="AL132" i="2"/>
  <c r="AN132" i="2" s="1"/>
  <c r="AM132" i="2"/>
  <c r="AO132" i="2"/>
  <c r="AQ132" i="2" s="1"/>
  <c r="AP132" i="2"/>
  <c r="AR132" i="2"/>
  <c r="AS132" i="2"/>
  <c r="AW132" i="2"/>
  <c r="AE133" i="2"/>
  <c r="AW133" i="2" s="1"/>
  <c r="AF133" i="2"/>
  <c r="AG133" i="2"/>
  <c r="AI133" i="2"/>
  <c r="AJ133" i="2"/>
  <c r="AL133" i="2"/>
  <c r="AM133" i="2"/>
  <c r="AO133" i="2"/>
  <c r="AQ133" i="2" s="1"/>
  <c r="AP133" i="2"/>
  <c r="AR133" i="2"/>
  <c r="AS133" i="2"/>
  <c r="AE134" i="2"/>
  <c r="AW134" i="2" s="1"/>
  <c r="AF134" i="2"/>
  <c r="AG134" i="2"/>
  <c r="AH134" i="2"/>
  <c r="AI134" i="2"/>
  <c r="AJ134" i="2"/>
  <c r="AL134" i="2"/>
  <c r="AM134" i="2"/>
  <c r="AO134" i="2"/>
  <c r="AP134" i="2"/>
  <c r="AR134" i="2"/>
  <c r="AS134" i="2"/>
  <c r="AE135" i="2"/>
  <c r="AF135" i="2"/>
  <c r="AG135" i="2"/>
  <c r="AH135" i="2" s="1"/>
  <c r="AI135" i="2"/>
  <c r="AJ135" i="2"/>
  <c r="AL135" i="2"/>
  <c r="AN135" i="2" s="1"/>
  <c r="AM135" i="2"/>
  <c r="AO135" i="2"/>
  <c r="AQ135" i="2" s="1"/>
  <c r="AP135" i="2"/>
  <c r="AR135" i="2"/>
  <c r="AS135" i="2"/>
  <c r="AE136" i="2"/>
  <c r="AF136" i="2"/>
  <c r="AG136" i="2"/>
  <c r="AI136" i="2"/>
  <c r="AK136" i="2" s="1"/>
  <c r="AJ136" i="2"/>
  <c r="AL136" i="2"/>
  <c r="AM136" i="2"/>
  <c r="AO136" i="2"/>
  <c r="AP136" i="2"/>
  <c r="AR136" i="2"/>
  <c r="AS136" i="2"/>
  <c r="AT136" i="2" s="1"/>
  <c r="AW136" i="2"/>
  <c r="AE137" i="2"/>
  <c r="AF137" i="2"/>
  <c r="AG137" i="2"/>
  <c r="AI137" i="2"/>
  <c r="AJ137" i="2"/>
  <c r="AL137" i="2"/>
  <c r="AM137" i="2"/>
  <c r="AO137" i="2"/>
  <c r="AP137" i="2"/>
  <c r="AR137" i="2"/>
  <c r="AT137" i="2" s="1"/>
  <c r="AS137" i="2"/>
  <c r="AE138" i="2"/>
  <c r="AW138" i="2" s="1"/>
  <c r="AF138" i="2"/>
  <c r="AG138" i="2"/>
  <c r="AH138" i="2" s="1"/>
  <c r="AI138" i="2"/>
  <c r="AJ138" i="2"/>
  <c r="AL138" i="2"/>
  <c r="AM138" i="2"/>
  <c r="AO138" i="2"/>
  <c r="AP138" i="2"/>
  <c r="AQ138" i="2"/>
  <c r="AR138" i="2"/>
  <c r="AS138" i="2"/>
  <c r="AE139" i="2"/>
  <c r="AF139" i="2"/>
  <c r="AG139" i="2"/>
  <c r="AI139" i="2"/>
  <c r="AJ139" i="2"/>
  <c r="AK139" i="2"/>
  <c r="AL139" i="2"/>
  <c r="AM139" i="2"/>
  <c r="AN139" i="2"/>
  <c r="AO139" i="2"/>
  <c r="AP139" i="2"/>
  <c r="AQ139" i="2" s="1"/>
  <c r="AR139" i="2"/>
  <c r="AS139" i="2"/>
  <c r="AE140" i="2"/>
  <c r="AW140" i="2" s="1"/>
  <c r="AF140" i="2"/>
  <c r="AG140" i="2"/>
  <c r="AH140" i="2" s="1"/>
  <c r="AI140" i="2"/>
  <c r="AJ140" i="2"/>
  <c r="AL140" i="2"/>
  <c r="AM140" i="2"/>
  <c r="AN140" i="2" s="1"/>
  <c r="AO140" i="2"/>
  <c r="AP140" i="2"/>
  <c r="AR140" i="2"/>
  <c r="AS140" i="2"/>
  <c r="AE141" i="2"/>
  <c r="AF141" i="2"/>
  <c r="AH141" i="2" s="1"/>
  <c r="AG141" i="2"/>
  <c r="AI141" i="2"/>
  <c r="AJ141" i="2"/>
  <c r="AL141" i="2"/>
  <c r="AM141" i="2"/>
  <c r="AO141" i="2"/>
  <c r="AQ141" i="2" s="1"/>
  <c r="AP141" i="2"/>
  <c r="AR141" i="2"/>
  <c r="AS141" i="2"/>
  <c r="AE142" i="2"/>
  <c r="AW142" i="2" s="1"/>
  <c r="AF142" i="2"/>
  <c r="AG142" i="2"/>
  <c r="AH142" i="2" s="1"/>
  <c r="AI142" i="2"/>
  <c r="AJ142" i="2"/>
  <c r="AL142" i="2"/>
  <c r="AM142" i="2"/>
  <c r="AO142" i="2"/>
  <c r="AP142" i="2"/>
  <c r="AR142" i="2"/>
  <c r="AS142" i="2"/>
  <c r="AT142" i="2" s="1"/>
  <c r="AE143" i="2"/>
  <c r="AF143" i="2"/>
  <c r="AG143" i="2"/>
  <c r="AI143" i="2"/>
  <c r="AJ143" i="2"/>
  <c r="AL143" i="2"/>
  <c r="AM143" i="2"/>
  <c r="AO143" i="2"/>
  <c r="AP143" i="2"/>
  <c r="AR143" i="2"/>
  <c r="AS143" i="2"/>
  <c r="AW143" i="2"/>
  <c r="AE144" i="2"/>
  <c r="AF144" i="2"/>
  <c r="AH144" i="2" s="1"/>
  <c r="AG144" i="2"/>
  <c r="AI144" i="2"/>
  <c r="AJ144" i="2"/>
  <c r="AL144" i="2"/>
  <c r="AM144" i="2"/>
  <c r="AO144" i="2"/>
  <c r="AP144" i="2"/>
  <c r="AQ144" i="2" s="1"/>
  <c r="AR144" i="2"/>
  <c r="AT144" i="2" s="1"/>
  <c r="AS144" i="2"/>
  <c r="AW144" i="2"/>
  <c r="AE145" i="2"/>
  <c r="AF145" i="2"/>
  <c r="AG145" i="2"/>
  <c r="AI145" i="2"/>
  <c r="AJ145" i="2"/>
  <c r="AL145" i="2"/>
  <c r="AM145" i="2"/>
  <c r="AO145" i="2"/>
  <c r="AQ145" i="2" s="1"/>
  <c r="AP145" i="2"/>
  <c r="AR145" i="2"/>
  <c r="AT145" i="2" s="1"/>
  <c r="AS145" i="2"/>
  <c r="AW145" i="2"/>
  <c r="AE146" i="2"/>
  <c r="AF146" i="2"/>
  <c r="AG146" i="2"/>
  <c r="AH146" i="2" s="1"/>
  <c r="AI146" i="2"/>
  <c r="AK146" i="2" s="1"/>
  <c r="AJ146" i="2"/>
  <c r="AL146" i="2"/>
  <c r="AM146" i="2"/>
  <c r="AO146" i="2"/>
  <c r="AP146" i="2"/>
  <c r="AR146" i="2"/>
  <c r="AT146" i="2" s="1"/>
  <c r="AS146" i="2"/>
  <c r="AE147" i="2"/>
  <c r="AF147" i="2"/>
  <c r="AG147" i="2"/>
  <c r="AI147" i="2"/>
  <c r="AJ147" i="2"/>
  <c r="AL147" i="2"/>
  <c r="AN147" i="2" s="1"/>
  <c r="AM147" i="2"/>
  <c r="AO147" i="2"/>
  <c r="AQ147" i="2" s="1"/>
  <c r="AP147" i="2"/>
  <c r="AR147" i="2"/>
  <c r="AS147" i="2"/>
  <c r="AW147" i="2"/>
  <c r="AE148" i="2"/>
  <c r="AF148" i="2"/>
  <c r="AG148" i="2"/>
  <c r="AI148" i="2"/>
  <c r="AJ148" i="2"/>
  <c r="AL148" i="2"/>
  <c r="AN148" i="2" s="1"/>
  <c r="AM148" i="2"/>
  <c r="AO148" i="2"/>
  <c r="AQ148" i="2" s="1"/>
  <c r="AP148" i="2"/>
  <c r="AR148" i="2"/>
  <c r="AT148" i="2" s="1"/>
  <c r="AS148" i="2"/>
  <c r="AW148" i="2"/>
  <c r="AE149" i="2"/>
  <c r="AW149" i="2" s="1"/>
  <c r="AF149" i="2"/>
  <c r="AG149" i="2"/>
  <c r="AH149" i="2" s="1"/>
  <c r="AI149" i="2"/>
  <c r="AJ149" i="2"/>
  <c r="AL149" i="2"/>
  <c r="AM149" i="2"/>
  <c r="AO149" i="2"/>
  <c r="AQ149" i="2" s="1"/>
  <c r="AP149" i="2"/>
  <c r="AR149" i="2"/>
  <c r="AS149" i="2"/>
  <c r="AE150" i="2"/>
  <c r="AW151" i="2" s="1"/>
  <c r="AF150" i="2"/>
  <c r="AG150" i="2"/>
  <c r="AH150" i="2"/>
  <c r="AI150" i="2"/>
  <c r="AK150" i="2" s="1"/>
  <c r="AJ150" i="2"/>
  <c r="AL150" i="2"/>
  <c r="AM150" i="2"/>
  <c r="AO150" i="2"/>
  <c r="AP150" i="2"/>
  <c r="AR150" i="2"/>
  <c r="AS150" i="2"/>
  <c r="AE151" i="2"/>
  <c r="AF151" i="2"/>
  <c r="AG151" i="2"/>
  <c r="AI151" i="2"/>
  <c r="AJ151" i="2"/>
  <c r="AL151" i="2"/>
  <c r="AM151" i="2"/>
  <c r="AO151" i="2"/>
  <c r="AQ151" i="2" s="1"/>
  <c r="AP151" i="2"/>
  <c r="AR151" i="2"/>
  <c r="AS151" i="2"/>
  <c r="AT151" i="2" s="1"/>
  <c r="AE152" i="2"/>
  <c r="AF152" i="2"/>
  <c r="AH152" i="2" s="1"/>
  <c r="AG152" i="2"/>
  <c r="AI152" i="2"/>
  <c r="AJ152" i="2"/>
  <c r="AL152" i="2"/>
  <c r="AM152" i="2"/>
  <c r="AO152" i="2"/>
  <c r="AQ152" i="2" s="1"/>
  <c r="AP152" i="2"/>
  <c r="AR152" i="2"/>
  <c r="AS152" i="2"/>
  <c r="AT152" i="2" s="1"/>
  <c r="AW152" i="2"/>
  <c r="AE153" i="2"/>
  <c r="AW153" i="2" s="1"/>
  <c r="AF153" i="2"/>
  <c r="AG153" i="2"/>
  <c r="AH153" i="2" s="1"/>
  <c r="AI153" i="2"/>
  <c r="AJ153" i="2"/>
  <c r="AL153" i="2"/>
  <c r="AM153" i="2"/>
  <c r="AO153" i="2"/>
  <c r="AQ153" i="2" s="1"/>
  <c r="AP153" i="2"/>
  <c r="AR153" i="2"/>
  <c r="AS153" i="2"/>
  <c r="AE154" i="2"/>
  <c r="AW155" i="2" s="1"/>
  <c r="AF154" i="2"/>
  <c r="AG154" i="2"/>
  <c r="AH154" i="2" s="1"/>
  <c r="AI154" i="2"/>
  <c r="AJ154" i="2"/>
  <c r="AK154" i="2" s="1"/>
  <c r="AL154" i="2"/>
  <c r="AM154" i="2"/>
  <c r="AN154" i="2" s="1"/>
  <c r="AO154" i="2"/>
  <c r="AP154" i="2"/>
  <c r="AR154" i="2"/>
  <c r="AT154" i="2" s="1"/>
  <c r="AS154" i="2"/>
  <c r="AE155" i="2"/>
  <c r="AF155" i="2"/>
  <c r="AH155" i="2" s="1"/>
  <c r="AG155" i="2"/>
  <c r="AI155" i="2"/>
  <c r="AJ155" i="2"/>
  <c r="AL155" i="2"/>
  <c r="AM155" i="2"/>
  <c r="AN155" i="2" s="1"/>
  <c r="AO155" i="2"/>
  <c r="AQ155" i="2" s="1"/>
  <c r="AP155" i="2"/>
  <c r="AR155" i="2"/>
  <c r="AS155" i="2"/>
  <c r="AT155" i="2" s="1"/>
  <c r="AE156" i="2"/>
  <c r="AF156" i="2"/>
  <c r="AG156" i="2"/>
  <c r="AI156" i="2"/>
  <c r="AJ156" i="2"/>
  <c r="AL156" i="2"/>
  <c r="AM156" i="2"/>
  <c r="AO156" i="2"/>
  <c r="AQ156" i="2" s="1"/>
  <c r="AP156" i="2"/>
  <c r="AR156" i="2"/>
  <c r="AT156" i="2" s="1"/>
  <c r="AS156" i="2"/>
  <c r="AW156" i="2"/>
  <c r="AE157" i="2"/>
  <c r="AW157" i="2" s="1"/>
  <c r="AF157" i="2"/>
  <c r="AG157" i="2"/>
  <c r="AH157" i="2" s="1"/>
  <c r="AI157" i="2"/>
  <c r="AJ157" i="2"/>
  <c r="AL157" i="2"/>
  <c r="AN157" i="2" s="1"/>
  <c r="AM157" i="2"/>
  <c r="AO157" i="2"/>
  <c r="AP157" i="2"/>
  <c r="AR157" i="2"/>
  <c r="AS157" i="2"/>
  <c r="AE158" i="2"/>
  <c r="AW159" i="2" s="1"/>
  <c r="AF158" i="2"/>
  <c r="AG158" i="2"/>
  <c r="AH158" i="2" s="1"/>
  <c r="AI158" i="2"/>
  <c r="AJ158" i="2"/>
  <c r="AL158" i="2"/>
  <c r="AM158" i="2"/>
  <c r="AO158" i="2"/>
  <c r="AP158" i="2"/>
  <c r="AR158" i="2"/>
  <c r="AS158" i="2"/>
  <c r="AE159" i="2"/>
  <c r="AF159" i="2"/>
  <c r="AG159" i="2"/>
  <c r="AI159" i="2"/>
  <c r="AJ159" i="2"/>
  <c r="AK159" i="2" s="1"/>
  <c r="AL159" i="2"/>
  <c r="AM159" i="2"/>
  <c r="AO159" i="2"/>
  <c r="AP159" i="2"/>
  <c r="AR159" i="2"/>
  <c r="AS159" i="2"/>
  <c r="AT159" i="2" s="1"/>
  <c r="AE160" i="2"/>
  <c r="AF160" i="2"/>
  <c r="AG160" i="2"/>
  <c r="AI160" i="2"/>
  <c r="AJ160" i="2"/>
  <c r="AL160" i="2"/>
  <c r="AM160" i="2"/>
  <c r="AO160" i="2"/>
  <c r="AQ160" i="2" s="1"/>
  <c r="AP160" i="2"/>
  <c r="AR160" i="2"/>
  <c r="AT160" i="2" s="1"/>
  <c r="AS160" i="2"/>
  <c r="AW160" i="2"/>
  <c r="AE161" i="2"/>
  <c r="AW161" i="2" s="1"/>
  <c r="AF161" i="2"/>
  <c r="AG161" i="2"/>
  <c r="AH161" i="2" s="1"/>
  <c r="AI161" i="2"/>
  <c r="AJ161" i="2"/>
  <c r="AL161" i="2"/>
  <c r="AM161" i="2"/>
  <c r="AO161" i="2"/>
  <c r="AQ161" i="2" s="1"/>
  <c r="AP161" i="2"/>
  <c r="AR161" i="2"/>
  <c r="AS161" i="2"/>
  <c r="AE162" i="2"/>
  <c r="AW163" i="2" s="1"/>
  <c r="AF162" i="2"/>
  <c r="AG162" i="2"/>
  <c r="AH162" i="2" s="1"/>
  <c r="AI162" i="2"/>
  <c r="AK162" i="2" s="1"/>
  <c r="AJ162" i="2"/>
  <c r="AL162" i="2"/>
  <c r="AM162" i="2"/>
  <c r="AO162" i="2"/>
  <c r="AP162" i="2"/>
  <c r="AQ162" i="2" s="1"/>
  <c r="AR162" i="2"/>
  <c r="AS162" i="2"/>
  <c r="AE163" i="2"/>
  <c r="AF163" i="2"/>
  <c r="AG163" i="2"/>
  <c r="AI163" i="2"/>
  <c r="AJ163" i="2"/>
  <c r="AL163" i="2"/>
  <c r="AN163" i="2" s="1"/>
  <c r="AM163" i="2"/>
  <c r="AO163" i="2"/>
  <c r="AQ163" i="2" s="1"/>
  <c r="AP163" i="2"/>
  <c r="AR163" i="2"/>
  <c r="AS163" i="2"/>
  <c r="AT163" i="2" s="1"/>
  <c r="AE164" i="2"/>
  <c r="AF164" i="2"/>
  <c r="AG164" i="2"/>
  <c r="AI164" i="2"/>
  <c r="AJ164" i="2"/>
  <c r="AL164" i="2"/>
  <c r="AM164" i="2"/>
  <c r="AO164" i="2"/>
  <c r="AP164" i="2"/>
  <c r="AR164" i="2"/>
  <c r="AS164" i="2"/>
  <c r="AT164" i="2" s="1"/>
  <c r="AW164" i="2"/>
  <c r="AE165" i="2"/>
  <c r="AW165" i="2" s="1"/>
  <c r="AF165" i="2"/>
  <c r="AG165" i="2"/>
  <c r="AH165" i="2" s="1"/>
  <c r="AI165" i="2"/>
  <c r="AJ165" i="2"/>
  <c r="AL165" i="2"/>
  <c r="AM165" i="2"/>
  <c r="AO165" i="2"/>
  <c r="AP165" i="2"/>
  <c r="AR165" i="2"/>
  <c r="AS165" i="2"/>
  <c r="AE166" i="2"/>
  <c r="AW166" i="2" s="1"/>
  <c r="AF166" i="2"/>
  <c r="AG166" i="2"/>
  <c r="AH166" i="2" s="1"/>
  <c r="AI166" i="2"/>
  <c r="AK166" i="2" s="1"/>
  <c r="AJ166" i="2"/>
  <c r="AL166" i="2"/>
  <c r="AM166" i="2"/>
  <c r="AO166" i="2"/>
  <c r="AP166" i="2"/>
  <c r="AQ166" i="2" s="1"/>
  <c r="AR166" i="2"/>
  <c r="AS166" i="2"/>
  <c r="AE167" i="2"/>
  <c r="AF167" i="2"/>
  <c r="AG167" i="2"/>
  <c r="AI167" i="2"/>
  <c r="AJ167" i="2"/>
  <c r="AK167" i="2"/>
  <c r="AL167" i="2"/>
  <c r="AM167" i="2"/>
  <c r="AO167" i="2"/>
  <c r="AQ167" i="2" s="1"/>
  <c r="AP167" i="2"/>
  <c r="AR167" i="2"/>
  <c r="AS167" i="2"/>
  <c r="AE168" i="2"/>
  <c r="AF168" i="2"/>
  <c r="AG168" i="2"/>
  <c r="AI168" i="2"/>
  <c r="AK168" i="2" s="1"/>
  <c r="AJ168" i="2"/>
  <c r="AL168" i="2"/>
  <c r="AN168" i="2" s="1"/>
  <c r="AM168" i="2"/>
  <c r="AO168" i="2"/>
  <c r="AP168" i="2"/>
  <c r="AQ168" i="2" s="1"/>
  <c r="AR168" i="2"/>
  <c r="AS168" i="2"/>
  <c r="AW168" i="2"/>
  <c r="AE169" i="2"/>
  <c r="AW169" i="2" s="1"/>
  <c r="AF169" i="2"/>
  <c r="AG169" i="2"/>
  <c r="AH169" i="2" s="1"/>
  <c r="AI169" i="2"/>
  <c r="AJ169" i="2"/>
  <c r="AL169" i="2"/>
  <c r="AM169" i="2"/>
  <c r="AO169" i="2"/>
  <c r="AQ169" i="2" s="1"/>
  <c r="AP169" i="2"/>
  <c r="AR169" i="2"/>
  <c r="AS169" i="2"/>
  <c r="AE170" i="2"/>
  <c r="AW170" i="2" s="1"/>
  <c r="AF170" i="2"/>
  <c r="AG170" i="2"/>
  <c r="AH170" i="2" s="1"/>
  <c r="AI170" i="2"/>
  <c r="AJ170" i="2"/>
  <c r="AL170" i="2"/>
  <c r="AM170" i="2"/>
  <c r="AO170" i="2"/>
  <c r="AP170" i="2"/>
  <c r="AQ170" i="2" s="1"/>
  <c r="AR170" i="2"/>
  <c r="AS170" i="2"/>
  <c r="AE171" i="2"/>
  <c r="AF171" i="2"/>
  <c r="AG171" i="2"/>
  <c r="AI171" i="2"/>
  <c r="AK171" i="2" s="1"/>
  <c r="AJ171" i="2"/>
  <c r="AL171" i="2"/>
  <c r="AM171" i="2"/>
  <c r="AO171" i="2"/>
  <c r="AP171" i="2"/>
  <c r="AQ171" i="2" s="1"/>
  <c r="AR171" i="2"/>
  <c r="AS171" i="2"/>
  <c r="AT171" i="2" s="1"/>
  <c r="AE172" i="2"/>
  <c r="AF172" i="2"/>
  <c r="AG172" i="2"/>
  <c r="AI172" i="2"/>
  <c r="AJ172" i="2"/>
  <c r="AL172" i="2"/>
  <c r="AN172" i="2" s="1"/>
  <c r="AM172" i="2"/>
  <c r="AO172" i="2"/>
  <c r="AQ172" i="2" s="1"/>
  <c r="AP172" i="2"/>
  <c r="AR172" i="2"/>
  <c r="AT172" i="2" s="1"/>
  <c r="AS172" i="2"/>
  <c r="AW172" i="2"/>
  <c r="AE173" i="2"/>
  <c r="AW173" i="2" s="1"/>
  <c r="AF173" i="2"/>
  <c r="AG173" i="2"/>
  <c r="AH173" i="2" s="1"/>
  <c r="AI173" i="2"/>
  <c r="AJ173" i="2"/>
  <c r="AL173" i="2"/>
  <c r="AM173" i="2"/>
  <c r="AO173" i="2"/>
  <c r="AP173" i="2"/>
  <c r="AR173" i="2"/>
  <c r="AS173" i="2"/>
  <c r="AE174" i="2"/>
  <c r="AW175" i="2" s="1"/>
  <c r="AF174" i="2"/>
  <c r="AG174" i="2"/>
  <c r="AH174" i="2" s="1"/>
  <c r="AI174" i="2"/>
  <c r="AK174" i="2" s="1"/>
  <c r="AJ174" i="2"/>
  <c r="AL174" i="2"/>
  <c r="AM174" i="2"/>
  <c r="AO174" i="2"/>
  <c r="AP174" i="2"/>
  <c r="AR174" i="2"/>
  <c r="AS174" i="2"/>
  <c r="AE175" i="2"/>
  <c r="AF175" i="2"/>
  <c r="AG175" i="2"/>
  <c r="AI175" i="2"/>
  <c r="AJ175" i="2"/>
  <c r="AL175" i="2"/>
  <c r="AN175" i="2" s="1"/>
  <c r="AM175" i="2"/>
  <c r="AO175" i="2"/>
  <c r="AP175" i="2"/>
  <c r="AR175" i="2"/>
  <c r="AS175" i="2"/>
  <c r="AE176" i="2"/>
  <c r="AF176" i="2"/>
  <c r="AG176" i="2"/>
  <c r="AI176" i="2"/>
  <c r="AJ176" i="2"/>
  <c r="AL176" i="2"/>
  <c r="AN176" i="2" s="1"/>
  <c r="AM176" i="2"/>
  <c r="AO176" i="2"/>
  <c r="AQ176" i="2" s="1"/>
  <c r="AP176" i="2"/>
  <c r="AR176" i="2"/>
  <c r="AT176" i="2" s="1"/>
  <c r="AS176" i="2"/>
  <c r="AW176" i="2"/>
  <c r="AE177" i="2"/>
  <c r="AW177" i="2" s="1"/>
  <c r="AF177" i="2"/>
  <c r="AG177" i="2"/>
  <c r="AH177" i="2" s="1"/>
  <c r="AI177" i="2"/>
  <c r="AJ177" i="2"/>
  <c r="AL177" i="2"/>
  <c r="AN177" i="2" s="1"/>
  <c r="AM177" i="2"/>
  <c r="AO177" i="2"/>
  <c r="AP177" i="2"/>
  <c r="AR177" i="2"/>
  <c r="AS177" i="2"/>
  <c r="AE178" i="2"/>
  <c r="AW179" i="2" s="1"/>
  <c r="AF178" i="2"/>
  <c r="AG178" i="2"/>
  <c r="AH178" i="2" s="1"/>
  <c r="AI178" i="2"/>
  <c r="AJ178" i="2"/>
  <c r="AL178" i="2"/>
  <c r="AM178" i="2"/>
  <c r="AO178" i="2"/>
  <c r="AP178" i="2"/>
  <c r="AR178" i="2"/>
  <c r="AS178" i="2"/>
  <c r="AE179" i="2"/>
  <c r="AF179" i="2"/>
  <c r="AG179" i="2"/>
  <c r="AI179" i="2"/>
  <c r="AJ179" i="2"/>
  <c r="AK179" i="2" s="1"/>
  <c r="AL179" i="2"/>
  <c r="AM179" i="2"/>
  <c r="AN179" i="2" s="1"/>
  <c r="AO179" i="2"/>
  <c r="AP179" i="2"/>
  <c r="AQ179" i="2"/>
  <c r="AR179" i="2"/>
  <c r="AS179" i="2"/>
  <c r="AT179" i="2" s="1"/>
  <c r="AE180" i="2"/>
  <c r="AW180" i="2" s="1"/>
  <c r="AF180" i="2"/>
  <c r="AG180" i="2"/>
  <c r="AI180" i="2"/>
  <c r="AJ180" i="2"/>
  <c r="AL180" i="2"/>
  <c r="AN180" i="2" s="1"/>
  <c r="AM180" i="2"/>
  <c r="AO180" i="2"/>
  <c r="AQ180" i="2" s="1"/>
  <c r="AP180" i="2"/>
  <c r="AR180" i="2"/>
  <c r="AT180" i="2" s="1"/>
  <c r="AS180" i="2"/>
  <c r="AE181" i="2"/>
  <c r="AW181" i="2" s="1"/>
  <c r="AF181" i="2"/>
  <c r="AG181" i="2"/>
  <c r="AH181" i="2" s="1"/>
  <c r="AI181" i="2"/>
  <c r="AJ181" i="2"/>
  <c r="AL181" i="2"/>
  <c r="AM181" i="2"/>
  <c r="AO181" i="2"/>
  <c r="AP181" i="2"/>
  <c r="AR181" i="2"/>
  <c r="AS181" i="2"/>
  <c r="AE182" i="2"/>
  <c r="AW183" i="2" s="1"/>
  <c r="AF182" i="2"/>
  <c r="AG182" i="2"/>
  <c r="AH182" i="2" s="1"/>
  <c r="AI182" i="2"/>
  <c r="AK182" i="2" s="1"/>
  <c r="AJ182" i="2"/>
  <c r="AL182" i="2"/>
  <c r="AM182" i="2"/>
  <c r="AO182" i="2"/>
  <c r="AP182" i="2"/>
  <c r="AR182" i="2"/>
  <c r="AS182" i="2"/>
  <c r="AE183" i="2"/>
  <c r="AF183" i="2"/>
  <c r="AG183" i="2"/>
  <c r="AI183" i="2"/>
  <c r="AJ183" i="2"/>
  <c r="AL183" i="2"/>
  <c r="AN183" i="2" s="1"/>
  <c r="AM183" i="2"/>
  <c r="AO183" i="2"/>
  <c r="AQ183" i="2" s="1"/>
  <c r="AP183" i="2"/>
  <c r="AR183" i="2"/>
  <c r="AS183" i="2"/>
  <c r="AE184" i="2"/>
  <c r="AW184" i="2" s="1"/>
  <c r="AF184" i="2"/>
  <c r="AG184" i="2"/>
  <c r="AI184" i="2"/>
  <c r="AJ184" i="2"/>
  <c r="AL184" i="2"/>
  <c r="AM184" i="2"/>
  <c r="AO184" i="2"/>
  <c r="AQ184" i="2" s="1"/>
  <c r="AP184" i="2"/>
  <c r="AR184" i="2"/>
  <c r="AS184" i="2"/>
  <c r="AE185" i="2"/>
  <c r="AW185" i="2" s="1"/>
  <c r="AF185" i="2"/>
  <c r="AG185" i="2"/>
  <c r="AH185" i="2" s="1"/>
  <c r="AI185" i="2"/>
  <c r="AJ185" i="2"/>
  <c r="AL185" i="2"/>
  <c r="AN185" i="2" s="1"/>
  <c r="AM185" i="2"/>
  <c r="AO185" i="2"/>
  <c r="AP185" i="2"/>
  <c r="AR185" i="2"/>
  <c r="AS185" i="2"/>
  <c r="AE186" i="2"/>
  <c r="AW186" i="2" s="1"/>
  <c r="AF186" i="2"/>
  <c r="AG186" i="2"/>
  <c r="AH186" i="2" s="1"/>
  <c r="AI186" i="2"/>
  <c r="AJ186" i="2"/>
  <c r="AL186" i="2"/>
  <c r="AN186" i="2" s="1"/>
  <c r="AM186" i="2"/>
  <c r="AO186" i="2"/>
  <c r="AP186" i="2"/>
  <c r="AQ186" i="2" s="1"/>
  <c r="AR186" i="2"/>
  <c r="AS186" i="2"/>
  <c r="AE187" i="2"/>
  <c r="AF187" i="2"/>
  <c r="AG187" i="2"/>
  <c r="AI187" i="2"/>
  <c r="AJ187" i="2"/>
  <c r="AK187" i="2"/>
  <c r="AL187" i="2"/>
  <c r="AM187" i="2"/>
  <c r="AO187" i="2"/>
  <c r="AP187" i="2"/>
  <c r="AR187" i="2"/>
  <c r="AS187" i="2"/>
  <c r="AE188" i="2"/>
  <c r="AW188" i="2" s="1"/>
  <c r="AF188" i="2"/>
  <c r="AH188" i="2" s="1"/>
  <c r="AG188" i="2"/>
  <c r="AI188" i="2"/>
  <c r="AK188" i="2" s="1"/>
  <c r="AJ188" i="2"/>
  <c r="AL188" i="2"/>
  <c r="AM188" i="2"/>
  <c r="AO188" i="2"/>
  <c r="AP188" i="2"/>
  <c r="AQ188" i="2"/>
  <c r="AR188" i="2"/>
  <c r="AS188" i="2"/>
  <c r="AT188" i="2" s="1"/>
  <c r="AE189" i="2"/>
  <c r="AW189" i="2" s="1"/>
  <c r="AF189" i="2"/>
  <c r="AG189" i="2"/>
  <c r="AI189" i="2"/>
  <c r="AJ189" i="2"/>
  <c r="AK189" i="2" s="1"/>
  <c r="AL189" i="2"/>
  <c r="AM189" i="2"/>
  <c r="AO189" i="2"/>
  <c r="AQ189" i="2" s="1"/>
  <c r="AP189" i="2"/>
  <c r="AR189" i="2"/>
  <c r="AS189" i="2"/>
  <c r="AE190" i="2"/>
  <c r="AW191" i="2" s="1"/>
  <c r="AF190" i="2"/>
  <c r="AG190" i="2"/>
  <c r="AH190" i="2" s="1"/>
  <c r="AI190" i="2"/>
  <c r="AK190" i="2" s="1"/>
  <c r="AJ190" i="2"/>
  <c r="AL190" i="2"/>
  <c r="AN190" i="2" s="1"/>
  <c r="AM190" i="2"/>
  <c r="AO190" i="2"/>
  <c r="AP190" i="2"/>
  <c r="AR190" i="2"/>
  <c r="AS190" i="2"/>
  <c r="AE191" i="2"/>
  <c r="AF191" i="2"/>
  <c r="AG191" i="2"/>
  <c r="AI191" i="2"/>
  <c r="AJ191" i="2"/>
  <c r="AL191" i="2"/>
  <c r="AN191" i="2" s="1"/>
  <c r="AM191" i="2"/>
  <c r="AO191" i="2"/>
  <c r="AQ191" i="2" s="1"/>
  <c r="AP191" i="2"/>
  <c r="AR191" i="2"/>
  <c r="AS191" i="2"/>
  <c r="F58" i="1"/>
  <c r="F55" i="1"/>
  <c r="C52" i="1"/>
  <c r="F48" i="1"/>
  <c r="F42" i="1"/>
  <c r="F35" i="1"/>
  <c r="F34" i="1"/>
  <c r="F33" i="1"/>
  <c r="F32" i="1"/>
  <c r="F31" i="1"/>
  <c r="F30" i="1"/>
  <c r="F29" i="1"/>
  <c r="F28" i="1"/>
  <c r="F27" i="1"/>
  <c r="F26" i="1"/>
  <c r="F25" i="1"/>
  <c r="F24" i="1"/>
  <c r="O23" i="1"/>
  <c r="F23" i="1"/>
  <c r="O22" i="1"/>
  <c r="F21" i="1"/>
  <c r="F20" i="1"/>
  <c r="O19" i="1"/>
  <c r="F19" i="1"/>
  <c r="F8" i="1"/>
  <c r="B5" i="1"/>
  <c r="E12" i="1"/>
  <c r="E17" i="1" l="1"/>
  <c r="E16" i="1"/>
  <c r="D17" i="1"/>
  <c r="D12" i="1"/>
  <c r="D16" i="1"/>
  <c r="L2" i="3"/>
  <c r="K2" i="3"/>
  <c r="A2" i="3"/>
  <c r="AQ177" i="2"/>
  <c r="AQ175" i="2"/>
  <c r="AQ173" i="2"/>
  <c r="AK170" i="2"/>
  <c r="AN165" i="2"/>
  <c r="AH164" i="2"/>
  <c r="AH160" i="2"/>
  <c r="AK155" i="2"/>
  <c r="AT153" i="2"/>
  <c r="AH151" i="2"/>
  <c r="AT149" i="2"/>
  <c r="AK144" i="2"/>
  <c r="AQ143" i="2"/>
  <c r="AQ129" i="2"/>
  <c r="AN124" i="2"/>
  <c r="AN118" i="2"/>
  <c r="AQ110" i="2"/>
  <c r="AN109" i="2"/>
  <c r="AT108" i="2"/>
  <c r="AQ105" i="2"/>
  <c r="AK104" i="2"/>
  <c r="AQ103" i="2"/>
  <c r="AK90" i="2"/>
  <c r="AK87" i="2"/>
  <c r="AK81" i="2"/>
  <c r="AN74" i="2"/>
  <c r="AT73" i="2"/>
  <c r="AK70" i="2"/>
  <c r="AH64" i="2"/>
  <c r="AN63" i="2"/>
  <c r="AN61" i="2"/>
  <c r="AH60" i="2"/>
  <c r="AN59" i="2"/>
  <c r="AQ58" i="2"/>
  <c r="AK55" i="2"/>
  <c r="AK47" i="2"/>
  <c r="AK32" i="2"/>
  <c r="AQ31" i="2"/>
  <c r="AQ29" i="2"/>
  <c r="AK28" i="2"/>
  <c r="AQ27" i="2"/>
  <c r="AT22" i="2"/>
  <c r="AK11" i="2"/>
  <c r="AQ8" i="2"/>
  <c r="AN2" i="2"/>
  <c r="AK191" i="2"/>
  <c r="AT185" i="2"/>
  <c r="AK178" i="2"/>
  <c r="AK176" i="2"/>
  <c r="AN171" i="2"/>
  <c r="AN169" i="2"/>
  <c r="AT168" i="2"/>
  <c r="AH168" i="2"/>
  <c r="AN167" i="2"/>
  <c r="AT166" i="2"/>
  <c r="AQ164" i="2"/>
  <c r="AK163" i="2"/>
  <c r="AT157" i="2"/>
  <c r="AN156" i="2"/>
  <c r="AN152" i="2"/>
  <c r="AQ131" i="2"/>
  <c r="AQ125" i="2"/>
  <c r="AQ115" i="2"/>
  <c r="AK114" i="2"/>
  <c r="AQ95" i="2"/>
  <c r="AT43" i="2"/>
  <c r="AN40" i="2"/>
  <c r="AN31" i="2"/>
  <c r="AK30" i="2"/>
  <c r="AN23" i="2"/>
  <c r="AK21" i="2"/>
  <c r="AN12" i="2"/>
  <c r="AT11" i="2"/>
  <c r="AK7" i="2"/>
  <c r="AT5" i="2"/>
  <c r="AQ5" i="2"/>
  <c r="AT191" i="2"/>
  <c r="AQ185" i="2"/>
  <c r="AN181" i="2"/>
  <c r="AH180" i="2"/>
  <c r="AH176" i="2"/>
  <c r="AH172" i="2"/>
  <c r="AU172" i="2" s="1"/>
  <c r="AH163" i="2"/>
  <c r="AT161" i="2"/>
  <c r="AH159" i="2"/>
  <c r="AQ157" i="2"/>
  <c r="AK156" i="2"/>
  <c r="AK152" i="2"/>
  <c r="AT150" i="2"/>
  <c r="AK141" i="2"/>
  <c r="AQ136" i="2"/>
  <c r="AQ134" i="2"/>
  <c r="AN131" i="2"/>
  <c r="AH128" i="2"/>
  <c r="AN125" i="2"/>
  <c r="AT120" i="2"/>
  <c r="AQ113" i="2"/>
  <c r="AT106" i="2"/>
  <c r="AQ100" i="2"/>
  <c r="AT94" i="2"/>
  <c r="AN93" i="2"/>
  <c r="AT92" i="2"/>
  <c r="AT90" i="2"/>
  <c r="AQ85" i="2"/>
  <c r="AT78" i="2"/>
  <c r="AT72" i="2"/>
  <c r="AN71" i="2"/>
  <c r="AK69" i="2"/>
  <c r="AK67" i="2"/>
  <c r="AH57" i="2"/>
  <c r="AK52" i="2"/>
  <c r="AQ51" i="2"/>
  <c r="AK48" i="2"/>
  <c r="AQ47" i="2"/>
  <c r="AQ41" i="2"/>
  <c r="AT40" i="2"/>
  <c r="AK40" i="2"/>
  <c r="AQ39" i="2"/>
  <c r="AT34" i="2"/>
  <c r="AK33" i="2"/>
  <c r="AK23" i="2"/>
  <c r="AH17" i="2"/>
  <c r="AN16" i="2"/>
  <c r="AT15" i="2"/>
  <c r="AQ13" i="2"/>
  <c r="AH187" i="2"/>
  <c r="AQ187" i="2"/>
  <c r="AK186" i="2"/>
  <c r="AT184" i="2"/>
  <c r="AK181" i="2"/>
  <c r="AQ178" i="2"/>
  <c r="AK175" i="2"/>
  <c r="AN174" i="2"/>
  <c r="AN164" i="2"/>
  <c r="AU164" i="2" s="1"/>
  <c r="AN160" i="2"/>
  <c r="AQ159" i="2"/>
  <c r="AK158" i="2"/>
  <c r="AN153" i="2"/>
  <c r="AN151" i="2"/>
  <c r="AQ150" i="2"/>
  <c r="AN136" i="2"/>
  <c r="AK135" i="2"/>
  <c r="AK133" i="2"/>
  <c r="AT126" i="2"/>
  <c r="AH124" i="2"/>
  <c r="AN123" i="2"/>
  <c r="AK121" i="2"/>
  <c r="AQ120" i="2"/>
  <c r="AH120" i="2"/>
  <c r="AT118" i="2"/>
  <c r="AK117" i="2"/>
  <c r="AN115" i="2"/>
  <c r="AT112" i="2"/>
  <c r="AK110" i="2"/>
  <c r="AH109" i="2"/>
  <c r="AQ106" i="2"/>
  <c r="AQ104" i="2"/>
  <c r="AQ98" i="2"/>
  <c r="AT96" i="2"/>
  <c r="AN95" i="2"/>
  <c r="AN89" i="2"/>
  <c r="AN85" i="2"/>
  <c r="AK77" i="2"/>
  <c r="AQ72" i="2"/>
  <c r="AN51" i="2"/>
  <c r="AQ34" i="2"/>
  <c r="AT4" i="2"/>
  <c r="AU40" i="2"/>
  <c r="AN13" i="2"/>
  <c r="AT12" i="2"/>
  <c r="AN5" i="2"/>
  <c r="AT190" i="2"/>
  <c r="AN187" i="2"/>
  <c r="AK185" i="2"/>
  <c r="AK183" i="2"/>
  <c r="AN178" i="2"/>
  <c r="AH175" i="2"/>
  <c r="AT173" i="2"/>
  <c r="AQ165" i="2"/>
  <c r="AK164" i="2"/>
  <c r="AT162" i="2"/>
  <c r="AK157" i="2"/>
  <c r="AQ154" i="2"/>
  <c r="AK151" i="2"/>
  <c r="AN150" i="2"/>
  <c r="AH148" i="2"/>
  <c r="AU148" i="2" s="1"/>
  <c r="AN144" i="2"/>
  <c r="AT143" i="2"/>
  <c r="AH143" i="2"/>
  <c r="AK142" i="2"/>
  <c r="AH139" i="2"/>
  <c r="AQ137" i="2"/>
  <c r="AT129" i="2"/>
  <c r="AH129" i="2"/>
  <c r="AK123" i="2"/>
  <c r="AT121" i="2"/>
  <c r="AT105" i="2"/>
  <c r="AH105" i="2"/>
  <c r="AN104" i="2"/>
  <c r="AT103" i="2"/>
  <c r="AN102" i="2"/>
  <c r="AK95" i="2"/>
  <c r="AK91" i="2"/>
  <c r="AK89" i="2"/>
  <c r="AH84" i="2"/>
  <c r="AN83" i="2"/>
  <c r="AN81" i="2"/>
  <c r="AK79" i="2"/>
  <c r="AK73" i="2"/>
  <c r="AK66" i="2"/>
  <c r="AQ65" i="2"/>
  <c r="AQ61" i="2"/>
  <c r="AT60" i="2"/>
  <c r="AK60" i="2"/>
  <c r="AQ59" i="2"/>
  <c r="AT54" i="2"/>
  <c r="AK53" i="2"/>
  <c r="AQ50" i="2"/>
  <c r="AQ46" i="2"/>
  <c r="AK45" i="2"/>
  <c r="AQ38" i="2"/>
  <c r="AQ36" i="2"/>
  <c r="AN34" i="2"/>
  <c r="AK22" i="2"/>
  <c r="AT14" i="2"/>
  <c r="AQ4" i="2"/>
  <c r="AU154" i="2"/>
  <c r="AT186" i="2"/>
  <c r="AK184" i="2"/>
  <c r="AH183" i="2"/>
  <c r="AT181" i="2"/>
  <c r="AK177" i="2"/>
  <c r="AK169" i="2"/>
  <c r="AN162" i="2"/>
  <c r="AU162" i="2" s="1"/>
  <c r="AN159" i="2"/>
  <c r="AT158" i="2"/>
  <c r="AN149" i="2"/>
  <c r="AK148" i="2"/>
  <c r="AK145" i="2"/>
  <c r="AN143" i="2"/>
  <c r="AN141" i="2"/>
  <c r="AK138" i="2"/>
  <c r="AN170" i="2"/>
  <c r="AQ158" i="2"/>
  <c r="AU155" i="2"/>
  <c r="AH191" i="2"/>
  <c r="AU191" i="2" s="1"/>
  <c r="AT187" i="2"/>
  <c r="AQ181" i="2"/>
  <c r="AT174" i="2"/>
  <c r="AU163" i="2"/>
  <c r="AT189" i="2"/>
  <c r="AH184" i="2"/>
  <c r="AN188" i="2"/>
  <c r="AU188" i="2" s="1"/>
  <c r="AT182" i="2"/>
  <c r="AK180" i="2"/>
  <c r="AH179" i="2"/>
  <c r="AU179" i="2" s="1"/>
  <c r="AT177" i="2"/>
  <c r="AT175" i="2"/>
  <c r="AQ174" i="2"/>
  <c r="AN173" i="2"/>
  <c r="AK172" i="2"/>
  <c r="AH171" i="2"/>
  <c r="AT169" i="2"/>
  <c r="AU169" i="2" s="1"/>
  <c r="AT167" i="2"/>
  <c r="AK165" i="2"/>
  <c r="AN158" i="2"/>
  <c r="AH156" i="2"/>
  <c r="AU156" i="2" s="1"/>
  <c r="AT141" i="2"/>
  <c r="AK134" i="2"/>
  <c r="AN127" i="2"/>
  <c r="AH189" i="2"/>
  <c r="AT183" i="2"/>
  <c r="AQ182" i="2"/>
  <c r="AK173" i="2"/>
  <c r="AN166" i="2"/>
  <c r="AU180" i="2"/>
  <c r="AQ190" i="2"/>
  <c r="AU190" i="2" s="1"/>
  <c r="AN189" i="2"/>
  <c r="AN184" i="2"/>
  <c r="AN182" i="2"/>
  <c r="AT178" i="2"/>
  <c r="AU178" i="2" s="1"/>
  <c r="AT170" i="2"/>
  <c r="AH167" i="2"/>
  <c r="AT165" i="2"/>
  <c r="AN161" i="2"/>
  <c r="AK160" i="2"/>
  <c r="AK147" i="2"/>
  <c r="AQ146" i="2"/>
  <c r="AN145" i="2"/>
  <c r="AT140" i="2"/>
  <c r="AT132" i="2"/>
  <c r="AQ116" i="2"/>
  <c r="AK149" i="2"/>
  <c r="AH147" i="2"/>
  <c r="AN146" i="2"/>
  <c r="AU146" i="2" s="1"/>
  <c r="AK140" i="2"/>
  <c r="AK137" i="2"/>
  <c r="AT133" i="2"/>
  <c r="AT130" i="2"/>
  <c r="AQ126" i="2"/>
  <c r="AK125" i="2"/>
  <c r="AK122" i="2"/>
  <c r="AH121" i="2"/>
  <c r="AU121" i="2" s="1"/>
  <c r="AQ117" i="2"/>
  <c r="AN116" i="2"/>
  <c r="AT115" i="2"/>
  <c r="AK113" i="2"/>
  <c r="AU113" i="2" s="1"/>
  <c r="AK112" i="2"/>
  <c r="AN110" i="2"/>
  <c r="AH108" i="2"/>
  <c r="AH100" i="2"/>
  <c r="AK98" i="2"/>
  <c r="AH97" i="2"/>
  <c r="AQ91" i="2"/>
  <c r="AK88" i="2"/>
  <c r="AH80" i="2"/>
  <c r="AN77" i="2"/>
  <c r="AK76" i="2"/>
  <c r="AQ75" i="2"/>
  <c r="AQ70" i="2"/>
  <c r="AH65" i="2"/>
  <c r="AK58" i="2"/>
  <c r="AQ57" i="2"/>
  <c r="AT55" i="2"/>
  <c r="AT50" i="2"/>
  <c r="AN49" i="2"/>
  <c r="AN46" i="2"/>
  <c r="AT45" i="2"/>
  <c r="AH45" i="2"/>
  <c r="AK41" i="2"/>
  <c r="AT30" i="2"/>
  <c r="AN26" i="2"/>
  <c r="AQ22" i="2"/>
  <c r="AH20" i="2"/>
  <c r="AT18" i="2"/>
  <c r="AN17" i="2"/>
  <c r="AK12" i="2"/>
  <c r="AQ11" i="2"/>
  <c r="AH3" i="2"/>
  <c r="AQ121" i="2"/>
  <c r="AN117" i="2"/>
  <c r="AK116" i="2"/>
  <c r="AN114" i="2"/>
  <c r="AH112" i="2"/>
  <c r="AH101" i="2"/>
  <c r="AT98" i="2"/>
  <c r="AQ97" i="2"/>
  <c r="AN96" i="2"/>
  <c r="AT95" i="2"/>
  <c r="AH88" i="2"/>
  <c r="AK86" i="2"/>
  <c r="AH76" i="2"/>
  <c r="AN72" i="2"/>
  <c r="AT71" i="2"/>
  <c r="AT66" i="2"/>
  <c r="AT58" i="2"/>
  <c r="AN57" i="2"/>
  <c r="AK56" i="2"/>
  <c r="AQ55" i="2"/>
  <c r="AH55" i="2"/>
  <c r="AH53" i="2"/>
  <c r="AK46" i="2"/>
  <c r="AQ45" i="2"/>
  <c r="AT38" i="2"/>
  <c r="AK36" i="2"/>
  <c r="AQ35" i="2"/>
  <c r="AK26" i="2"/>
  <c r="AQ25" i="2"/>
  <c r="AT23" i="2"/>
  <c r="AQ20" i="2"/>
  <c r="AH12" i="2"/>
  <c r="AU12" i="2" s="1"/>
  <c r="AT10" i="2"/>
  <c r="AK4" i="2"/>
  <c r="AT131" i="2"/>
  <c r="AK131" i="2"/>
  <c r="AU131" i="2" s="1"/>
  <c r="AK128" i="2"/>
  <c r="AN126" i="2"/>
  <c r="AT125" i="2"/>
  <c r="AH125" i="2"/>
  <c r="AT122" i="2"/>
  <c r="AT119" i="2"/>
  <c r="AH113" i="2"/>
  <c r="AQ109" i="2"/>
  <c r="AH104" i="2"/>
  <c r="AN94" i="2"/>
  <c r="AK93" i="2"/>
  <c r="AH92" i="2"/>
  <c r="AU92" i="2" s="1"/>
  <c r="AH89" i="2"/>
  <c r="AU89" i="2" s="1"/>
  <c r="AQ83" i="2"/>
  <c r="AH83" i="2"/>
  <c r="AH81" i="2"/>
  <c r="AT74" i="2"/>
  <c r="AN73" i="2"/>
  <c r="AN65" i="2"/>
  <c r="AK64" i="2"/>
  <c r="AQ63" i="2"/>
  <c r="AN62" i="2"/>
  <c r="AK54" i="2"/>
  <c r="AQ53" i="2"/>
  <c r="AT51" i="2"/>
  <c r="AH48" i="2"/>
  <c r="AU48" i="2" s="1"/>
  <c r="AK44" i="2"/>
  <c r="AU44" i="2" s="1"/>
  <c r="AQ43" i="2"/>
  <c r="AH43" i="2"/>
  <c r="AN42" i="2"/>
  <c r="AT41" i="2"/>
  <c r="AH41" i="2"/>
  <c r="AU41" i="2" s="1"/>
  <c r="AN37" i="2"/>
  <c r="AH28" i="2"/>
  <c r="AN22" i="2"/>
  <c r="AT21" i="2"/>
  <c r="AU21" i="2" s="1"/>
  <c r="AK19" i="2"/>
  <c r="AQ16" i="2"/>
  <c r="AU16" i="2" s="1"/>
  <c r="AN9" i="2"/>
  <c r="AH8" i="2"/>
  <c r="AU8" i="2" s="1"/>
  <c r="AT6" i="2"/>
  <c r="AK161" i="2"/>
  <c r="AU161" i="2" s="1"/>
  <c r="AK153" i="2"/>
  <c r="AU153" i="2" s="1"/>
  <c r="AT147" i="2"/>
  <c r="AK143" i="2"/>
  <c r="AQ142" i="2"/>
  <c r="AQ140" i="2"/>
  <c r="AK129" i="2"/>
  <c r="AK126" i="2"/>
  <c r="AU126" i="2" s="1"/>
  <c r="AQ122" i="2"/>
  <c r="AN121" i="2"/>
  <c r="AQ119" i="2"/>
  <c r="AH116" i="2"/>
  <c r="AT110" i="2"/>
  <c r="AT107" i="2"/>
  <c r="AQ101" i="2"/>
  <c r="AN100" i="2"/>
  <c r="AT99" i="2"/>
  <c r="AN97" i="2"/>
  <c r="AK96" i="2"/>
  <c r="AH95" i="2"/>
  <c r="AU95" i="2" s="1"/>
  <c r="AK94" i="2"/>
  <c r="AN80" i="2"/>
  <c r="AH77" i="2"/>
  <c r="AQ74" i="2"/>
  <c r="AU74" i="2" s="1"/>
  <c r="AK72" i="2"/>
  <c r="AQ71" i="2"/>
  <c r="AH71" i="2"/>
  <c r="AU71" i="2" s="1"/>
  <c r="AH61" i="2"/>
  <c r="AH56" i="2"/>
  <c r="AN50" i="2"/>
  <c r="AT49" i="2"/>
  <c r="AU49" i="2" s="1"/>
  <c r="AT46" i="2"/>
  <c r="AN45" i="2"/>
  <c r="AT39" i="2"/>
  <c r="AK37" i="2"/>
  <c r="AH36" i="2"/>
  <c r="AK34" i="2"/>
  <c r="AQ33" i="2"/>
  <c r="AN30" i="2"/>
  <c r="AU30" i="2" s="1"/>
  <c r="AT26" i="2"/>
  <c r="AN25" i="2"/>
  <c r="AK24" i="2"/>
  <c r="AQ23" i="2"/>
  <c r="AU23" i="2" s="1"/>
  <c r="AH23" i="2"/>
  <c r="AH21" i="2"/>
  <c r="AN20" i="2"/>
  <c r="AT19" i="2"/>
  <c r="AN18" i="2"/>
  <c r="AK15" i="2"/>
  <c r="AQ12" i="2"/>
  <c r="AK9" i="2"/>
  <c r="AQ26" i="2"/>
  <c r="AK132" i="2"/>
  <c r="AQ128" i="2"/>
  <c r="AQ123" i="2"/>
  <c r="AK118" i="2"/>
  <c r="AU118" i="2" s="1"/>
  <c r="AT114" i="2"/>
  <c r="AT111" i="2"/>
  <c r="AK109" i="2"/>
  <c r="AK108" i="2"/>
  <c r="AH107" i="2"/>
  <c r="AU107" i="2" s="1"/>
  <c r="AK106" i="2"/>
  <c r="AQ102" i="2"/>
  <c r="AU102" i="2" s="1"/>
  <c r="AN101" i="2"/>
  <c r="AK100" i="2"/>
  <c r="AN98" i="2"/>
  <c r="AH96" i="2"/>
  <c r="AT87" i="2"/>
  <c r="AT82" i="2"/>
  <c r="AK80" i="2"/>
  <c r="AU80" i="2" s="1"/>
  <c r="AN79" i="2"/>
  <c r="AK78" i="2"/>
  <c r="AQ77" i="2"/>
  <c r="AN76" i="2"/>
  <c r="AT75" i="2"/>
  <c r="AH72" i="2"/>
  <c r="AT62" i="2"/>
  <c r="AN58" i="2"/>
  <c r="AQ54" i="2"/>
  <c r="AU54" i="2" s="1"/>
  <c r="AK50" i="2"/>
  <c r="AU50" i="2" s="1"/>
  <c r="AQ49" i="2"/>
  <c r="AT42" i="2"/>
  <c r="AN38" i="2"/>
  <c r="AU38" i="2" s="1"/>
  <c r="AT27" i="2"/>
  <c r="AK3" i="2"/>
  <c r="AQ2" i="2"/>
  <c r="AU143" i="2"/>
  <c r="AU141" i="2"/>
  <c r="AU186" i="2"/>
  <c r="AU185" i="2"/>
  <c r="AU174" i="2"/>
  <c r="AU150" i="2"/>
  <c r="AU140" i="2"/>
  <c r="AU166" i="2"/>
  <c r="AU158" i="2"/>
  <c r="AU182" i="2"/>
  <c r="AU173" i="2"/>
  <c r="AU165" i="2"/>
  <c r="AU157" i="2"/>
  <c r="AU149" i="2"/>
  <c r="AU187" i="2"/>
  <c r="AU167" i="2"/>
  <c r="AU159" i="2"/>
  <c r="AU151" i="2"/>
  <c r="AU144" i="2"/>
  <c r="AU189" i="2"/>
  <c r="AU181" i="2"/>
  <c r="AU175" i="2"/>
  <c r="AU183" i="2"/>
  <c r="AU176" i="2"/>
  <c r="AU168" i="2"/>
  <c r="AU160" i="2"/>
  <c r="AU152" i="2"/>
  <c r="AU128" i="2"/>
  <c r="AW187" i="2"/>
  <c r="AW171" i="2"/>
  <c r="AW167" i="2"/>
  <c r="AW190" i="2"/>
  <c r="AW182" i="2"/>
  <c r="AW178" i="2"/>
  <c r="AW174" i="2"/>
  <c r="AW162" i="2"/>
  <c r="AW158" i="2"/>
  <c r="AW154" i="2"/>
  <c r="AW150" i="2"/>
  <c r="AU124" i="2"/>
  <c r="AU104" i="2"/>
  <c r="AU87" i="2"/>
  <c r="AU91" i="2"/>
  <c r="O10" i="1"/>
  <c r="AT139" i="2"/>
  <c r="AU139" i="2" s="1"/>
  <c r="AT138" i="2"/>
  <c r="AT135" i="2"/>
  <c r="AU135" i="2" s="1"/>
  <c r="AT134" i="2"/>
  <c r="AU108" i="2"/>
  <c r="AU125" i="2"/>
  <c r="AU115" i="2"/>
  <c r="AU109" i="2"/>
  <c r="AU106" i="2"/>
  <c r="AU88" i="2"/>
  <c r="AN142" i="2"/>
  <c r="AU142" i="2" s="1"/>
  <c r="AW141" i="2"/>
  <c r="AH137" i="2"/>
  <c r="AH133" i="2"/>
  <c r="AH132" i="2"/>
  <c r="AU132" i="2" s="1"/>
  <c r="AN129" i="2"/>
  <c r="AU129" i="2" s="1"/>
  <c r="AT123" i="2"/>
  <c r="AU119" i="2"/>
  <c r="AQ99" i="2"/>
  <c r="AU99" i="2" s="1"/>
  <c r="AK97" i="2"/>
  <c r="AU55" i="2"/>
  <c r="AU105" i="2"/>
  <c r="AW137" i="2"/>
  <c r="AH136" i="2"/>
  <c r="AU136" i="2" s="1"/>
  <c r="AN130" i="2"/>
  <c r="AU130" i="2" s="1"/>
  <c r="AT127" i="2"/>
  <c r="AU127" i="2" s="1"/>
  <c r="AU110" i="2"/>
  <c r="AU103" i="2"/>
  <c r="AU96" i="2"/>
  <c r="AU93" i="2"/>
  <c r="AU90" i="2"/>
  <c r="AU111" i="2"/>
  <c r="AW131" i="2"/>
  <c r="AU116" i="2"/>
  <c r="AU100" i="2"/>
  <c r="AU94" i="2"/>
  <c r="AU20" i="2"/>
  <c r="AW146" i="2"/>
  <c r="AH145" i="2"/>
  <c r="AU145" i="2" s="1"/>
  <c r="AW139" i="2"/>
  <c r="AN138" i="2"/>
  <c r="AU138" i="2" s="1"/>
  <c r="AN137" i="2"/>
  <c r="AW135" i="2"/>
  <c r="AN134" i="2"/>
  <c r="AU134" i="2" s="1"/>
  <c r="AN133" i="2"/>
  <c r="AN122" i="2"/>
  <c r="AU122" i="2" s="1"/>
  <c r="AU120" i="2"/>
  <c r="AH117" i="2"/>
  <c r="AU117" i="2" s="1"/>
  <c r="AU114" i="2"/>
  <c r="AU101" i="2"/>
  <c r="AU98" i="2"/>
  <c r="AU82" i="2"/>
  <c r="AU52" i="2"/>
  <c r="AH85" i="2"/>
  <c r="AU85" i="2" s="1"/>
  <c r="AW84" i="2"/>
  <c r="AN78" i="2"/>
  <c r="AU78" i="2" s="1"/>
  <c r="AT77" i="2"/>
  <c r="AU77" i="2" s="1"/>
  <c r="AW73" i="2"/>
  <c r="AU43" i="2"/>
  <c r="AW41" i="2"/>
  <c r="AW40" i="2"/>
  <c r="AN36" i="2"/>
  <c r="AU36" i="2" s="1"/>
  <c r="AU4" i="2"/>
  <c r="AN84" i="2"/>
  <c r="AU84" i="2" s="1"/>
  <c r="AW81" i="2"/>
  <c r="AW79" i="2"/>
  <c r="AW77" i="2"/>
  <c r="AN66" i="2"/>
  <c r="AU66" i="2" s="1"/>
  <c r="AT65" i="2"/>
  <c r="AU65" i="2" s="1"/>
  <c r="AU62" i="2"/>
  <c r="AN60" i="2"/>
  <c r="AU60" i="2" s="1"/>
  <c r="AU53" i="2"/>
  <c r="AH35" i="2"/>
  <c r="AU35" i="2" s="1"/>
  <c r="AT33" i="2"/>
  <c r="AU33" i="2" s="1"/>
  <c r="AN28" i="2"/>
  <c r="AU28" i="2" s="1"/>
  <c r="AU14" i="2"/>
  <c r="AH11" i="2"/>
  <c r="AU11" i="2" s="1"/>
  <c r="AT9" i="2"/>
  <c r="AU9" i="2" s="1"/>
  <c r="AQ6" i="2"/>
  <c r="AU6" i="2" s="1"/>
  <c r="AW86" i="2"/>
  <c r="AW53" i="2"/>
  <c r="AU47" i="2"/>
  <c r="AW45" i="2"/>
  <c r="AW44" i="2"/>
  <c r="AU42" i="2"/>
  <c r="AN86" i="2"/>
  <c r="AT83" i="2"/>
  <c r="AU83" i="2" s="1"/>
  <c r="AN70" i="2"/>
  <c r="AU70" i="2" s="1"/>
  <c r="AT69" i="2"/>
  <c r="AH59" i="2"/>
  <c r="AU59" i="2" s="1"/>
  <c r="AT57" i="2"/>
  <c r="AU57" i="2" s="1"/>
  <c r="AN52" i="2"/>
  <c r="AU45" i="2"/>
  <c r="AH27" i="2"/>
  <c r="AU27" i="2" s="1"/>
  <c r="AT25" i="2"/>
  <c r="AU25" i="2" s="1"/>
  <c r="AU22" i="2"/>
  <c r="AH19" i="2"/>
  <c r="AU19" i="2" s="1"/>
  <c r="AT17" i="2"/>
  <c r="AU17" i="2" s="1"/>
  <c r="AW9" i="2"/>
  <c r="AU5" i="2"/>
  <c r="AT79" i="2"/>
  <c r="AH75" i="2"/>
  <c r="AU75" i="2" s="1"/>
  <c r="AH69" i="2"/>
  <c r="AN64" i="2"/>
  <c r="AU64" i="2" s="1"/>
  <c r="AH39" i="2"/>
  <c r="AU39" i="2" s="1"/>
  <c r="AT37" i="2"/>
  <c r="AU37" i="2" s="1"/>
  <c r="AU34" i="2"/>
  <c r="AN32" i="2"/>
  <c r="AU32" i="2" s="1"/>
  <c r="AU10" i="2"/>
  <c r="AH7" i="2"/>
  <c r="AU7" i="2" s="1"/>
  <c r="AU2" i="2"/>
  <c r="AU51" i="2"/>
  <c r="AW49" i="2"/>
  <c r="AW48" i="2"/>
  <c r="AU46" i="2"/>
  <c r="AT3" i="2"/>
  <c r="AU3" i="2" s="1"/>
  <c r="AT86" i="2"/>
  <c r="AT81" i="2"/>
  <c r="AU81" i="2" s="1"/>
  <c r="AH79" i="2"/>
  <c r="AH73" i="2"/>
  <c r="AU73" i="2" s="1"/>
  <c r="AN68" i="2"/>
  <c r="AU68" i="2" s="1"/>
  <c r="AT67" i="2"/>
  <c r="AU67" i="2" s="1"/>
  <c r="AH63" i="2"/>
  <c r="AU63" i="2" s="1"/>
  <c r="AT61" i="2"/>
  <c r="AU61" i="2" s="1"/>
  <c r="AU58" i="2"/>
  <c r="AN56" i="2"/>
  <c r="AU56" i="2" s="1"/>
  <c r="AH31" i="2"/>
  <c r="AU31" i="2" s="1"/>
  <c r="AT29" i="2"/>
  <c r="AU29" i="2" s="1"/>
  <c r="AU26" i="2"/>
  <c r="AN24" i="2"/>
  <c r="AU24" i="2" s="1"/>
  <c r="AU18" i="2"/>
  <c r="AH15" i="2"/>
  <c r="AU15" i="2" s="1"/>
  <c r="AT13" i="2"/>
  <c r="AU13" i="2" s="1"/>
  <c r="C2" i="1"/>
  <c r="C3" i="1"/>
  <c r="C18" i="1" s="1"/>
  <c r="F22" i="1"/>
  <c r="F10" i="1"/>
  <c r="C15" i="1" l="1"/>
  <c r="J2" i="3" s="1"/>
  <c r="C14" i="1"/>
  <c r="I2" i="3" s="1"/>
  <c r="E18" i="1"/>
  <c r="M2" i="3"/>
  <c r="C37" i="1"/>
  <c r="E15" i="1"/>
  <c r="E14" i="1"/>
  <c r="E37" i="1"/>
  <c r="D37" i="1"/>
  <c r="D18" i="1"/>
  <c r="D14" i="1"/>
  <c r="D15" i="1"/>
  <c r="F11" i="1"/>
  <c r="F2" i="3"/>
  <c r="F9" i="1"/>
  <c r="D2" i="3"/>
  <c r="G2" i="3"/>
  <c r="F16" i="1"/>
  <c r="F17" i="1"/>
  <c r="AU97" i="2"/>
  <c r="AU177" i="2"/>
  <c r="AU171" i="2"/>
  <c r="AU123" i="2"/>
  <c r="AU184" i="2"/>
  <c r="AU86" i="2"/>
  <c r="AU112" i="2"/>
  <c r="AU76" i="2"/>
  <c r="AU69" i="2"/>
  <c r="AU147" i="2"/>
  <c r="AU170" i="2"/>
  <c r="AU72" i="2"/>
  <c r="AU133" i="2"/>
  <c r="AU137" i="2"/>
  <c r="AU79" i="2"/>
  <c r="N10" i="1" l="1"/>
  <c r="F15" i="1"/>
  <c r="AE2" i="3"/>
  <c r="F14" i="1"/>
  <c r="F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Fullmer</author>
  </authors>
  <commentList>
    <comment ref="AF1" authorId="0" shapeId="0" xr:uid="{F7418606-4FA3-4746-8F5B-28B4E1832E98}">
      <text>
        <r>
          <rPr>
            <b/>
            <sz val="9"/>
            <color indexed="81"/>
            <rFont val="Tahoma"/>
            <family val="2"/>
          </rPr>
          <t>Andrew Fullmer:</t>
        </r>
        <r>
          <rPr>
            <sz val="9"/>
            <color indexed="81"/>
            <rFont val="Tahoma"/>
            <family val="2"/>
          </rPr>
          <t xml:space="preserve">
Uses FA Questionnaire as the denominator.</t>
        </r>
      </text>
    </comment>
    <comment ref="AL1" authorId="0" shapeId="0" xr:uid="{D4AFB73F-23E9-476F-8D09-B250A4D899D3}">
      <text>
        <r>
          <rPr>
            <b/>
            <sz val="9"/>
            <color indexed="81"/>
            <rFont val="Tahoma"/>
            <family val="2"/>
          </rPr>
          <t>Andrew Fullmer:</t>
        </r>
        <r>
          <rPr>
            <sz val="9"/>
            <color indexed="81"/>
            <rFont val="Tahoma"/>
            <family val="2"/>
          </rPr>
          <t xml:space="preserve">
Uses FA Questionnaire as the denominator.</t>
        </r>
      </text>
    </comment>
    <comment ref="AO1" authorId="0" shapeId="0" xr:uid="{C6907342-EBE9-43BC-981B-726490409746}">
      <text>
        <r>
          <rPr>
            <b/>
            <sz val="9"/>
            <color indexed="81"/>
            <rFont val="Tahoma"/>
            <family val="2"/>
          </rPr>
          <t>Andrew Fullmer:</t>
        </r>
        <r>
          <rPr>
            <sz val="9"/>
            <color indexed="81"/>
            <rFont val="Tahoma"/>
            <family val="2"/>
          </rPr>
          <t xml:space="preserve">
Uses FA Questionnaire as the denominator.</t>
        </r>
      </text>
    </comment>
    <comment ref="AV1" authorId="0" shapeId="0" xr:uid="{302027D4-58D1-45D9-B53A-5DCDE8DBE5FA}">
      <text>
        <r>
          <rPr>
            <b/>
            <sz val="9"/>
            <color indexed="81"/>
            <rFont val="Tahoma"/>
            <family val="2"/>
          </rPr>
          <t>Andrew Fullmer:</t>
        </r>
        <r>
          <rPr>
            <sz val="9"/>
            <color indexed="81"/>
            <rFont val="Tahoma"/>
            <family val="2"/>
          </rPr>
          <t xml:space="preserve">
Set at total completion at 4/15/19.  Increases slowly at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72777A-1FA7-4DB9-B266-FD37287194AE}" keepAlive="1" name="Query - Append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2" xr16:uid="{E7083F8A-D397-45B1-AFDF-B20EA1885BB8}" keepAlive="1" name="Query - RawData" description="Connection to the 'RawData' query in the workbook." type="5" refreshedVersion="6" background="1" saveData="1">
    <dbPr connection="Provider=Microsoft.Mashup.OleDb.1;Data Source=$Workbook$;Location=RawData;Extended Properties=&quot;&quot;" command="SELECT * FROM [RawData]"/>
  </connection>
  <connection id="3" xr16:uid="{FCBE00C8-BDAD-4E9B-A7B3-8BB1ADB3C47C}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<sst xmlns="http://schemas.openxmlformats.org/spreadsheetml/2006/main" count="30797" uniqueCount="4262">
  <si>
    <t>Today</t>
  </si>
  <si>
    <t>Yesterday</t>
  </si>
  <si>
    <t>Month</t>
  </si>
  <si>
    <t>LT Goal</t>
  </si>
  <si>
    <t xml:space="preserve">Team Target </t>
  </si>
  <si>
    <t>Period of Improvement</t>
  </si>
  <si>
    <t>Remaining to Target</t>
  </si>
  <si>
    <t>Criteria</t>
  </si>
  <si>
    <t>Number</t>
  </si>
  <si>
    <t>%</t>
  </si>
  <si>
    <t>Goal</t>
  </si>
  <si>
    <t>Notes</t>
  </si>
  <si>
    <t>Total Accepts</t>
  </si>
  <si>
    <t>Total Attempted Contacted</t>
  </si>
  <si>
    <t>Yet To Attempt to Contact</t>
  </si>
  <si>
    <t>Total Contacted</t>
  </si>
  <si>
    <t>Total Remaining to be Contacted</t>
  </si>
  <si>
    <t>Average Days Since last Contact</t>
  </si>
  <si>
    <t>Average Accept Rank</t>
  </si>
  <si>
    <r>
      <t xml:space="preserve">Total Contact Attempts </t>
    </r>
    <r>
      <rPr>
        <b/>
        <sz val="11"/>
        <color theme="1"/>
        <rFont val="Calibri"/>
        <family val="2"/>
        <scheme val="minor"/>
      </rPr>
      <t>Yesterday</t>
    </r>
  </si>
  <si>
    <r>
      <t xml:space="preserve">Total Contacted </t>
    </r>
    <r>
      <rPr>
        <b/>
        <sz val="11"/>
        <color theme="1"/>
        <rFont val="Calibri"/>
        <family val="2"/>
        <scheme val="minor"/>
      </rPr>
      <t>Yesterday</t>
    </r>
  </si>
  <si>
    <r>
      <t xml:space="preserve">Total Contact Attempts </t>
    </r>
    <r>
      <rPr>
        <b/>
        <sz val="11"/>
        <color theme="1"/>
        <rFont val="Calibri"/>
        <family val="2"/>
        <scheme val="minor"/>
      </rPr>
      <t>Today</t>
    </r>
  </si>
  <si>
    <r>
      <t xml:space="preserve">Total Contacted </t>
    </r>
    <r>
      <rPr>
        <b/>
        <sz val="11"/>
        <color theme="1"/>
        <rFont val="Calibri"/>
        <family val="2"/>
        <scheme val="minor"/>
      </rPr>
      <t>Today</t>
    </r>
  </si>
  <si>
    <r>
      <t xml:space="preserve">Total Contact Attempts </t>
    </r>
    <r>
      <rPr>
        <b/>
        <sz val="11"/>
        <color theme="1"/>
        <rFont val="Calibri"/>
        <family val="2"/>
        <scheme val="minor"/>
      </rPr>
      <t>This Month</t>
    </r>
  </si>
  <si>
    <t>FAFSA</t>
  </si>
  <si>
    <t>VerReq</t>
  </si>
  <si>
    <t>ALE Sent</t>
  </si>
  <si>
    <t>Interview</t>
  </si>
  <si>
    <t>FA Questionnaire</t>
  </si>
  <si>
    <t>FERPA</t>
  </si>
  <si>
    <t>SCB</t>
  </si>
  <si>
    <t>Student Credit Balance</t>
  </si>
  <si>
    <t>EC</t>
  </si>
  <si>
    <t>Entrance Counseling</t>
  </si>
  <si>
    <t>SMPN</t>
  </si>
  <si>
    <t>Student Master Promisory Note</t>
  </si>
  <si>
    <t>PCC</t>
  </si>
  <si>
    <t>Parent Credit Consent</t>
  </si>
  <si>
    <t>PCB</t>
  </si>
  <si>
    <t xml:space="preserve">Parent Credit Balance - Docusign.  Form - do you consent to us carrying a credit on your account? </t>
  </si>
  <si>
    <t>PlusApp</t>
  </si>
  <si>
    <t>Parent Plus Application</t>
  </si>
  <si>
    <t>PMPN</t>
  </si>
  <si>
    <t xml:space="preserve">Parent Master Promisory Note - Completed on the Federal Aid Website.  </t>
  </si>
  <si>
    <t>PrivApp</t>
  </si>
  <si>
    <t>Private Loan Application - Required if the student is an independent student.</t>
  </si>
  <si>
    <t>TPP</t>
  </si>
  <si>
    <t xml:space="preserve">Tuition Payment Plan - Cash pay students.  </t>
  </si>
  <si>
    <t>Packaged</t>
  </si>
  <si>
    <t>%Complete, Count</t>
  </si>
  <si>
    <t>%Complete, Average</t>
  </si>
  <si>
    <t>Weeks to Start</t>
  </si>
  <si>
    <t>Initial Steps</t>
  </si>
  <si>
    <t>Contact</t>
  </si>
  <si>
    <t>FAQ</t>
  </si>
  <si>
    <t>Student Documents</t>
  </si>
  <si>
    <t>Verification Steps (if selected)</t>
  </si>
  <si>
    <t>Only one third should need verification</t>
  </si>
  <si>
    <t>Parent Loan Steps</t>
  </si>
  <si>
    <t>Student Loan Steps</t>
  </si>
  <si>
    <t>TO</t>
  </si>
  <si>
    <t>VA / Private / Esigning</t>
  </si>
  <si>
    <t>Target Week Help</t>
  </si>
  <si>
    <t>Target Completion</t>
  </si>
  <si>
    <t>Total Completion</t>
  </si>
  <si>
    <t>Verification Contribution</t>
  </si>
  <si>
    <t>Verification Factor</t>
  </si>
  <si>
    <t>Verification</t>
  </si>
  <si>
    <t>Student Loan Contribution</t>
  </si>
  <si>
    <t>Student Loan Factor</t>
  </si>
  <si>
    <t>Student Loan%</t>
  </si>
  <si>
    <t>Parent Loan Contribution</t>
  </si>
  <si>
    <t>Parent Loan Factor</t>
  </si>
  <si>
    <t>Parent Loan%</t>
  </si>
  <si>
    <t>Student Documents Contribution</t>
  </si>
  <si>
    <t>Student Documents Factor</t>
  </si>
  <si>
    <t>Student Documents %</t>
  </si>
  <si>
    <t>Intial Steps Contribution</t>
  </si>
  <si>
    <t>Initial Steps Factor</t>
  </si>
  <si>
    <t>Initial Steps%</t>
  </si>
  <si>
    <t>Week Number</t>
  </si>
  <si>
    <t>Tuition Payment Plan</t>
  </si>
  <si>
    <t>Private Loan Application</t>
  </si>
  <si>
    <t>Parent Master Promisory Note</t>
  </si>
  <si>
    <t>Parent Credit Balance</t>
  </si>
  <si>
    <t>Total Contact Attempts This Month</t>
  </si>
  <si>
    <t>Total Contacted Today</t>
  </si>
  <si>
    <t>Total Contact Attempts Today</t>
  </si>
  <si>
    <t>Total Contacted Yesterday</t>
  </si>
  <si>
    <t>Total Contact Attempts Yesterday</t>
  </si>
  <si>
    <t>Date</t>
  </si>
  <si>
    <t>Instructions</t>
  </si>
  <si>
    <t xml:space="preserve">Ensure that the Admission Rep Incoming Spreadsheets are updated. </t>
  </si>
  <si>
    <t>Update by:</t>
  </si>
  <si>
    <t>Data / refresh all or Ctrl+Alt+F5</t>
  </si>
  <si>
    <t xml:space="preserve">Daily: </t>
  </si>
  <si>
    <t>Transfer data to the database (Tracking Tab) by using the Tracking Macro Button</t>
  </si>
  <si>
    <t>SyStudentId</t>
  </si>
  <si>
    <t>LastName</t>
  </si>
  <si>
    <t>FirstName</t>
  </si>
  <si>
    <t>StudentName</t>
  </si>
  <si>
    <t>StudentNameConCat</t>
  </si>
  <si>
    <t>#Atmpts</t>
  </si>
  <si>
    <t>1stCon</t>
  </si>
  <si>
    <t>LstCon</t>
  </si>
  <si>
    <t>LstAtmpt</t>
  </si>
  <si>
    <t>Color</t>
  </si>
  <si>
    <t>D/I</t>
  </si>
  <si>
    <t>email</t>
  </si>
  <si>
    <t>Address</t>
  </si>
  <si>
    <t>City</t>
  </si>
  <si>
    <t>State</t>
  </si>
  <si>
    <t>Zip</t>
  </si>
  <si>
    <t>HSGPA</t>
  </si>
  <si>
    <t>ExpStartDate</t>
  </si>
  <si>
    <t>Rep</t>
  </si>
  <si>
    <t>Gender</t>
  </si>
  <si>
    <t>Code</t>
  </si>
  <si>
    <t>FAA</t>
  </si>
  <si>
    <t>FAAEmail</t>
  </si>
  <si>
    <t>FAAPhone</t>
  </si>
  <si>
    <t>Status</t>
  </si>
  <si>
    <t>IntProg</t>
  </si>
  <si>
    <t>Act</t>
  </si>
  <si>
    <t>Sat</t>
  </si>
  <si>
    <t>IndexScore</t>
  </si>
  <si>
    <t>AccRating</t>
  </si>
  <si>
    <t>Rank</t>
  </si>
  <si>
    <t>AccCom</t>
  </si>
  <si>
    <t>EFCRaw</t>
  </si>
  <si>
    <t>EFC</t>
  </si>
  <si>
    <t>EFCDate</t>
  </si>
  <si>
    <t>VerCom</t>
  </si>
  <si>
    <t>ALESent</t>
  </si>
  <si>
    <t>TOApp</t>
  </si>
  <si>
    <t>TO_E-Sign</t>
  </si>
  <si>
    <t>VACert</t>
  </si>
  <si>
    <t>DD214</t>
  </si>
  <si>
    <t>V-HHSNIC</t>
  </si>
  <si>
    <t>V-SNonFiler</t>
  </si>
  <si>
    <t>V-PNonFiler</t>
  </si>
  <si>
    <t>V-ID</t>
  </si>
  <si>
    <t>DRT</t>
  </si>
  <si>
    <t>TaxTran</t>
  </si>
  <si>
    <t>%Complete</t>
  </si>
  <si>
    <t>AYStart</t>
  </si>
  <si>
    <t>AYEnd</t>
  </si>
  <si>
    <t>T&amp;FQ1</t>
  </si>
  <si>
    <t>T&amp;FQ2</t>
  </si>
  <si>
    <t>T&amp;FQ3</t>
  </si>
  <si>
    <t>T&amp;FTot</t>
  </si>
  <si>
    <t>B&amp;SQ1</t>
  </si>
  <si>
    <t>B&amp;SQ2</t>
  </si>
  <si>
    <t>B&amp;SQ3</t>
  </si>
  <si>
    <t>B&amp;STot</t>
  </si>
  <si>
    <t>HousQ1</t>
  </si>
  <si>
    <t>HousQ2</t>
  </si>
  <si>
    <t>HousQ3</t>
  </si>
  <si>
    <t>HousTot</t>
  </si>
  <si>
    <t>LEQ1</t>
  </si>
  <si>
    <t>LEQ2</t>
  </si>
  <si>
    <t>LEQ3</t>
  </si>
  <si>
    <t>LETot</t>
  </si>
  <si>
    <t>OthCostQ1</t>
  </si>
  <si>
    <t>OthCostQ2</t>
  </si>
  <si>
    <t>OthCostQ3</t>
  </si>
  <si>
    <t>OthCostTot</t>
  </si>
  <si>
    <t>CostTot</t>
  </si>
  <si>
    <t>SEOGQ1</t>
  </si>
  <si>
    <t>SEOGQ2</t>
  </si>
  <si>
    <t>SEOGQ3</t>
  </si>
  <si>
    <t>SEOGTot</t>
  </si>
  <si>
    <t>PellQ1</t>
  </si>
  <si>
    <t>PellQ2</t>
  </si>
  <si>
    <t>PellQ3</t>
  </si>
  <si>
    <t>PellTot</t>
  </si>
  <si>
    <t>AccessQ1</t>
  </si>
  <si>
    <t>AccessQ2</t>
  </si>
  <si>
    <t>AccessQ3</t>
  </si>
  <si>
    <t>AccessTot</t>
  </si>
  <si>
    <t>AchiQ1</t>
  </si>
  <si>
    <t>AchiQ2</t>
  </si>
  <si>
    <t>AchiQ3</t>
  </si>
  <si>
    <t>AchiTot</t>
  </si>
  <si>
    <t>UTQ1</t>
  </si>
  <si>
    <t>UTQ2</t>
  </si>
  <si>
    <t>UTQ3</t>
  </si>
  <si>
    <t>UTTot</t>
  </si>
  <si>
    <t>WITQ1</t>
  </si>
  <si>
    <t>WITQ2</t>
  </si>
  <si>
    <t>WITQ3</t>
  </si>
  <si>
    <t>WITTot</t>
  </si>
  <si>
    <t>SerQ1</t>
  </si>
  <si>
    <t>SerQ2</t>
  </si>
  <si>
    <t>SerQ3</t>
  </si>
  <si>
    <t>SerTot</t>
  </si>
  <si>
    <t>TranQ1</t>
  </si>
  <si>
    <t>TranQ2</t>
  </si>
  <si>
    <t>TranQ3</t>
  </si>
  <si>
    <t>TranTot</t>
  </si>
  <si>
    <t>MatQ1</t>
  </si>
  <si>
    <t>MatQ2</t>
  </si>
  <si>
    <t>MatQ3</t>
  </si>
  <si>
    <t>MatTot</t>
  </si>
  <si>
    <t>OutQ1</t>
  </si>
  <si>
    <t>OutQ2</t>
  </si>
  <si>
    <t>OutQ3</t>
  </si>
  <si>
    <t>OutTot</t>
  </si>
  <si>
    <t>VAQ1</t>
  </si>
  <si>
    <t>VAQ2</t>
  </si>
  <si>
    <t>VAQ3</t>
  </si>
  <si>
    <t>VATot</t>
  </si>
  <si>
    <t>OthGrantQ1</t>
  </si>
  <si>
    <t>OthGrantQ2</t>
  </si>
  <si>
    <t>OthGrantQ3</t>
  </si>
  <si>
    <t>OthGrantTot</t>
  </si>
  <si>
    <t>GiftTot</t>
  </si>
  <si>
    <t>CashQ1</t>
  </si>
  <si>
    <t>CashQ2</t>
  </si>
  <si>
    <t>CashQ3</t>
  </si>
  <si>
    <t>CashTot</t>
  </si>
  <si>
    <t>SubQ1</t>
  </si>
  <si>
    <t>SubQ2</t>
  </si>
  <si>
    <t>SubQ3</t>
  </si>
  <si>
    <t>SubTot</t>
  </si>
  <si>
    <t>SubFee</t>
  </si>
  <si>
    <t>UnsubQ1</t>
  </si>
  <si>
    <t>UnsubQ2</t>
  </si>
  <si>
    <t>UnsubQ3</t>
  </si>
  <si>
    <t>UnsubTot</t>
  </si>
  <si>
    <t>UnsubFee</t>
  </si>
  <si>
    <t>PLUSQ1</t>
  </si>
  <si>
    <t>PLUSQ2</t>
  </si>
  <si>
    <t>PLUSQ3</t>
  </si>
  <si>
    <t>PLUSTot</t>
  </si>
  <si>
    <t>PLUSFee</t>
  </si>
  <si>
    <t>PrivQ1</t>
  </si>
  <si>
    <t>PrivQ2</t>
  </si>
  <si>
    <t>PrivQ3</t>
  </si>
  <si>
    <t>PrivTot</t>
  </si>
  <si>
    <t>TOQ1</t>
  </si>
  <si>
    <t>TOQ2</t>
  </si>
  <si>
    <t>TOQ3</t>
  </si>
  <si>
    <t>TOTot</t>
  </si>
  <si>
    <t>OFundQ1</t>
  </si>
  <si>
    <t>OFundQ2</t>
  </si>
  <si>
    <t>OFundQ3</t>
  </si>
  <si>
    <t>OFundTot</t>
  </si>
  <si>
    <t>SelfHelpTot</t>
  </si>
  <si>
    <t>NetCost</t>
  </si>
  <si>
    <t>GrossNeed</t>
  </si>
  <si>
    <t>NetNeed</t>
  </si>
  <si>
    <t>Global Submitted</t>
  </si>
  <si>
    <t>Global Confirmed</t>
  </si>
  <si>
    <t>Cvue Complete</t>
  </si>
  <si>
    <t>Mahan</t>
  </si>
  <si>
    <t>Jalen</t>
  </si>
  <si>
    <t>Mahan, Jalen</t>
  </si>
  <si>
    <t>Jalen Mahan</t>
  </si>
  <si>
    <t/>
  </si>
  <si>
    <t>jalenmahan16@gmail.com</t>
  </si>
  <si>
    <t>159 Salem Rd</t>
  </si>
  <si>
    <t>Alpine</t>
  </si>
  <si>
    <t>AL</t>
  </si>
  <si>
    <t xml:space="preserve">35014     </t>
  </si>
  <si>
    <t>MN</t>
  </si>
  <si>
    <t>Male</t>
  </si>
  <si>
    <t xml:space="preserve">HS2020  </t>
  </si>
  <si>
    <t>Maureen Ranks</t>
  </si>
  <si>
    <t>mranks@neumont.edu</t>
  </si>
  <si>
    <t>16-Accepted</t>
  </si>
  <si>
    <t>BS Computer Science</t>
  </si>
  <si>
    <t xml:space="preserve">17      </t>
  </si>
  <si>
    <t>89</t>
  </si>
  <si>
    <t>IX</t>
  </si>
  <si>
    <t>July-October</t>
  </si>
  <si>
    <t>Maiden</t>
  </si>
  <si>
    <t>Emily</t>
  </si>
  <si>
    <t>Maiden, Emily</t>
  </si>
  <si>
    <t>Emily Maiden</t>
  </si>
  <si>
    <t>emilymaiden7@gmail.com</t>
  </si>
  <si>
    <t>150 S. Maple Creek Subd. Rd.</t>
  </si>
  <si>
    <t>Williamsburg</t>
  </si>
  <si>
    <t>KY</t>
  </si>
  <si>
    <t xml:space="preserve">40769     </t>
  </si>
  <si>
    <t>GM</t>
  </si>
  <si>
    <t>Female</t>
  </si>
  <si>
    <t xml:space="preserve">22      </t>
  </si>
  <si>
    <t>110</t>
  </si>
  <si>
    <t>II</t>
  </si>
  <si>
    <t>Mancilla</t>
  </si>
  <si>
    <t>Carlos</t>
  </si>
  <si>
    <t>Mancilla, Carlos</t>
  </si>
  <si>
    <t>Carlos Mancilla</t>
  </si>
  <si>
    <t>cgmancilla01@gmail.com</t>
  </si>
  <si>
    <t>2414 Larry Dr.</t>
  </si>
  <si>
    <t>Dallas</t>
  </si>
  <si>
    <t>TX</t>
  </si>
  <si>
    <t xml:space="preserve">75228     </t>
  </si>
  <si>
    <t xml:space="preserve">1270    </t>
  </si>
  <si>
    <t>113</t>
  </si>
  <si>
    <t>I</t>
  </si>
  <si>
    <t>Marcial</t>
  </si>
  <si>
    <t>Christina</t>
  </si>
  <si>
    <t>Marcial, Christina</t>
  </si>
  <si>
    <t>Christina Marcial</t>
  </si>
  <si>
    <t>kayleemarcial@gmail.com</t>
  </si>
  <si>
    <t>2851 Fenel Avenue</t>
  </si>
  <si>
    <t>Grand Junction</t>
  </si>
  <si>
    <t>CO</t>
  </si>
  <si>
    <t xml:space="preserve">81501     </t>
  </si>
  <si>
    <t>JT</t>
  </si>
  <si>
    <t>Not specified</t>
  </si>
  <si>
    <t>0</t>
  </si>
  <si>
    <t>Mars</t>
  </si>
  <si>
    <t>El</t>
  </si>
  <si>
    <t>Mars, El</t>
  </si>
  <si>
    <t>El Mars</t>
  </si>
  <si>
    <t>elmars3223@gmail.com</t>
  </si>
  <si>
    <t>2501 45th St Apt D</t>
  </si>
  <si>
    <t>Galveston</t>
  </si>
  <si>
    <t xml:space="preserve">77550     </t>
  </si>
  <si>
    <t xml:space="preserve">18      </t>
  </si>
  <si>
    <t>91</t>
  </si>
  <si>
    <t>VIII</t>
  </si>
  <si>
    <t>Marsh</t>
  </si>
  <si>
    <t>Dillion</t>
  </si>
  <si>
    <t>Marsh, Dillion</t>
  </si>
  <si>
    <t>Dillion Marsh</t>
  </si>
  <si>
    <t>marshdillion23@gmail.com</t>
  </si>
  <si>
    <t>P.O. Box 531</t>
  </si>
  <si>
    <t>Pleasant Hill</t>
  </si>
  <si>
    <t>TN</t>
  </si>
  <si>
    <t xml:space="preserve">38578     </t>
  </si>
  <si>
    <t xml:space="preserve">31      </t>
  </si>
  <si>
    <t>131</t>
  </si>
  <si>
    <t>Martinez</t>
  </si>
  <si>
    <t>Martinez, Carlos</t>
  </si>
  <si>
    <t>Carlos Martinez</t>
  </si>
  <si>
    <t>superpancakeboy562@gmail.com</t>
  </si>
  <si>
    <t>7632 Racine Ave</t>
  </si>
  <si>
    <t>Paramount</t>
  </si>
  <si>
    <t>CA</t>
  </si>
  <si>
    <t xml:space="preserve">90723     </t>
  </si>
  <si>
    <t>X</t>
  </si>
  <si>
    <t>Lamberto</t>
  </si>
  <si>
    <t>Martinez, Lamberto</t>
  </si>
  <si>
    <t>Lamberto Martinez</t>
  </si>
  <si>
    <t>MARTINEZLAMBERTO11@GMAIL.COM</t>
  </si>
  <si>
    <t>1617 E Avenue R12</t>
  </si>
  <si>
    <t>Palmdale</t>
  </si>
  <si>
    <t>93550-6964</t>
  </si>
  <si>
    <t xml:space="preserve">980     </t>
  </si>
  <si>
    <t>94</t>
  </si>
  <si>
    <t>VI</t>
  </si>
  <si>
    <t>Nancy</t>
  </si>
  <si>
    <t>Martinez, Nancy</t>
  </si>
  <si>
    <t>Nancy Martinez</t>
  </si>
  <si>
    <t>nancymartinez0718@icloud.com</t>
  </si>
  <si>
    <t>2332 Mesa Street</t>
  </si>
  <si>
    <t>San Bernardino</t>
  </si>
  <si>
    <t xml:space="preserve">92407     </t>
  </si>
  <si>
    <t xml:space="preserve">1050    </t>
  </si>
  <si>
    <t>106</t>
  </si>
  <si>
    <t>III</t>
  </si>
  <si>
    <t>Matza</t>
  </si>
  <si>
    <t>Adam</t>
  </si>
  <si>
    <t>Matza, Adam</t>
  </si>
  <si>
    <t>Adam Matza</t>
  </si>
  <si>
    <t>adammarco2002@gmail.com</t>
  </si>
  <si>
    <t>2569 N 3653rd Rd.</t>
  </si>
  <si>
    <t>Sherridan</t>
  </si>
  <si>
    <t>IL</t>
  </si>
  <si>
    <t xml:space="preserve">60551     </t>
  </si>
  <si>
    <t xml:space="preserve">20      </t>
  </si>
  <si>
    <t>92</t>
  </si>
  <si>
    <t>VII</t>
  </si>
  <si>
    <t>Maulseed Jr</t>
  </si>
  <si>
    <t>Courtney</t>
  </si>
  <si>
    <t>Maulseed Jr, Courtney</t>
  </si>
  <si>
    <t>Courtney Maulseed Jr</t>
  </si>
  <si>
    <t>cmaulseed20@gmail.com</t>
  </si>
  <si>
    <t>2910 NW Mill Place</t>
  </si>
  <si>
    <t>Blue Springs</t>
  </si>
  <si>
    <t>MO</t>
  </si>
  <si>
    <t xml:space="preserve">64015     </t>
  </si>
  <si>
    <t xml:space="preserve">30      </t>
  </si>
  <si>
    <t>115</t>
  </si>
  <si>
    <t>Mayes</t>
  </si>
  <si>
    <t>Jordan</t>
  </si>
  <si>
    <t>Mayes, Jordan</t>
  </si>
  <si>
    <t>Jordan Mayes</t>
  </si>
  <si>
    <t>jordanmayes099@gmail.com</t>
  </si>
  <si>
    <t>120 Settlers Ln</t>
  </si>
  <si>
    <t>West Blocton</t>
  </si>
  <si>
    <t xml:space="preserve">35184     </t>
  </si>
  <si>
    <t>McCarty</t>
  </si>
  <si>
    <t>Nolan</t>
  </si>
  <si>
    <t>McCarty, Nolan</t>
  </si>
  <si>
    <t>Nolan McCarty</t>
  </si>
  <si>
    <t>nlmccartyy@gmail.com</t>
  </si>
  <si>
    <t>10301 Anchor Way</t>
  </si>
  <si>
    <t>Evansville</t>
  </si>
  <si>
    <t>IN</t>
  </si>
  <si>
    <t xml:space="preserve">47725     </t>
  </si>
  <si>
    <t>McFall</t>
  </si>
  <si>
    <t>Andrew</t>
  </si>
  <si>
    <t>McFall, Andrew</t>
  </si>
  <si>
    <t>Andrew McFall</t>
  </si>
  <si>
    <t>andrew.mcfall@glenwoodsd.org</t>
  </si>
  <si>
    <t>Po Box 83, 517 E. Main St</t>
  </si>
  <si>
    <t>Glenwood</t>
  </si>
  <si>
    <t>WA</t>
  </si>
  <si>
    <t xml:space="preserve">98619     </t>
  </si>
  <si>
    <t xml:space="preserve">1190    </t>
  </si>
  <si>
    <t>108</t>
  </si>
  <si>
    <t>V</t>
  </si>
  <si>
    <t>McIntyre</t>
  </si>
  <si>
    <t>Ashlynn</t>
  </si>
  <si>
    <t>McIntyre, Ashlynn</t>
  </si>
  <si>
    <t>Ashlynn McIntyre</t>
  </si>
  <si>
    <t>ashlynnmcintyre@gmail.com</t>
  </si>
  <si>
    <t>2600 Columbine Rd</t>
  </si>
  <si>
    <t>Weed</t>
  </si>
  <si>
    <t xml:space="preserve">96094     </t>
  </si>
  <si>
    <t>McKinney</t>
  </si>
  <si>
    <t>Austin</t>
  </si>
  <si>
    <t>McKinney, Austin</t>
  </si>
  <si>
    <t>Austin McKinney</t>
  </si>
  <si>
    <t>legodragon01@gmail.com</t>
  </si>
  <si>
    <t>66350 US HWY 31</t>
  </si>
  <si>
    <t>Lakeville</t>
  </si>
  <si>
    <t xml:space="preserve">46536     </t>
  </si>
  <si>
    <t xml:space="preserve">1280    </t>
  </si>
  <si>
    <t>118</t>
  </si>
  <si>
    <t>Mehta</t>
  </si>
  <si>
    <t>Neil</t>
  </si>
  <si>
    <t>Mehta, Neil</t>
  </si>
  <si>
    <t>Neil Mehta</t>
  </si>
  <si>
    <t>neil.mehta02@gmail.com</t>
  </si>
  <si>
    <t>201 Summertree Ct</t>
  </si>
  <si>
    <t>Bossier City</t>
  </si>
  <si>
    <t>LA</t>
  </si>
  <si>
    <t>71111-5452</t>
  </si>
  <si>
    <t xml:space="preserve">21      </t>
  </si>
  <si>
    <t>IV</t>
  </si>
  <si>
    <t>October</t>
  </si>
  <si>
    <t>Mejia Palma</t>
  </si>
  <si>
    <t>Wilfredo</t>
  </si>
  <si>
    <t>Mejia Palma, Wilfredo</t>
  </si>
  <si>
    <t>Wilfredo Mejia Palma</t>
  </si>
  <si>
    <t>Juniormejia29@hotmail.com</t>
  </si>
  <si>
    <t>1316 sw 27th terrace</t>
  </si>
  <si>
    <t>Cape Coral</t>
  </si>
  <si>
    <t>FL</t>
  </si>
  <si>
    <t xml:space="preserve">33914     </t>
  </si>
  <si>
    <t>Mejia</t>
  </si>
  <si>
    <t>Jared</t>
  </si>
  <si>
    <t>Mejia, Jared</t>
  </si>
  <si>
    <t>Jared Mejia</t>
  </si>
  <si>
    <t>jaredmejia187@gmail.com</t>
  </si>
  <si>
    <t>1924 Norwood Street</t>
  </si>
  <si>
    <t>Los Angeles</t>
  </si>
  <si>
    <t xml:space="preserve">90007     </t>
  </si>
  <si>
    <t xml:space="preserve">1090    </t>
  </si>
  <si>
    <t>Memije</t>
  </si>
  <si>
    <t>Memije, Carlos</t>
  </si>
  <si>
    <t>Carlos Memije</t>
  </si>
  <si>
    <t>carlosmemije25@gmail.com</t>
  </si>
  <si>
    <t>1269 Osprey St</t>
  </si>
  <si>
    <t>San Jacinto</t>
  </si>
  <si>
    <t xml:space="preserve">92583     </t>
  </si>
  <si>
    <t>Mikelevicius</t>
  </si>
  <si>
    <t>Viktorija</t>
  </si>
  <si>
    <t>Mikelevicius, Viktorija</t>
  </si>
  <si>
    <t>Viktorija Mikelevicius</t>
  </si>
  <si>
    <t>viktorija02@comcast.net</t>
  </si>
  <si>
    <t>7159 S Eudora Ct</t>
  </si>
  <si>
    <t>Centennial</t>
  </si>
  <si>
    <t>80122-2433</t>
  </si>
  <si>
    <t xml:space="preserve">1390    </t>
  </si>
  <si>
    <t>133</t>
  </si>
  <si>
    <t>Miklasz</t>
  </si>
  <si>
    <t>Mikayla</t>
  </si>
  <si>
    <t>Miklasz, Mikayla</t>
  </si>
  <si>
    <t>Mikayla Miklasz</t>
  </si>
  <si>
    <t>mmmiklasz@cps.edu</t>
  </si>
  <si>
    <t>6089 N Navarre Ave</t>
  </si>
  <si>
    <t>Chicago</t>
  </si>
  <si>
    <t>60631-2614</t>
  </si>
  <si>
    <t>Millar</t>
  </si>
  <si>
    <t>Hudson</t>
  </si>
  <si>
    <t>Millar, Hudson</t>
  </si>
  <si>
    <t>Hudson Millar</t>
  </si>
  <si>
    <t>hudmill@gmail.com</t>
  </si>
  <si>
    <t>315 Toscavilla Blvd.</t>
  </si>
  <si>
    <t>Nokomis</t>
  </si>
  <si>
    <t xml:space="preserve">34275     </t>
  </si>
  <si>
    <t xml:space="preserve">1550    </t>
  </si>
  <si>
    <t>137</t>
  </si>
  <si>
    <t>Miller</t>
  </si>
  <si>
    <t>Dustin</t>
  </si>
  <si>
    <t>Miller, Dustin</t>
  </si>
  <si>
    <t>Dustin Miller</t>
  </si>
  <si>
    <t>dustinamiller15@gmail.com</t>
  </si>
  <si>
    <t>331 Timberline Ln</t>
  </si>
  <si>
    <t>Auburn</t>
  </si>
  <si>
    <t xml:space="preserve">95603     </t>
  </si>
  <si>
    <t>18-Pending Enrollment</t>
  </si>
  <si>
    <t>Minix</t>
  </si>
  <si>
    <t>Haylee</t>
  </si>
  <si>
    <t>Minix, Haylee</t>
  </si>
  <si>
    <t>Haylee Minix</t>
  </si>
  <si>
    <t>hayleeminix@gmail.com</t>
  </si>
  <si>
    <t>256 April Way</t>
  </si>
  <si>
    <t>Winchester</t>
  </si>
  <si>
    <t>40391-8347</t>
  </si>
  <si>
    <t>Modi</t>
  </si>
  <si>
    <t>Vraj</t>
  </si>
  <si>
    <t>Modi, Vraj</t>
  </si>
  <si>
    <t>Vraj Modi</t>
  </si>
  <si>
    <t>vrajmodi70@gmail.com</t>
  </si>
  <si>
    <t>112 Long Beach Dr.</t>
  </si>
  <si>
    <t>Hot Springs</t>
  </si>
  <si>
    <t>AR</t>
  </si>
  <si>
    <t xml:space="preserve">71913     </t>
  </si>
  <si>
    <t xml:space="preserve">27      </t>
  </si>
  <si>
    <t>119</t>
  </si>
  <si>
    <t>Moffett</t>
  </si>
  <si>
    <t>Michael</t>
  </si>
  <si>
    <t>Moffett, Michael</t>
  </si>
  <si>
    <t>Michael Moffett</t>
  </si>
  <si>
    <t>mkemoff@gmail.com</t>
  </si>
  <si>
    <t>27326 Freda St</t>
  </si>
  <si>
    <t>Lacombe</t>
  </si>
  <si>
    <t xml:space="preserve">70445     </t>
  </si>
  <si>
    <t>Monroe</t>
  </si>
  <si>
    <t>Colton</t>
  </si>
  <si>
    <t>Monroe, Colton</t>
  </si>
  <si>
    <t>GameninjaX2@gmail.com</t>
  </si>
  <si>
    <t>600 N 80 E</t>
  </si>
  <si>
    <t>FILLMORE</t>
  </si>
  <si>
    <t>UT</t>
  </si>
  <si>
    <t xml:space="preserve">84631     </t>
  </si>
  <si>
    <t>MR</t>
  </si>
  <si>
    <t xml:space="preserve">24      </t>
  </si>
  <si>
    <t>Moore</t>
  </si>
  <si>
    <t>Christopher</t>
  </si>
  <si>
    <t>Moore, Christopher</t>
  </si>
  <si>
    <t>Christopher Moore</t>
  </si>
  <si>
    <t>Cj.Moore2279@gmail.com</t>
  </si>
  <si>
    <t>129 West Terrell St</t>
  </si>
  <si>
    <t>Greensboro</t>
  </si>
  <si>
    <t>NC</t>
  </si>
  <si>
    <t xml:space="preserve">27406     </t>
  </si>
  <si>
    <t>Morgan</t>
  </si>
  <si>
    <t>Brock</t>
  </si>
  <si>
    <t>Morgan, Brock</t>
  </si>
  <si>
    <t>Brock Morgan</t>
  </si>
  <si>
    <t>treybcmorgan27@gmail.com</t>
  </si>
  <si>
    <t>3420 Denver Drive</t>
  </si>
  <si>
    <t xml:space="preserve">75070     </t>
  </si>
  <si>
    <t xml:space="preserve">26      </t>
  </si>
  <si>
    <t xml:space="preserve">1180    </t>
  </si>
  <si>
    <t>Teryn</t>
  </si>
  <si>
    <t>Morgan, Teryn</t>
  </si>
  <si>
    <t>Teryn Morgan</t>
  </si>
  <si>
    <t>1023802@pinelakeprep.org</t>
  </si>
  <si>
    <t>129 Deer Run Dr</t>
  </si>
  <si>
    <t>Troutman</t>
  </si>
  <si>
    <t xml:space="preserve">28166     </t>
  </si>
  <si>
    <t xml:space="preserve">29      </t>
  </si>
  <si>
    <t>Morris</t>
  </si>
  <si>
    <t>Melissa</t>
  </si>
  <si>
    <t>Morris, Melissa</t>
  </si>
  <si>
    <t>Melissa Morris</t>
  </si>
  <si>
    <t>mel4college@gmail.com</t>
  </si>
  <si>
    <t>216 Lynn Ct</t>
  </si>
  <si>
    <t>Altoona</t>
  </si>
  <si>
    <t>IA</t>
  </si>
  <si>
    <t xml:space="preserve">50009     </t>
  </si>
  <si>
    <t>123</t>
  </si>
  <si>
    <t>Moses</t>
  </si>
  <si>
    <t>Jamier</t>
  </si>
  <si>
    <t>Moses, Jamier</t>
  </si>
  <si>
    <t>jamiermoses2001@hotmail.com</t>
  </si>
  <si>
    <t>2631 20th St</t>
  </si>
  <si>
    <t>Tuscaloosa</t>
  </si>
  <si>
    <t>35401-4420</t>
  </si>
  <si>
    <t>Munk</t>
  </si>
  <si>
    <t>Cameron</t>
  </si>
  <si>
    <t>Munk, Cameron</t>
  </si>
  <si>
    <t>Cameron Munk</t>
  </si>
  <si>
    <t>hooptroop2234@gmail.com</t>
  </si>
  <si>
    <t>23807 N 24th way</t>
  </si>
  <si>
    <t>Phoenix</t>
  </si>
  <si>
    <t>AZ</t>
  </si>
  <si>
    <t xml:space="preserve">85024     </t>
  </si>
  <si>
    <t xml:space="preserve">28      </t>
  </si>
  <si>
    <t xml:space="preserve">1340    </t>
  </si>
  <si>
    <t>126</t>
  </si>
  <si>
    <t>Myers</t>
  </si>
  <si>
    <t>Jaden</t>
  </si>
  <si>
    <t>Myers, Jaden</t>
  </si>
  <si>
    <t>Jaden Myers</t>
  </si>
  <si>
    <t>jaden.myers731@gmail.com</t>
  </si>
  <si>
    <t>25366 S Valley Dr</t>
  </si>
  <si>
    <t>Claremore</t>
  </si>
  <si>
    <t>OK</t>
  </si>
  <si>
    <t xml:space="preserve">74019     </t>
  </si>
  <si>
    <t xml:space="preserve">35      </t>
  </si>
  <si>
    <t>121</t>
  </si>
  <si>
    <t>Navarrete</t>
  </si>
  <si>
    <t>Luis</t>
  </si>
  <si>
    <t>Navarrete, Luis</t>
  </si>
  <si>
    <t>Luis Navarrete</t>
  </si>
  <si>
    <t>luiginava22@gmail.com</t>
  </si>
  <si>
    <t>803 W Pomona Blvd, Apt #B</t>
  </si>
  <si>
    <t>Monterey Park</t>
  </si>
  <si>
    <t xml:space="preserve">91754     </t>
  </si>
  <si>
    <t>Neal</t>
  </si>
  <si>
    <t>Derek</t>
  </si>
  <si>
    <t>Neal, Derek</t>
  </si>
  <si>
    <t>Derek Neal</t>
  </si>
  <si>
    <t>derek.neal@sjcds.net</t>
  </si>
  <si>
    <t>271 Glenlyon Dr.</t>
  </si>
  <si>
    <t>Orange Park</t>
  </si>
  <si>
    <t xml:space="preserve">32073     </t>
  </si>
  <si>
    <t>Neaves</t>
  </si>
  <si>
    <t>Juan</t>
  </si>
  <si>
    <t>Neaves, Juan</t>
  </si>
  <si>
    <t>Juan Neaves</t>
  </si>
  <si>
    <t>jjneaves3@gmail.com</t>
  </si>
  <si>
    <t>6315 Macdona Street</t>
  </si>
  <si>
    <t>San Antonio</t>
  </si>
  <si>
    <t xml:space="preserve">78221     </t>
  </si>
  <si>
    <t xml:space="preserve">940     </t>
  </si>
  <si>
    <t>97</t>
  </si>
  <si>
    <t>Neeley</t>
  </si>
  <si>
    <t>Ariel</t>
  </si>
  <si>
    <t>Neeley, Ariel</t>
  </si>
  <si>
    <t>Ariel Neeley</t>
  </si>
  <si>
    <t>ariel.neeley@my.netech.edu</t>
  </si>
  <si>
    <t>62851 E 280 Rd</t>
  </si>
  <si>
    <t>Grove</t>
  </si>
  <si>
    <t xml:space="preserve">74344     </t>
  </si>
  <si>
    <t>Nicalek</t>
  </si>
  <si>
    <t>Dakota</t>
  </si>
  <si>
    <t>Nicalek, Dakota</t>
  </si>
  <si>
    <t>Dakota Nicalek</t>
  </si>
  <si>
    <t>1492 Vandolah Rd</t>
  </si>
  <si>
    <t>Wauchula</t>
  </si>
  <si>
    <t>33873-8725</t>
  </si>
  <si>
    <t xml:space="preserve">1110    </t>
  </si>
  <si>
    <t>104</t>
  </si>
  <si>
    <t>Ning</t>
  </si>
  <si>
    <t>Ning, Christopher</t>
  </si>
  <si>
    <t>Christopher Ning</t>
  </si>
  <si>
    <t>c9ning@hotmail.com</t>
  </si>
  <si>
    <t>3511 E Lynx Pl</t>
  </si>
  <si>
    <t>Chandler</t>
  </si>
  <si>
    <t xml:space="preserve">85249     </t>
  </si>
  <si>
    <t>Noer</t>
  </si>
  <si>
    <t>Noer, Adam</t>
  </si>
  <si>
    <t>Adam Noer</t>
  </si>
  <si>
    <t>adamnoer20@outlook.com</t>
  </si>
  <si>
    <t>1813 Riverbend Drive</t>
  </si>
  <si>
    <t>Redlands</t>
  </si>
  <si>
    <t xml:space="preserve">92374     </t>
  </si>
  <si>
    <t xml:space="preserve">1060    </t>
  </si>
  <si>
    <t>109</t>
  </si>
  <si>
    <t>Norgard</t>
  </si>
  <si>
    <t>Karsten</t>
  </si>
  <si>
    <t>Norgard, Karsten</t>
  </si>
  <si>
    <t>karstennorgard1@gmail.com</t>
  </si>
  <si>
    <t>1620 14TH Street</t>
  </si>
  <si>
    <t>Mitchell</t>
  </si>
  <si>
    <t>NE</t>
  </si>
  <si>
    <t xml:space="preserve">69357     </t>
  </si>
  <si>
    <t xml:space="preserve">23      </t>
  </si>
  <si>
    <t>Norton</t>
  </si>
  <si>
    <t>Lauren</t>
  </si>
  <si>
    <t>Norton, Lauren</t>
  </si>
  <si>
    <t>Lauren Norton</t>
  </si>
  <si>
    <t>lnorton928@gmail.com</t>
  </si>
  <si>
    <t>680 Humphries Road</t>
  </si>
  <si>
    <t>Cowpens</t>
  </si>
  <si>
    <t>SC</t>
  </si>
  <si>
    <t xml:space="preserve">29330     </t>
  </si>
  <si>
    <t>Nusser</t>
  </si>
  <si>
    <t>Mark</t>
  </si>
  <si>
    <t>Nusser, Mark</t>
  </si>
  <si>
    <t>Mark Nusser</t>
  </si>
  <si>
    <t>303234@my.puhsd.org</t>
  </si>
  <si>
    <t>29084 Golden Pebble Ct</t>
  </si>
  <si>
    <t>Menifee</t>
  </si>
  <si>
    <t xml:space="preserve">92584     </t>
  </si>
  <si>
    <t xml:space="preserve">1140    </t>
  </si>
  <si>
    <t>Ogrin</t>
  </si>
  <si>
    <t>Colby</t>
  </si>
  <si>
    <t>Ogrin, Colby</t>
  </si>
  <si>
    <t>Colby Ogrin</t>
  </si>
  <si>
    <t>colbyjackcheese123@gmail.com</t>
  </si>
  <si>
    <t>20274 Dewey Lake St.</t>
  </si>
  <si>
    <t>Decatur</t>
  </si>
  <si>
    <t>MI</t>
  </si>
  <si>
    <t xml:space="preserve">49045     </t>
  </si>
  <si>
    <t xml:space="preserve">1300    </t>
  </si>
  <si>
    <t>129</t>
  </si>
  <si>
    <t>Okaiteye</t>
  </si>
  <si>
    <t>Jason</t>
  </si>
  <si>
    <t>Okaiteye, Jason</t>
  </si>
  <si>
    <t>Jason Okaiteye</t>
  </si>
  <si>
    <t>jasonokaiteye@gmail.com</t>
  </si>
  <si>
    <t>22114 Normandie Ave.</t>
  </si>
  <si>
    <t>Torrance</t>
  </si>
  <si>
    <t xml:space="preserve">90502     </t>
  </si>
  <si>
    <t xml:space="preserve">1250    </t>
  </si>
  <si>
    <t>125</t>
  </si>
  <si>
    <t>Olea</t>
  </si>
  <si>
    <t>Moises</t>
  </si>
  <si>
    <t>Olea, Moises</t>
  </si>
  <si>
    <t>Moises Olea</t>
  </si>
  <si>
    <t>moises.olea12@gmail.com</t>
  </si>
  <si>
    <t>1022 Locust Ave Apt. E</t>
  </si>
  <si>
    <t>Long Beach</t>
  </si>
  <si>
    <t xml:space="preserve">90813     </t>
  </si>
  <si>
    <t xml:space="preserve">950     </t>
  </si>
  <si>
    <t>95</t>
  </si>
  <si>
    <t>Osborne</t>
  </si>
  <si>
    <t>Ashley</t>
  </si>
  <si>
    <t>Osborne, Ashley</t>
  </si>
  <si>
    <t>ashley.osborne@pisgahpats.org</t>
  </si>
  <si>
    <t>4998 Bridgeport Way</t>
  </si>
  <si>
    <t>Peachtree Corners</t>
  </si>
  <si>
    <t>GA</t>
  </si>
  <si>
    <t xml:space="preserve">30092     </t>
  </si>
  <si>
    <t xml:space="preserve">1310    </t>
  </si>
  <si>
    <t>Owens</t>
  </si>
  <si>
    <t>Alexandria</t>
  </si>
  <si>
    <t>Owens, Alexandria</t>
  </si>
  <si>
    <t>lexiboo1366@gmail.com</t>
  </si>
  <si>
    <t>1940 Roberson Rd</t>
  </si>
  <si>
    <t>Augusta</t>
  </si>
  <si>
    <t xml:space="preserve">30906     </t>
  </si>
  <si>
    <t>Patel</t>
  </si>
  <si>
    <t>Aaditya</t>
  </si>
  <si>
    <t>Patel, Aaditya</t>
  </si>
  <si>
    <t>iamaaditya2020@gmail.com</t>
  </si>
  <si>
    <t>19459 S Highlite Dr</t>
  </si>
  <si>
    <t>Clinton Township</t>
  </si>
  <si>
    <t xml:space="preserve">48035     </t>
  </si>
  <si>
    <t xml:space="preserve">1010    </t>
  </si>
  <si>
    <t>Prit</t>
  </si>
  <si>
    <t>Patel, Prit</t>
  </si>
  <si>
    <t>Prit Patel</t>
  </si>
  <si>
    <t>merceded5338@gmail.com</t>
  </si>
  <si>
    <t>24 Hilgert Ave</t>
  </si>
  <si>
    <t>Reading</t>
  </si>
  <si>
    <t>PA</t>
  </si>
  <si>
    <t xml:space="preserve">19607     </t>
  </si>
  <si>
    <t xml:space="preserve">1000    </t>
  </si>
  <si>
    <t>Pearson</t>
  </si>
  <si>
    <t>Jonathan</t>
  </si>
  <si>
    <t>Pearson, Jonathan</t>
  </si>
  <si>
    <t>Jonathan Pearson</t>
  </si>
  <si>
    <t>johnyjoejoe55@gmail.com</t>
  </si>
  <si>
    <t>720 S West Ave</t>
  </si>
  <si>
    <t>Jackson</t>
  </si>
  <si>
    <t>49203-1600</t>
  </si>
  <si>
    <t xml:space="preserve">1240    </t>
  </si>
  <si>
    <t>99</t>
  </si>
  <si>
    <t>Pena</t>
  </si>
  <si>
    <t>Pena, Moses</t>
  </si>
  <si>
    <t>Moses Pena</t>
  </si>
  <si>
    <t>penamoses2@gmail.com</t>
  </si>
  <si>
    <t>511 Edgewood Ave</t>
  </si>
  <si>
    <t>Edinburg</t>
  </si>
  <si>
    <t xml:space="preserve">78541     </t>
  </si>
  <si>
    <t xml:space="preserve">19      </t>
  </si>
  <si>
    <t>90</t>
  </si>
  <si>
    <t>Perez</t>
  </si>
  <si>
    <t>Jerson</t>
  </si>
  <si>
    <t>Perez, Jerson</t>
  </si>
  <si>
    <t>Jerson Perez</t>
  </si>
  <si>
    <t>Perez-jerson@hotmail.com</t>
  </si>
  <si>
    <t>6814 Makee Ave.</t>
  </si>
  <si>
    <t xml:space="preserve">90001     </t>
  </si>
  <si>
    <t xml:space="preserve">960     </t>
  </si>
  <si>
    <t>Julian</t>
  </si>
  <si>
    <t>Perez, Julian</t>
  </si>
  <si>
    <t>Julian Perez</t>
  </si>
  <si>
    <t>jperez818@outlook.com</t>
  </si>
  <si>
    <t>6323 Avenida De Las Vistas Unit 4</t>
  </si>
  <si>
    <t>San Diego</t>
  </si>
  <si>
    <t>92154-6613</t>
  </si>
  <si>
    <t xml:space="preserve">1030    </t>
  </si>
  <si>
    <t>96</t>
  </si>
  <si>
    <t>Ponce</t>
  </si>
  <si>
    <t>Ramon</t>
  </si>
  <si>
    <t>Ponce, Ramon</t>
  </si>
  <si>
    <t>Ramon Ponce</t>
  </si>
  <si>
    <t>redponce06@hotmail.com</t>
  </si>
  <si>
    <t>179 Rollins St</t>
  </si>
  <si>
    <t>Elizabethtown</t>
  </si>
  <si>
    <t>28337-5043</t>
  </si>
  <si>
    <t>Popowski</t>
  </si>
  <si>
    <t>Natalie</t>
  </si>
  <si>
    <t>Popowski, Natalie</t>
  </si>
  <si>
    <t>Natalie Popowski</t>
  </si>
  <si>
    <t>natalievpopowski@gmail.com</t>
  </si>
  <si>
    <t>1725 Clark Ave</t>
  </si>
  <si>
    <t>Cottage Grove</t>
  </si>
  <si>
    <t>OR</t>
  </si>
  <si>
    <t xml:space="preserve">97424     </t>
  </si>
  <si>
    <t>Potter</t>
  </si>
  <si>
    <t>Nayeli</t>
  </si>
  <si>
    <t>Potter, Nayeli</t>
  </si>
  <si>
    <t>Nayeli Potter</t>
  </si>
  <si>
    <t>nayelipotter2002@gmail.com</t>
  </si>
  <si>
    <t>14 Easton St. Apt 3</t>
  </si>
  <si>
    <t>Lawrence</t>
  </si>
  <si>
    <t>MA</t>
  </si>
  <si>
    <t xml:space="preserve">01843     </t>
  </si>
  <si>
    <t>Pratt</t>
  </si>
  <si>
    <t>Jaire</t>
  </si>
  <si>
    <t>Pratt, Jaire</t>
  </si>
  <si>
    <t>Jaire Pratt</t>
  </si>
  <si>
    <t>jfpratt47@gmail.com</t>
  </si>
  <si>
    <t>2052 Pitman Ave</t>
  </si>
  <si>
    <t>Bronx</t>
  </si>
  <si>
    <t>NY</t>
  </si>
  <si>
    <t xml:space="preserve">10466     </t>
  </si>
  <si>
    <t>78</t>
  </si>
  <si>
    <t>Prevo</t>
  </si>
  <si>
    <t>Sam</t>
  </si>
  <si>
    <t>Prevo, Sam</t>
  </si>
  <si>
    <t>Sam Prevo</t>
  </si>
  <si>
    <t>sampv006@gmail.com</t>
  </si>
  <si>
    <t>3414 Greg Drive</t>
  </si>
  <si>
    <t>Prescott Valley</t>
  </si>
  <si>
    <t xml:space="preserve">86314     </t>
  </si>
  <si>
    <t xml:space="preserve">16      </t>
  </si>
  <si>
    <t>80</t>
  </si>
  <si>
    <t>Psaltakis</t>
  </si>
  <si>
    <t>Anastasios</t>
  </si>
  <si>
    <t>Psaltakis, Anastasios</t>
  </si>
  <si>
    <t>Anastasios Psaltakis</t>
  </si>
  <si>
    <t>tassopsaltakis@me.com</t>
  </si>
  <si>
    <t>13403 Farm View St.</t>
  </si>
  <si>
    <t>Homer Glen</t>
  </si>
  <si>
    <t xml:space="preserve">60491     </t>
  </si>
  <si>
    <t>Pyeatt</t>
  </si>
  <si>
    <t>Shelbie</t>
  </si>
  <si>
    <t>Pyeatt, Shelbie</t>
  </si>
  <si>
    <t>Shelbie Pyeatt</t>
  </si>
  <si>
    <t>srpyeatt@outlook.com</t>
  </si>
  <si>
    <t>20707 N 67th Ave, Apt. 117</t>
  </si>
  <si>
    <t>Glendale</t>
  </si>
  <si>
    <t xml:space="preserve">85308     </t>
  </si>
  <si>
    <t>102</t>
  </si>
  <si>
    <t>Quintero Salcido</t>
  </si>
  <si>
    <t>Emili</t>
  </si>
  <si>
    <t>Quintero Salcido, Emili</t>
  </si>
  <si>
    <t>Emili Quintero Salcido</t>
  </si>
  <si>
    <t>quinteroemili12@gmail.com</t>
  </si>
  <si>
    <t>7007 W Indian School Rd, Apt. 2504</t>
  </si>
  <si>
    <t xml:space="preserve">85033     </t>
  </si>
  <si>
    <t>105</t>
  </si>
  <si>
    <t>Ramirez</t>
  </si>
  <si>
    <t>Armando</t>
  </si>
  <si>
    <t>Ramirez, Armando</t>
  </si>
  <si>
    <t>Armando Ramirez</t>
  </si>
  <si>
    <t>armando.r6910@gmail.com</t>
  </si>
  <si>
    <t>245 Warren Way</t>
  </si>
  <si>
    <t>Pittsburg</t>
  </si>
  <si>
    <t>94565-3744</t>
  </si>
  <si>
    <t xml:space="preserve">870     </t>
  </si>
  <si>
    <t>Ezekiel</t>
  </si>
  <si>
    <t>Ramirez, Ezekiel</t>
  </si>
  <si>
    <t>Ezekiel Ramirez</t>
  </si>
  <si>
    <t>ezekielrez16@gmail.com</t>
  </si>
  <si>
    <t>4510 Given Ave</t>
  </si>
  <si>
    <t>Memphis</t>
  </si>
  <si>
    <t xml:space="preserve">38122     </t>
  </si>
  <si>
    <t>86</t>
  </si>
  <si>
    <t>Jasmin</t>
  </si>
  <si>
    <t>Ramirez, Jasmin</t>
  </si>
  <si>
    <t>Jasmin Ramirez</t>
  </si>
  <si>
    <t>jessyeet42@gmail.com</t>
  </si>
  <si>
    <t>404 NW H ST</t>
  </si>
  <si>
    <t>Bentonville</t>
  </si>
  <si>
    <t xml:space="preserve">72712     </t>
  </si>
  <si>
    <t xml:space="preserve">HS2018  </t>
  </si>
  <si>
    <t>88</t>
  </si>
  <si>
    <t>Rampton</t>
  </si>
  <si>
    <t>Isaac</t>
  </si>
  <si>
    <t>Rampton, Isaac</t>
  </si>
  <si>
    <t>Isaac Rampton</t>
  </si>
  <si>
    <t>isaac@2b4joy.com</t>
  </si>
  <si>
    <t>691 W 2400 N</t>
  </si>
  <si>
    <t>Lehi</t>
  </si>
  <si>
    <t xml:space="preserve">84043     </t>
  </si>
  <si>
    <t>111</t>
  </si>
  <si>
    <t>Reese</t>
  </si>
  <si>
    <t>Xavier</t>
  </si>
  <si>
    <t>Reese, Xavier</t>
  </si>
  <si>
    <t>Xavier Reese</t>
  </si>
  <si>
    <t>xavier.reese@mtchs.org</t>
  </si>
  <si>
    <t>10827 West Sandhurst Dr.</t>
  </si>
  <si>
    <t>Boise</t>
  </si>
  <si>
    <t>ID</t>
  </si>
  <si>
    <t xml:space="preserve">83709     </t>
  </si>
  <si>
    <t xml:space="preserve">1040    </t>
  </si>
  <si>
    <t>Reisner</t>
  </si>
  <si>
    <t>Kaleb</t>
  </si>
  <si>
    <t>Reisner, Kaleb</t>
  </si>
  <si>
    <t>kaleb.reisner@lakecitytrojans.org</t>
  </si>
  <si>
    <t>8371 West Jennings Road</t>
  </si>
  <si>
    <t>Lake CIty</t>
  </si>
  <si>
    <t xml:space="preserve">49651     </t>
  </si>
  <si>
    <t>Reyes</t>
  </si>
  <si>
    <t>Shawn</t>
  </si>
  <si>
    <t>Reyes, Shawn</t>
  </si>
  <si>
    <t>Shawn Reyes</t>
  </si>
  <si>
    <t>snreyes223@gmail.com</t>
  </si>
  <si>
    <t>28169 Saint Tropez PL.</t>
  </si>
  <si>
    <t>Hayward</t>
  </si>
  <si>
    <t xml:space="preserve">94544     </t>
  </si>
  <si>
    <t>Richardson</t>
  </si>
  <si>
    <t>Richardson, Mark</t>
  </si>
  <si>
    <t>Mark Richardson</t>
  </si>
  <si>
    <t>Mr.legoman@yahoo.com</t>
  </si>
  <si>
    <t>408 East RailRoad Street</t>
  </si>
  <si>
    <t>Sheffield</t>
  </si>
  <si>
    <t xml:space="preserve">61361     </t>
  </si>
  <si>
    <t xml:space="preserve">1100    </t>
  </si>
  <si>
    <t>Ries</t>
  </si>
  <si>
    <t>Nicolas</t>
  </si>
  <si>
    <t>Ries, Nicolas</t>
  </si>
  <si>
    <t>Nicolas Ries</t>
  </si>
  <si>
    <t>ries.roberts@juno.com</t>
  </si>
  <si>
    <t>2809 Emerald Bay Drive</t>
  </si>
  <si>
    <t>Davis</t>
  </si>
  <si>
    <t xml:space="preserve">95618     </t>
  </si>
  <si>
    <t>Riggs</t>
  </si>
  <si>
    <t>Jacob</t>
  </si>
  <si>
    <t>Riggs, Jacob</t>
  </si>
  <si>
    <t>Jacob Riggs</t>
  </si>
  <si>
    <t>jacob.riggs2411@gmail.com</t>
  </si>
  <si>
    <t>963 S Leslie Pl</t>
  </si>
  <si>
    <t>West Terre Haute</t>
  </si>
  <si>
    <t>47885-8934</t>
  </si>
  <si>
    <t>Roberts</t>
  </si>
  <si>
    <t>Justin</t>
  </si>
  <si>
    <t>Roberts, Justin</t>
  </si>
  <si>
    <t>Justin Roberts</t>
  </si>
  <si>
    <t>temperary542@gmail.com</t>
  </si>
  <si>
    <t>17005 Perimeter Road</t>
  </si>
  <si>
    <t>Grass Valley</t>
  </si>
  <si>
    <t xml:space="preserve">95949     </t>
  </si>
  <si>
    <t>Robinson</t>
  </si>
  <si>
    <t>Nakieyah</t>
  </si>
  <si>
    <t>Robinson, Nakieyah</t>
  </si>
  <si>
    <t>Nakieyah Robinson</t>
  </si>
  <si>
    <t>kieyah411@gmail.com</t>
  </si>
  <si>
    <t>112 Pondarosa Dr</t>
  </si>
  <si>
    <t>Atmore</t>
  </si>
  <si>
    <t xml:space="preserve">36502     </t>
  </si>
  <si>
    <t xml:space="preserve">25      </t>
  </si>
  <si>
    <t>Rodriguez</t>
  </si>
  <si>
    <t>Luca</t>
  </si>
  <si>
    <t>Rodriguez, Luca</t>
  </si>
  <si>
    <t>Luca Rodriguez</t>
  </si>
  <si>
    <t>what.time.is.it.3f@gmail.com</t>
  </si>
  <si>
    <t>5740 Sandstone Way</t>
  </si>
  <si>
    <t>Jacksonville</t>
  </si>
  <si>
    <t xml:space="preserve">32258     </t>
  </si>
  <si>
    <t>Roldan</t>
  </si>
  <si>
    <t>Margie</t>
  </si>
  <si>
    <t>Roldan, Margie</t>
  </si>
  <si>
    <t>Margie Roldan</t>
  </si>
  <si>
    <t>emilyroldan17@gmail.com</t>
  </si>
  <si>
    <t>1900 Walnut, #1310</t>
  </si>
  <si>
    <t>Bastrop</t>
  </si>
  <si>
    <t xml:space="preserve">78602     </t>
  </si>
  <si>
    <t>Romero</t>
  </si>
  <si>
    <t>Bryan</t>
  </si>
  <si>
    <t>Romero, Bryan</t>
  </si>
  <si>
    <t>Bryan Romero</t>
  </si>
  <si>
    <t>bryan.romerox187@gmail.com</t>
  </si>
  <si>
    <t>1808 W 48th st</t>
  </si>
  <si>
    <t xml:space="preserve">90062     </t>
  </si>
  <si>
    <t xml:space="preserve">1120    </t>
  </si>
  <si>
    <t>Ross Jr</t>
  </si>
  <si>
    <t>Micheal</t>
  </si>
  <si>
    <t>Ross Jr, Micheal</t>
  </si>
  <si>
    <t>Micheal Ross Jr</t>
  </si>
  <si>
    <t>ross.family44@yahoo.com</t>
  </si>
  <si>
    <t>107 Catalba Ct</t>
  </si>
  <si>
    <t>Peachtree City</t>
  </si>
  <si>
    <t>30269-2008</t>
  </si>
  <si>
    <t>Rouse</t>
  </si>
  <si>
    <t>Johnathan</t>
  </si>
  <si>
    <t>Rouse, Johnathan</t>
  </si>
  <si>
    <t>Johnathan Rouse</t>
  </si>
  <si>
    <t>johnathanlrouse@gmail.com</t>
  </si>
  <si>
    <t>10810 Estelle Circle</t>
  </si>
  <si>
    <t>Montgomery</t>
  </si>
  <si>
    <t xml:space="preserve">77356     </t>
  </si>
  <si>
    <t xml:space="preserve">1160    </t>
  </si>
  <si>
    <t>103</t>
  </si>
  <si>
    <t>Rowe</t>
  </si>
  <si>
    <t>Darius</t>
  </si>
  <si>
    <t>Rowe, Darius</t>
  </si>
  <si>
    <t>Darius.rowe22@gmail.com</t>
  </si>
  <si>
    <t>39 KINGSBURY WAY</t>
  </si>
  <si>
    <t>HAMPTON</t>
  </si>
  <si>
    <t>VA</t>
  </si>
  <si>
    <t xml:space="preserve">23666     </t>
  </si>
  <si>
    <t>114</t>
  </si>
  <si>
    <t>Ruiz</t>
  </si>
  <si>
    <t>Hector</t>
  </si>
  <si>
    <t>Ruiz, Hector</t>
  </si>
  <si>
    <t>hruiz0488@gmail.com</t>
  </si>
  <si>
    <t>458 E Madison St</t>
  </si>
  <si>
    <t>Arcola</t>
  </si>
  <si>
    <t xml:space="preserve">61910     </t>
  </si>
  <si>
    <t xml:space="preserve">UNKNOWN </t>
  </si>
  <si>
    <t xml:space="preserve">880     </t>
  </si>
  <si>
    <t>93</t>
  </si>
  <si>
    <t>Russell</t>
  </si>
  <si>
    <t>Ryan</t>
  </si>
  <si>
    <t>Russell, Ryan</t>
  </si>
  <si>
    <t>Ryan Russell</t>
  </si>
  <si>
    <t>trueaggie30@gmail.com</t>
  </si>
  <si>
    <t>2037 N Belmont Dr.</t>
  </si>
  <si>
    <t>Saratoga Springs</t>
  </si>
  <si>
    <t xml:space="preserve">84045     </t>
  </si>
  <si>
    <t xml:space="preserve">HS2011  </t>
  </si>
  <si>
    <t>Rust</t>
  </si>
  <si>
    <t>Logan</t>
  </si>
  <si>
    <t>Rust, Logan</t>
  </si>
  <si>
    <t>littlelogan2002@gmail.com</t>
  </si>
  <si>
    <t>5534 Peacock Street</t>
  </si>
  <si>
    <t>Ocean Springs</t>
  </si>
  <si>
    <t>MS</t>
  </si>
  <si>
    <t xml:space="preserve">39564     </t>
  </si>
  <si>
    <t>Rybak</t>
  </si>
  <si>
    <t>Ian</t>
  </si>
  <si>
    <t>Rybak, Ian</t>
  </si>
  <si>
    <t>Ian Rybak</t>
  </si>
  <si>
    <t>ian.rybak2020@gmail.com</t>
  </si>
  <si>
    <t>12277 Bob Heasley Dr</t>
  </si>
  <si>
    <t>El Paso</t>
  </si>
  <si>
    <t xml:space="preserve">79938     </t>
  </si>
  <si>
    <t xml:space="preserve">1450    </t>
  </si>
  <si>
    <t>136</t>
  </si>
  <si>
    <t>Salazar</t>
  </si>
  <si>
    <t>Erick</t>
  </si>
  <si>
    <t>Salazar, Erick</t>
  </si>
  <si>
    <t>Erick Salazar</t>
  </si>
  <si>
    <t>428 Camino Providencia</t>
  </si>
  <si>
    <t>Rio Rico</t>
  </si>
  <si>
    <t xml:space="preserve">85648     </t>
  </si>
  <si>
    <t>Salinas</t>
  </si>
  <si>
    <t>Ajelet</t>
  </si>
  <si>
    <t>Salinas, Ajelet</t>
  </si>
  <si>
    <t>ajeletsalinas@gmail.com</t>
  </si>
  <si>
    <t>4641 Lasater Road TRLR71</t>
  </si>
  <si>
    <t>Mesquite</t>
  </si>
  <si>
    <t>75181-3400</t>
  </si>
  <si>
    <t>Salinas, Juan</t>
  </si>
  <si>
    <t>Juan Salinas</t>
  </si>
  <si>
    <t>shadowhawk6440@gmail.com</t>
  </si>
  <si>
    <t>612 NE 20th St</t>
  </si>
  <si>
    <t>Guymon</t>
  </si>
  <si>
    <t xml:space="preserve">73942     </t>
  </si>
  <si>
    <t>Samuel</t>
  </si>
  <si>
    <t>DeAndrey</t>
  </si>
  <si>
    <t>Samuel, DeAndrey</t>
  </si>
  <si>
    <t>DeAndrey Samuel</t>
  </si>
  <si>
    <t>deandrey68.ds@gmail.com</t>
  </si>
  <si>
    <t>99 County Road 1795</t>
  </si>
  <si>
    <t>Jefferson</t>
  </si>
  <si>
    <t xml:space="preserve">75657     </t>
  </si>
  <si>
    <t>Samuel, Ryan</t>
  </si>
  <si>
    <t>Ryan Samuel</t>
  </si>
  <si>
    <t>vanusoverty@gmail.com</t>
  </si>
  <si>
    <t>2412 Tottingham Rd</t>
  </si>
  <si>
    <t>Henderson</t>
  </si>
  <si>
    <t>NV</t>
  </si>
  <si>
    <t xml:space="preserve">89074     </t>
  </si>
  <si>
    <t>San Nicolas</t>
  </si>
  <si>
    <t>Richard</t>
  </si>
  <si>
    <t>San Nicolas, Richard</t>
  </si>
  <si>
    <t>Richard San Nicolas</t>
  </si>
  <si>
    <t>sannicolasrichard@gmail.com</t>
  </si>
  <si>
    <t>717 Burns Rd Apt 3221</t>
  </si>
  <si>
    <t>Carrollton</t>
  </si>
  <si>
    <t>30117-2573</t>
  </si>
  <si>
    <t>Sanders</t>
  </si>
  <si>
    <t>Piper</t>
  </si>
  <si>
    <t>Sanders, Piper</t>
  </si>
  <si>
    <t>Piper Sanders</t>
  </si>
  <si>
    <t>pipersanders01@gmail.com</t>
  </si>
  <si>
    <t>3108 Mosher Rd, 410 Parkway Drive</t>
  </si>
  <si>
    <t>Parsons</t>
  </si>
  <si>
    <t>KS</t>
  </si>
  <si>
    <t xml:space="preserve">67357     </t>
  </si>
  <si>
    <t xml:space="preserve">HS2019  </t>
  </si>
  <si>
    <t>122</t>
  </si>
  <si>
    <t>Schroeder</t>
  </si>
  <si>
    <t>Craig</t>
  </si>
  <si>
    <t>Schroeder, Craig</t>
  </si>
  <si>
    <t>Craig Schroeder</t>
  </si>
  <si>
    <t>schroedercraig149@gmail.com</t>
  </si>
  <si>
    <t>311 Hammond Drive</t>
  </si>
  <si>
    <t>Schwamberger</t>
  </si>
  <si>
    <t>William</t>
  </si>
  <si>
    <t>Schwamberger, William</t>
  </si>
  <si>
    <t>William Schwamberger</t>
  </si>
  <si>
    <t>willschwamy@gmail.com</t>
  </si>
  <si>
    <t>109 Copperfield Dr.</t>
  </si>
  <si>
    <t>Mankato</t>
  </si>
  <si>
    <t xml:space="preserve">56001     </t>
  </si>
  <si>
    <t>Seavers</t>
  </si>
  <si>
    <t>Seavers, Michael</t>
  </si>
  <si>
    <t>Michael Seavers</t>
  </si>
  <si>
    <t>michaelseavers@hotmail.com</t>
  </si>
  <si>
    <t>100 Fox Meadows D12</t>
  </si>
  <si>
    <t>Murray</t>
  </si>
  <si>
    <t xml:space="preserve">42071     </t>
  </si>
  <si>
    <t>Sebastian-Ortiz</t>
  </si>
  <si>
    <t>Victor</t>
  </si>
  <si>
    <t>Sebastian-Ortiz, Victor</t>
  </si>
  <si>
    <t>Victor Sebastian-Ortiz</t>
  </si>
  <si>
    <t>vsebastian@bucs.fsw.edu</t>
  </si>
  <si>
    <t>18284 Troon Ave</t>
  </si>
  <si>
    <t>Port Charlotte</t>
  </si>
  <si>
    <t xml:space="preserve">33948     </t>
  </si>
  <si>
    <t>112</t>
  </si>
  <si>
    <t>Shannon</t>
  </si>
  <si>
    <t>Heather</t>
  </si>
  <si>
    <t>Shannon, Heather</t>
  </si>
  <si>
    <t>Heather Shannon</t>
  </si>
  <si>
    <t>heather216shannon@gmail.com</t>
  </si>
  <si>
    <t>1880 Elvester Rd</t>
  </si>
  <si>
    <t>Warrior</t>
  </si>
  <si>
    <t xml:space="preserve">35180     </t>
  </si>
  <si>
    <t>Sharbaugh</t>
  </si>
  <si>
    <t>Sharbaugh, Michael</t>
  </si>
  <si>
    <t>Michael Sharbaugh</t>
  </si>
  <si>
    <t>Roselle</t>
  </si>
  <si>
    <t xml:space="preserve">60172     </t>
  </si>
  <si>
    <t>101</t>
  </si>
  <si>
    <t>Shawver</t>
  </si>
  <si>
    <t>Hannah</t>
  </si>
  <si>
    <t>Shawver, Hannah</t>
  </si>
  <si>
    <t>Hannah Shawver</t>
  </si>
  <si>
    <t>hannahshawver19@gmail.com</t>
  </si>
  <si>
    <t>4573 Meadowlark Dr</t>
  </si>
  <si>
    <t>Windsor</t>
  </si>
  <si>
    <t xml:space="preserve">80550     </t>
  </si>
  <si>
    <t xml:space="preserve">830     </t>
  </si>
  <si>
    <t>Shipman</t>
  </si>
  <si>
    <t>Isabella</t>
  </si>
  <si>
    <t>Shipman, Isabella</t>
  </si>
  <si>
    <t>Isabella Shipman</t>
  </si>
  <si>
    <t>kallenkozuki314@gmail.com</t>
  </si>
  <si>
    <t>228 E. Main St.</t>
  </si>
  <si>
    <t>Norwalk</t>
  </si>
  <si>
    <t>OH</t>
  </si>
  <si>
    <t xml:space="preserve">44857     </t>
  </si>
  <si>
    <t xml:space="preserve">34      </t>
  </si>
  <si>
    <t>Shumard</t>
  </si>
  <si>
    <t>Parker</t>
  </si>
  <si>
    <t>Shumard, Parker</t>
  </si>
  <si>
    <t>parkersam@gmail.com</t>
  </si>
  <si>
    <t>164 River View Drive</t>
  </si>
  <si>
    <t>Kalispell</t>
  </si>
  <si>
    <t>MT</t>
  </si>
  <si>
    <t xml:space="preserve">59901     </t>
  </si>
  <si>
    <t>Sickler</t>
  </si>
  <si>
    <t>Noah</t>
  </si>
  <si>
    <t>Sickler, Noah</t>
  </si>
  <si>
    <t>noahsickler1023@gmail.com</t>
  </si>
  <si>
    <t>1103 Ann Place, 1103</t>
  </si>
  <si>
    <t>Platteville</t>
  </si>
  <si>
    <t xml:space="preserve">80652     </t>
  </si>
  <si>
    <t xml:space="preserve">1080    </t>
  </si>
  <si>
    <t>84</t>
  </si>
  <si>
    <t>Sierra</t>
  </si>
  <si>
    <t>Daniel</t>
  </si>
  <si>
    <t>Sierra, Daniel</t>
  </si>
  <si>
    <t>daniel.sierra3@verizon.net</t>
  </si>
  <si>
    <t>798 Appleton Rd</t>
  </si>
  <si>
    <t>Simi Valley</t>
  </si>
  <si>
    <t xml:space="preserve">93065     </t>
  </si>
  <si>
    <t>Silverman</t>
  </si>
  <si>
    <t>Simon</t>
  </si>
  <si>
    <t>Silverman, Simon</t>
  </si>
  <si>
    <t>Simon Silverman</t>
  </si>
  <si>
    <t>simonsilverman03@gmail.com</t>
  </si>
  <si>
    <t>2560 Arbor Lake Lane #1018</t>
  </si>
  <si>
    <t>Indianapolis</t>
  </si>
  <si>
    <t xml:space="preserve">46268     </t>
  </si>
  <si>
    <t>Simpson</t>
  </si>
  <si>
    <t>Hayden</t>
  </si>
  <si>
    <t>Simpson, Hayden</t>
  </si>
  <si>
    <t>simpson.hayden2002@gmail.com</t>
  </si>
  <si>
    <t>PO Box 335</t>
  </si>
  <si>
    <t>Island Park</t>
  </si>
  <si>
    <t>83429-0335</t>
  </si>
  <si>
    <t>Kaelib</t>
  </si>
  <si>
    <t>Simpson, Kaelib</t>
  </si>
  <si>
    <t>Kaelib Simpson</t>
  </si>
  <si>
    <t>Kaelibrs@gmail.com</t>
  </si>
  <si>
    <t>409 Dunn Ave</t>
  </si>
  <si>
    <t>Clinton</t>
  </si>
  <si>
    <t xml:space="preserve">73601     </t>
  </si>
  <si>
    <t>Malachai</t>
  </si>
  <si>
    <t>Simpson, Malachai</t>
  </si>
  <si>
    <t>Malachai Simpson</t>
  </si>
  <si>
    <t>fe26v1@gmail.com</t>
  </si>
  <si>
    <t>1005 E Burlington</t>
  </si>
  <si>
    <t>Fairfield</t>
  </si>
  <si>
    <t xml:space="preserve">52556     </t>
  </si>
  <si>
    <t xml:space="preserve">33      </t>
  </si>
  <si>
    <t>Small</t>
  </si>
  <si>
    <t>Sianah</t>
  </si>
  <si>
    <t>Small, Sianah</t>
  </si>
  <si>
    <t>tandssmall@gmail.com</t>
  </si>
  <si>
    <t>17246 COMMUNITY ST</t>
  </si>
  <si>
    <t>LANSING</t>
  </si>
  <si>
    <t xml:space="preserve">60438     </t>
  </si>
  <si>
    <t>Smith</t>
  </si>
  <si>
    <t>Caleb</t>
  </si>
  <si>
    <t>Smith, Caleb</t>
  </si>
  <si>
    <t>Caleb Smith</t>
  </si>
  <si>
    <t>2121smith@trgators.org</t>
  </si>
  <si>
    <t>P.O. Box 176</t>
  </si>
  <si>
    <t>Plainview</t>
  </si>
  <si>
    <t xml:space="preserve">72857     </t>
  </si>
  <si>
    <t>David</t>
  </si>
  <si>
    <t>Smith, David</t>
  </si>
  <si>
    <t>David Smith</t>
  </si>
  <si>
    <t>dsmith20@bfhsla.org</t>
  </si>
  <si>
    <t>7563 Briarheath Drive</t>
  </si>
  <si>
    <t>New Orleans</t>
  </si>
  <si>
    <t xml:space="preserve">70128     </t>
  </si>
  <si>
    <t>Levi</t>
  </si>
  <si>
    <t>Smith, Levi</t>
  </si>
  <si>
    <t>Levi Smith</t>
  </si>
  <si>
    <t>levimsmith089@gmail.com</t>
  </si>
  <si>
    <t>425 Purdy Mesa Rd</t>
  </si>
  <si>
    <t>Whitewater</t>
  </si>
  <si>
    <t xml:space="preserve">81527     </t>
  </si>
  <si>
    <t>Sarah</t>
  </si>
  <si>
    <t>Smith, Sarah</t>
  </si>
  <si>
    <t>Sarah Smith</t>
  </si>
  <si>
    <t>semmas@comcast.net</t>
  </si>
  <si>
    <t>2256 W 11625 S</t>
  </si>
  <si>
    <t>South Jordan</t>
  </si>
  <si>
    <t xml:space="preserve">84095     </t>
  </si>
  <si>
    <t>Smitherman</t>
  </si>
  <si>
    <t>Chris</t>
  </si>
  <si>
    <t>Smitherman, Chris</t>
  </si>
  <si>
    <t>thumperfuzzy@gmail.com</t>
  </si>
  <si>
    <t>1101 NW 92nd St</t>
  </si>
  <si>
    <t>Kcmo</t>
  </si>
  <si>
    <t xml:space="preserve">64155     </t>
  </si>
  <si>
    <t>Snyder</t>
  </si>
  <si>
    <t>Snyder, Jacob</t>
  </si>
  <si>
    <t>Jacob Snyder</t>
  </si>
  <si>
    <t>minecraftyogiverse@gmail.com</t>
  </si>
  <si>
    <t>227 E Northview Ave</t>
  </si>
  <si>
    <t>New Castle</t>
  </si>
  <si>
    <t xml:space="preserve">16105     </t>
  </si>
  <si>
    <t xml:space="preserve">32      </t>
  </si>
  <si>
    <t>132</t>
  </si>
  <si>
    <t>Solie</t>
  </si>
  <si>
    <t>Calvin</t>
  </si>
  <si>
    <t>Solie, Calvin</t>
  </si>
  <si>
    <t>Calvin Solie</t>
  </si>
  <si>
    <t>calvin_solie@yahoo.com</t>
  </si>
  <si>
    <t>2902 N Point Ridge Rd</t>
  </si>
  <si>
    <t>Buckeye</t>
  </si>
  <si>
    <t xml:space="preserve">85396     </t>
  </si>
  <si>
    <t>Sosa</t>
  </si>
  <si>
    <t>Edward</t>
  </si>
  <si>
    <t>Sosa, Edward</t>
  </si>
  <si>
    <t>Edward Sosa</t>
  </si>
  <si>
    <t>halo-20@outlook.com</t>
  </si>
  <si>
    <t>507 Mcnutt Rd</t>
  </si>
  <si>
    <t>Sunland Park</t>
  </si>
  <si>
    <t>NM</t>
  </si>
  <si>
    <t xml:space="preserve">88063     </t>
  </si>
  <si>
    <t>Sotelo</t>
  </si>
  <si>
    <t>Frank</t>
  </si>
  <si>
    <t>Sotelo, Frank</t>
  </si>
  <si>
    <t>Frank Sotelo</t>
  </si>
  <si>
    <t>frank.sotelo10@gmail.com</t>
  </si>
  <si>
    <t>1757 N St Francis Pl</t>
  </si>
  <si>
    <t>Casa Grande</t>
  </si>
  <si>
    <t xml:space="preserve">85122     </t>
  </si>
  <si>
    <t>Spencer</t>
  </si>
  <si>
    <t>Kaij</t>
  </si>
  <si>
    <t>Spencer, Kaij</t>
  </si>
  <si>
    <t>Kaij Spencer</t>
  </si>
  <si>
    <t>kaijtaco@gmail.com</t>
  </si>
  <si>
    <t>723 Cedarwood Pl</t>
  </si>
  <si>
    <t>Cedar Hill</t>
  </si>
  <si>
    <t xml:space="preserve">75104     </t>
  </si>
  <si>
    <t>Springer</t>
  </si>
  <si>
    <t>Springer, Frank</t>
  </si>
  <si>
    <t>Frank Springer</t>
  </si>
  <si>
    <t>frankspringer2001@gmail.com</t>
  </si>
  <si>
    <t>8844 Sheraton Drive</t>
  </si>
  <si>
    <t>Miramar</t>
  </si>
  <si>
    <t xml:space="preserve">33025     </t>
  </si>
  <si>
    <t xml:space="preserve">990     </t>
  </si>
  <si>
    <t>Sproul</t>
  </si>
  <si>
    <t>Ethan</t>
  </si>
  <si>
    <t>Sproul, Ethan</t>
  </si>
  <si>
    <t>Ethan Sproul</t>
  </si>
  <si>
    <t>ethansproul4@gmail.com</t>
  </si>
  <si>
    <t>5476 Startown Road</t>
  </si>
  <si>
    <t>Newton</t>
  </si>
  <si>
    <t xml:space="preserve">28658     </t>
  </si>
  <si>
    <t>Stallworth</t>
  </si>
  <si>
    <t>Mahari</t>
  </si>
  <si>
    <t>Stallworth, Mahari</t>
  </si>
  <si>
    <t>Mahari Stallworth</t>
  </si>
  <si>
    <t>maharistallworth@gmail.com</t>
  </si>
  <si>
    <t>P.O. Box 414</t>
  </si>
  <si>
    <t>Beatrice</t>
  </si>
  <si>
    <t xml:space="preserve">00414     </t>
  </si>
  <si>
    <t>Stephen</t>
  </si>
  <si>
    <t>James</t>
  </si>
  <si>
    <t>Stephen, James</t>
  </si>
  <si>
    <t>James Stephen</t>
  </si>
  <si>
    <t>jamesjstephen1@gmail.com</t>
  </si>
  <si>
    <t>7171 Pendale Circle</t>
  </si>
  <si>
    <t>North Tonawanda</t>
  </si>
  <si>
    <t xml:space="preserve">14120     </t>
  </si>
  <si>
    <t xml:space="preserve">1150    </t>
  </si>
  <si>
    <t>Still</t>
  </si>
  <si>
    <t>Randy</t>
  </si>
  <si>
    <t>Still, Randy</t>
  </si>
  <si>
    <t>Randy Still</t>
  </si>
  <si>
    <t>randy.a.still01@gmail.com</t>
  </si>
  <si>
    <t>160 Baker Road</t>
  </si>
  <si>
    <t>Searcy</t>
  </si>
  <si>
    <t xml:space="preserve">72143     </t>
  </si>
  <si>
    <t>Stinson</t>
  </si>
  <si>
    <t>Grant</t>
  </si>
  <si>
    <t>Stinson, Grant</t>
  </si>
  <si>
    <t>Grant Stinson</t>
  </si>
  <si>
    <t>grantstinson4@gmail.com</t>
  </si>
  <si>
    <t>918 Randall Rd.</t>
  </si>
  <si>
    <t>Weatherford</t>
  </si>
  <si>
    <t xml:space="preserve">76087     </t>
  </si>
  <si>
    <t>Sutton</t>
  </si>
  <si>
    <t>Shamar</t>
  </si>
  <si>
    <t>Sutton, Shamar</t>
  </si>
  <si>
    <t>Shamar Sutton</t>
  </si>
  <si>
    <t>shamarsuttonss@gmail.com</t>
  </si>
  <si>
    <t>61 Orange St.</t>
  </si>
  <si>
    <t>Hartford</t>
  </si>
  <si>
    <t>CT</t>
  </si>
  <si>
    <t xml:space="preserve">06106     </t>
  </si>
  <si>
    <t>83</t>
  </si>
  <si>
    <t>Taray</t>
  </si>
  <si>
    <t>Anthony</t>
  </si>
  <si>
    <t>Taray, Anthony</t>
  </si>
  <si>
    <t>Anthony Taray</t>
  </si>
  <si>
    <t>tarayton000@student.prbschools.org</t>
  </si>
  <si>
    <t>9387 County Rd. 1</t>
  </si>
  <si>
    <t>Pine River</t>
  </si>
  <si>
    <t xml:space="preserve">56474     </t>
  </si>
  <si>
    <t>117</t>
  </si>
  <si>
    <t>Taylor</t>
  </si>
  <si>
    <t>Cassidy</t>
  </si>
  <si>
    <t>Taylor, Cassidy</t>
  </si>
  <si>
    <t>cassidy.taylor696@gaston.k12.nc.us</t>
  </si>
  <si>
    <t>22 Bowen Drive</t>
  </si>
  <si>
    <t>Belmont</t>
  </si>
  <si>
    <t xml:space="preserve">28012     </t>
  </si>
  <si>
    <t>Mackenzie</t>
  </si>
  <si>
    <t>Taylor, Mackenzie</t>
  </si>
  <si>
    <t>Mackenzie Taylor</t>
  </si>
  <si>
    <t>m.ashlyn1028@gmail.com</t>
  </si>
  <si>
    <t>19215 Eldridge Lane</t>
  </si>
  <si>
    <t>Southfield</t>
  </si>
  <si>
    <t xml:space="preserve">48076     </t>
  </si>
  <si>
    <t>Tieu</t>
  </si>
  <si>
    <t>Tieu, Isaac</t>
  </si>
  <si>
    <t>Isaac Tieu</t>
  </si>
  <si>
    <t>spilers0120@gmail.com</t>
  </si>
  <si>
    <t>2909 Barrowby St.</t>
  </si>
  <si>
    <t>Bakersfield</t>
  </si>
  <si>
    <t xml:space="preserve">93311     </t>
  </si>
  <si>
    <t>Tir</t>
  </si>
  <si>
    <t>Linda</t>
  </si>
  <si>
    <t>Tir, Linda</t>
  </si>
  <si>
    <t>Linda Tir</t>
  </si>
  <si>
    <t>LOTirl11@stu.lok12.org</t>
  </si>
  <si>
    <t>1100 American Elm St</t>
  </si>
  <si>
    <t>Lake Orion</t>
  </si>
  <si>
    <t xml:space="preserve">48360     </t>
  </si>
  <si>
    <t>124</t>
  </si>
  <si>
    <t>Townes</t>
  </si>
  <si>
    <t>Kwame'</t>
  </si>
  <si>
    <t>Townes, Kwame'</t>
  </si>
  <si>
    <t>Kwame' Townes</t>
  </si>
  <si>
    <t>townes.k.work@gmail.com</t>
  </si>
  <si>
    <t>154 Chatham Trce.</t>
  </si>
  <si>
    <t>Columbia</t>
  </si>
  <si>
    <t xml:space="preserve">29229     </t>
  </si>
  <si>
    <t>Tran</t>
  </si>
  <si>
    <t>Gia</t>
  </si>
  <si>
    <t>Tran, Gia</t>
  </si>
  <si>
    <t>Gia Tran</t>
  </si>
  <si>
    <t>billtrancon12@gmail.com</t>
  </si>
  <si>
    <t>17018 Sereniah Cir</t>
  </si>
  <si>
    <t>Houston</t>
  </si>
  <si>
    <t xml:space="preserve">77084     </t>
  </si>
  <si>
    <t xml:space="preserve">1350    </t>
  </si>
  <si>
    <t>Leon</t>
  </si>
  <si>
    <t>Tran, Leon</t>
  </si>
  <si>
    <t>Leon Tran</t>
  </si>
  <si>
    <t>blazgreenflame@gmail.com</t>
  </si>
  <si>
    <t>19211 N 78th Ln</t>
  </si>
  <si>
    <t>Trowbridge</t>
  </si>
  <si>
    <t>Conner</t>
  </si>
  <si>
    <t>Trowbridge, Conner</t>
  </si>
  <si>
    <t>Conner Trowbridge</t>
  </si>
  <si>
    <t>conner.trowbridge@stu.bgreen.kyschools.us</t>
  </si>
  <si>
    <t>1261 Shannon Way</t>
  </si>
  <si>
    <t>Bowling Green</t>
  </si>
  <si>
    <t xml:space="preserve">42101     </t>
  </si>
  <si>
    <t>Turpin</t>
  </si>
  <si>
    <t>Micah</t>
  </si>
  <si>
    <t>Turpin, Micah</t>
  </si>
  <si>
    <t>Micah Turpin</t>
  </si>
  <si>
    <t>mjturp2@gmail.com</t>
  </si>
  <si>
    <t>Harvey</t>
  </si>
  <si>
    <t xml:space="preserve">70058     </t>
  </si>
  <si>
    <t>Turro</t>
  </si>
  <si>
    <t>Alex</t>
  </si>
  <si>
    <t>Turro, Alex</t>
  </si>
  <si>
    <t>Alexhazim11@gmail.com</t>
  </si>
  <si>
    <t>3335 Hauck St. Apt. 2046</t>
  </si>
  <si>
    <t>Las Vegas</t>
  </si>
  <si>
    <t xml:space="preserve">89146     </t>
  </si>
  <si>
    <t>Vance</t>
  </si>
  <si>
    <t>Joseph</t>
  </si>
  <si>
    <t>Vance, Joseph</t>
  </si>
  <si>
    <t>Joseph Vance</t>
  </si>
  <si>
    <t>Jlewis0621@gmail.com</t>
  </si>
  <si>
    <t>130 Mabry Rd</t>
  </si>
  <si>
    <t>Spartanburg</t>
  </si>
  <si>
    <t xml:space="preserve">29307     </t>
  </si>
  <si>
    <t>Vanderberg</t>
  </si>
  <si>
    <t>Vanderberg, Cameron</t>
  </si>
  <si>
    <t>Cameron Vanderberg</t>
  </si>
  <si>
    <t>cameronvanderberg46@gmail.com</t>
  </si>
  <si>
    <t>254 Ryan court</t>
  </si>
  <si>
    <t>Hobart</t>
  </si>
  <si>
    <t xml:space="preserve">46342     </t>
  </si>
  <si>
    <t>Vanderniet</t>
  </si>
  <si>
    <t>Jakob</t>
  </si>
  <si>
    <t>Vanderniet, Jakob</t>
  </si>
  <si>
    <t>Jakob Vanderniet</t>
  </si>
  <si>
    <t>vajakobus@gmail.com</t>
  </si>
  <si>
    <t>5162 Alvera Dr.</t>
  </si>
  <si>
    <t>Salt Lake City</t>
  </si>
  <si>
    <t xml:space="preserve">84117     </t>
  </si>
  <si>
    <t>Vandiver</t>
  </si>
  <si>
    <t>Vandiver, Austin</t>
  </si>
  <si>
    <t>Austin Vandiver</t>
  </si>
  <si>
    <t>austin.garcia2030@gmail.com</t>
  </si>
  <si>
    <t>2712  Martin Dr, Apt 1102</t>
  </si>
  <si>
    <t>Bedford</t>
  </si>
  <si>
    <t xml:space="preserve">76021     </t>
  </si>
  <si>
    <t xml:space="preserve">1320    </t>
  </si>
  <si>
    <t>120</t>
  </si>
  <si>
    <t>Vega</t>
  </si>
  <si>
    <t>Hasam</t>
  </si>
  <si>
    <t>Vega, Hasam</t>
  </si>
  <si>
    <t>Hasam Vega</t>
  </si>
  <si>
    <t>hasam.vega0523@icloud.com</t>
  </si>
  <si>
    <t>1630 James St</t>
  </si>
  <si>
    <t>Velasquez</t>
  </si>
  <si>
    <t>Velasquez, Daniel</t>
  </si>
  <si>
    <t>Daniel Velasquez</t>
  </si>
  <si>
    <t>djandres61@gmail.com</t>
  </si>
  <si>
    <t>220 Windsor Place Cir Apt H</t>
  </si>
  <si>
    <t>Randleman</t>
  </si>
  <si>
    <t>27317-2115</t>
  </si>
  <si>
    <t>Villegas</t>
  </si>
  <si>
    <t>Villegas, Colton</t>
  </si>
  <si>
    <t>Colton Villegas</t>
  </si>
  <si>
    <t>Colton.villegas@s.demingps.org</t>
  </si>
  <si>
    <t>575 Pampas Rd Sw</t>
  </si>
  <si>
    <t>Deming</t>
  </si>
  <si>
    <t>88030-8692</t>
  </si>
  <si>
    <t>Vogel</t>
  </si>
  <si>
    <t>Vogel, Alex</t>
  </si>
  <si>
    <t>Alex Vogel</t>
  </si>
  <si>
    <t>afrogv@yahoo.com</t>
  </si>
  <si>
    <t>N4899 N Helenville Rd.</t>
  </si>
  <si>
    <t>Helenville</t>
  </si>
  <si>
    <t>WI</t>
  </si>
  <si>
    <t xml:space="preserve">53137     </t>
  </si>
  <si>
    <t>Walker</t>
  </si>
  <si>
    <t>Henry</t>
  </si>
  <si>
    <t>Walker, Henry</t>
  </si>
  <si>
    <t>Henry Walker</t>
  </si>
  <si>
    <t>skyandstuffs02@gmail.com</t>
  </si>
  <si>
    <t>73 Stone Mountain Dr.</t>
  </si>
  <si>
    <t>Conway</t>
  </si>
  <si>
    <t xml:space="preserve">72032     </t>
  </si>
  <si>
    <t>Wallace</t>
  </si>
  <si>
    <t>Aidan</t>
  </si>
  <si>
    <t>Wallace, Aidan</t>
  </si>
  <si>
    <t>Aidan Wallace</t>
  </si>
  <si>
    <t>aidan.kirk.wallace@gmail.com</t>
  </si>
  <si>
    <t>2296 McGuire Rd.</t>
  </si>
  <si>
    <t>Symsonia</t>
  </si>
  <si>
    <t>42082-9453</t>
  </si>
  <si>
    <t>Walton</t>
  </si>
  <si>
    <t>Aaron</t>
  </si>
  <si>
    <t>Walton, Aaron</t>
  </si>
  <si>
    <t>Aaron Walton</t>
  </si>
  <si>
    <t>aaron.walton2139@gmail.com</t>
  </si>
  <si>
    <t>3950 County Road 4018</t>
  </si>
  <si>
    <t xml:space="preserve">75966     </t>
  </si>
  <si>
    <t>Watson</t>
  </si>
  <si>
    <t>Watson, Austin</t>
  </si>
  <si>
    <t>Austin Watson</t>
  </si>
  <si>
    <t>austin.watson91102@gmail.com</t>
  </si>
  <si>
    <t>106 Front Street</t>
  </si>
  <si>
    <t>Bardwell</t>
  </si>
  <si>
    <t xml:space="preserve">42023     </t>
  </si>
  <si>
    <t>Watson, James</t>
  </si>
  <si>
    <t>James Watson</t>
  </si>
  <si>
    <t>james.watson4798@gmail.com</t>
  </si>
  <si>
    <t xml:space="preserve">HS2016  </t>
  </si>
  <si>
    <t>Weese</t>
  </si>
  <si>
    <t>Josie</t>
  </si>
  <si>
    <t>Weese, Josie</t>
  </si>
  <si>
    <t>Josie Weese</t>
  </si>
  <si>
    <t>josie.n.weese@gmail.com</t>
  </si>
  <si>
    <t>1475 Stoneham St</t>
  </si>
  <si>
    <t>Superior</t>
  </si>
  <si>
    <t xml:space="preserve">80027     </t>
  </si>
  <si>
    <t xml:space="preserve">1130    </t>
  </si>
  <si>
    <t>Weller</t>
  </si>
  <si>
    <t>Wyatt</t>
  </si>
  <si>
    <t>Weller, Wyatt</t>
  </si>
  <si>
    <t>Wyatt Weller</t>
  </si>
  <si>
    <t>wyattzyatt@gmail.com</t>
  </si>
  <si>
    <t>34 Chip Court</t>
  </si>
  <si>
    <t>Wescoat</t>
  </si>
  <si>
    <t>Donovan</t>
  </si>
  <si>
    <t>Wescoat, Donovan</t>
  </si>
  <si>
    <t>Donovan Wescoat</t>
  </si>
  <si>
    <t>Wescoat85@gmail.com</t>
  </si>
  <si>
    <t>3249 E. Wilson Rd.</t>
  </si>
  <si>
    <t>Clio</t>
  </si>
  <si>
    <t xml:space="preserve">48420     </t>
  </si>
  <si>
    <t>85</t>
  </si>
  <si>
    <t>Wheeler</t>
  </si>
  <si>
    <t>Nehemiah</t>
  </si>
  <si>
    <t>Wheeler, Nehemiah</t>
  </si>
  <si>
    <t>nehemiah1280@gmail.com</t>
  </si>
  <si>
    <t>119 Carondolet Ct N</t>
  </si>
  <si>
    <t>Mobile</t>
  </si>
  <si>
    <t>36608-5716</t>
  </si>
  <si>
    <t>Whitehead</t>
  </si>
  <si>
    <t>Amanda</t>
  </si>
  <si>
    <t>Whitehead, Amanda</t>
  </si>
  <si>
    <t>Amanda Whitehead</t>
  </si>
  <si>
    <t>aw40036@ocsd5.net</t>
  </si>
  <si>
    <t>1707 Az Rd</t>
  </si>
  <si>
    <t>North</t>
  </si>
  <si>
    <t>29112-9122</t>
  </si>
  <si>
    <t>Williams</t>
  </si>
  <si>
    <t>Ashton</t>
  </si>
  <si>
    <t>Williams, Ashton</t>
  </si>
  <si>
    <t>ashton9201@gmail.com</t>
  </si>
  <si>
    <t>2831 Cane Creek Rd</t>
  </si>
  <si>
    <t>Centerville</t>
  </si>
  <si>
    <t xml:space="preserve">37033     </t>
  </si>
  <si>
    <t>Deverell</t>
  </si>
  <si>
    <t>Williams, Deverell</t>
  </si>
  <si>
    <t>devrat12345@gmail.com</t>
  </si>
  <si>
    <t>1337 Edison Street</t>
  </si>
  <si>
    <t>Dayton</t>
  </si>
  <si>
    <t xml:space="preserve">45417     </t>
  </si>
  <si>
    <t>Jaiden</t>
  </si>
  <si>
    <t>Williams, Jaiden</t>
  </si>
  <si>
    <t>Jaiden Williams</t>
  </si>
  <si>
    <t>darkphoenix845@gmail.com</t>
  </si>
  <si>
    <t>3152 Alison Dr</t>
  </si>
  <si>
    <t xml:space="preserve">36116     </t>
  </si>
  <si>
    <t>Mearah</t>
  </si>
  <si>
    <t>Williams, Mearah</t>
  </si>
  <si>
    <t>Mearah Williams</t>
  </si>
  <si>
    <t>iamahiddenpotato@gmail.com</t>
  </si>
  <si>
    <t>1849 N Josey Ln Apt G</t>
  </si>
  <si>
    <t xml:space="preserve">75006     </t>
  </si>
  <si>
    <t>Shaquan</t>
  </si>
  <si>
    <t>Williams, Shaquan</t>
  </si>
  <si>
    <t>Shaquan Williams</t>
  </si>
  <si>
    <t>Shaquanhackney12@gmail.com</t>
  </si>
  <si>
    <t>4105 Amber Stone Way</t>
  </si>
  <si>
    <t>Durham</t>
  </si>
  <si>
    <t xml:space="preserve">23704     </t>
  </si>
  <si>
    <t xml:space="preserve">14      </t>
  </si>
  <si>
    <t>Wilson</t>
  </si>
  <si>
    <t>Alexander</t>
  </si>
  <si>
    <t>Wilson, Alexander</t>
  </si>
  <si>
    <t>Alexander Wilson</t>
  </si>
  <si>
    <t>alexwilson919@gmail.com</t>
  </si>
  <si>
    <t>640 Meadowbrook Lane</t>
  </si>
  <si>
    <t>Lake Zurich</t>
  </si>
  <si>
    <t xml:space="preserve">60047     </t>
  </si>
  <si>
    <t>Winegar</t>
  </si>
  <si>
    <t>Alivia</t>
  </si>
  <si>
    <t>Winegar, Alivia</t>
  </si>
  <si>
    <t>Alivia Winegar</t>
  </si>
  <si>
    <t>raewinegar@gmail.com</t>
  </si>
  <si>
    <t>878 South West Redview Drive</t>
  </si>
  <si>
    <t xml:space="preserve">84754     </t>
  </si>
  <si>
    <t>Winters</t>
  </si>
  <si>
    <t>Dylan</t>
  </si>
  <si>
    <t>Winters, Dylan</t>
  </si>
  <si>
    <t>Dylan Winters</t>
  </si>
  <si>
    <t>Jo3MC0y@gmail.com</t>
  </si>
  <si>
    <t>7779 N Artesiano Rd</t>
  </si>
  <si>
    <t>Tucson</t>
  </si>
  <si>
    <t xml:space="preserve">85743     </t>
  </si>
  <si>
    <t>Wishon</t>
  </si>
  <si>
    <t>Wishon, Hannah</t>
  </si>
  <si>
    <t>hannahwishon@gmail.com</t>
  </si>
  <si>
    <t>806 Roundtop Court, APT 1B</t>
  </si>
  <si>
    <t>Lutherville</t>
  </si>
  <si>
    <t>MD</t>
  </si>
  <si>
    <t xml:space="preserve">21093     </t>
  </si>
  <si>
    <t>Worley</t>
  </si>
  <si>
    <t>Worley, Alexander</t>
  </si>
  <si>
    <t>Alexander Worley</t>
  </si>
  <si>
    <t>aworley7501@gmail.com</t>
  </si>
  <si>
    <t>2336 Ranburn Drive</t>
  </si>
  <si>
    <t>Gary</t>
  </si>
  <si>
    <t xml:space="preserve">46408     </t>
  </si>
  <si>
    <t xml:space="preserve">970     </t>
  </si>
  <si>
    <t>Wright</t>
  </si>
  <si>
    <t>Sara</t>
  </si>
  <si>
    <t>Wright, Sara</t>
  </si>
  <si>
    <t>Nightmare2414@gmail.com</t>
  </si>
  <si>
    <t>1298 East 900 South</t>
  </si>
  <si>
    <t>Provo</t>
  </si>
  <si>
    <t xml:space="preserve">84606     </t>
  </si>
  <si>
    <t>Xiao</t>
  </si>
  <si>
    <t>Kelly</t>
  </si>
  <si>
    <t>Xiao, Kelly</t>
  </si>
  <si>
    <t>Kelly Xiao</t>
  </si>
  <si>
    <t>Xiaokelly02@gmail.com</t>
  </si>
  <si>
    <t>1241 Artesa dr</t>
  </si>
  <si>
    <t>Marrero</t>
  </si>
  <si>
    <t xml:space="preserve">70072     </t>
  </si>
  <si>
    <t>Young</t>
  </si>
  <si>
    <t>Corey</t>
  </si>
  <si>
    <t>Young, Corey</t>
  </si>
  <si>
    <t>Corey Young</t>
  </si>
  <si>
    <t>coreyyoung794@gmail.com</t>
  </si>
  <si>
    <t>4111 Amherst Lane</t>
  </si>
  <si>
    <t>Rockford</t>
  </si>
  <si>
    <t xml:space="preserve">61109     </t>
  </si>
  <si>
    <t>79</t>
  </si>
  <si>
    <t>Yudiche</t>
  </si>
  <si>
    <t>Andy</t>
  </si>
  <si>
    <t>Yudiche, Andy</t>
  </si>
  <si>
    <t>Andy Yudiche</t>
  </si>
  <si>
    <t>andyyudiche@gmail.com</t>
  </si>
  <si>
    <t>827 Paradise Road</t>
  </si>
  <si>
    <t>Baytown</t>
  </si>
  <si>
    <t xml:space="preserve">77521     </t>
  </si>
  <si>
    <t>Zacarias</t>
  </si>
  <si>
    <t>Zacarias, Williams</t>
  </si>
  <si>
    <t>Williams Zacarias</t>
  </si>
  <si>
    <t>zacariaswilliams47@gmail.com</t>
  </si>
  <si>
    <t>8711 W. Flower St.</t>
  </si>
  <si>
    <t xml:space="preserve">85037     </t>
  </si>
  <si>
    <t>Zheng</t>
  </si>
  <si>
    <t>Addison</t>
  </si>
  <si>
    <t>Zheng, Addison</t>
  </si>
  <si>
    <t>Addison Zheng</t>
  </si>
  <si>
    <t>addisonsubtract@gmail.com</t>
  </si>
  <si>
    <t>64 Magness Creek Dr</t>
  </si>
  <si>
    <t>Cabot</t>
  </si>
  <si>
    <t xml:space="preserve">72023     </t>
  </si>
  <si>
    <t>address</t>
  </si>
  <si>
    <t>city</t>
  </si>
  <si>
    <t>state</t>
  </si>
  <si>
    <t>zip</t>
  </si>
  <si>
    <t>SDD</t>
  </si>
  <si>
    <t>Abraha</t>
  </si>
  <si>
    <t>Yonas</t>
  </si>
  <si>
    <t>Abraha, Yonas</t>
  </si>
  <si>
    <t>Yonas Abraha</t>
  </si>
  <si>
    <t>Y</t>
  </si>
  <si>
    <t>yonasabraha11b@gmail.com</t>
  </si>
  <si>
    <t>1104 West 37th Pl. Apt. 110</t>
  </si>
  <si>
    <t>Leslie Tippets</t>
  </si>
  <si>
    <t>ltippets@neumont.edu</t>
  </si>
  <si>
    <t>Acosta</t>
  </si>
  <si>
    <t>Megan</t>
  </si>
  <si>
    <t>Acosta, Megan</t>
  </si>
  <si>
    <t>Megan Acosta</t>
  </si>
  <si>
    <t>meganacosta150@gmail.com</t>
  </si>
  <si>
    <t>1590 Linda Rosa Avenue</t>
  </si>
  <si>
    <t xml:space="preserve">90041     </t>
  </si>
  <si>
    <t>Aguilar</t>
  </si>
  <si>
    <t>Jewel</t>
  </si>
  <si>
    <t>Aguilar, Jewel</t>
  </si>
  <si>
    <t>Jewel Aguilar</t>
  </si>
  <si>
    <t>jewroo1224@yahoo.com</t>
  </si>
  <si>
    <t>790 North 3600 East</t>
  </si>
  <si>
    <t>Menan</t>
  </si>
  <si>
    <t xml:space="preserve">83434     </t>
  </si>
  <si>
    <t>Jose Antonio</t>
  </si>
  <si>
    <t>Aguilar, Jose Antonio</t>
  </si>
  <si>
    <t>Jose Antonio Aguilar</t>
  </si>
  <si>
    <t>joseaguilarbusiness@gmail.com</t>
  </si>
  <si>
    <t>248 Mardi Gras Dr</t>
  </si>
  <si>
    <t xml:space="preserve">79912     </t>
  </si>
  <si>
    <t>Ajaj</t>
  </si>
  <si>
    <t>Khaled</t>
  </si>
  <si>
    <t>Ajaj, Khaled</t>
  </si>
  <si>
    <t>Khaled Ajaj</t>
  </si>
  <si>
    <t>khaledajaj20026@gmail.com</t>
  </si>
  <si>
    <t>21022 Los Alisos Blvd. Apt# 824</t>
  </si>
  <si>
    <t>Rancho Santa Margarita</t>
  </si>
  <si>
    <t xml:space="preserve">92688     </t>
  </si>
  <si>
    <t>Al-Jaafari</t>
  </si>
  <si>
    <t>Omar</t>
  </si>
  <si>
    <t>Al-Jaafari, Omar</t>
  </si>
  <si>
    <t>Omar Al-Jaafari</t>
  </si>
  <si>
    <t>omariopiano06@gmail.com</t>
  </si>
  <si>
    <t>3895 W Brixton Rd.</t>
  </si>
  <si>
    <t>Taylorsville</t>
  </si>
  <si>
    <t xml:space="preserve">84129     </t>
  </si>
  <si>
    <t>Allen</t>
  </si>
  <si>
    <t>Allen, Aidan</t>
  </si>
  <si>
    <t>Aidan Allen</t>
  </si>
  <si>
    <t>rageallen01@hotmail.com</t>
  </si>
  <si>
    <t>1521 Park Height Street</t>
  </si>
  <si>
    <t>Miami</t>
  </si>
  <si>
    <t xml:space="preserve">74354     </t>
  </si>
  <si>
    <t>Brooke</t>
  </si>
  <si>
    <t>Allen, Brooke</t>
  </si>
  <si>
    <t>Brooke Allen</t>
  </si>
  <si>
    <t>20allenb@msad17.org</t>
  </si>
  <si>
    <t>13 Higgins Rd</t>
  </si>
  <si>
    <t>Waterford</t>
  </si>
  <si>
    <t>ME</t>
  </si>
  <si>
    <t xml:space="preserve">04088     </t>
  </si>
  <si>
    <t>Jayden</t>
  </si>
  <si>
    <t>Allen, Jayden</t>
  </si>
  <si>
    <t>Jayden Allen</t>
  </si>
  <si>
    <t>jaydenman3@gmail.com</t>
  </si>
  <si>
    <t>3200 Old Winter Garden Road Apt.1524</t>
  </si>
  <si>
    <t>Ocoee</t>
  </si>
  <si>
    <t xml:space="preserve">34761     </t>
  </si>
  <si>
    <t>Ameigh</t>
  </si>
  <si>
    <t>Zachary</t>
  </si>
  <si>
    <t>Ameigh, Zachary</t>
  </si>
  <si>
    <t>Zachary Ameigh</t>
  </si>
  <si>
    <t>zameigh@gmail.com</t>
  </si>
  <si>
    <t>2415 Trinity Ave</t>
  </si>
  <si>
    <t>Cortez</t>
  </si>
  <si>
    <t xml:space="preserve">81321     </t>
  </si>
  <si>
    <t>Anderson</t>
  </si>
  <si>
    <t>Sonny</t>
  </si>
  <si>
    <t>Anderson, Sonny</t>
  </si>
  <si>
    <t>Sonny Anderson</t>
  </si>
  <si>
    <t>sanderson.vcusd@gmail.com</t>
  </si>
  <si>
    <t>106 Dyer Ct.</t>
  </si>
  <si>
    <t>Vallejo</t>
  </si>
  <si>
    <t xml:space="preserve">94591     </t>
  </si>
  <si>
    <t>Andreason</t>
  </si>
  <si>
    <t>Andreason, Ezekiel</t>
  </si>
  <si>
    <t>Ezekiel Andreason</t>
  </si>
  <si>
    <t>zekeandreason@gmail.com</t>
  </si>
  <si>
    <t>290 E 4000 N</t>
  </si>
  <si>
    <t xml:space="preserve">84604     </t>
  </si>
  <si>
    <t>Arreaga</t>
  </si>
  <si>
    <t>Eddie</t>
  </si>
  <si>
    <t>Arreaga, Eddie</t>
  </si>
  <si>
    <t>Eddie Arreaga</t>
  </si>
  <si>
    <t>EDArreaga@outlook.com</t>
  </si>
  <si>
    <t>12410 Longbrook Dr</t>
  </si>
  <si>
    <t xml:space="preserve">77099     </t>
  </si>
  <si>
    <t>Atkins</t>
  </si>
  <si>
    <t>Antonio</t>
  </si>
  <si>
    <t>Atkins, Antonio</t>
  </si>
  <si>
    <t>Antonio Atkins</t>
  </si>
  <si>
    <t>antonioatkins4@gmail.com</t>
  </si>
  <si>
    <t>Bagley</t>
  </si>
  <si>
    <t>Bagley, Jonathan</t>
  </si>
  <si>
    <t>Jonathan Bagley</t>
  </si>
  <si>
    <t>bagleyj57@gmail.com</t>
  </si>
  <si>
    <t>1761 East Del Rio Street</t>
  </si>
  <si>
    <t>Gilbert</t>
  </si>
  <si>
    <t xml:space="preserve">85295     </t>
  </si>
  <si>
    <t>Bailey</t>
  </si>
  <si>
    <t>Bailey, Donovan</t>
  </si>
  <si>
    <t>Donovan Bailey</t>
  </si>
  <si>
    <t>djbailey19@protonmail.com</t>
  </si>
  <si>
    <t>467 Tonawanda Lake Road</t>
  </si>
  <si>
    <t>Spout Spring</t>
  </si>
  <si>
    <t xml:space="preserve">24593     </t>
  </si>
  <si>
    <t>Jace</t>
  </si>
  <si>
    <t>Bailey, Jace</t>
  </si>
  <si>
    <t>Jace Bailey</t>
  </si>
  <si>
    <t>Jacebaileysc@gmail.com</t>
  </si>
  <si>
    <t>27656 Brookshire Circle</t>
  </si>
  <si>
    <t xml:space="preserve">92585     </t>
  </si>
  <si>
    <t>Bailey, Logan</t>
  </si>
  <si>
    <t>Logan Bailey</t>
  </si>
  <si>
    <t>pumabailey08@gmail.com</t>
  </si>
  <si>
    <t>217 W. Main</t>
  </si>
  <si>
    <t>Spring Arbor</t>
  </si>
  <si>
    <t xml:space="preserve">49283     </t>
  </si>
  <si>
    <t>Barajas</t>
  </si>
  <si>
    <t>Barajas, Carlos</t>
  </si>
  <si>
    <t>Carlos Barajas</t>
  </si>
  <si>
    <t>carlosbarajas2929@gmail.com</t>
  </si>
  <si>
    <t>19401 Se Yamhill St</t>
  </si>
  <si>
    <t>Portland</t>
  </si>
  <si>
    <t>97233-5948</t>
  </si>
  <si>
    <t>Barbee</t>
  </si>
  <si>
    <t>Dalan</t>
  </si>
  <si>
    <t>Barbee, Dalan</t>
  </si>
  <si>
    <t>Dalan Barbee</t>
  </si>
  <si>
    <t>dalan.barbee@gmail.com</t>
  </si>
  <si>
    <t>981 W 1300 S</t>
  </si>
  <si>
    <t>Woods Cross</t>
  </si>
  <si>
    <t xml:space="preserve">84087     </t>
  </si>
  <si>
    <t>Barnes</t>
  </si>
  <si>
    <t>Jyrez</t>
  </si>
  <si>
    <t>Barnes, Jyrez</t>
  </si>
  <si>
    <t>Jyrez Barnes</t>
  </si>
  <si>
    <t>jyrezb@gmail.com</t>
  </si>
  <si>
    <t>1223 Jessie St.</t>
  </si>
  <si>
    <t xml:space="preserve">36617     </t>
  </si>
  <si>
    <t>Barrett</t>
  </si>
  <si>
    <t>Donavin</t>
  </si>
  <si>
    <t>Barrett, Donavin</t>
  </si>
  <si>
    <t>Donavin Barrett</t>
  </si>
  <si>
    <t>donavin.barrett@gmail.com</t>
  </si>
  <si>
    <t>6264 Baileya Ave.</t>
  </si>
  <si>
    <t>Twentynine Palms</t>
  </si>
  <si>
    <t xml:space="preserve">92277     </t>
  </si>
  <si>
    <t>Bates</t>
  </si>
  <si>
    <t>Liam</t>
  </si>
  <si>
    <t>Bates, Liam</t>
  </si>
  <si>
    <t>Liam Bates</t>
  </si>
  <si>
    <t>liamfbates@outlook.com</t>
  </si>
  <si>
    <t>1618 Morningside Avenue</t>
  </si>
  <si>
    <t>Pittsburgh</t>
  </si>
  <si>
    <t xml:space="preserve">15206     </t>
  </si>
  <si>
    <t>Baxter</t>
  </si>
  <si>
    <t>Brett</t>
  </si>
  <si>
    <t>Baxter, Brett</t>
  </si>
  <si>
    <t>Brett Baxter</t>
  </si>
  <si>
    <t>brettbaxter1@hotmail.com</t>
  </si>
  <si>
    <t>770 East Ponderosa Drive</t>
  </si>
  <si>
    <t>Sandy</t>
  </si>
  <si>
    <t xml:space="preserve">84094     </t>
  </si>
  <si>
    <t>Beccaria</t>
  </si>
  <si>
    <t>Alec</t>
  </si>
  <si>
    <t>Beccaria, Alec</t>
  </si>
  <si>
    <t>Alec Beccaria</t>
  </si>
  <si>
    <t>abecc2255@gmail.com</t>
  </si>
  <si>
    <t>856 Park Ave.</t>
  </si>
  <si>
    <t>Worland</t>
  </si>
  <si>
    <t>WY</t>
  </si>
  <si>
    <t xml:space="preserve">82401     </t>
  </si>
  <si>
    <t>Beckwith</t>
  </si>
  <si>
    <t>Jameson</t>
  </si>
  <si>
    <t>Beckwith, Jameson</t>
  </si>
  <si>
    <t>Jameson Beckwith</t>
  </si>
  <si>
    <t>jebeck595@gmail.com</t>
  </si>
  <si>
    <t>2688 Cattle Drive</t>
  </si>
  <si>
    <t>Cheyenne</t>
  </si>
  <si>
    <t xml:space="preserve">82009     </t>
  </si>
  <si>
    <t>Belfry</t>
  </si>
  <si>
    <t>Cole</t>
  </si>
  <si>
    <t>Belfry, Cole</t>
  </si>
  <si>
    <t>Cole Belfry</t>
  </si>
  <si>
    <t>belfryco1@wsdstudent.net</t>
  </si>
  <si>
    <t>982W 4000N</t>
  </si>
  <si>
    <t>Pleasant View</t>
  </si>
  <si>
    <t xml:space="preserve">84414     </t>
  </si>
  <si>
    <t>Bell</t>
  </si>
  <si>
    <t>Shunnysty</t>
  </si>
  <si>
    <t>Bell, Shunnysty</t>
  </si>
  <si>
    <t>Shunnysty Bell</t>
  </si>
  <si>
    <t>shunnystybell@gmail.com</t>
  </si>
  <si>
    <t>900 Wheeler Ave N Apt 803</t>
  </si>
  <si>
    <t>Douglas</t>
  </si>
  <si>
    <t>31533-3844</t>
  </si>
  <si>
    <t>Benitez</t>
  </si>
  <si>
    <t>Benitez, Daniel</t>
  </si>
  <si>
    <t>Daniel Benitez</t>
  </si>
  <si>
    <t>danielobe.12@icloud.com</t>
  </si>
  <si>
    <t>17701 S. Avalon Blvd Spc 326</t>
  </si>
  <si>
    <t>Carson</t>
  </si>
  <si>
    <t xml:space="preserve">90746     </t>
  </si>
  <si>
    <t>Bennett</t>
  </si>
  <si>
    <t>Jade</t>
  </si>
  <si>
    <t>Bennett, Jade</t>
  </si>
  <si>
    <t>Jade Bennett</t>
  </si>
  <si>
    <t>jadebennett248@gmail.com</t>
  </si>
  <si>
    <t>123 Savannah Ct</t>
  </si>
  <si>
    <t>Byron</t>
  </si>
  <si>
    <t xml:space="preserve">31008     </t>
  </si>
  <si>
    <t>Beohourou</t>
  </si>
  <si>
    <t>Calixte</t>
  </si>
  <si>
    <t>Beohourou, Calixte</t>
  </si>
  <si>
    <t>Calixte Beohourou</t>
  </si>
  <si>
    <t>calixtebeohourou24@gmail.com</t>
  </si>
  <si>
    <t>1641 E 122nd st</t>
  </si>
  <si>
    <t xml:space="preserve">90059     </t>
  </si>
  <si>
    <t>Berlanga</t>
  </si>
  <si>
    <t>Arden</t>
  </si>
  <si>
    <t>Berlanga, Arden</t>
  </si>
  <si>
    <t>Arden Berlanga</t>
  </si>
  <si>
    <t>arden.berlanga@gmail.com</t>
  </si>
  <si>
    <t>3509 Flagler Ave</t>
  </si>
  <si>
    <t>Key West</t>
  </si>
  <si>
    <t>33040-4609</t>
  </si>
  <si>
    <t>Berry</t>
  </si>
  <si>
    <t>Berry, Emily</t>
  </si>
  <si>
    <t>Emily Berry</t>
  </si>
  <si>
    <t>crazykittym@gmail.com</t>
  </si>
  <si>
    <t>1705 Tudor Dr</t>
  </si>
  <si>
    <t>73160-1417</t>
  </si>
  <si>
    <t>Bigelow</t>
  </si>
  <si>
    <t>Gabriel</t>
  </si>
  <si>
    <t>Bigelow, Gabriel</t>
  </si>
  <si>
    <t>Gabriel Bigelow</t>
  </si>
  <si>
    <t>goofygabe25@outlook.com</t>
  </si>
  <si>
    <t>P.O. Box 220638</t>
  </si>
  <si>
    <t>Centerfield</t>
  </si>
  <si>
    <t xml:space="preserve">84622     </t>
  </si>
  <si>
    <t>Bitselley-Romo</t>
  </si>
  <si>
    <t>Nata'ani</t>
  </si>
  <si>
    <t>Bitselley-Romo, Nata'ani</t>
  </si>
  <si>
    <t>Nata'ani Bitselley-Romo</t>
  </si>
  <si>
    <t>natah0303@gmail.com</t>
  </si>
  <si>
    <t>308 Reid Ct N</t>
  </si>
  <si>
    <t xml:space="preserve">28540     </t>
  </si>
  <si>
    <t>Blake</t>
  </si>
  <si>
    <t>Brady</t>
  </si>
  <si>
    <t>Blake, Brady</t>
  </si>
  <si>
    <t>Brady Blake</t>
  </si>
  <si>
    <t>blakebrady59@gmail.com</t>
  </si>
  <si>
    <t>123 Spring Alley</t>
  </si>
  <si>
    <t>Waynesburg</t>
  </si>
  <si>
    <t xml:space="preserve">15370     </t>
  </si>
  <si>
    <t>Bland</t>
  </si>
  <si>
    <t>Alexandra</t>
  </si>
  <si>
    <t>Bland, Alexandra</t>
  </si>
  <si>
    <t>Alexandra Bland</t>
  </si>
  <si>
    <t>blandlexi009@gmail.com</t>
  </si>
  <si>
    <t>531 Washington Street</t>
  </si>
  <si>
    <t>Newell</t>
  </si>
  <si>
    <t>WV</t>
  </si>
  <si>
    <t xml:space="preserve">26050     </t>
  </si>
  <si>
    <t>Booher</t>
  </si>
  <si>
    <t>Joshua</t>
  </si>
  <si>
    <t>Booher, Joshua</t>
  </si>
  <si>
    <t>Joshua Booher</t>
  </si>
  <si>
    <t>joshuabooher46@gmail.com</t>
  </si>
  <si>
    <t>106 Ronald Dr</t>
  </si>
  <si>
    <t>Sarver</t>
  </si>
  <si>
    <t>16055-9746</t>
  </si>
  <si>
    <t>Bott</t>
  </si>
  <si>
    <t>Kyros</t>
  </si>
  <si>
    <t>Bott, Kyros</t>
  </si>
  <si>
    <t>Kyros Bott</t>
  </si>
  <si>
    <t>helgrind56@gmail.com</t>
  </si>
  <si>
    <t>1501 Roberts Cove Rd</t>
  </si>
  <si>
    <t>Crowley</t>
  </si>
  <si>
    <t xml:space="preserve">70526     </t>
  </si>
  <si>
    <t>Bouvier</t>
  </si>
  <si>
    <t>Stephanie</t>
  </si>
  <si>
    <t>Bouvier, Stephanie</t>
  </si>
  <si>
    <t>Stephanie Bouvier</t>
  </si>
  <si>
    <t>stephaniebroarmy@gmail.com</t>
  </si>
  <si>
    <t>1319 Oakridge Estates Dr, 11</t>
  </si>
  <si>
    <t>Saint Clair</t>
  </si>
  <si>
    <t xml:space="preserve">63077     </t>
  </si>
  <si>
    <t>Brackbill</t>
  </si>
  <si>
    <t>Victoria</t>
  </si>
  <si>
    <t>Brackbill, Victoria</t>
  </si>
  <si>
    <t>Victoria Brackbill</t>
  </si>
  <si>
    <t>torib2002@gmail.com</t>
  </si>
  <si>
    <t>362 Neals Lane</t>
  </si>
  <si>
    <t>Gallatin</t>
  </si>
  <si>
    <t xml:space="preserve">37066     </t>
  </si>
  <si>
    <t>x</t>
  </si>
  <si>
    <t>Bravo</t>
  </si>
  <si>
    <t>Oscar</t>
  </si>
  <si>
    <t>Bravo, Oscar</t>
  </si>
  <si>
    <t>Oscar Bravo</t>
  </si>
  <si>
    <t>oscarbravo365@gmail.com</t>
  </si>
  <si>
    <t>1024 West 24th Street, apt.203</t>
  </si>
  <si>
    <t>Britt</t>
  </si>
  <si>
    <t>Jadarian</t>
  </si>
  <si>
    <t>Britt, Jadarian</t>
  </si>
  <si>
    <t>Jadarian Britt</t>
  </si>
  <si>
    <t>jadarianbritt794782@icloud.com</t>
  </si>
  <si>
    <t>6710 Brimridge Lane</t>
  </si>
  <si>
    <t xml:space="preserve">77048     </t>
  </si>
  <si>
    <t>Brockmeyer</t>
  </si>
  <si>
    <t>Brockmeyer, David</t>
  </si>
  <si>
    <t>David Brockmeyer</t>
  </si>
  <si>
    <t>Brockmeyerdavid@gmail.com</t>
  </si>
  <si>
    <t>1401 Carole Cir</t>
  </si>
  <si>
    <t>Altus</t>
  </si>
  <si>
    <t xml:space="preserve">73521     </t>
  </si>
  <si>
    <t>Sakura</t>
  </si>
  <si>
    <t>Brockmeyer, Sakura</t>
  </si>
  <si>
    <t>Sakura Brockmeyer</t>
  </si>
  <si>
    <t>sakurabrockmeyer@yahoo.com</t>
  </si>
  <si>
    <t>1401 Carole Circle</t>
  </si>
  <si>
    <t>Brown</t>
  </si>
  <si>
    <t>Brown, Aaron</t>
  </si>
  <si>
    <t>Aaron Brown</t>
  </si>
  <si>
    <t>aaronbrown57@yahoo.com</t>
  </si>
  <si>
    <t>178 Calico Loop</t>
  </si>
  <si>
    <t>Grantville</t>
  </si>
  <si>
    <t xml:space="preserve">30220     </t>
  </si>
  <si>
    <t>Jayson</t>
  </si>
  <si>
    <t>Brown, Jayson</t>
  </si>
  <si>
    <t>Jayson Brown</t>
  </si>
  <si>
    <t>jayman11279@gmail.com</t>
  </si>
  <si>
    <t>1217 Everwood Drive SW</t>
  </si>
  <si>
    <t>Marietta</t>
  </si>
  <si>
    <t xml:space="preserve">30008     </t>
  </si>
  <si>
    <t>Bruce</t>
  </si>
  <si>
    <t>Bruce, Michael</t>
  </si>
  <si>
    <t>Michael Bruce</t>
  </si>
  <si>
    <t>timekeeper205@gmail.com</t>
  </si>
  <si>
    <t>Wagoner</t>
  </si>
  <si>
    <t xml:space="preserve">74467     </t>
  </si>
  <si>
    <t>Bui</t>
  </si>
  <si>
    <t>Louis</t>
  </si>
  <si>
    <t>Bui, Louis</t>
  </si>
  <si>
    <t>Louis Bui</t>
  </si>
  <si>
    <t>kima126@hotmail.com</t>
  </si>
  <si>
    <t>120 E Acorn Hill Dr</t>
  </si>
  <si>
    <t>Olyphant</t>
  </si>
  <si>
    <t xml:space="preserve">18447     </t>
  </si>
  <si>
    <t>Bui, Richard</t>
  </si>
  <si>
    <t>Richard Bui</t>
  </si>
  <si>
    <t>RBUI467@GMAIL.COM</t>
  </si>
  <si>
    <t>4031 N 15Th St</t>
  </si>
  <si>
    <t>Lincoln</t>
  </si>
  <si>
    <t>68521-1908</t>
  </si>
  <si>
    <t>Bunn</t>
  </si>
  <si>
    <t>Kelson</t>
  </si>
  <si>
    <t>Bunn, Kelson</t>
  </si>
  <si>
    <t>Kelson Bunn</t>
  </si>
  <si>
    <t>kelsonbunn@gmail.com</t>
  </si>
  <si>
    <t>196 Caswell Ave</t>
  </si>
  <si>
    <t>Twin Falls</t>
  </si>
  <si>
    <t xml:space="preserve">83301     </t>
  </si>
  <si>
    <t>Bunn, Mitchell</t>
  </si>
  <si>
    <t>Mitchell Bunn</t>
  </si>
  <si>
    <t>bunnmitchell@gmail.com</t>
  </si>
  <si>
    <t>6166 McCue Rd</t>
  </si>
  <si>
    <t>Holt</t>
  </si>
  <si>
    <t>48842-9658</t>
  </si>
  <si>
    <t>Burling</t>
  </si>
  <si>
    <t>Lon</t>
  </si>
  <si>
    <t>Burling, Lon</t>
  </si>
  <si>
    <t>Lon Burling</t>
  </si>
  <si>
    <t>fudgebars2@gmail.com</t>
  </si>
  <si>
    <t>2055 Lafrance</t>
  </si>
  <si>
    <t>Oregon</t>
  </si>
  <si>
    <t xml:space="preserve">43616     </t>
  </si>
  <si>
    <t>Burri</t>
  </si>
  <si>
    <t>Burri, Colby</t>
  </si>
  <si>
    <t>Colby Burri</t>
  </si>
  <si>
    <t>colbyburri@gmail.com</t>
  </si>
  <si>
    <t>1430 Bel Air Ave</t>
  </si>
  <si>
    <t>Alliance</t>
  </si>
  <si>
    <t>69301-2308</t>
  </si>
  <si>
    <t>Burtrum</t>
  </si>
  <si>
    <t>Kathleen</t>
  </si>
  <si>
    <t>Burtrum, Kathleen</t>
  </si>
  <si>
    <t>Kathleen Burtrum</t>
  </si>
  <si>
    <t>kitburtrum@yahoo.com</t>
  </si>
  <si>
    <t>1404 Dst NE</t>
  </si>
  <si>
    <t>miami</t>
  </si>
  <si>
    <t>Bush</t>
  </si>
  <si>
    <t>Benjamin</t>
  </si>
  <si>
    <t>Bush, Benjamin</t>
  </si>
  <si>
    <t>Benjamin Bush</t>
  </si>
  <si>
    <t>benjaminbush617@gmail.com</t>
  </si>
  <si>
    <t>125 Hoyt Street</t>
  </si>
  <si>
    <t>Owosso</t>
  </si>
  <si>
    <t xml:space="preserve">48867     </t>
  </si>
  <si>
    <t>Calabrese</t>
  </si>
  <si>
    <t>Kathryn</t>
  </si>
  <si>
    <t>Calabrese, Kathryn</t>
  </si>
  <si>
    <t>Kathryn Calabrese</t>
  </si>
  <si>
    <t>cheisc13q@gmail.com</t>
  </si>
  <si>
    <t>28 Country Walk</t>
  </si>
  <si>
    <t>Shelton</t>
  </si>
  <si>
    <t xml:space="preserve">06484     </t>
  </si>
  <si>
    <t>Cao</t>
  </si>
  <si>
    <t>Cao, James</t>
  </si>
  <si>
    <t>James Cao</t>
  </si>
  <si>
    <t>jamesc1137@gmail.com</t>
  </si>
  <si>
    <t>515 Golden Rod Dr</t>
  </si>
  <si>
    <t xml:space="preserve">71303     </t>
  </si>
  <si>
    <t>Carpenter-Slone</t>
  </si>
  <si>
    <t>Drevan</t>
  </si>
  <si>
    <t>Carpenter-Slone, Drevan</t>
  </si>
  <si>
    <t>Drevan Carpenter-Slone</t>
  </si>
  <si>
    <t>dcarpenterslone@gmail.com</t>
  </si>
  <si>
    <t>207 S. Patterson St.</t>
  </si>
  <si>
    <t>Forest</t>
  </si>
  <si>
    <t xml:space="preserve">45843     </t>
  </si>
  <si>
    <t>Carrillo</t>
  </si>
  <si>
    <t>Fernando</t>
  </si>
  <si>
    <t>Carrillo, Fernando</t>
  </si>
  <si>
    <t>Fernando Carrillo</t>
  </si>
  <si>
    <t>fcarrillo5210@gmail.com</t>
  </si>
  <si>
    <t>1305 S Tennessee St</t>
  </si>
  <si>
    <t>Tuscumbia</t>
  </si>
  <si>
    <t xml:space="preserve">35674     </t>
  </si>
  <si>
    <t>Carson, Mark</t>
  </si>
  <si>
    <t>Mark Carson</t>
  </si>
  <si>
    <t>teamfortresselk2@gmail.com</t>
  </si>
  <si>
    <t>793 Knight Avenue, PO 3379</t>
  </si>
  <si>
    <t>Big Bear Lake</t>
  </si>
  <si>
    <t xml:space="preserve">92315     </t>
  </si>
  <si>
    <t>Carver</t>
  </si>
  <si>
    <t>Beckham</t>
  </si>
  <si>
    <t>Carver, Beckham</t>
  </si>
  <si>
    <t>Beckham Carver</t>
  </si>
  <si>
    <t>sonicboomrbd@gmail.com</t>
  </si>
  <si>
    <t>449 County Road 158</t>
  </si>
  <si>
    <t>Evanston</t>
  </si>
  <si>
    <t xml:space="preserve">82930     </t>
  </si>
  <si>
    <t>Castillo</t>
  </si>
  <si>
    <t>Castillo, Christopher</t>
  </si>
  <si>
    <t>Christopher Castillo</t>
  </si>
  <si>
    <t>christophercastillo427@gmail.com</t>
  </si>
  <si>
    <t>2465 Calle Gladiolo</t>
  </si>
  <si>
    <t>Thousand Oaks</t>
  </si>
  <si>
    <t xml:space="preserve">91360     </t>
  </si>
  <si>
    <t>Sergio</t>
  </si>
  <si>
    <t>Castillo, Sergio</t>
  </si>
  <si>
    <t>Sergio Castillo</t>
  </si>
  <si>
    <t>castilloser@protonmail.com</t>
  </si>
  <si>
    <t>1838 Orange St.</t>
  </si>
  <si>
    <t xml:space="preserve">46203     </t>
  </si>
  <si>
    <t>Cavazos</t>
  </si>
  <si>
    <t>Wendy</t>
  </si>
  <si>
    <t>Cavazos, Wendy</t>
  </si>
  <si>
    <t>Wendy Cavazos</t>
  </si>
  <si>
    <t>cavazosemail2@gmail.com</t>
  </si>
  <si>
    <t>Georgetown</t>
  </si>
  <si>
    <t xml:space="preserve">78626     </t>
  </si>
  <si>
    <t>Chavez</t>
  </si>
  <si>
    <t>Julianna</t>
  </si>
  <si>
    <t>Chavez, Julianna</t>
  </si>
  <si>
    <t>Julianna Chavez</t>
  </si>
  <si>
    <t>503 Yorkshire Ave</t>
  </si>
  <si>
    <t>Pasadena</t>
  </si>
  <si>
    <t xml:space="preserve">77503     </t>
  </si>
  <si>
    <t>christensen</t>
  </si>
  <si>
    <t>alexandrew</t>
  </si>
  <si>
    <t>christensen, alexandrew</t>
  </si>
  <si>
    <t>alexandrew christensen</t>
  </si>
  <si>
    <t>hephaestus71@gmail.com</t>
  </si>
  <si>
    <t>1533N 300W</t>
  </si>
  <si>
    <t>sunset</t>
  </si>
  <si>
    <t xml:space="preserve">84015     </t>
  </si>
  <si>
    <t>Cius</t>
  </si>
  <si>
    <t>Jeremie</t>
  </si>
  <si>
    <t>Cius, Jeremie</t>
  </si>
  <si>
    <t>Jeremie Cius</t>
  </si>
  <si>
    <t>jeremiecius@gmail.com</t>
  </si>
  <si>
    <t>231 Riverside Ave</t>
  </si>
  <si>
    <t>Medford</t>
  </si>
  <si>
    <t xml:space="preserve">02155     </t>
  </si>
  <si>
    <t>Clark III</t>
  </si>
  <si>
    <t>Ricky</t>
  </si>
  <si>
    <t>Clark III, Ricky</t>
  </si>
  <si>
    <t>Ricky Clark III</t>
  </si>
  <si>
    <t>clarkric@meadeschools.org</t>
  </si>
  <si>
    <t>Piedmont</t>
  </si>
  <si>
    <t>SD</t>
  </si>
  <si>
    <t xml:space="preserve">57769     </t>
  </si>
  <si>
    <t>Clawson</t>
  </si>
  <si>
    <t>Clawson, Zachary</t>
  </si>
  <si>
    <t>Zachary Clawson</t>
  </si>
  <si>
    <t>zachclaws@gmail.com</t>
  </si>
  <si>
    <t>1458 Falcon Lane</t>
  </si>
  <si>
    <t>Eagle Mountain</t>
  </si>
  <si>
    <t xml:space="preserve">84005     </t>
  </si>
  <si>
    <t>Clent</t>
  </si>
  <si>
    <t>Clent, Christopher</t>
  </si>
  <si>
    <t>Christopher Clent</t>
  </si>
  <si>
    <t>2002sonic@gmail.com</t>
  </si>
  <si>
    <t>14115 Mesa Mtn</t>
  </si>
  <si>
    <t xml:space="preserve">77069     </t>
  </si>
  <si>
    <t>Cole, Joshua</t>
  </si>
  <si>
    <t>Joshua Cole</t>
  </si>
  <si>
    <t>joshuacole@scalesmound.net</t>
  </si>
  <si>
    <t>410 Provost P.O.Box 99</t>
  </si>
  <si>
    <t>Scales Mound</t>
  </si>
  <si>
    <t xml:space="preserve">61075     </t>
  </si>
  <si>
    <t>Collatt</t>
  </si>
  <si>
    <t>Keaton</t>
  </si>
  <si>
    <t>Collatt, Keaton</t>
  </si>
  <si>
    <t>Keaton Collatt</t>
  </si>
  <si>
    <t>keatoncs@yahoo.com</t>
  </si>
  <si>
    <t>1117 Rocky Mountain Rd</t>
  </si>
  <si>
    <t>Benton</t>
  </si>
  <si>
    <t xml:space="preserve">72019     </t>
  </si>
  <si>
    <t>Collins</t>
  </si>
  <si>
    <t>Collins, Benjamin</t>
  </si>
  <si>
    <t>Benjamin Collins</t>
  </si>
  <si>
    <t>Benjamin.collins@stu.dayton.kyschools.us</t>
  </si>
  <si>
    <t>607 Clay Street</t>
  </si>
  <si>
    <t xml:space="preserve">41074     </t>
  </si>
  <si>
    <t>McKayla</t>
  </si>
  <si>
    <t>Collins, McKayla</t>
  </si>
  <si>
    <t>McKayla Collins</t>
  </si>
  <si>
    <t>298 Graceland Trail</t>
  </si>
  <si>
    <t xml:space="preserve">42701     </t>
  </si>
  <si>
    <t>Combs</t>
  </si>
  <si>
    <t>Nicholas</t>
  </si>
  <si>
    <t>Combs, Nicholas</t>
  </si>
  <si>
    <t>Nicholas Combs</t>
  </si>
  <si>
    <t>nick.combs@aol.com</t>
  </si>
  <si>
    <t>1305 Springville Judah Road</t>
  </si>
  <si>
    <t>Springville</t>
  </si>
  <si>
    <t xml:space="preserve">47462     </t>
  </si>
  <si>
    <t>Cone</t>
  </si>
  <si>
    <t>Matthew</t>
  </si>
  <si>
    <t>Cone, Matthew</t>
  </si>
  <si>
    <t>Matthew Cone</t>
  </si>
  <si>
    <t>mcone880@gmail.com</t>
  </si>
  <si>
    <t>1720 West Central Ave.</t>
  </si>
  <si>
    <t>Minot</t>
  </si>
  <si>
    <t>ND</t>
  </si>
  <si>
    <t xml:space="preserve">58701     </t>
  </si>
  <si>
    <t>Conley</t>
  </si>
  <si>
    <t>Aldon</t>
  </si>
  <si>
    <t>Conley, Aldon</t>
  </si>
  <si>
    <t>Aldon Conley</t>
  </si>
  <si>
    <t>adustvenus4019@gmail.com</t>
  </si>
  <si>
    <t>36999 BRITTINGHAM RD</t>
  </si>
  <si>
    <t>DELMAR</t>
  </si>
  <si>
    <t>DE</t>
  </si>
  <si>
    <t xml:space="preserve">19940     </t>
  </si>
  <si>
    <t>Connor</t>
  </si>
  <si>
    <t>Connor, Joseph</t>
  </si>
  <si>
    <t>Joseph Connor</t>
  </si>
  <si>
    <t>connorjoseph@haydencatholic.net</t>
  </si>
  <si>
    <t>1233 SW Warren Ave</t>
  </si>
  <si>
    <t>Topeka</t>
  </si>
  <si>
    <t xml:space="preserve">66604     </t>
  </si>
  <si>
    <t>Coppage</t>
  </si>
  <si>
    <t>Daijah</t>
  </si>
  <si>
    <t>Coppage, Daijah</t>
  </si>
  <si>
    <t>Daijah Coppage</t>
  </si>
  <si>
    <t>Daijahlinyahcoppage@gmail.com</t>
  </si>
  <si>
    <t>6881 Phillips Road 600</t>
  </si>
  <si>
    <t>Marvell</t>
  </si>
  <si>
    <t xml:space="preserve">72366     </t>
  </si>
  <si>
    <t>Corder</t>
  </si>
  <si>
    <t>Markus</t>
  </si>
  <si>
    <t>Corder, Markus</t>
  </si>
  <si>
    <t>Markus Corder</t>
  </si>
  <si>
    <t>mgc056645@gmail.com</t>
  </si>
  <si>
    <t>2518 Spring Court</t>
  </si>
  <si>
    <t>Zeeland</t>
  </si>
  <si>
    <t xml:space="preserve">49464     </t>
  </si>
  <si>
    <t>Cortazar Jr</t>
  </si>
  <si>
    <t>Raul</t>
  </si>
  <si>
    <t>Cortazar Jr, Raul</t>
  </si>
  <si>
    <t>Raul Cortazar Jr</t>
  </si>
  <si>
    <t>cortazarraul44@gmail.com</t>
  </si>
  <si>
    <t>3704 Maranatha Drive</t>
  </si>
  <si>
    <t>Hope Mills</t>
  </si>
  <si>
    <t xml:space="preserve">28348     </t>
  </si>
  <si>
    <t>Court</t>
  </si>
  <si>
    <t>Demetri</t>
  </si>
  <si>
    <t>Court, Demetri</t>
  </si>
  <si>
    <t>Demetri Court</t>
  </si>
  <si>
    <t>courtdemetri@gmail.com</t>
  </si>
  <si>
    <t>308 W 5th Ave</t>
  </si>
  <si>
    <t>Ritzville</t>
  </si>
  <si>
    <t xml:space="preserve">99169     </t>
  </si>
  <si>
    <t>Covarrubia</t>
  </si>
  <si>
    <t>Covarrubia, Daniel</t>
  </si>
  <si>
    <t>Daniel Covarrubia</t>
  </si>
  <si>
    <t>d.covarrubia01@gmail.com</t>
  </si>
  <si>
    <t xml:space="preserve">78225     </t>
  </si>
  <si>
    <t>Covert</t>
  </si>
  <si>
    <t>Benson</t>
  </si>
  <si>
    <t>Covert, Benson</t>
  </si>
  <si>
    <t>Benson Covert</t>
  </si>
  <si>
    <t>bacwrds@gmail.com</t>
  </si>
  <si>
    <t>954 53 St SW</t>
  </si>
  <si>
    <t>Canton</t>
  </si>
  <si>
    <t xml:space="preserve">44706     </t>
  </si>
  <si>
    <t>Mathew</t>
  </si>
  <si>
    <t>Covert, Mathew</t>
  </si>
  <si>
    <t>Mathew Covert</t>
  </si>
  <si>
    <t>4935 Jupiter Hills Dr</t>
  </si>
  <si>
    <t>Idaho Falls</t>
  </si>
  <si>
    <t>83401-6344</t>
  </si>
  <si>
    <t>Cowan</t>
  </si>
  <si>
    <t>Tate</t>
  </si>
  <si>
    <t>Cowan, Tate</t>
  </si>
  <si>
    <t>Tate Cowan</t>
  </si>
  <si>
    <t>tatecbaker@hotmail.com</t>
  </si>
  <si>
    <t>208 West North Street</t>
  </si>
  <si>
    <t>Hooper</t>
  </si>
  <si>
    <t xml:space="preserve">68031     </t>
  </si>
  <si>
    <t>Cox</t>
  </si>
  <si>
    <t>Jon-Paul</t>
  </si>
  <si>
    <t>Cox, Jon-Paul</t>
  </si>
  <si>
    <t>Jon-Paul Cox</t>
  </si>
  <si>
    <t>jpcox41@gmail.com</t>
  </si>
  <si>
    <t>7341 Folkstone Dr.</t>
  </si>
  <si>
    <t>Forest Hill</t>
  </si>
  <si>
    <t xml:space="preserve">76140     </t>
  </si>
  <si>
    <t>Cruzado</t>
  </si>
  <si>
    <t>Cruzado, Joshua</t>
  </si>
  <si>
    <t>Joshua Cruzado</t>
  </si>
  <si>
    <t>cruzadojoshua@yahoo.com</t>
  </si>
  <si>
    <t>8340 Buffalo Fork Court</t>
  </si>
  <si>
    <t xml:space="preserve">89113     </t>
  </si>
  <si>
    <t>Curry</t>
  </si>
  <si>
    <t>Curry, Noah</t>
  </si>
  <si>
    <t>Noah Curry</t>
  </si>
  <si>
    <t>noahc1212@outlook.com</t>
  </si>
  <si>
    <t>2159 Clay Stone Place</t>
  </si>
  <si>
    <t>Reynoldsburg</t>
  </si>
  <si>
    <t xml:space="preserve">43068     </t>
  </si>
  <si>
    <t>Dalbec</t>
  </si>
  <si>
    <t>Dalbec, Brady</t>
  </si>
  <si>
    <t>Brady Dalbec</t>
  </si>
  <si>
    <t>dalbecbr@gmail.com</t>
  </si>
  <si>
    <t>7220 Night Heron Way</t>
  </si>
  <si>
    <t xml:space="preserve">89084     </t>
  </si>
  <si>
    <t>Davila</t>
  </si>
  <si>
    <t>Aramis</t>
  </si>
  <si>
    <t>Davila, Aramis</t>
  </si>
  <si>
    <t>Aramis Davila</t>
  </si>
  <si>
    <t>aramisdavila28@gmail.com</t>
  </si>
  <si>
    <t>3720 Arabia Rd</t>
  </si>
  <si>
    <t>Raeford</t>
  </si>
  <si>
    <t xml:space="preserve">28376     </t>
  </si>
  <si>
    <t>Dawson</t>
  </si>
  <si>
    <t>Sophia</t>
  </si>
  <si>
    <t>Dawson, Sophia</t>
  </si>
  <si>
    <t>Sophia Dawson</t>
  </si>
  <si>
    <t>sophiadawson123456@yahoo.com</t>
  </si>
  <si>
    <t>1937 E Main St.</t>
  </si>
  <si>
    <t xml:space="preserve">62521     </t>
  </si>
  <si>
    <t>Deardorff</t>
  </si>
  <si>
    <t>Deardorff, Austin</t>
  </si>
  <si>
    <t>Austin Deardorff</t>
  </si>
  <si>
    <t>austinjdeardorff@gmail.com</t>
  </si>
  <si>
    <t>20510 S Hwy 211</t>
  </si>
  <si>
    <t xml:space="preserve">97017     </t>
  </si>
  <si>
    <t>Delgado</t>
  </si>
  <si>
    <t>Edgar</t>
  </si>
  <si>
    <t>Delgado, Edgar</t>
  </si>
  <si>
    <t>Edgar Delgado</t>
  </si>
  <si>
    <t>edgardelgado45909@gmail.com</t>
  </si>
  <si>
    <t>1514 Spring St</t>
  </si>
  <si>
    <t xml:space="preserve">78542     </t>
  </si>
  <si>
    <t>Dennis</t>
  </si>
  <si>
    <t>Dennis, Colby</t>
  </si>
  <si>
    <t>Colby Dennis</t>
  </si>
  <si>
    <t>colbyjdennis19@gmail.com</t>
  </si>
  <si>
    <t>134 LAMPLIGHTER LANE</t>
  </si>
  <si>
    <t>MOORESVILLE</t>
  </si>
  <si>
    <t xml:space="preserve">28115     </t>
  </si>
  <si>
    <t>DeVito</t>
  </si>
  <si>
    <t>Jaron</t>
  </si>
  <si>
    <t>DeVito, Jaron</t>
  </si>
  <si>
    <t>Jaron DeVito</t>
  </si>
  <si>
    <t>jaronmdevito@gmail.com</t>
  </si>
  <si>
    <t>93 S Vosper St</t>
  </si>
  <si>
    <t>Saranac</t>
  </si>
  <si>
    <t xml:space="preserve">48881     </t>
  </si>
  <si>
    <t>Doerflein</t>
  </si>
  <si>
    <t>Lucas</t>
  </si>
  <si>
    <t>Doerflein, Lucas</t>
  </si>
  <si>
    <t>Lucas Doerflein</t>
  </si>
  <si>
    <t>lucasdoerflein02@gmail.com</t>
  </si>
  <si>
    <t>3914 New Church Road</t>
  </si>
  <si>
    <t>Pinckneyville</t>
  </si>
  <si>
    <t xml:space="preserve">62274     </t>
  </si>
  <si>
    <t>Gregory</t>
  </si>
  <si>
    <t>Donovan, Gregory</t>
  </si>
  <si>
    <t>Gregory Donovan</t>
  </si>
  <si>
    <t>gregory.donovan43@yahoo.com</t>
  </si>
  <si>
    <t>117 Ashley st.</t>
  </si>
  <si>
    <t>West Springfield</t>
  </si>
  <si>
    <t xml:space="preserve">01089     </t>
  </si>
  <si>
    <t>Doss</t>
  </si>
  <si>
    <t>Doss, Cameron</t>
  </si>
  <si>
    <t>Cameron Doss</t>
  </si>
  <si>
    <t>camerondossedu@gmail.com</t>
  </si>
  <si>
    <t>2303 W Michigan Ave, Apt D8</t>
  </si>
  <si>
    <t>Pensacola</t>
  </si>
  <si>
    <t>32526-2368</t>
  </si>
  <si>
    <t>Duncan</t>
  </si>
  <si>
    <t>Lethicia</t>
  </si>
  <si>
    <t>Duncan, Lethicia</t>
  </si>
  <si>
    <t>Lethicia Duncan</t>
  </si>
  <si>
    <t>lethicia.duncan@gmail.com</t>
  </si>
  <si>
    <t>14183 Gil Reyes</t>
  </si>
  <si>
    <t>Earles</t>
  </si>
  <si>
    <t>Earles, Kaleb</t>
  </si>
  <si>
    <t>Kaleb Earles</t>
  </si>
  <si>
    <t>snowball1542002@gmail.com</t>
  </si>
  <si>
    <t>6492 Wheeler Dr</t>
  </si>
  <si>
    <t>King George</t>
  </si>
  <si>
    <t>22485-7144</t>
  </si>
  <si>
    <t>Ecker</t>
  </si>
  <si>
    <t>Peyton</t>
  </si>
  <si>
    <t>Ecker, Peyton</t>
  </si>
  <si>
    <t>Peyton Ecker</t>
  </si>
  <si>
    <t>peytonecker5@gmail.com</t>
  </si>
  <si>
    <t>185 Lawn Rd</t>
  </si>
  <si>
    <t>Palmyra</t>
  </si>
  <si>
    <t xml:space="preserve">17078     </t>
  </si>
  <si>
    <t>Eghwofobe</t>
  </si>
  <si>
    <t>Simeon</t>
  </si>
  <si>
    <t>Eghwofobe, Simeon</t>
  </si>
  <si>
    <t>Simeon Eghwofobe</t>
  </si>
  <si>
    <t>seghwofobe@hotmail.com</t>
  </si>
  <si>
    <t>22420 Ivanhoe Lane</t>
  </si>
  <si>
    <t xml:space="preserve">48034     </t>
  </si>
  <si>
    <t>Eichert</t>
  </si>
  <si>
    <t>Garrison</t>
  </si>
  <si>
    <t>Eichert, Garrison</t>
  </si>
  <si>
    <t>Garrison Eichert</t>
  </si>
  <si>
    <t>gsesilver2001@gmail.com</t>
  </si>
  <si>
    <t>62193 Ida Rd</t>
  </si>
  <si>
    <t>Montrose</t>
  </si>
  <si>
    <t xml:space="preserve">81401     </t>
  </si>
  <si>
    <t>Ellis</t>
  </si>
  <si>
    <t>Ellis, David</t>
  </si>
  <si>
    <t>David Ellis</t>
  </si>
  <si>
    <t>dellis12418@gmail.com</t>
  </si>
  <si>
    <t>215 Burgess Rd</t>
  </si>
  <si>
    <t>Gaffney</t>
  </si>
  <si>
    <t xml:space="preserve">29341     </t>
  </si>
  <si>
    <t>Ensor</t>
  </si>
  <si>
    <t>Draven</t>
  </si>
  <si>
    <t>Ensor, Draven</t>
  </si>
  <si>
    <t>Draven Ensor</t>
  </si>
  <si>
    <t>dravenensorisokay@gmail.com</t>
  </si>
  <si>
    <t>1227 1st Avenue North</t>
  </si>
  <si>
    <t>Park Falls</t>
  </si>
  <si>
    <t xml:space="preserve">54552     </t>
  </si>
  <si>
    <t>Ervin</t>
  </si>
  <si>
    <t>Nita</t>
  </si>
  <si>
    <t>Ervin, Nita</t>
  </si>
  <si>
    <t>Nita Ervin</t>
  </si>
  <si>
    <t>Stormflyandastridforever01@gmail.com</t>
  </si>
  <si>
    <t>2039 Rice Dr</t>
  </si>
  <si>
    <t>Levelland</t>
  </si>
  <si>
    <t xml:space="preserve">79336     </t>
  </si>
  <si>
    <t>Espinoza</t>
  </si>
  <si>
    <t>Espinoza, Julian</t>
  </si>
  <si>
    <t>Julian Espinoza</t>
  </si>
  <si>
    <t>je688433@gmail.com</t>
  </si>
  <si>
    <t>194 MADELIA PL</t>
  </si>
  <si>
    <t>MOOREVILLE</t>
  </si>
  <si>
    <t>Estrada</t>
  </si>
  <si>
    <t>Jose</t>
  </si>
  <si>
    <t>Estrada, Jose</t>
  </si>
  <si>
    <t>Jose Estrada</t>
  </si>
  <si>
    <t>diablito12331@gmail.com</t>
  </si>
  <si>
    <t>1615 s 35th st</t>
  </si>
  <si>
    <t>Milwaukee</t>
  </si>
  <si>
    <t xml:space="preserve">53215     </t>
  </si>
  <si>
    <t>Eudave</t>
  </si>
  <si>
    <t>America</t>
  </si>
  <si>
    <t>Eudave, America</t>
  </si>
  <si>
    <t>America Eudave</t>
  </si>
  <si>
    <t>americaeudave132@gmail.com</t>
  </si>
  <si>
    <t>955 South Glendale Street</t>
  </si>
  <si>
    <t xml:space="preserve">84104     </t>
  </si>
  <si>
    <t>Evans</t>
  </si>
  <si>
    <t>Kyler</t>
  </si>
  <si>
    <t>Evans, Kyler</t>
  </si>
  <si>
    <t>Kyler Evans</t>
  </si>
  <si>
    <t>kylerrevans@gmail.com</t>
  </si>
  <si>
    <t>4747 Claim Staker Way</t>
  </si>
  <si>
    <t>Herriman</t>
  </si>
  <si>
    <t xml:space="preserve">84096     </t>
  </si>
  <si>
    <t>Faulkner</t>
  </si>
  <si>
    <t>Faulkner, Sarah</t>
  </si>
  <si>
    <t>Sarah Faulkner</t>
  </si>
  <si>
    <t>GRACIE115@HOTMAIL.COM</t>
  </si>
  <si>
    <t>115 Lakeview Cir</t>
  </si>
  <si>
    <t>Albertville</t>
  </si>
  <si>
    <t>35950-9255</t>
  </si>
  <si>
    <t>Fields</t>
  </si>
  <si>
    <t>DeNaria</t>
  </si>
  <si>
    <t>Fields, DeNaria</t>
  </si>
  <si>
    <t>DeNaria Fields</t>
  </si>
  <si>
    <t>denariaf1@aol.com</t>
  </si>
  <si>
    <t>5948 pocosham drive</t>
  </si>
  <si>
    <t>Richmond</t>
  </si>
  <si>
    <t xml:space="preserve">23224     </t>
  </si>
  <si>
    <t>Flatness</t>
  </si>
  <si>
    <t>Flatness, Randy</t>
  </si>
  <si>
    <t>Randy Flatness</t>
  </si>
  <si>
    <t>randy.flatness@gmail.com</t>
  </si>
  <si>
    <t>371 County Road 105</t>
  </si>
  <si>
    <t>Walnut</t>
  </si>
  <si>
    <t xml:space="preserve">38683     </t>
  </si>
  <si>
    <t>Foley</t>
  </si>
  <si>
    <t>Foley, Lucas</t>
  </si>
  <si>
    <t>Lucas Foley</t>
  </si>
  <si>
    <t>harveyfoley2002@gmail.com</t>
  </si>
  <si>
    <t>2277 Hwy 503</t>
  </si>
  <si>
    <t xml:space="preserve">39345     </t>
  </si>
  <si>
    <t>Ford</t>
  </si>
  <si>
    <t>Ford, Matthew</t>
  </si>
  <si>
    <t>Matthew Ford</t>
  </si>
  <si>
    <t>mattford567@yahoo.com</t>
  </si>
  <si>
    <t>710 Brookwood Way</t>
  </si>
  <si>
    <t>Chico</t>
  </si>
  <si>
    <t>95926-1733</t>
  </si>
  <si>
    <t>Foster</t>
  </si>
  <si>
    <t>Tyler</t>
  </si>
  <si>
    <t>Foster, Tyler</t>
  </si>
  <si>
    <t>Tyler Foster</t>
  </si>
  <si>
    <t>tylerbfoster@gmail.com</t>
  </si>
  <si>
    <t>3310 Highland Ave.</t>
  </si>
  <si>
    <t>Beaumont</t>
  </si>
  <si>
    <t xml:space="preserve">77705     </t>
  </si>
  <si>
    <t>Foulks</t>
  </si>
  <si>
    <t>Foulks, Austin</t>
  </si>
  <si>
    <t>Austin Foulks</t>
  </si>
  <si>
    <t>afoulks2002@gmail.com</t>
  </si>
  <si>
    <t>1732 N Cholla St #85224</t>
  </si>
  <si>
    <t xml:space="preserve">85224     </t>
  </si>
  <si>
    <t>Frens</t>
  </si>
  <si>
    <t>Hunter</t>
  </si>
  <si>
    <t>Frens, Hunter</t>
  </si>
  <si>
    <t>Hunter Frens</t>
  </si>
  <si>
    <t>hdafrens@hotmail.com</t>
  </si>
  <si>
    <t>6081 S Fitzgerald</t>
  </si>
  <si>
    <t>Fremont</t>
  </si>
  <si>
    <t xml:space="preserve">49412     </t>
  </si>
  <si>
    <t>Fulcher</t>
  </si>
  <si>
    <t>Cade</t>
  </si>
  <si>
    <t>Fulcher, Cade</t>
  </si>
  <si>
    <t>Cade Fulcher</t>
  </si>
  <si>
    <t>cadelandrum10@gmail.com</t>
  </si>
  <si>
    <t>5607 Tulip ln</t>
  </si>
  <si>
    <t>Honolulu</t>
  </si>
  <si>
    <t>HI</t>
  </si>
  <si>
    <t xml:space="preserve">96818     </t>
  </si>
  <si>
    <t>Fullmer</t>
  </si>
  <si>
    <t>Tyler Fullmer</t>
  </si>
  <si>
    <t>the3nviousone@gmail.com</t>
  </si>
  <si>
    <t>976 W 2300 S</t>
  </si>
  <si>
    <t>Syracuse</t>
  </si>
  <si>
    <t xml:space="preserve">84075     </t>
  </si>
  <si>
    <t>Garcia</t>
  </si>
  <si>
    <t>Ezequiel</t>
  </si>
  <si>
    <t>Garcia, Ezequiel</t>
  </si>
  <si>
    <t>Ezequiel Garcia</t>
  </si>
  <si>
    <t>Ezequiel.garcia500@yahoo.com</t>
  </si>
  <si>
    <t>1010 Ramireno Ave</t>
  </si>
  <si>
    <t>Zapata</t>
  </si>
  <si>
    <t xml:space="preserve">78076     </t>
  </si>
  <si>
    <t>Marcos</t>
  </si>
  <si>
    <t>Garcia, Marcos</t>
  </si>
  <si>
    <t>Marcos Garcia</t>
  </si>
  <si>
    <t>garcia.marcos2003@gmail.com</t>
  </si>
  <si>
    <t>405 Toni Lane</t>
  </si>
  <si>
    <t>Pearl</t>
  </si>
  <si>
    <t xml:space="preserve">39208     </t>
  </si>
  <si>
    <t>Garland Jr</t>
  </si>
  <si>
    <t>Micale</t>
  </si>
  <si>
    <t>Garland Jr, Micale</t>
  </si>
  <si>
    <t>Micale Garland Jr</t>
  </si>
  <si>
    <t>micalejr@gmail.com</t>
  </si>
  <si>
    <t>7384 Heyden</t>
  </si>
  <si>
    <t>Detroit</t>
  </si>
  <si>
    <t xml:space="preserve">48228     </t>
  </si>
  <si>
    <t>Garry</t>
  </si>
  <si>
    <t>Alayna</t>
  </si>
  <si>
    <t>Garry, Alayna</t>
  </si>
  <si>
    <t>Alayna Garry</t>
  </si>
  <si>
    <t>alaynagarry@gmail.com</t>
  </si>
  <si>
    <t>533 Charlie Rodgers Rd.</t>
  </si>
  <si>
    <t>ElDorado</t>
  </si>
  <si>
    <t xml:space="preserve">71730     </t>
  </si>
  <si>
    <t>Garza</t>
  </si>
  <si>
    <t>Garza, Jose</t>
  </si>
  <si>
    <t>Jose Garza</t>
  </si>
  <si>
    <t>jose.rick.garza@gmail.com</t>
  </si>
  <si>
    <t>155 Abbeville Dr.</t>
  </si>
  <si>
    <t>Laredo</t>
  </si>
  <si>
    <t xml:space="preserve">78045     </t>
  </si>
  <si>
    <t>George</t>
  </si>
  <si>
    <t>Dasha</t>
  </si>
  <si>
    <t>George, Dasha</t>
  </si>
  <si>
    <t>Dasha George</t>
  </si>
  <si>
    <t>dashageorge16@gmail.com</t>
  </si>
  <si>
    <t>21646 Est 53rd Pl</t>
  </si>
  <si>
    <t>DENVER</t>
  </si>
  <si>
    <t xml:space="preserve">80249     </t>
  </si>
  <si>
    <t>Georgia</t>
  </si>
  <si>
    <t>Kristopher</t>
  </si>
  <si>
    <t>Georgia, Kristopher</t>
  </si>
  <si>
    <t>Kristopher Georgia</t>
  </si>
  <si>
    <t>Kristopherhgeorgia@gmail.com</t>
  </si>
  <si>
    <t>111 Leatherwood Bay Rd</t>
  </si>
  <si>
    <t>Dover</t>
  </si>
  <si>
    <t xml:space="preserve">37058     </t>
  </si>
  <si>
    <t>Gerhart II</t>
  </si>
  <si>
    <t>Leland</t>
  </si>
  <si>
    <t>Gerhart II, Leland</t>
  </si>
  <si>
    <t>Leland Gerhart II</t>
  </si>
  <si>
    <t>LELANDDGERHARTII@YAHOO.COM</t>
  </si>
  <si>
    <t>2257 S Fork Ridge Rd</t>
  </si>
  <si>
    <t>Liberty</t>
  </si>
  <si>
    <t>42539-5271</t>
  </si>
  <si>
    <t>Gettert</t>
  </si>
  <si>
    <t>Gettert, Alec</t>
  </si>
  <si>
    <t>Alec Gettert</t>
  </si>
  <si>
    <t>agettert20@icloud.com</t>
  </si>
  <si>
    <t>232 East 11th Street</t>
  </si>
  <si>
    <t>Wahoo</t>
  </si>
  <si>
    <t xml:space="preserve">68066     </t>
  </si>
  <si>
    <t>Gibson</t>
  </si>
  <si>
    <t>Josiah</t>
  </si>
  <si>
    <t>Gibson, Josiah</t>
  </si>
  <si>
    <t>Josiah Gibson</t>
  </si>
  <si>
    <t>mrdrummerboy711@yahoo.com</t>
  </si>
  <si>
    <t>5416 Maywood Rd</t>
  </si>
  <si>
    <t>Knoxville</t>
  </si>
  <si>
    <t>37921-1332</t>
  </si>
  <si>
    <t>Going</t>
  </si>
  <si>
    <t>Preston</t>
  </si>
  <si>
    <t>Going, Preston</t>
  </si>
  <si>
    <t>Preston Going</t>
  </si>
  <si>
    <t>presgoing@gmail.com</t>
  </si>
  <si>
    <t>4122 south 1045 east</t>
  </si>
  <si>
    <t xml:space="preserve">84124     </t>
  </si>
  <si>
    <t>Goldman</t>
  </si>
  <si>
    <t>Goldman, Tyler</t>
  </si>
  <si>
    <t>Tyler Goldman</t>
  </si>
  <si>
    <t>tjgoldman2002@gmail.com</t>
  </si>
  <si>
    <t>4187 S Crystal Ct, Apt 728</t>
  </si>
  <si>
    <t>Aurora</t>
  </si>
  <si>
    <t xml:space="preserve">80014     </t>
  </si>
  <si>
    <t>Gonzalez</t>
  </si>
  <si>
    <t>Aldo</t>
  </si>
  <si>
    <t>Gonzalez, Aldo</t>
  </si>
  <si>
    <t>Aldo Gonzalez</t>
  </si>
  <si>
    <t>Aldo.gonz014@gmail.com</t>
  </si>
  <si>
    <t>722 W Calle Canto Sereno</t>
  </si>
  <si>
    <t>Sahuarita</t>
  </si>
  <si>
    <t xml:space="preserve">85629     </t>
  </si>
  <si>
    <t>Axel</t>
  </si>
  <si>
    <t>Gonzalez, Axel</t>
  </si>
  <si>
    <t>Axel Gonzalez</t>
  </si>
  <si>
    <t>aivangonza11@gmail.com</t>
  </si>
  <si>
    <t>1646 Saint Jerome Pl.</t>
  </si>
  <si>
    <t xml:space="preserve">79936     </t>
  </si>
  <si>
    <t>Krystal</t>
  </si>
  <si>
    <t>Gonzalez, Krystal</t>
  </si>
  <si>
    <t>Krystal Gonzalez</t>
  </si>
  <si>
    <t>krystalgonzalez225@icloud.com</t>
  </si>
  <si>
    <t>163 Cemetery Rd Apt 74</t>
  </si>
  <si>
    <t>Gouard</t>
  </si>
  <si>
    <t>Taran</t>
  </si>
  <si>
    <t>Gouard, Taran</t>
  </si>
  <si>
    <t>Taran Gouard</t>
  </si>
  <si>
    <t>alec.gouard@gmail.com</t>
  </si>
  <si>
    <t>6703 Plainview Rd</t>
  </si>
  <si>
    <t>Sherman</t>
  </si>
  <si>
    <t xml:space="preserve">75092     </t>
  </si>
  <si>
    <t>Graham</t>
  </si>
  <si>
    <t>Rocco</t>
  </si>
  <si>
    <t>Graham, Rocco</t>
  </si>
  <si>
    <t>Rocco Graham</t>
  </si>
  <si>
    <t>roccograham88@gmail.com</t>
  </si>
  <si>
    <t>181 S Casper</t>
  </si>
  <si>
    <t>Vinita</t>
  </si>
  <si>
    <t xml:space="preserve">74301     </t>
  </si>
  <si>
    <t>Aaliyah</t>
  </si>
  <si>
    <t>Grant, Aaliyah</t>
  </si>
  <si>
    <t>Aaliyah Grant</t>
  </si>
  <si>
    <t>aaliyah.grant20@gmail.com</t>
  </si>
  <si>
    <t>6262 HWY 371 N</t>
  </si>
  <si>
    <t>Waldo</t>
  </si>
  <si>
    <t xml:space="preserve">71770     </t>
  </si>
  <si>
    <t>Chloe</t>
  </si>
  <si>
    <t>Grant, Chloe</t>
  </si>
  <si>
    <t>Chloe Grant</t>
  </si>
  <si>
    <t>khloeana@gmail.com</t>
  </si>
  <si>
    <t>7490 Northfield Lane</t>
  </si>
  <si>
    <t>Manlius</t>
  </si>
  <si>
    <t xml:space="preserve">13104     </t>
  </si>
  <si>
    <t>Green</t>
  </si>
  <si>
    <t>Brianna</t>
  </si>
  <si>
    <t>Green, Brianna</t>
  </si>
  <si>
    <t>Brianna Green</t>
  </si>
  <si>
    <t>brianna.green@marmadukeschool.com</t>
  </si>
  <si>
    <t>440 Greene Road 460</t>
  </si>
  <si>
    <t>Rector</t>
  </si>
  <si>
    <t xml:space="preserve">72461     </t>
  </si>
  <si>
    <t>Gregory, Spencer</t>
  </si>
  <si>
    <t>Spencer Gregory</t>
  </si>
  <si>
    <t>sgregory@cedarvilleschools.org</t>
  </si>
  <si>
    <t>4300 Pine Hollow Road</t>
  </si>
  <si>
    <t>Van Buren</t>
  </si>
  <si>
    <t xml:space="preserve">72956     </t>
  </si>
  <si>
    <t>Gribben</t>
  </si>
  <si>
    <t>Jude</t>
  </si>
  <si>
    <t>Gribben, Jude</t>
  </si>
  <si>
    <t>Jude Gribben</t>
  </si>
  <si>
    <t>judegribben2020@gmail.com</t>
  </si>
  <si>
    <t>1017 Vine St</t>
  </si>
  <si>
    <t>Sandusky</t>
  </si>
  <si>
    <t xml:space="preserve">44870     </t>
  </si>
  <si>
    <t>Griego</t>
  </si>
  <si>
    <t>Griego, Donovan</t>
  </si>
  <si>
    <t>Donovan Griego</t>
  </si>
  <si>
    <t>dxgriego@gmail.com</t>
  </si>
  <si>
    <t>10511 Calle Alba NW</t>
  </si>
  <si>
    <t>Albuquerque</t>
  </si>
  <si>
    <t xml:space="preserve">87114     </t>
  </si>
  <si>
    <t>Griffin</t>
  </si>
  <si>
    <t>Rayshawn</t>
  </si>
  <si>
    <t>Griffin, Rayshawn</t>
  </si>
  <si>
    <t>Rayshawn Griffin</t>
  </si>
  <si>
    <t>griffin.rayshawn1@gmail.com</t>
  </si>
  <si>
    <t>369 E Rialto Ave, Apt 42</t>
  </si>
  <si>
    <t xml:space="preserve">92408     </t>
  </si>
  <si>
    <t>Gunnuscio</t>
  </si>
  <si>
    <t>Gunnuscio, Zachary</t>
  </si>
  <si>
    <t>Zachary Gunnuscio</t>
  </si>
  <si>
    <t>zach.gunn2002@gmail.com</t>
  </si>
  <si>
    <t>Po Box 329</t>
  </si>
  <si>
    <t>Huntington</t>
  </si>
  <si>
    <t>84528-0329</t>
  </si>
  <si>
    <t>Haley</t>
  </si>
  <si>
    <t>Haley, Andrew</t>
  </si>
  <si>
    <t>Andrew Haley</t>
  </si>
  <si>
    <t>drew.haley@leytonwarriors.org</t>
  </si>
  <si>
    <t>11312 Road 58</t>
  </si>
  <si>
    <t>Dalton</t>
  </si>
  <si>
    <t>69131-7254</t>
  </si>
  <si>
    <t>Hall</t>
  </si>
  <si>
    <t>Hall, Jordan</t>
  </si>
  <si>
    <t>Jordan Hall</t>
  </si>
  <si>
    <t>rob.hall.sxcs@statefarm.com</t>
  </si>
  <si>
    <t>2004 Camino Real Way</t>
  </si>
  <si>
    <t>Roseville</t>
  </si>
  <si>
    <t xml:space="preserve">95747     </t>
  </si>
  <si>
    <t>Hammerschmidt</t>
  </si>
  <si>
    <t>Hammerschmidt, Tyler</t>
  </si>
  <si>
    <t>Tyler Hammerschmidt</t>
  </si>
  <si>
    <t>bigthammerschmidt@gmail.com</t>
  </si>
  <si>
    <t>2933 Sweet Flag Ct</t>
  </si>
  <si>
    <t>Dardenne Prairie</t>
  </si>
  <si>
    <t xml:space="preserve">63368     </t>
  </si>
  <si>
    <t>Harms</t>
  </si>
  <si>
    <t>Thomas</t>
  </si>
  <si>
    <t>Harms, Thomas</t>
  </si>
  <si>
    <t>Thomas Harms</t>
  </si>
  <si>
    <t>thomasmichaelharmsii@gmail.com</t>
  </si>
  <si>
    <t>P.O. Box 224</t>
  </si>
  <si>
    <t>Yucca</t>
  </si>
  <si>
    <t xml:space="preserve">86438     </t>
  </si>
  <si>
    <t>Harris</t>
  </si>
  <si>
    <t>Will</t>
  </si>
  <si>
    <t>Harris, Will</t>
  </si>
  <si>
    <t>Will Harris</t>
  </si>
  <si>
    <t>minecraftplayer45.mc@gmail.com</t>
  </si>
  <si>
    <t>3406 Sayers St</t>
  </si>
  <si>
    <t xml:space="preserve">77026     </t>
  </si>
  <si>
    <t>Harrison</t>
  </si>
  <si>
    <t>Robert</t>
  </si>
  <si>
    <t>Harrison, Robert</t>
  </si>
  <si>
    <t>Robert Harrison</t>
  </si>
  <si>
    <t>rcmh@att.net</t>
  </si>
  <si>
    <t>2348 Sc Hwy 391</t>
  </si>
  <si>
    <t>Prosperity</t>
  </si>
  <si>
    <t xml:space="preserve">29127     </t>
  </si>
  <si>
    <t>Hernandez Palacios</t>
  </si>
  <si>
    <t>Orlando</t>
  </si>
  <si>
    <t>Hernandez Palacios, Orlando</t>
  </si>
  <si>
    <t>Orlando Hernandez Palacios</t>
  </si>
  <si>
    <t>superfireball555@gmail.com</t>
  </si>
  <si>
    <t>2505 vogt st</t>
  </si>
  <si>
    <t>fort worth</t>
  </si>
  <si>
    <t xml:space="preserve">76105     </t>
  </si>
  <si>
    <t>Hernandez</t>
  </si>
  <si>
    <t>Hernandez, James</t>
  </si>
  <si>
    <t>James Hernandez</t>
  </si>
  <si>
    <t>jimmybond007jhn@gmail.com</t>
  </si>
  <si>
    <t>170 Fieldstone Drive</t>
  </si>
  <si>
    <t>Winston-Salem</t>
  </si>
  <si>
    <t xml:space="preserve">27127     </t>
  </si>
  <si>
    <t>Laixu</t>
  </si>
  <si>
    <t>Hernandez, Laixu</t>
  </si>
  <si>
    <t>Laixu Hernandez</t>
  </si>
  <si>
    <t>laixumicol@gmail.com</t>
  </si>
  <si>
    <t>720 Vouray Dr Apt A</t>
  </si>
  <si>
    <t>Kenner</t>
  </si>
  <si>
    <t xml:space="preserve">70065     </t>
  </si>
  <si>
    <t>Hilton</t>
  </si>
  <si>
    <t>Hilton, Blake</t>
  </si>
  <si>
    <t>Blake Hilton</t>
  </si>
  <si>
    <t>bhtwin2002@icloud.com</t>
  </si>
  <si>
    <t>4422 S. Aleut Way</t>
  </si>
  <si>
    <t>Hinojoza</t>
  </si>
  <si>
    <t>Hinojoza, Juan</t>
  </si>
  <si>
    <t>Juan Hinojoza</t>
  </si>
  <si>
    <t>jd.hinojoza@gmail.com</t>
  </si>
  <si>
    <t>1510 Dunn Ave</t>
  </si>
  <si>
    <t xml:space="preserve">94801     </t>
  </si>
  <si>
    <t>Kaitlin</t>
  </si>
  <si>
    <t>Holt, Kaitlin</t>
  </si>
  <si>
    <t>Kaitlin Holt</t>
  </si>
  <si>
    <t>vintagerose369@gmail.com</t>
  </si>
  <si>
    <t>1555 N Liberty Hill Rd. Lot 124</t>
  </si>
  <si>
    <t>Morristown</t>
  </si>
  <si>
    <t xml:space="preserve">37814     </t>
  </si>
  <si>
    <t>Hough</t>
  </si>
  <si>
    <t>Quincy</t>
  </si>
  <si>
    <t>Hough, Quincy</t>
  </si>
  <si>
    <t>Quincy Hough</t>
  </si>
  <si>
    <t>reenroll from last year. 0EFC no cosigner</t>
  </si>
  <si>
    <t>quincyhough2@gmail.com</t>
  </si>
  <si>
    <t>261 Eastern Street</t>
  </si>
  <si>
    <t>New Haven</t>
  </si>
  <si>
    <t xml:space="preserve">06513     </t>
  </si>
  <si>
    <t>Howard</t>
  </si>
  <si>
    <t>Dante</t>
  </si>
  <si>
    <t>Howard, Dante</t>
  </si>
  <si>
    <t>Dante Howard</t>
  </si>
  <si>
    <t>dantehoward@optonline.net</t>
  </si>
  <si>
    <t>32 Oak Avenue</t>
  </si>
  <si>
    <t>Larchmont</t>
  </si>
  <si>
    <t xml:space="preserve">10538     </t>
  </si>
  <si>
    <t>Huff</t>
  </si>
  <si>
    <t>Huff, Andrew</t>
  </si>
  <si>
    <t>Andrew Huff</t>
  </si>
  <si>
    <t>andrewhuff.scholarships@gmail.com</t>
  </si>
  <si>
    <t>3866 Elwood way</t>
  </si>
  <si>
    <t>West Jordan</t>
  </si>
  <si>
    <t xml:space="preserve">84088     </t>
  </si>
  <si>
    <t>Hurst</t>
  </si>
  <si>
    <t>Hurst, Justin</t>
  </si>
  <si>
    <t>Justin Hurst</t>
  </si>
  <si>
    <t>justinhurst0201@gmail.com</t>
  </si>
  <si>
    <t>907 Berkeley Dr.</t>
  </si>
  <si>
    <t>North Salt Lake</t>
  </si>
  <si>
    <t xml:space="preserve">84054     </t>
  </si>
  <si>
    <t>Huynh</t>
  </si>
  <si>
    <t>Katelin</t>
  </si>
  <si>
    <t>Huynh, Katelin</t>
  </si>
  <si>
    <t>Katelin Huynh</t>
  </si>
  <si>
    <t>19khuynh@gmail.com</t>
  </si>
  <si>
    <t>1422 S 730 W</t>
  </si>
  <si>
    <t>Payson</t>
  </si>
  <si>
    <t xml:space="preserve">84651     </t>
  </si>
  <si>
    <t>Ingram</t>
  </si>
  <si>
    <t>Ingram, Colton</t>
  </si>
  <si>
    <t>Colton Ingram</t>
  </si>
  <si>
    <t>colton.ingram@concordschools.org</t>
  </si>
  <si>
    <t>650 Ben Rd.</t>
  </si>
  <si>
    <t>Drasco</t>
  </si>
  <si>
    <t xml:space="preserve">72530     </t>
  </si>
  <si>
    <t>Iroha</t>
  </si>
  <si>
    <t>Harmony</t>
  </si>
  <si>
    <t>Iroha, Harmony</t>
  </si>
  <si>
    <t>Harmony Iroha</t>
  </si>
  <si>
    <t>HARMONYIROHA99@GMAIL.COM</t>
  </si>
  <si>
    <t>1765 Cutleaf Creek Rd.</t>
  </si>
  <si>
    <t>Grayson</t>
  </si>
  <si>
    <t xml:space="preserve">30017     </t>
  </si>
  <si>
    <t>Jenkins</t>
  </si>
  <si>
    <t>Beverly</t>
  </si>
  <si>
    <t>Jenkins, Beverly</t>
  </si>
  <si>
    <t>Beverly Jenkins</t>
  </si>
  <si>
    <t>bec.jenks14@gmail.com</t>
  </si>
  <si>
    <t>249 cr 4890</t>
  </si>
  <si>
    <t>Boyd</t>
  </si>
  <si>
    <t xml:space="preserve">76023     </t>
  </si>
  <si>
    <t>Jensen</t>
  </si>
  <si>
    <t>Jensen, Tyler</t>
  </si>
  <si>
    <t>Tyler Jensen</t>
  </si>
  <si>
    <t>JensenTN@icloud.com</t>
  </si>
  <si>
    <t>229 N. Jackson Ave</t>
  </si>
  <si>
    <t>Bradley</t>
  </si>
  <si>
    <t xml:space="preserve">60915     </t>
  </si>
  <si>
    <t>John</t>
  </si>
  <si>
    <t>Shobin</t>
  </si>
  <si>
    <t>John, Shobin</t>
  </si>
  <si>
    <t>Shobin John</t>
  </si>
  <si>
    <t>shobinjohn999@gmail.com</t>
  </si>
  <si>
    <t>1003 Southern Night Lane</t>
  </si>
  <si>
    <t>Gaithersburg</t>
  </si>
  <si>
    <t xml:space="preserve">20879     </t>
  </si>
  <si>
    <t>Johnson</t>
  </si>
  <si>
    <t>Ruben</t>
  </si>
  <si>
    <t>Johnson, Ruben</t>
  </si>
  <si>
    <t>Ruben Johnson</t>
  </si>
  <si>
    <t>rubenjohnson1@aol.com</t>
  </si>
  <si>
    <t>612 Ponden Drive</t>
  </si>
  <si>
    <t>Greer</t>
  </si>
  <si>
    <t xml:space="preserve">29650     </t>
  </si>
  <si>
    <t>Johnson, Tyler</t>
  </si>
  <si>
    <t>Tyler Johnson</t>
  </si>
  <si>
    <t>Tyler4186@live.com</t>
  </si>
  <si>
    <t>4186 E 117th Ave</t>
  </si>
  <si>
    <t>Thornton</t>
  </si>
  <si>
    <t>80233-5102</t>
  </si>
  <si>
    <t>Johnston</t>
  </si>
  <si>
    <t>Timothy</t>
  </si>
  <si>
    <t>Johnston, Timothy</t>
  </si>
  <si>
    <t>Timothy Johnston</t>
  </si>
  <si>
    <t>natsu343.tj@gmail.com</t>
  </si>
  <si>
    <t>117 Huger street apt. A3</t>
  </si>
  <si>
    <t>Cheraw</t>
  </si>
  <si>
    <t xml:space="preserve">29520     </t>
  </si>
  <si>
    <t>Jones</t>
  </si>
  <si>
    <t>Jones, Wahoo</t>
  </si>
  <si>
    <t>Wahoo Jones</t>
  </si>
  <si>
    <t>wjones2002@hotmail.com</t>
  </si>
  <si>
    <t>5380 Kingswell Dr.</t>
  </si>
  <si>
    <t>Norfolk</t>
  </si>
  <si>
    <t xml:space="preserve">23502     </t>
  </si>
  <si>
    <t>Jeremy</t>
  </si>
  <si>
    <t>Jordan, Jeremy</t>
  </si>
  <si>
    <t>Jeremy Jordan</t>
  </si>
  <si>
    <t>jeremyjordan457@gmail.com</t>
  </si>
  <si>
    <t>6899 woodville Rd</t>
  </si>
  <si>
    <t>hayes</t>
  </si>
  <si>
    <t xml:space="preserve">23072     </t>
  </si>
  <si>
    <t>Zaria</t>
  </si>
  <si>
    <t>Joseph, Zaria</t>
  </si>
  <si>
    <t>Zaria Joseph</t>
  </si>
  <si>
    <t>zaria.joseph2002@gmail.com</t>
  </si>
  <si>
    <t>6315 Lamp Post Pl</t>
  </si>
  <si>
    <t>College Park</t>
  </si>
  <si>
    <t xml:space="preserve">30349     </t>
  </si>
  <si>
    <t>Juarez</t>
  </si>
  <si>
    <t>Juarez, Antonio</t>
  </si>
  <si>
    <t>Antonio Juarez</t>
  </si>
  <si>
    <t>azeljuarez@gmail.com</t>
  </si>
  <si>
    <t>38251 121st St. East</t>
  </si>
  <si>
    <t xml:space="preserve">93591     </t>
  </si>
  <si>
    <t>Kaasch</t>
  </si>
  <si>
    <t>Joey</t>
  </si>
  <si>
    <t>Kaasch, Joey</t>
  </si>
  <si>
    <t>Joey Kaasch</t>
  </si>
  <si>
    <t>joey.kaasch.jk@gmail.com</t>
  </si>
  <si>
    <t>600 N Oakland Ave</t>
  </si>
  <si>
    <t>Oakland</t>
  </si>
  <si>
    <t xml:space="preserve">68045     </t>
  </si>
  <si>
    <t>Kambo</t>
  </si>
  <si>
    <t>Mehakpreet</t>
  </si>
  <si>
    <t>Kambo, Mehakpreet</t>
  </si>
  <si>
    <t>Mehakpreet Kambo</t>
  </si>
  <si>
    <t>mehakpreetp12@gmail.com</t>
  </si>
  <si>
    <t>11310 NE 129th St.</t>
  </si>
  <si>
    <t>Kirkland</t>
  </si>
  <si>
    <t xml:space="preserve">98034     </t>
  </si>
  <si>
    <t>Kealalio</t>
  </si>
  <si>
    <t>Kaysha</t>
  </si>
  <si>
    <t>Kealalio, Kaysha</t>
  </si>
  <si>
    <t>Kaysha Kealalio</t>
  </si>
  <si>
    <t>kaysha.kealalio@imua.ksbe.edu</t>
  </si>
  <si>
    <t>91-1523 Pahika Street</t>
  </si>
  <si>
    <t>Ewa Beach</t>
  </si>
  <si>
    <t xml:space="preserve">96706     </t>
  </si>
  <si>
    <t>Kelley</t>
  </si>
  <si>
    <t>Miles</t>
  </si>
  <si>
    <t>Kelley, Miles</t>
  </si>
  <si>
    <t>Miles Kelley</t>
  </si>
  <si>
    <t>mkelley3629@gmail.com</t>
  </si>
  <si>
    <t>313 Berry Avenue</t>
  </si>
  <si>
    <t>Belton</t>
  </si>
  <si>
    <t xml:space="preserve">64012     </t>
  </si>
  <si>
    <t>Kelley, Ryan</t>
  </si>
  <si>
    <t>Ryan Kelley</t>
  </si>
  <si>
    <t>rynokillir@gmail.com</t>
  </si>
  <si>
    <t>1132 101ST Ave Ct</t>
  </si>
  <si>
    <t>Greeley</t>
  </si>
  <si>
    <t xml:space="preserve">80634     </t>
  </si>
  <si>
    <t>Khan</t>
  </si>
  <si>
    <t>Kanzah</t>
  </si>
  <si>
    <t>Khan, Kanzah</t>
  </si>
  <si>
    <t>Kanzah Khan</t>
  </si>
  <si>
    <t>kaylie063@gmail.com</t>
  </si>
  <si>
    <t>Manassas</t>
  </si>
  <si>
    <t xml:space="preserve">20110     </t>
  </si>
  <si>
    <t>King</t>
  </si>
  <si>
    <t>King, Mark</t>
  </si>
  <si>
    <t>Mark King</t>
  </si>
  <si>
    <t>dylan13king@live.com</t>
  </si>
  <si>
    <t>73 Mulberry Street Ext</t>
  </si>
  <si>
    <t>Alamo</t>
  </si>
  <si>
    <t>38001-1941</t>
  </si>
  <si>
    <t>Kline</t>
  </si>
  <si>
    <t>Xandria</t>
  </si>
  <si>
    <t>Kline, Xandria</t>
  </si>
  <si>
    <t>Xandria Kline</t>
  </si>
  <si>
    <t>LRDXCK@GMAIL.COM</t>
  </si>
  <si>
    <t>130 Buckner St</t>
  </si>
  <si>
    <t>Tallulah</t>
  </si>
  <si>
    <t>71282-2802</t>
  </si>
  <si>
    <t>Kutz</t>
  </si>
  <si>
    <t>Ashlyn</t>
  </si>
  <si>
    <t>Kutz, Ashlyn</t>
  </si>
  <si>
    <t>Ashlyn Kutz</t>
  </si>
  <si>
    <t>ashkutz2020@gmail.com</t>
  </si>
  <si>
    <t>25673 Wick Rd</t>
  </si>
  <si>
    <t xml:space="preserve">48180     </t>
  </si>
  <si>
    <t>Laing</t>
  </si>
  <si>
    <t>Laing, Jared</t>
  </si>
  <si>
    <t>Jared Laing</t>
  </si>
  <si>
    <t>markarth102@gmail.com</t>
  </si>
  <si>
    <t>832 Serpentine Dr.</t>
  </si>
  <si>
    <t xml:space="preserve">92373     </t>
  </si>
  <si>
    <t>Landaiche</t>
  </si>
  <si>
    <t>Landaiche, Thomas</t>
  </si>
  <si>
    <t>Thomas Landaiche</t>
  </si>
  <si>
    <t>trebug123@gmail.com</t>
  </si>
  <si>
    <t>36531 Carlino Ct</t>
  </si>
  <si>
    <t>Prairieville</t>
  </si>
  <si>
    <t xml:space="preserve">70769     </t>
  </si>
  <si>
    <t>Langley</t>
  </si>
  <si>
    <t>Eric</t>
  </si>
  <si>
    <t>Langley, Eric</t>
  </si>
  <si>
    <t>Eric Langley</t>
  </si>
  <si>
    <t>ericlangley0921@gmail.com</t>
  </si>
  <si>
    <t>4688 E Scenic Ct</t>
  </si>
  <si>
    <t>Battle Ground</t>
  </si>
  <si>
    <t xml:space="preserve">47920     </t>
  </si>
  <si>
    <t>Mason</t>
  </si>
  <si>
    <t>Lawrence, Mason</t>
  </si>
  <si>
    <t>Mason Lawrence</t>
  </si>
  <si>
    <t>alexlawrence0401@gmail.com</t>
  </si>
  <si>
    <t>1616 Beaumont Dr</t>
  </si>
  <si>
    <t>Deatsville</t>
  </si>
  <si>
    <t>36022-2815</t>
  </si>
  <si>
    <t>Lebron</t>
  </si>
  <si>
    <t>Marilyn</t>
  </si>
  <si>
    <t>Lebron, Marilyn</t>
  </si>
  <si>
    <t>Marilyn Lebron</t>
  </si>
  <si>
    <t>marilyn.l.lebron@gmail.com</t>
  </si>
  <si>
    <t>14855 Wigwam Ct</t>
  </si>
  <si>
    <t>Victorville</t>
  </si>
  <si>
    <t xml:space="preserve">92394     </t>
  </si>
  <si>
    <t>Lechuga</t>
  </si>
  <si>
    <t>Claudia</t>
  </si>
  <si>
    <t>Lechuga, Claudia</t>
  </si>
  <si>
    <t>Claudia Lechuga</t>
  </si>
  <si>
    <t>lechugaclaudia716@gmail.com</t>
  </si>
  <si>
    <t>443 East Butterfly Circle</t>
  </si>
  <si>
    <t>Terrytown</t>
  </si>
  <si>
    <t xml:space="preserve">70056     </t>
  </si>
  <si>
    <t>Lee</t>
  </si>
  <si>
    <t>Khaliel</t>
  </si>
  <si>
    <t>Lee, Khaliel</t>
  </si>
  <si>
    <t>Khaliel Lee</t>
  </si>
  <si>
    <t>khalieJ.lee@gmail.com</t>
  </si>
  <si>
    <t>5205 E Cortland Blvd, Apt 380</t>
  </si>
  <si>
    <t>Flagstaff</t>
  </si>
  <si>
    <t xml:space="preserve">86004     </t>
  </si>
  <si>
    <t>Leite</t>
  </si>
  <si>
    <t>Ikaika</t>
  </si>
  <si>
    <t>Leite, Ikaika</t>
  </si>
  <si>
    <t>Ikaika Leite</t>
  </si>
  <si>
    <t>ikaika.leite@outlook.com</t>
  </si>
  <si>
    <t>28731 Via Pasatiempo</t>
  </si>
  <si>
    <t>Laguna Niguel</t>
  </si>
  <si>
    <t xml:space="preserve">92677     </t>
  </si>
  <si>
    <t>Lenz</t>
  </si>
  <si>
    <t>Evan</t>
  </si>
  <si>
    <t>Lenz, Evan</t>
  </si>
  <si>
    <t>Evan Lenz</t>
  </si>
  <si>
    <t>E_lenz02@yahoo.com</t>
  </si>
  <si>
    <t>372 First St. SE</t>
  </si>
  <si>
    <t>New Albin</t>
  </si>
  <si>
    <t xml:space="preserve">52160     </t>
  </si>
  <si>
    <t>Leonard</t>
  </si>
  <si>
    <t>Majory</t>
  </si>
  <si>
    <t>Leonard, Majory</t>
  </si>
  <si>
    <t>Majory Leonard</t>
  </si>
  <si>
    <t>Leonardjade905@gmail.com</t>
  </si>
  <si>
    <t>40 Forrestwood Dr</t>
  </si>
  <si>
    <t>Manchester</t>
  </si>
  <si>
    <t xml:space="preserve">37355     </t>
  </si>
  <si>
    <t>Leung</t>
  </si>
  <si>
    <t>Leung, Michael</t>
  </si>
  <si>
    <t>Michael Leung</t>
  </si>
  <si>
    <t>michaelpakhon@gmail.com</t>
  </si>
  <si>
    <t>2406 Leeward Ct</t>
  </si>
  <si>
    <t>Lithia Springs</t>
  </si>
  <si>
    <t xml:space="preserve">30122     </t>
  </si>
  <si>
    <t>Lewis</t>
  </si>
  <si>
    <t>Lewis, William</t>
  </si>
  <si>
    <t>William Lewis</t>
  </si>
  <si>
    <t>7890doom123456@gmail.com</t>
  </si>
  <si>
    <t>908 1/2 Trenton St</t>
  </si>
  <si>
    <t>Toronto</t>
  </si>
  <si>
    <t xml:space="preserve">43964     </t>
  </si>
  <si>
    <t>Liang</t>
  </si>
  <si>
    <t>Liang, Ethan</t>
  </si>
  <si>
    <t>Ethan Liang</t>
  </si>
  <si>
    <t>$14k 529, needs LE</t>
  </si>
  <si>
    <t>ethan_liang@bbschool.org</t>
  </si>
  <si>
    <t>10031 Rolling Wind Drive</t>
  </si>
  <si>
    <t>Soddy Daisy</t>
  </si>
  <si>
    <t xml:space="preserve">37379     </t>
  </si>
  <si>
    <t>Lindemann</t>
  </si>
  <si>
    <t>Kevin</t>
  </si>
  <si>
    <t>Lindemann, Kevin</t>
  </si>
  <si>
    <t>Kevin Lindemann</t>
  </si>
  <si>
    <t>lindemann.kev@gmail.com</t>
  </si>
  <si>
    <t>15 Ridge St</t>
  </si>
  <si>
    <t>Middletown</t>
  </si>
  <si>
    <t>10940-3304</t>
  </si>
  <si>
    <t>lopez</t>
  </si>
  <si>
    <t>ismael</t>
  </si>
  <si>
    <t>lopez, ismael</t>
  </si>
  <si>
    <t>ismael lopez</t>
  </si>
  <si>
    <t>lopezismael1932@hotmail.com</t>
  </si>
  <si>
    <t>1932 BETHESDA BLVD</t>
  </si>
  <si>
    <t>ZION</t>
  </si>
  <si>
    <t xml:space="preserve">60099     </t>
  </si>
  <si>
    <t>Lopez</t>
  </si>
  <si>
    <t>Tito</t>
  </si>
  <si>
    <t>Lopez, Tito</t>
  </si>
  <si>
    <t>Tito Lopez</t>
  </si>
  <si>
    <t>titolopez.tl804@gmail.com</t>
  </si>
  <si>
    <t>47355 90th st west</t>
  </si>
  <si>
    <t>Lancaster</t>
  </si>
  <si>
    <t xml:space="preserve">93536     </t>
  </si>
  <si>
    <t>Lu</t>
  </si>
  <si>
    <t>Nelson</t>
  </si>
  <si>
    <t>Lu, Nelson</t>
  </si>
  <si>
    <t>Nelson Lu</t>
  </si>
  <si>
    <t>nelsonlu3@gmail.com</t>
  </si>
  <si>
    <t>131 E Franklin St</t>
  </si>
  <si>
    <t>Portage</t>
  </si>
  <si>
    <t xml:space="preserve">53901     </t>
  </si>
  <si>
    <t>Lujang</t>
  </si>
  <si>
    <t>Manasseh</t>
  </si>
  <si>
    <t>Lujang, Manasseh</t>
  </si>
  <si>
    <t>Manasseh Lujang</t>
  </si>
  <si>
    <t>manasseh21@icloud.com</t>
  </si>
  <si>
    <t>3320 Chapel Ridge Way</t>
  </si>
  <si>
    <t>Fort Worth</t>
  </si>
  <si>
    <t xml:space="preserve">76116     </t>
  </si>
  <si>
    <t>Luna</t>
  </si>
  <si>
    <t>Serafin</t>
  </si>
  <si>
    <t>Luna, Serafin</t>
  </si>
  <si>
    <t>Serafin Luna</t>
  </si>
  <si>
    <t>Serafinluna07@gmail.com</t>
  </si>
  <si>
    <t>3707 South 18th Street</t>
  </si>
  <si>
    <t xml:space="preserve">53221     </t>
  </si>
  <si>
    <t>D</t>
  </si>
  <si>
    <t>008166</t>
  </si>
  <si>
    <t>8166</t>
  </si>
  <si>
    <t>11/5/2019</t>
  </si>
  <si>
    <t>N</t>
  </si>
  <si>
    <t>n/a</t>
  </si>
  <si>
    <t>020364</t>
  </si>
  <si>
    <t>20364</t>
  </si>
  <si>
    <t>003007</t>
  </si>
  <si>
    <t>3007</t>
  </si>
  <si>
    <t>001093</t>
  </si>
  <si>
    <t>1093</t>
  </si>
  <si>
    <t>001220</t>
  </si>
  <si>
    <t>1220</t>
  </si>
  <si>
    <t xml:space="preserve">1260    </t>
  </si>
  <si>
    <t>036762</t>
  </si>
  <si>
    <t>36762</t>
  </si>
  <si>
    <t>013343</t>
  </si>
  <si>
    <t>13343</t>
  </si>
  <si>
    <t>157022</t>
  </si>
  <si>
    <t>021496</t>
  </si>
  <si>
    <t>21496</t>
  </si>
  <si>
    <t>000000</t>
  </si>
  <si>
    <t>018748</t>
  </si>
  <si>
    <t>18748</t>
  </si>
  <si>
    <t>012548</t>
  </si>
  <si>
    <t>12548</t>
  </si>
  <si>
    <t>007096</t>
  </si>
  <si>
    <t>7096</t>
  </si>
  <si>
    <t>021957</t>
  </si>
  <si>
    <t>21957</t>
  </si>
  <si>
    <t>000331</t>
  </si>
  <si>
    <t>331</t>
  </si>
  <si>
    <t>016796</t>
  </si>
  <si>
    <t>16796</t>
  </si>
  <si>
    <t>001865</t>
  </si>
  <si>
    <t>1865</t>
  </si>
  <si>
    <t>000010</t>
  </si>
  <si>
    <t>10</t>
  </si>
  <si>
    <t>052615</t>
  </si>
  <si>
    <t>52615</t>
  </si>
  <si>
    <t>024877</t>
  </si>
  <si>
    <t>24877</t>
  </si>
  <si>
    <t>002164</t>
  </si>
  <si>
    <t>2164</t>
  </si>
  <si>
    <t>000988</t>
  </si>
  <si>
    <t>988</t>
  </si>
  <si>
    <t>003622</t>
  </si>
  <si>
    <t>3622</t>
  </si>
  <si>
    <t>026746</t>
  </si>
  <si>
    <t>26746</t>
  </si>
  <si>
    <t>026606</t>
  </si>
  <si>
    <t>26606</t>
  </si>
  <si>
    <t>001245</t>
  </si>
  <si>
    <t>1245</t>
  </si>
  <si>
    <t>001823</t>
  </si>
  <si>
    <t>1823</t>
  </si>
  <si>
    <t>017695</t>
  </si>
  <si>
    <t>17695</t>
  </si>
  <si>
    <t>138</t>
  </si>
  <si>
    <t>003543</t>
  </si>
  <si>
    <t>3543</t>
  </si>
  <si>
    <t>017191</t>
  </si>
  <si>
    <t>17191</t>
  </si>
  <si>
    <t>020297</t>
  </si>
  <si>
    <t>20297</t>
  </si>
  <si>
    <t>025624</t>
  </si>
  <si>
    <t>25624</t>
  </si>
  <si>
    <t xml:space="preserve">1290    </t>
  </si>
  <si>
    <t>127</t>
  </si>
  <si>
    <t>030464</t>
  </si>
  <si>
    <t>30464</t>
  </si>
  <si>
    <t>029820</t>
  </si>
  <si>
    <t>29820</t>
  </si>
  <si>
    <t>004320</t>
  </si>
  <si>
    <t>4320</t>
  </si>
  <si>
    <t>Colton Monroe</t>
  </si>
  <si>
    <t>Jamier Moses</t>
  </si>
  <si>
    <t>Karsten Norgard</t>
  </si>
  <si>
    <t>Ashley Osborne</t>
  </si>
  <si>
    <t>Alexandria Owens</t>
  </si>
  <si>
    <t>Aaditya Patel</t>
  </si>
  <si>
    <t>Kaleb Reisner</t>
  </si>
  <si>
    <t>Darius Rowe</t>
  </si>
  <si>
    <t>Hector Ruiz</t>
  </si>
  <si>
    <t>Logan Rust</t>
  </si>
  <si>
    <t>Ajelet Salinas</t>
  </si>
  <si>
    <t>Parker Shumard</t>
  </si>
  <si>
    <t>Noah Sickler</t>
  </si>
  <si>
    <t>Daniel Sierra</t>
  </si>
  <si>
    <t>Hayden Simpson</t>
  </si>
  <si>
    <t>Sianah Small</t>
  </si>
  <si>
    <t>Chris Smitherman</t>
  </si>
  <si>
    <t>Cassidy Taylor</t>
  </si>
  <si>
    <t>Alex Turro</t>
  </si>
  <si>
    <t>Nehemiah Wheeler</t>
  </si>
  <si>
    <t>Ashton Williams</t>
  </si>
  <si>
    <t>Deverell Williams</t>
  </si>
  <si>
    <t>Hannah Wishon</t>
  </si>
  <si>
    <t>Sara Wright</t>
  </si>
  <si>
    <t xml:space="preserve">Lm and sent intro email </t>
  </si>
  <si>
    <t>no vm sent email</t>
  </si>
  <si>
    <t>sched ALE 11/7</t>
  </si>
  <si>
    <t>G</t>
  </si>
  <si>
    <t>LT</t>
  </si>
  <si>
    <t>11/7/2019</t>
  </si>
  <si>
    <t>mckayla.collins@stu.hardin.kyschools.us</t>
  </si>
  <si>
    <t>Mom needs to file 2018 taxes</t>
  </si>
  <si>
    <t>005439</t>
  </si>
  <si>
    <t>5439</t>
  </si>
  <si>
    <t>063816</t>
  </si>
  <si>
    <t>63816</t>
  </si>
  <si>
    <t>000505</t>
  </si>
  <si>
    <t>505</t>
  </si>
  <si>
    <t>016157</t>
  </si>
  <si>
    <t>16157</t>
  </si>
  <si>
    <t>010486</t>
  </si>
  <si>
    <t>10486</t>
  </si>
  <si>
    <t>018383</t>
  </si>
  <si>
    <t>18383</t>
  </si>
  <si>
    <t>000162</t>
  </si>
  <si>
    <t>162</t>
  </si>
  <si>
    <t>003180</t>
  </si>
  <si>
    <t>3180</t>
  </si>
  <si>
    <t>006135</t>
  </si>
  <si>
    <t>6135</t>
  </si>
  <si>
    <t>002295</t>
  </si>
  <si>
    <t>2295</t>
  </si>
  <si>
    <t xml:space="preserve">Possible Legal Guardianship or adoption. Will send ppwrk. </t>
  </si>
  <si>
    <t>MR Goal</t>
  </si>
  <si>
    <t>A&amp;K Goal</t>
  </si>
  <si>
    <t>will sched ALE apt in Portal</t>
  </si>
  <si>
    <t>cj301910@dpisd.org</t>
  </si>
  <si>
    <t>GROLITE58@GMAIL.COM</t>
  </si>
  <si>
    <t>Ellerbee</t>
  </si>
  <si>
    <t>Mia</t>
  </si>
  <si>
    <t>Ellerbee, Mia</t>
  </si>
  <si>
    <t>Mia Ellerbee</t>
  </si>
  <si>
    <t>miaellerbee.vcp@gmail.com</t>
  </si>
  <si>
    <t>18601 Northlawn St.</t>
  </si>
  <si>
    <t xml:space="preserve">48221     </t>
  </si>
  <si>
    <t>November</t>
  </si>
  <si>
    <t>Enriquez</t>
  </si>
  <si>
    <t>Leonardo</t>
  </si>
  <si>
    <t>Enriquez, Leonardo</t>
  </si>
  <si>
    <t>Leonardo Enriquez</t>
  </si>
  <si>
    <t>y</t>
  </si>
  <si>
    <t>enriquez.leo58@gmail.com</t>
  </si>
  <si>
    <t>3153 LOCKWOOD ST</t>
  </si>
  <si>
    <t>DETROIT</t>
  </si>
  <si>
    <t xml:space="preserve">48210     </t>
  </si>
  <si>
    <t>Estes</t>
  </si>
  <si>
    <t>Carrie-Anna</t>
  </si>
  <si>
    <t>Estes, Carrie-Anna</t>
  </si>
  <si>
    <t>Carrie-Anna Estes</t>
  </si>
  <si>
    <t>estescarrieanna@gmail.com</t>
  </si>
  <si>
    <t>4093 E Street</t>
  </si>
  <si>
    <t>Springfield</t>
  </si>
  <si>
    <t xml:space="preserve">97478     </t>
  </si>
  <si>
    <t>Fletcher</t>
  </si>
  <si>
    <t>Grace</t>
  </si>
  <si>
    <t>Fletcher, Grace</t>
  </si>
  <si>
    <t>Grace Fletcher</t>
  </si>
  <si>
    <t>browneyedgirl.gaf@gmail.com</t>
  </si>
  <si>
    <t>529 SMITHFIELD MASONTOWN RD</t>
  </si>
  <si>
    <t>SMITHFIELD</t>
  </si>
  <si>
    <t xml:space="preserve">15478     </t>
  </si>
  <si>
    <t>Gurule</t>
  </si>
  <si>
    <t>Alonzo</t>
  </si>
  <si>
    <t>Gurule, Alonzo</t>
  </si>
  <si>
    <t>Alonzo Gurule</t>
  </si>
  <si>
    <t>alonzo.gurule@gmail.com</t>
  </si>
  <si>
    <t>1861 W RICHLAND CIRCLE</t>
  </si>
  <si>
    <t>WEST JORDAN</t>
  </si>
  <si>
    <t xml:space="preserve">84084     </t>
  </si>
  <si>
    <t>Hakala</t>
  </si>
  <si>
    <t>Hakala, Dylan</t>
  </si>
  <si>
    <t>Dylan Hakala</t>
  </si>
  <si>
    <t>dylanjhakala@gmail.com</t>
  </si>
  <si>
    <t>5221 Queenswood Dr</t>
  </si>
  <si>
    <t>Hamman</t>
  </si>
  <si>
    <t>Katie</t>
  </si>
  <si>
    <t>Hamman, Katie</t>
  </si>
  <si>
    <t>Katie Hamman</t>
  </si>
  <si>
    <t>hammankatiedogs@gmail.com</t>
  </si>
  <si>
    <t>2015 E CAMP ST, APT #3</t>
  </si>
  <si>
    <t>ELY</t>
  </si>
  <si>
    <t xml:space="preserve">55731     </t>
  </si>
  <si>
    <t>Hickey</t>
  </si>
  <si>
    <t>Donte</t>
  </si>
  <si>
    <t>Hickey, Donte</t>
  </si>
  <si>
    <t>Donte Hickey</t>
  </si>
  <si>
    <t>dontehickey7@gmail.com</t>
  </si>
  <si>
    <t>88 OLD FORGE DRIVE</t>
  </si>
  <si>
    <t>DOVER</t>
  </si>
  <si>
    <t xml:space="preserve">19904     </t>
  </si>
  <si>
    <t>humphries</t>
  </si>
  <si>
    <t>catherine</t>
  </si>
  <si>
    <t>humphries, catherine</t>
  </si>
  <si>
    <t>catherine humphries</t>
  </si>
  <si>
    <t>catherinegrace911@gmail.com</t>
  </si>
  <si>
    <t>222 PLANTATION DRIVE</t>
  </si>
  <si>
    <t>GAFFNEY</t>
  </si>
  <si>
    <t xml:space="preserve">29340     </t>
  </si>
  <si>
    <t>Rosa</t>
  </si>
  <si>
    <t>Juarez, Rosa</t>
  </si>
  <si>
    <t>Rosa Juarez</t>
  </si>
  <si>
    <t>rosacj921@gmail.com</t>
  </si>
  <si>
    <t>4025 EAST HIGHWAY 67</t>
  </si>
  <si>
    <t>KEENE</t>
  </si>
  <si>
    <t xml:space="preserve">76031     </t>
  </si>
  <si>
    <t>Zaniah</t>
  </si>
  <si>
    <t>Lewis, Zaniah</t>
  </si>
  <si>
    <t>Zaniah Lewis</t>
  </si>
  <si>
    <t>zaniahlewis4@gmail.com</t>
  </si>
  <si>
    <t>8976 1/2 cadillac ave</t>
  </si>
  <si>
    <t xml:space="preserve">90034     </t>
  </si>
  <si>
    <t>interviewed</t>
  </si>
  <si>
    <t>Marshall</t>
  </si>
  <si>
    <t>Asia</t>
  </si>
  <si>
    <t>Marshall, Asia</t>
  </si>
  <si>
    <t>Intro Call 11/18</t>
  </si>
  <si>
    <t>asia.marshall2002@gmail.com</t>
  </si>
  <si>
    <t>6197 bear cove</t>
  </si>
  <si>
    <t>Olive branch</t>
  </si>
  <si>
    <t xml:space="preserve">38654     </t>
  </si>
  <si>
    <t>Martin</t>
  </si>
  <si>
    <t>GiaVonna</t>
  </si>
  <si>
    <t>Martin, GiaVonna</t>
  </si>
  <si>
    <t>martingiavonna@yahoo.com</t>
  </si>
  <si>
    <t>6002 GARFIELD AVENUE</t>
  </si>
  <si>
    <t>ST.LOUIS</t>
  </si>
  <si>
    <t xml:space="preserve">63134     </t>
  </si>
  <si>
    <t xml:space="preserve">15      </t>
  </si>
  <si>
    <t>McGuire</t>
  </si>
  <si>
    <t>Gustav</t>
  </si>
  <si>
    <t>McGuire, Gustav</t>
  </si>
  <si>
    <t>gusmcg1856@gmail.com</t>
  </si>
  <si>
    <t>3260 S 7900 W</t>
  </si>
  <si>
    <t>Magna</t>
  </si>
  <si>
    <t xml:space="preserve">84044     </t>
  </si>
  <si>
    <t>134</t>
  </si>
  <si>
    <t>Mendoza</t>
  </si>
  <si>
    <t>Yeimi</t>
  </si>
  <si>
    <t>Mendoza, Yeimi</t>
  </si>
  <si>
    <t>yeimi0721mendoza@gmail.com</t>
  </si>
  <si>
    <t>1115 old hwy 7 south lot 15A</t>
  </si>
  <si>
    <t>Dardanelle</t>
  </si>
  <si>
    <t xml:space="preserve">72834     </t>
  </si>
  <si>
    <t>Bryson</t>
  </si>
  <si>
    <t>Murray, Bryson</t>
  </si>
  <si>
    <t>Brysong.murray@gmail.com</t>
  </si>
  <si>
    <t>81 PINE CREEK RD</t>
  </si>
  <si>
    <t>SELIGMAN</t>
  </si>
  <si>
    <t xml:space="preserve">65745     </t>
  </si>
  <si>
    <t>Nguyen</t>
  </si>
  <si>
    <t>Thien</t>
  </si>
  <si>
    <t>Nguyen, Thien</t>
  </si>
  <si>
    <t>nguthien2002@gmail.com</t>
  </si>
  <si>
    <t>5653 PINEY RIDGE DR.</t>
  </si>
  <si>
    <t>WEST VALLEY CITY</t>
  </si>
  <si>
    <t xml:space="preserve">84118     </t>
  </si>
  <si>
    <t>dakotanicalek@gmail.com</t>
  </si>
  <si>
    <t>Olsen</t>
  </si>
  <si>
    <t>Olsen, Reese</t>
  </si>
  <si>
    <t>rnolsen811@gmail.com</t>
  </si>
  <si>
    <t>12319 HAVEN ARBOR DR</t>
  </si>
  <si>
    <t>CYPRESS</t>
  </si>
  <si>
    <t>77433-6254</t>
  </si>
  <si>
    <t xml:space="preserve">1420    </t>
  </si>
  <si>
    <t>Ortiz</t>
  </si>
  <si>
    <t>Kristina</t>
  </si>
  <si>
    <t>Ortiz, Kristina</t>
  </si>
  <si>
    <t>kristinaortiz2002@gmail.com</t>
  </si>
  <si>
    <t>1231 E 89TH AVE.</t>
  </si>
  <si>
    <t>THORNTON</t>
  </si>
  <si>
    <t xml:space="preserve">80229     </t>
  </si>
  <si>
    <t xml:space="preserve">1020    </t>
  </si>
  <si>
    <t>Pelaez</t>
  </si>
  <si>
    <t>Pelaez, Eric</t>
  </si>
  <si>
    <t>legodudeboom@gmail.com</t>
  </si>
  <si>
    <t>Cathedral City</t>
  </si>
  <si>
    <t xml:space="preserve">92234     </t>
  </si>
  <si>
    <t>Penner</t>
  </si>
  <si>
    <t>Charles</t>
  </si>
  <si>
    <t>Penner, Charles</t>
  </si>
  <si>
    <t>charliefpenner@gmail.com</t>
  </si>
  <si>
    <t>804 OCEAN DUNES CIRCLE</t>
  </si>
  <si>
    <t>JUPITER</t>
  </si>
  <si>
    <t xml:space="preserve">33477     </t>
  </si>
  <si>
    <t>Phillips</t>
  </si>
  <si>
    <t>Phillips, Daniel</t>
  </si>
  <si>
    <t>daniel.phillips@stoneschools.org</t>
  </si>
  <si>
    <t>17 W. K. Breland</t>
  </si>
  <si>
    <t>Wiggins</t>
  </si>
  <si>
    <t xml:space="preserve">39577     </t>
  </si>
  <si>
    <t>81</t>
  </si>
  <si>
    <t>Randazzo</t>
  </si>
  <si>
    <t>Randazzo, Zachary</t>
  </si>
  <si>
    <t>zachary.randazzo@gmail.com</t>
  </si>
  <si>
    <t>1180 COYOTE RUN</t>
  </si>
  <si>
    <t>BOURBONNAIS</t>
  </si>
  <si>
    <t xml:space="preserve">60914     </t>
  </si>
  <si>
    <t>Brailin</t>
  </si>
  <si>
    <t>Reyes, Brailin</t>
  </si>
  <si>
    <t>brailinreyes9@gmail.com</t>
  </si>
  <si>
    <t>11513 BUCKNELL DR</t>
  </si>
  <si>
    <t>SILVER SPRING</t>
  </si>
  <si>
    <t xml:space="preserve">20902     </t>
  </si>
  <si>
    <t>Taya</t>
  </si>
  <si>
    <t>Richardson, Taya</t>
  </si>
  <si>
    <t>richardson4173@gmail.com</t>
  </si>
  <si>
    <t>76 merrymeeting rd</t>
  </si>
  <si>
    <t>Brunswick</t>
  </si>
  <si>
    <t xml:space="preserve">04011     </t>
  </si>
  <si>
    <t xml:space="preserve">Call after 3:30 MST; Concerned about cost &amp; attending a different college than friends. </t>
  </si>
  <si>
    <t>R</t>
  </si>
  <si>
    <t>e.salazar.mexica1@gmail.com</t>
  </si>
  <si>
    <t>Schlechner</t>
  </si>
  <si>
    <t>Mahon</t>
  </si>
  <si>
    <t>Schlechner, Mahon</t>
  </si>
  <si>
    <t>Mahonws@hotmail.com</t>
  </si>
  <si>
    <t>15292 NOTTINGHAM LANE</t>
  </si>
  <si>
    <t>HUNTINGTON BEACH</t>
  </si>
  <si>
    <t xml:space="preserve">92647     </t>
  </si>
  <si>
    <t>Schrock</t>
  </si>
  <si>
    <t>Brandon</t>
  </si>
  <si>
    <t>Schrock, Brandon</t>
  </si>
  <si>
    <t>brandonschrock319@gmail.com</t>
  </si>
  <si>
    <t>2006 ONTARIO RD. LOT #43</t>
  </si>
  <si>
    <t>NILES</t>
  </si>
  <si>
    <t xml:space="preserve">49120     </t>
  </si>
  <si>
    <t>Stewart</t>
  </si>
  <si>
    <t>Aryana</t>
  </si>
  <si>
    <t>Stewart, Aryana</t>
  </si>
  <si>
    <t xml:space="preserve">28215     </t>
  </si>
  <si>
    <t>Sudweeks</t>
  </si>
  <si>
    <t>Sudweeks, Grayson</t>
  </si>
  <si>
    <t>grayson.sudweeks6302@gmail.com</t>
  </si>
  <si>
    <t>PO Box 1598, 98 N Main St</t>
  </si>
  <si>
    <t>Parowan</t>
  </si>
  <si>
    <t>84761-1598</t>
  </si>
  <si>
    <t>Curtis</t>
  </si>
  <si>
    <t>Taylor, Curtis</t>
  </si>
  <si>
    <t>curtisktaylorrrr@gmail.com</t>
  </si>
  <si>
    <t>7024 Teak Way</t>
  </si>
  <si>
    <t>Rancho Cucamonga</t>
  </si>
  <si>
    <t xml:space="preserve">91701     </t>
  </si>
  <si>
    <t>Tolefree</t>
  </si>
  <si>
    <t>Kristian</t>
  </si>
  <si>
    <t>Tolefree, Kristian</t>
  </si>
  <si>
    <t>ttolefree45@att.net</t>
  </si>
  <si>
    <t>12905 CYPRESS LN</t>
  </si>
  <si>
    <t>PLAINFIELD</t>
  </si>
  <si>
    <t xml:space="preserve">60585     </t>
  </si>
  <si>
    <t>Torralba</t>
  </si>
  <si>
    <t>Torralba, Joshua</t>
  </si>
  <si>
    <t>torralba.joshua12@gmail.com</t>
  </si>
  <si>
    <t>P.O. BOX 347</t>
  </si>
  <si>
    <t>CAMERON</t>
  </si>
  <si>
    <t xml:space="preserve">86020     </t>
  </si>
  <si>
    <t>N Las Vegas</t>
  </si>
  <si>
    <t xml:space="preserve">89030     </t>
  </si>
  <si>
    <t>Washington</t>
  </si>
  <si>
    <t>Washington, Kaleb</t>
  </si>
  <si>
    <t>kdwashington302@gmail.com</t>
  </si>
  <si>
    <t>12651 GRIGGS ST</t>
  </si>
  <si>
    <t>48238-3049</t>
  </si>
  <si>
    <t>Kendel</t>
  </si>
  <si>
    <t>Williams, Kendel</t>
  </si>
  <si>
    <t>kendelwilliams0822@gmail.com</t>
  </si>
  <si>
    <t>24740 Devoe Ave</t>
  </si>
  <si>
    <t>Euclid</t>
  </si>
  <si>
    <t xml:space="preserve">44123     </t>
  </si>
  <si>
    <t xml:space="preserve">890     </t>
  </si>
  <si>
    <t>75</t>
  </si>
  <si>
    <t>NS ALE 11/12</t>
  </si>
  <si>
    <t>V1 Verification</t>
  </si>
  <si>
    <t>Coming to NeumontX 12/6</t>
  </si>
  <si>
    <t>prob going to cancel</t>
  </si>
  <si>
    <t>000890</t>
  </si>
  <si>
    <t>890</t>
  </si>
  <si>
    <t>019600</t>
  </si>
  <si>
    <t>19600</t>
  </si>
  <si>
    <t>032541</t>
  </si>
  <si>
    <t>32541</t>
  </si>
  <si>
    <t>11/14/2019</t>
  </si>
  <si>
    <t>004993</t>
  </si>
  <si>
    <t>4993</t>
  </si>
  <si>
    <t>016149</t>
  </si>
  <si>
    <t>16149</t>
  </si>
  <si>
    <t>000364</t>
  </si>
  <si>
    <t>364</t>
  </si>
  <si>
    <t>002281</t>
  </si>
  <si>
    <t>2281</t>
  </si>
  <si>
    <t>000180</t>
  </si>
  <si>
    <t>180</t>
  </si>
  <si>
    <t>215 N. Monroe Avenue, PO Box 176</t>
  </si>
  <si>
    <t>016424</t>
  </si>
  <si>
    <t>16424</t>
  </si>
  <si>
    <t>001459</t>
  </si>
  <si>
    <t>1459</t>
  </si>
  <si>
    <t>interviewed w/leslie</t>
  </si>
  <si>
    <t>Missed appt 11/13 @ 5pm MST. Had intro call w/leslie</t>
  </si>
  <si>
    <t>had intro call w/Leslie</t>
  </si>
  <si>
    <t>Akahara</t>
  </si>
  <si>
    <t>Uchenna</t>
  </si>
  <si>
    <t>Akahara, Uchenna</t>
  </si>
  <si>
    <t>Uchenna Akahara</t>
  </si>
  <si>
    <t>akaharauchenna@gmail.com</t>
  </si>
  <si>
    <t>901 KORY DRIVE</t>
  </si>
  <si>
    <t>MESQUITE</t>
  </si>
  <si>
    <t xml:space="preserve">75149     </t>
  </si>
  <si>
    <t>Aronson</t>
  </si>
  <si>
    <t>Aronson, Hayden</t>
  </si>
  <si>
    <t>Hayden Aronson</t>
  </si>
  <si>
    <t>banditoz@protonmail.com</t>
  </si>
  <si>
    <t>11943 S EMMA MINE DRIVE</t>
  </si>
  <si>
    <t>HERRIMAN</t>
  </si>
  <si>
    <t>Bautista</t>
  </si>
  <si>
    <t>Enoch</t>
  </si>
  <si>
    <t>Bautista, Enoch</t>
  </si>
  <si>
    <t>Enoch Bautista</t>
  </si>
  <si>
    <t>bautistaenoch@gmail.com</t>
  </si>
  <si>
    <t>212 S IVY ST</t>
  </si>
  <si>
    <t>NAMPA</t>
  </si>
  <si>
    <t xml:space="preserve">83686     </t>
  </si>
  <si>
    <t>Benner</t>
  </si>
  <si>
    <t>Rachael</t>
  </si>
  <si>
    <t>Benner, Rachael</t>
  </si>
  <si>
    <t>Rachael Benner</t>
  </si>
  <si>
    <t>Rabenner7@gmail.com</t>
  </si>
  <si>
    <t>3802 w. Bismark dr</t>
  </si>
  <si>
    <t>Meridian</t>
  </si>
  <si>
    <t xml:space="preserve">83646     </t>
  </si>
  <si>
    <t xml:space="preserve">will fill out FAFSA soon. </t>
  </si>
  <si>
    <t>Brunson</t>
  </si>
  <si>
    <t>Brunson, Jaiden</t>
  </si>
  <si>
    <t>Jaiden Brunson</t>
  </si>
  <si>
    <t>jaidenbrunson2020@gmail.com</t>
  </si>
  <si>
    <t>5907 WESTERN RUN DRIVE</t>
  </si>
  <si>
    <t>BALTIMORE</t>
  </si>
  <si>
    <t xml:space="preserve">21209     </t>
  </si>
  <si>
    <t>Buechner</t>
  </si>
  <si>
    <t>Alan</t>
  </si>
  <si>
    <t>Buechner, Alan</t>
  </si>
  <si>
    <t>Alan Buechner</t>
  </si>
  <si>
    <t>alanjamsbuechner@gmail.com</t>
  </si>
  <si>
    <t>4289 Dicky Lane</t>
  </si>
  <si>
    <t>Madison</t>
  </si>
  <si>
    <t xml:space="preserve">53718     </t>
  </si>
  <si>
    <t>Caballero</t>
  </si>
  <si>
    <t>Kenneth</t>
  </si>
  <si>
    <t>Caballero, Kenneth</t>
  </si>
  <si>
    <t>Kenneth Caballero</t>
  </si>
  <si>
    <t>Kenneth.caballero713@gmail.com</t>
  </si>
  <si>
    <t>27545 Valley West Road</t>
  </si>
  <si>
    <t>Taft</t>
  </si>
  <si>
    <t xml:space="preserve">93268     </t>
  </si>
  <si>
    <t>Colbert</t>
  </si>
  <si>
    <t>Caelan</t>
  </si>
  <si>
    <t>Colbert, Caelan</t>
  </si>
  <si>
    <t>Caelan Colbert</t>
  </si>
  <si>
    <t>Caelan1266@icloud.com</t>
  </si>
  <si>
    <t>420 LINDEN AVE</t>
  </si>
  <si>
    <t>RIVERTON</t>
  </si>
  <si>
    <t>NJ</t>
  </si>
  <si>
    <t xml:space="preserve">08077     </t>
  </si>
  <si>
    <t>needs 20/21 FAFSA</t>
  </si>
  <si>
    <t>134 Carlisle Ave</t>
  </si>
  <si>
    <t>Dehoyos</t>
  </si>
  <si>
    <t>Marcus</t>
  </si>
  <si>
    <t>Dehoyos, Marcus</t>
  </si>
  <si>
    <t>Marcus Dehoyos</t>
  </si>
  <si>
    <t>bennydehoyos1129@gmail.com</t>
  </si>
  <si>
    <t>2313 WEBSTER DR.</t>
  </si>
  <si>
    <t>EDINBURG</t>
  </si>
  <si>
    <t>Duran</t>
  </si>
  <si>
    <t>Arturo</t>
  </si>
  <si>
    <t>Duran, Arturo</t>
  </si>
  <si>
    <t>Arturo Duran</t>
  </si>
  <si>
    <t>arturdur34@gmail.com</t>
  </si>
  <si>
    <t>3258W JORDAN LINE PARKWAY #2-130</t>
  </si>
  <si>
    <t>Farrell</t>
  </si>
  <si>
    <t>Farrell, Michael</t>
  </si>
  <si>
    <t>Michael Farrell</t>
  </si>
  <si>
    <t>michael.farrell@cristoreysj.org</t>
  </si>
  <si>
    <t>905 PASCOE AVE</t>
  </si>
  <si>
    <t>SAN JOSE</t>
  </si>
  <si>
    <t xml:space="preserve">95125     </t>
  </si>
  <si>
    <t>Gardner</t>
  </si>
  <si>
    <t>Gardner, Christopher</t>
  </si>
  <si>
    <t>Christopher Gardner</t>
  </si>
  <si>
    <t>Forge2_fight@live.com</t>
  </si>
  <si>
    <t>535 BERRIEDALE DR</t>
  </si>
  <si>
    <t>CARY</t>
  </si>
  <si>
    <t xml:space="preserve">60013     </t>
  </si>
  <si>
    <t>Garza, Andrew</t>
  </si>
  <si>
    <t>Andrew Garza</t>
  </si>
  <si>
    <t>agisfcp@gmail.com</t>
  </si>
  <si>
    <t>319 WEST HARLAN AVE</t>
  </si>
  <si>
    <t>SAN ANTONIO</t>
  </si>
  <si>
    <t xml:space="preserve">78214     </t>
  </si>
  <si>
    <t>Gomez Reano</t>
  </si>
  <si>
    <t>Alexis</t>
  </si>
  <si>
    <t>Gomez Reano, Alexis</t>
  </si>
  <si>
    <t>Alexis Gomez Reano</t>
  </si>
  <si>
    <t>alexisggr104@gmail.com</t>
  </si>
  <si>
    <t>5075 W 4700 S, TRLR 133</t>
  </si>
  <si>
    <t>KEARNS</t>
  </si>
  <si>
    <t>Gordon</t>
  </si>
  <si>
    <t>Torian</t>
  </si>
  <si>
    <t>Gordon, Torian</t>
  </si>
  <si>
    <t>Torian Gordon</t>
  </si>
  <si>
    <t>torian.gordon17@gmail.com</t>
  </si>
  <si>
    <t>5847 Buckner Creek Dr</t>
  </si>
  <si>
    <t>Mableton</t>
  </si>
  <si>
    <t>30126-7701</t>
  </si>
  <si>
    <t>Jeremiah</t>
  </si>
  <si>
    <t>Hall, Jeremiah</t>
  </si>
  <si>
    <t>Jeremiah Hall</t>
  </si>
  <si>
    <t>jeremiahhall.schoool@gmail.com</t>
  </si>
  <si>
    <t>1484 RA WEST HWY</t>
  </si>
  <si>
    <t>DELBARTON</t>
  </si>
  <si>
    <t xml:space="preserve">25670     </t>
  </si>
  <si>
    <t>Mariah</t>
  </si>
  <si>
    <t>Jackson, Mariah</t>
  </si>
  <si>
    <t>Mariah Jackson</t>
  </si>
  <si>
    <t>royalriah@gmail.com</t>
  </si>
  <si>
    <t>2170 RANGOON CT</t>
  </si>
  <si>
    <t>CINCINNATI</t>
  </si>
  <si>
    <t xml:space="preserve">45240     </t>
  </si>
  <si>
    <t>Jones, John</t>
  </si>
  <si>
    <t>John Jones</t>
  </si>
  <si>
    <t>johnjonesma@gmail.com</t>
  </si>
  <si>
    <t>346 N. 100 E.</t>
  </si>
  <si>
    <t>SANTAQUIN</t>
  </si>
  <si>
    <t xml:space="preserve">84655     </t>
  </si>
  <si>
    <t>Nair</t>
  </si>
  <si>
    <t>Manya</t>
  </si>
  <si>
    <t>Nair, Manya</t>
  </si>
  <si>
    <t>Intro Call 11/25</t>
  </si>
  <si>
    <t>manya.nair@gmail.com</t>
  </si>
  <si>
    <t>11404 S OVERSHINE LN</t>
  </si>
  <si>
    <t>SOUTH JORDAN</t>
  </si>
  <si>
    <t xml:space="preserve">84009     </t>
  </si>
  <si>
    <t>67220 San Gabriel Cir.</t>
  </si>
  <si>
    <t xml:space="preserve">1360    </t>
  </si>
  <si>
    <t>128</t>
  </si>
  <si>
    <t>Perez, Gabriel</t>
  </si>
  <si>
    <t>Gabe.perez1002@gmail.com</t>
  </si>
  <si>
    <t>917 2ND ST P.O.BOX 312</t>
  </si>
  <si>
    <t>PULLMAN</t>
  </si>
  <si>
    <t xml:space="preserve">49450     </t>
  </si>
  <si>
    <t>107</t>
  </si>
  <si>
    <t>Guadalupe</t>
  </si>
  <si>
    <t>Perez, Guadalupe</t>
  </si>
  <si>
    <t>perezguadalupe590@gmail.com</t>
  </si>
  <si>
    <t>547 N GRANT ST</t>
  </si>
  <si>
    <t>SALT LAKE CITY</t>
  </si>
  <si>
    <t xml:space="preserve">84116     </t>
  </si>
  <si>
    <t>ALE Call 11/26 @ 1pm MST</t>
  </si>
  <si>
    <t>Santos</t>
  </si>
  <si>
    <t>Wilver</t>
  </si>
  <si>
    <t>Santos, Wilver</t>
  </si>
  <si>
    <t>Wilver.santos84@gmail.com</t>
  </si>
  <si>
    <t>660 teal st</t>
  </si>
  <si>
    <t>crestview</t>
  </si>
  <si>
    <t xml:space="preserve">32539     </t>
  </si>
  <si>
    <t>116</t>
  </si>
  <si>
    <t>mikeyandjacksmom@gmail.com</t>
  </si>
  <si>
    <t>520 Cumberland trl</t>
  </si>
  <si>
    <t>Sowell</t>
  </si>
  <si>
    <t>Deonta</t>
  </si>
  <si>
    <t>Sowell, Deonta</t>
  </si>
  <si>
    <t>deontasowell20@gmail.com</t>
  </si>
  <si>
    <t>7802 MARQUETT DR</t>
  </si>
  <si>
    <t>ROWLETT</t>
  </si>
  <si>
    <t xml:space="preserve">75089     </t>
  </si>
  <si>
    <t>87</t>
  </si>
  <si>
    <t>Trueitt</t>
  </si>
  <si>
    <t>Ste'fan</t>
  </si>
  <si>
    <t>Trueitt, Ste'fan</t>
  </si>
  <si>
    <t>lilstef27@yahoo.com</t>
  </si>
  <si>
    <t>7804 NESBITT DRIVE</t>
  </si>
  <si>
    <t>NORFOLK</t>
  </si>
  <si>
    <t xml:space="preserve">23505     </t>
  </si>
  <si>
    <t>1801 Manhattan Blvd, Ste. J-324</t>
  </si>
  <si>
    <t>Dez</t>
  </si>
  <si>
    <t>Vega, Dez</t>
  </si>
  <si>
    <t>solluxcaptor5013@gmail.com</t>
  </si>
  <si>
    <t>65227 State Highway 74</t>
  </si>
  <si>
    <t>Mountain Center</t>
  </si>
  <si>
    <t xml:space="preserve">92561     </t>
  </si>
  <si>
    <t>Wallraff</t>
  </si>
  <si>
    <t>Wallraff, Zachary</t>
  </si>
  <si>
    <t>zwallraff@gmail.com</t>
  </si>
  <si>
    <t>814 BLACKOAKS LN</t>
  </si>
  <si>
    <t>ANOKA</t>
  </si>
  <si>
    <t xml:space="preserve">55303     </t>
  </si>
  <si>
    <t>Jubilee</t>
  </si>
  <si>
    <t>Watson, Jubilee</t>
  </si>
  <si>
    <t>jubilee.watson.02@k12.rrsd.me</t>
  </si>
  <si>
    <t>1103 CONTOURS</t>
  </si>
  <si>
    <t xml:space="preserve">48201     </t>
  </si>
  <si>
    <t>Wharton</t>
  </si>
  <si>
    <t>Mindy</t>
  </si>
  <si>
    <t>Wharton, Mindy</t>
  </si>
  <si>
    <t>MINDYLYNWHARTON@GMAIL.COM</t>
  </si>
  <si>
    <t>5764 S WATERBURY WAY, I</t>
  </si>
  <si>
    <t>MURRAY</t>
  </si>
  <si>
    <t xml:space="preserve">84121     </t>
  </si>
  <si>
    <t xml:space="preserve">HS2014  </t>
  </si>
  <si>
    <t>Williams, Justin</t>
  </si>
  <si>
    <t>littleone1233@gmail.com</t>
  </si>
  <si>
    <t>6262 BARTON PARK DRIVE</t>
  </si>
  <si>
    <t xml:space="preserve">84081     </t>
  </si>
  <si>
    <t>11/21/2019</t>
  </si>
  <si>
    <t>005262</t>
  </si>
  <si>
    <t>5262</t>
  </si>
  <si>
    <t>008325</t>
  </si>
  <si>
    <t>8325</t>
  </si>
  <si>
    <t>ADMP Appt scheduled on Thanksgiving, sent email to reschedule.</t>
  </si>
  <si>
    <t>fo/up by 12/4 to schedule ALE call</t>
  </si>
  <si>
    <t>Musco</t>
  </si>
  <si>
    <t>Musco, Matthew</t>
  </si>
  <si>
    <t>Intro Call 12/2</t>
  </si>
  <si>
    <t>MatthewMusco10@gmail.com</t>
  </si>
  <si>
    <t>20 AMERICA ST 2ND FLOOR</t>
  </si>
  <si>
    <t>WATERBURY</t>
  </si>
  <si>
    <t xml:space="preserve">06708     </t>
  </si>
  <si>
    <t>000467</t>
  </si>
  <si>
    <t>467</t>
  </si>
  <si>
    <t>Reyes, Isaac</t>
  </si>
  <si>
    <t>saacrey8@gmail.com</t>
  </si>
  <si>
    <t>6764 Browns Bay Ct</t>
  </si>
  <si>
    <t xml:space="preserve">89149     </t>
  </si>
  <si>
    <t>029423</t>
  </si>
  <si>
    <t>29423</t>
  </si>
  <si>
    <t>Couldn't really hear me during intro call, try again 12/4</t>
  </si>
  <si>
    <t>004494</t>
  </si>
  <si>
    <t>4494</t>
  </si>
  <si>
    <t>Khamen</t>
  </si>
  <si>
    <t>Murray, Khamen</t>
  </si>
  <si>
    <t>mrinsanity18@gmail.com</t>
  </si>
  <si>
    <t>9114 S CHAPPEL AVE</t>
  </si>
  <si>
    <t>CHICAGO</t>
  </si>
  <si>
    <t xml:space="preserve">60617     </t>
  </si>
  <si>
    <t>000165</t>
  </si>
  <si>
    <t>165</t>
  </si>
  <si>
    <t>Ordonez</t>
  </si>
  <si>
    <t>Ordonez, Daniel</t>
  </si>
  <si>
    <t>daniel.ordonez210@gmail.com</t>
  </si>
  <si>
    <t>1330 N BASCOM AVE, APT#26</t>
  </si>
  <si>
    <t xml:space="preserve">95128     </t>
  </si>
  <si>
    <t>015604</t>
  </si>
  <si>
    <t>15604</t>
  </si>
  <si>
    <t>011150</t>
  </si>
  <si>
    <t>11150</t>
  </si>
  <si>
    <t>zornak</t>
  </si>
  <si>
    <t>alyssa</t>
  </si>
  <si>
    <t>zornak, alyssa</t>
  </si>
  <si>
    <t>alyssazornak@gmail.com</t>
  </si>
  <si>
    <t>2204 LODGE FOREST DRIVE</t>
  </si>
  <si>
    <t>EDGEMERE</t>
  </si>
  <si>
    <t xml:space="preserve">21219     </t>
  </si>
  <si>
    <t>003997</t>
  </si>
  <si>
    <t>3997</t>
  </si>
  <si>
    <t>Martinez, Hector</t>
  </si>
  <si>
    <t>hectordaniel.2002@hotmail.com</t>
  </si>
  <si>
    <t>1234 SHADY PINES LN</t>
  </si>
  <si>
    <t>TITUSVILLE</t>
  </si>
  <si>
    <t xml:space="preserve">32796     </t>
  </si>
  <si>
    <t>Moore, Ashlyn</t>
  </si>
  <si>
    <t>nylhsa0114@gmail.com</t>
  </si>
  <si>
    <t>177 WILLIAM WARREN RD.</t>
  </si>
  <si>
    <t>COLLINS</t>
  </si>
  <si>
    <t xml:space="preserve">39428     </t>
  </si>
  <si>
    <t>Morocho</t>
  </si>
  <si>
    <t>Morocho, Gabriel</t>
  </si>
  <si>
    <t>gabriel13-02@hotmail.com</t>
  </si>
  <si>
    <t>779 40th St Apt 8</t>
  </si>
  <si>
    <t>Brooklyn</t>
  </si>
  <si>
    <t xml:space="preserve">11232     </t>
  </si>
  <si>
    <t>76</t>
  </si>
  <si>
    <t>Olea Tapia</t>
  </si>
  <si>
    <t>Alejandra</t>
  </si>
  <si>
    <t>Olea Tapia, Alejandra</t>
  </si>
  <si>
    <t>tapiaalex360@yahoo.com</t>
  </si>
  <si>
    <t>2627 W. Baseline Rd.</t>
  </si>
  <si>
    <t xml:space="preserve">840     </t>
  </si>
  <si>
    <t>Pagonas</t>
  </si>
  <si>
    <t>Pagonas, Joshua</t>
  </si>
  <si>
    <t>jkp19mail@yahoo.com</t>
  </si>
  <si>
    <t>6358 WALKER DRIVE</t>
  </si>
  <si>
    <t>TROY</t>
  </si>
  <si>
    <t xml:space="preserve">48085     </t>
  </si>
  <si>
    <t xml:space="preserve">        </t>
  </si>
  <si>
    <t>Penrod</t>
  </si>
  <si>
    <t>Penrod, William</t>
  </si>
  <si>
    <t>renegadecat47@gmail.com</t>
  </si>
  <si>
    <t>625 E 60 N</t>
  </si>
  <si>
    <t>OREM</t>
  </si>
  <si>
    <t xml:space="preserve">84097     </t>
  </si>
  <si>
    <t>ADMP appt set for thanksgiving, sent email to reschedule</t>
  </si>
  <si>
    <t>Possibly PJ</t>
  </si>
  <si>
    <t>Nikolas</t>
  </si>
  <si>
    <t>Roberts, Nikolas</t>
  </si>
  <si>
    <t>nikolasjroberts@gmail.com</t>
  </si>
  <si>
    <t>264 n state st, apt 10</t>
  </si>
  <si>
    <t xml:space="preserve">84103     </t>
  </si>
  <si>
    <t>82</t>
  </si>
  <si>
    <t>Robertson</t>
  </si>
  <si>
    <t>Hesston</t>
  </si>
  <si>
    <t>Robertson, Hesston</t>
  </si>
  <si>
    <t>hesston20000@yahoo.com</t>
  </si>
  <si>
    <t>1624 W MINNESOTA AVE</t>
  </si>
  <si>
    <t>CHICKASHA</t>
  </si>
  <si>
    <t xml:space="preserve">73018     </t>
  </si>
  <si>
    <t>talked w/leslie Needs to fill out FAFSA still</t>
  </si>
  <si>
    <t>Sisneros</t>
  </si>
  <si>
    <t>Sisneros, Brandon</t>
  </si>
  <si>
    <t>brandonsisneros02@live.com</t>
  </si>
  <si>
    <t>30141 ANTELOPE RD, SUITE D235</t>
  </si>
  <si>
    <t>MENIFEE</t>
  </si>
  <si>
    <t>Spurgin</t>
  </si>
  <si>
    <t>Terra</t>
  </si>
  <si>
    <t>Spurgin, Terra</t>
  </si>
  <si>
    <t>spurginterra@gmail.com</t>
  </si>
  <si>
    <t>3925 W BACKER LANE</t>
  </si>
  <si>
    <t>PHOENIX</t>
  </si>
  <si>
    <t xml:space="preserve">85029     </t>
  </si>
  <si>
    <t>Terrazas</t>
  </si>
  <si>
    <t>Terrazas, Marcos</t>
  </si>
  <si>
    <t>marcosterrazas2002@gmail.com</t>
  </si>
  <si>
    <t>P.O. BOX 2115</t>
  </si>
  <si>
    <t>SANTA CRUZ</t>
  </si>
  <si>
    <t xml:space="preserve">87567     </t>
  </si>
  <si>
    <t>Tucker</t>
  </si>
  <si>
    <t>Tucker, Brady</t>
  </si>
  <si>
    <t>brady.tucker07@gmail.com</t>
  </si>
  <si>
    <t>2131 Haston Rd</t>
  </si>
  <si>
    <t>Carlsbad</t>
  </si>
  <si>
    <t xml:space="preserve">88220     </t>
  </si>
  <si>
    <t>Malachi</t>
  </si>
  <si>
    <t>Walker, Malachi</t>
  </si>
  <si>
    <t>walkertrack.club@gmail.com</t>
  </si>
  <si>
    <t>PO BOX 1661</t>
  </si>
  <si>
    <t>SELMA</t>
  </si>
  <si>
    <t xml:space="preserve">36702     </t>
  </si>
  <si>
    <t>Almaraz</t>
  </si>
  <si>
    <t>Vicente</t>
  </si>
  <si>
    <t>Almaraz, Vicente</t>
  </si>
  <si>
    <t>Vicente Almaraz</t>
  </si>
  <si>
    <t>intro call 12/2</t>
  </si>
  <si>
    <t>veealmarazinaz@gmail.com</t>
  </si>
  <si>
    <t>28530 N BROKEN SHALE DR</t>
  </si>
  <si>
    <t>SAN TAN VALLEY</t>
  </si>
  <si>
    <t xml:space="preserve">85143     </t>
  </si>
  <si>
    <t>Alvarez</t>
  </si>
  <si>
    <t>Tianna</t>
  </si>
  <si>
    <t>Alvarez, Tianna</t>
  </si>
  <si>
    <t>Tianna Alvarez</t>
  </si>
  <si>
    <t>titialvarez626@gmail.com</t>
  </si>
  <si>
    <t>15781 TAWNEY RIDGE LN</t>
  </si>
  <si>
    <t>VICTORVILLE</t>
  </si>
  <si>
    <t xml:space="preserve">92934     </t>
  </si>
  <si>
    <t>6631 Georgia Jack Dr.</t>
  </si>
  <si>
    <t xml:space="preserve">32244     </t>
  </si>
  <si>
    <t>Bennett, Christopher</t>
  </si>
  <si>
    <t>Christopher Bennett</t>
  </si>
  <si>
    <t>cbinferno3@gmail.com</t>
  </si>
  <si>
    <t>114 EAST 25TH STREET</t>
  </si>
  <si>
    <t>WILMINGTON</t>
  </si>
  <si>
    <t xml:space="preserve">19802     </t>
  </si>
  <si>
    <t>412 N Jefferson</t>
  </si>
  <si>
    <t>Capucci</t>
  </si>
  <si>
    <t>Francesco</t>
  </si>
  <si>
    <t>Capucci, Francesco</t>
  </si>
  <si>
    <t>Francesco Capucci</t>
  </si>
  <si>
    <t>Francesco.Capucci7@gmail.com</t>
  </si>
  <si>
    <t>5300 NW 19TH ST</t>
  </si>
  <si>
    <t>TERREBONNE</t>
  </si>
  <si>
    <t xml:space="preserve">97760     </t>
  </si>
  <si>
    <t>Crawford</t>
  </si>
  <si>
    <t>Crawford, Micheal</t>
  </si>
  <si>
    <t>Micheal Crawford</t>
  </si>
  <si>
    <t>michealscott145@gmail.com</t>
  </si>
  <si>
    <t>27 WINDY RDG</t>
  </si>
  <si>
    <t>TRUMBULL</t>
  </si>
  <si>
    <t>06611-4419</t>
  </si>
  <si>
    <t>Day</t>
  </si>
  <si>
    <t>Day, Kyler</t>
  </si>
  <si>
    <t>Kyler Day</t>
  </si>
  <si>
    <t>kwday@outlook.com</t>
  </si>
  <si>
    <t>434 E 710 N</t>
  </si>
  <si>
    <t>LINDON</t>
  </si>
  <si>
    <t xml:space="preserve">84042     </t>
  </si>
  <si>
    <t>Del Castillo</t>
  </si>
  <si>
    <t>Del Castillo, Gabriel</t>
  </si>
  <si>
    <t>Gabriel Del Castillo</t>
  </si>
  <si>
    <t>delcastillo182@gmail.com</t>
  </si>
  <si>
    <t>8555 FAIRMOUNT DR APT B208</t>
  </si>
  <si>
    <t xml:space="preserve">80247     </t>
  </si>
  <si>
    <t>Delgadillo</t>
  </si>
  <si>
    <t>Alejandro</t>
  </si>
  <si>
    <t>Delgadillo, Alejandro</t>
  </si>
  <si>
    <t>Alejandro Delgadillo</t>
  </si>
  <si>
    <t>alexdlgdll1130@gmail.com</t>
  </si>
  <si>
    <t>5010 S SEELEY AVE</t>
  </si>
  <si>
    <t xml:space="preserve">60609     </t>
  </si>
  <si>
    <t>Dennard</t>
  </si>
  <si>
    <t>Payton</t>
  </si>
  <si>
    <t>Dennard, Payton</t>
  </si>
  <si>
    <t>Payton Dennard</t>
  </si>
  <si>
    <t>Paytondennardmsp@gmail.com</t>
  </si>
  <si>
    <t>23151 BEECH RD</t>
  </si>
  <si>
    <t>SOUTHFIELD</t>
  </si>
  <si>
    <t xml:space="preserve">48033     </t>
  </si>
  <si>
    <t>Dervin</t>
  </si>
  <si>
    <t>Dervin, Jonathan</t>
  </si>
  <si>
    <t>Jonathan Dervin</t>
  </si>
  <si>
    <t>Jadervin@cps.edu</t>
  </si>
  <si>
    <t>4639 SOUTH LECLAIRE AVE</t>
  </si>
  <si>
    <t xml:space="preserve">60638     </t>
  </si>
  <si>
    <t>Dominguez</t>
  </si>
  <si>
    <t>Jesus</t>
  </si>
  <si>
    <t>Dominguez, Jesus</t>
  </si>
  <si>
    <t>Jesus Dominguez</t>
  </si>
  <si>
    <t>dominguezjesus641@gmail.com</t>
  </si>
  <si>
    <t>4227 West 5700 South</t>
  </si>
  <si>
    <t>Kearns</t>
  </si>
  <si>
    <t>Duron Montelongo</t>
  </si>
  <si>
    <t>Duron Montelongo, Jose</t>
  </si>
  <si>
    <t>Jose Duron Montelongo</t>
  </si>
  <si>
    <t>duronje99@gmail.com</t>
  </si>
  <si>
    <t>6711 S COUNTY RD 1160</t>
  </si>
  <si>
    <t>MIDLAND</t>
  </si>
  <si>
    <t xml:space="preserve">79706     </t>
  </si>
  <si>
    <t>Esposito</t>
  </si>
  <si>
    <t>Esposito, Matthew</t>
  </si>
  <si>
    <t>Matthew Esposito</t>
  </si>
  <si>
    <t>mvre282@yahoo.com</t>
  </si>
  <si>
    <t>2103 Havenhouse Dr</t>
  </si>
  <si>
    <t>Spring</t>
  </si>
  <si>
    <t>77386-2510</t>
  </si>
  <si>
    <t>Gantiva</t>
  </si>
  <si>
    <t>Gantiva, Brandon</t>
  </si>
  <si>
    <t>Brandon Gantiva</t>
  </si>
  <si>
    <t>brandon.gantiva@raunercollegeprep.org</t>
  </si>
  <si>
    <t>5337 S Kostner Ave</t>
  </si>
  <si>
    <t xml:space="preserve">60632     </t>
  </si>
  <si>
    <t>Gonzalez, Jared</t>
  </si>
  <si>
    <t>Jared Gonzalez</t>
  </si>
  <si>
    <t>jaredgonzalez02@gmail.com</t>
  </si>
  <si>
    <t>HWY 371 56500, P.O.BOX 390645</t>
  </si>
  <si>
    <t>ANZA</t>
  </si>
  <si>
    <t xml:space="preserve">92539     </t>
  </si>
  <si>
    <t>Grefrath</t>
  </si>
  <si>
    <t>Grefrath, Ethan</t>
  </si>
  <si>
    <t>Ethan Grefrath</t>
  </si>
  <si>
    <t>ethan.grefrath@gmail.com</t>
  </si>
  <si>
    <t>3002 Chimney Wood Trail</t>
  </si>
  <si>
    <t>Indian Trail</t>
  </si>
  <si>
    <t xml:space="preserve">28079     </t>
  </si>
  <si>
    <t>Grim</t>
  </si>
  <si>
    <t>Tay</t>
  </si>
  <si>
    <t>Grim, Tay</t>
  </si>
  <si>
    <t>Tay Grim</t>
  </si>
  <si>
    <t>tay.m.grim@gmail.com</t>
  </si>
  <si>
    <t>325 WOODLAWN HEIGHTS RD.</t>
  </si>
  <si>
    <t>JEFFERSON</t>
  </si>
  <si>
    <t>Harden</t>
  </si>
  <si>
    <t>Timya</t>
  </si>
  <si>
    <t>Harden, Timya</t>
  </si>
  <si>
    <t>Timya Harden</t>
  </si>
  <si>
    <t>timyaharden@gmail.com</t>
  </si>
  <si>
    <t>201 CHAPPELL RD NW</t>
  </si>
  <si>
    <t>ATLANTA</t>
  </si>
  <si>
    <t xml:space="preserve">30314     </t>
  </si>
  <si>
    <t>Hollins</t>
  </si>
  <si>
    <t>Kobe</t>
  </si>
  <si>
    <t>Hollins, Kobe</t>
  </si>
  <si>
    <t>Kobe Hollins</t>
  </si>
  <si>
    <t>khollins345@gmail.com</t>
  </si>
  <si>
    <t>6333 N 10Th St Apt 16</t>
  </si>
  <si>
    <t>85014-1668</t>
  </si>
  <si>
    <t>Irra Pelaez</t>
  </si>
  <si>
    <t>Brittany</t>
  </si>
  <si>
    <t>Irra Pelaez, Brittany</t>
  </si>
  <si>
    <t>Brittany Irra Pelaez</t>
  </si>
  <si>
    <t>brittanyirrapelaez@gmail.com</t>
  </si>
  <si>
    <t>4808STOWNSEND WAY</t>
  </si>
  <si>
    <t>Jacquet</t>
  </si>
  <si>
    <t>Sheryll</t>
  </si>
  <si>
    <t>Jacquet, Sheryll</t>
  </si>
  <si>
    <t>Sheryll Jacquet</t>
  </si>
  <si>
    <t>phoebs.sj9928@gmail.com</t>
  </si>
  <si>
    <t>632 keller st e</t>
  </si>
  <si>
    <t>Lehigh Acres</t>
  </si>
  <si>
    <t xml:space="preserve">33974     </t>
  </si>
  <si>
    <t>Jaimes</t>
  </si>
  <si>
    <t>Manuel</t>
  </si>
  <si>
    <t>Jaimes, Manuel</t>
  </si>
  <si>
    <t>Manuel Jaimes</t>
  </si>
  <si>
    <t>mannyzleague@gmail.com</t>
  </si>
  <si>
    <t>2118 SOUTH RENE DRIVE</t>
  </si>
  <si>
    <t>SANTA ANA</t>
  </si>
  <si>
    <t xml:space="preserve">92704     </t>
  </si>
  <si>
    <t>Johnson, Jaden</t>
  </si>
  <si>
    <t>Jaden Johnson</t>
  </si>
  <si>
    <t>jjoh962@gmail.com</t>
  </si>
  <si>
    <t>435 Farnsworth Circle</t>
  </si>
  <si>
    <t>Port Barrington</t>
  </si>
  <si>
    <t xml:space="preserve">60010     </t>
  </si>
  <si>
    <t>JOHNSON</t>
  </si>
  <si>
    <t>JOHNSON, Joshua</t>
  </si>
  <si>
    <t>Joshua JOHNSON</t>
  </si>
  <si>
    <t>joshuaj25679@gmail.com</t>
  </si>
  <si>
    <t>792 S 480 W</t>
  </si>
  <si>
    <t>TOOELE</t>
  </si>
  <si>
    <t xml:space="preserve">84074     </t>
  </si>
  <si>
    <t>Dominique</t>
  </si>
  <si>
    <t>King, Dominique</t>
  </si>
  <si>
    <t>Dominique King</t>
  </si>
  <si>
    <t>dominique.a.king@gmail.com</t>
  </si>
  <si>
    <t>17900 masi loop</t>
  </si>
  <si>
    <t>Pflugerville</t>
  </si>
  <si>
    <t xml:space="preserve">78660     </t>
  </si>
  <si>
    <t>Kingston</t>
  </si>
  <si>
    <t>Kingston, Andrew</t>
  </si>
  <si>
    <t>Andrew Kingston</t>
  </si>
  <si>
    <t>andrewslugger@gmail.com</t>
  </si>
  <si>
    <t>1805 LAUREN LANE</t>
  </si>
  <si>
    <t>MISSION</t>
  </si>
  <si>
    <t xml:space="preserve">78572     </t>
  </si>
  <si>
    <t>Lacy</t>
  </si>
  <si>
    <t>Cody</t>
  </si>
  <si>
    <t>Lacy, Cody</t>
  </si>
  <si>
    <t>Cody Lacy</t>
  </si>
  <si>
    <t>lacycody973@gmail.com</t>
  </si>
  <si>
    <t>4580 DAVIS LANE</t>
  </si>
  <si>
    <t>WINNEMUCCA</t>
  </si>
  <si>
    <t xml:space="preserve">89445     </t>
  </si>
  <si>
    <t>Landes</t>
  </si>
  <si>
    <t>Landes, Ethan</t>
  </si>
  <si>
    <t>Ethan Landes</t>
  </si>
  <si>
    <t>ethanrlandes@gmail.com</t>
  </si>
  <si>
    <t>763 SOUTH STATE STREET</t>
  </si>
  <si>
    <t>ROOSEVELT</t>
  </si>
  <si>
    <t xml:space="preserve">84066     </t>
  </si>
  <si>
    <t>Leos</t>
  </si>
  <si>
    <t>Leos, Ashley</t>
  </si>
  <si>
    <t>Ashley Leos</t>
  </si>
  <si>
    <t>ashley.leos@icloud.com</t>
  </si>
  <si>
    <t>5361 N EMERALD AVE</t>
  </si>
  <si>
    <t>TUCSON</t>
  </si>
  <si>
    <t xml:space="preserve">85705     </t>
  </si>
  <si>
    <t>Possible Presidential Scholarship</t>
  </si>
  <si>
    <t>Eric Pelaez</t>
  </si>
  <si>
    <t>Charles Penner</t>
  </si>
  <si>
    <t>William Penrod</t>
  </si>
  <si>
    <t>Gabriel Perez</t>
  </si>
  <si>
    <t>Guadalupe Perez</t>
  </si>
  <si>
    <t>PR Goal</t>
  </si>
  <si>
    <t>12/2/2019</t>
  </si>
  <si>
    <t>Gustav McGuire</t>
  </si>
  <si>
    <t>Wilver Santos</t>
  </si>
  <si>
    <t>Returned VM from Michael, LM</t>
  </si>
  <si>
    <t>Jubilee Watson</t>
  </si>
  <si>
    <t>Mindy Wharton</t>
  </si>
  <si>
    <t>007401</t>
  </si>
  <si>
    <t>7401</t>
  </si>
  <si>
    <t>Daniel Ordonez</t>
  </si>
  <si>
    <t>ALE Review 12/10 @ 4:30 pm MST</t>
  </si>
  <si>
    <t>Asia Marshall</t>
  </si>
  <si>
    <t>Matthew Musco</t>
  </si>
  <si>
    <t>Isaac Reyes</t>
  </si>
  <si>
    <t>Mahon Schlechner</t>
  </si>
  <si>
    <t>Ste'fan Trueitt</t>
  </si>
  <si>
    <t>Rescheduled ALE call for 12/6 @ 4pm MST</t>
  </si>
  <si>
    <t>Khamen Murray</t>
  </si>
  <si>
    <t>Reese Olsen</t>
  </si>
  <si>
    <t>Dez Vega</t>
  </si>
  <si>
    <t>Aryana Stewart</t>
  </si>
  <si>
    <t>aryanarstewart@gmail.com</t>
  </si>
  <si>
    <t>9834 Sweet Plum Dr</t>
  </si>
  <si>
    <t>Charlotte</t>
  </si>
  <si>
    <t>Kaleb Washington</t>
  </si>
  <si>
    <t>Thien Nguyen</t>
  </si>
  <si>
    <t>alyssa zornak</t>
  </si>
  <si>
    <t>003829</t>
  </si>
  <si>
    <t>3829</t>
  </si>
  <si>
    <t>GiaVonna Martin</t>
  </si>
  <si>
    <t>Hector Martinez</t>
  </si>
  <si>
    <t>Yeimi Mendoza</t>
  </si>
  <si>
    <t>Ashlyn Moore</t>
  </si>
  <si>
    <t>Gabriel Morocho</t>
  </si>
  <si>
    <t>Bryson Murray</t>
  </si>
  <si>
    <t>Manya Nair</t>
  </si>
  <si>
    <t>Alejandra Olea Tapia</t>
  </si>
  <si>
    <t>Kristina Ortiz</t>
  </si>
  <si>
    <t>Joshua Pagonas</t>
  </si>
  <si>
    <t>Daniel Phillips</t>
  </si>
  <si>
    <t>Zachary Randazzo</t>
  </si>
  <si>
    <t>Brailin Reyes</t>
  </si>
  <si>
    <t>Taya Richardson</t>
  </si>
  <si>
    <t>Nikolas Roberts</t>
  </si>
  <si>
    <t>Hesston Robertson</t>
  </si>
  <si>
    <t>Brandon Schrock</t>
  </si>
  <si>
    <t>Brandon Sisneros</t>
  </si>
  <si>
    <t>Deonta Sowell</t>
  </si>
  <si>
    <t>Terra Spurgin</t>
  </si>
  <si>
    <t>Grayson Sudweeks</t>
  </si>
  <si>
    <t>Curtis Taylor</t>
  </si>
  <si>
    <t>Marcos Terrazas</t>
  </si>
  <si>
    <t>Kristian Tolefree</t>
  </si>
  <si>
    <t>Joshua Torralba</t>
  </si>
  <si>
    <t>Brady Tucker</t>
  </si>
  <si>
    <t>Malachi Walker</t>
  </si>
  <si>
    <t>Zachary Wallraff</t>
  </si>
  <si>
    <t>Justin Williams</t>
  </si>
  <si>
    <t>Kendel Williams</t>
  </si>
  <si>
    <t xml:space="preserve">Possible Legal Guardianship. Will send ppwrk. </t>
  </si>
  <si>
    <t>507 E 19th St.</t>
  </si>
  <si>
    <t>replied to email</t>
  </si>
  <si>
    <t>WE HAVE FAFSA</t>
  </si>
  <si>
    <t>going to fill out FAFSA over christmas</t>
  </si>
  <si>
    <t>Mountwood Dr</t>
  </si>
  <si>
    <t>will add NC to FAFSA</t>
  </si>
  <si>
    <t>sched ALE 12/9</t>
  </si>
  <si>
    <t>009695</t>
  </si>
  <si>
    <t>9695</t>
  </si>
  <si>
    <t>12/5/2019</t>
  </si>
  <si>
    <t>070299</t>
  </si>
  <si>
    <t>70299</t>
  </si>
  <si>
    <t>FAFSA Received email</t>
  </si>
  <si>
    <t>nothing done efeil</t>
  </si>
  <si>
    <t>nothing done email</t>
  </si>
  <si>
    <t>11/6/19 11/6/19</t>
  </si>
  <si>
    <t>NS Sched ALE from portal 11/13</t>
  </si>
  <si>
    <t xml:space="preserve">Everything done email </t>
  </si>
  <si>
    <t>intro email FAFSA Received</t>
  </si>
  <si>
    <t>didn't really get to talk, sent email</t>
  </si>
  <si>
    <t>scholarship prob. Interviewed</t>
  </si>
  <si>
    <t>talked w/Dad</t>
  </si>
  <si>
    <t>LE OOP interviewed</t>
  </si>
  <si>
    <t>says he submitted FAFSA</t>
  </si>
  <si>
    <t>Emancipated Minor? email FAFSA done</t>
  </si>
  <si>
    <t>12/5/196</t>
  </si>
  <si>
    <t>Set appt Portal, spoke w/ Maureen 12/4</t>
  </si>
  <si>
    <t>talked w/Mom</t>
  </si>
  <si>
    <t>nothing done enoil</t>
  </si>
  <si>
    <t>hung up. Sent email</t>
  </si>
  <si>
    <t>Address2</t>
  </si>
  <si>
    <t>City3</t>
  </si>
  <si>
    <t>State4</t>
  </si>
  <si>
    <t>Zip5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</si>
</sst>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0.0"/>
    <numFmt numFmtId="166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5" fillId="0" borderId="0" xfId="0" applyFont="1"/>
    <xf numFmtId="14" fontId="5" fillId="0" borderId="0" xfId="0" applyNumberFormat="1" applyFont="1"/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top" wrapText="1"/>
    </xf>
    <xf numFmtId="0" fontId="3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5" xfId="0" applyFont="1" applyBorder="1"/>
    <xf numFmtId="0" fontId="3" fillId="0" borderId="0" xfId="0" applyFont="1" applyAlignment="1">
      <alignment vertical="top"/>
    </xf>
    <xf numFmtId="0" fontId="0" fillId="0" borderId="4" xfId="0" applyBorder="1"/>
    <xf numFmtId="0" fontId="0" fillId="0" borderId="5" xfId="0" applyBorder="1"/>
    <xf numFmtId="0" fontId="2" fillId="0" borderId="0" xfId="0" applyFont="1"/>
    <xf numFmtId="0" fontId="0" fillId="0" borderId="0" xfId="0" applyAlignment="1">
      <alignment vertical="top"/>
    </xf>
    <xf numFmtId="164" fontId="1" fillId="0" borderId="0" xfId="2" applyNumberFormat="1"/>
    <xf numFmtId="0" fontId="0" fillId="2" borderId="0" xfId="0" applyFill="1"/>
    <xf numFmtId="0" fontId="0" fillId="2" borderId="6" xfId="0" applyFill="1" applyBorder="1"/>
    <xf numFmtId="9" fontId="0" fillId="2" borderId="6" xfId="2" applyFont="1" applyFill="1" applyBorder="1"/>
    <xf numFmtId="165" fontId="0" fillId="0" borderId="0" xfId="0" applyNumberFormat="1"/>
    <xf numFmtId="0" fontId="0" fillId="3" borderId="0" xfId="0" applyFill="1"/>
    <xf numFmtId="164" fontId="0" fillId="3" borderId="0" xfId="2" applyNumberFormat="1" applyFont="1" applyFill="1"/>
    <xf numFmtId="164" fontId="0" fillId="0" borderId="0" xfId="2" applyNumberFormat="1" applyFont="1"/>
    <xf numFmtId="0" fontId="0" fillId="4" borderId="4" xfId="0" applyFill="1" applyBorder="1"/>
    <xf numFmtId="14" fontId="0" fillId="0" borderId="0" xfId="0" applyNumberFormat="1"/>
    <xf numFmtId="9" fontId="0" fillId="0" borderId="0" xfId="2" applyFont="1"/>
    <xf numFmtId="0" fontId="0" fillId="0" borderId="7" xfId="0" applyBorder="1"/>
    <xf numFmtId="166" fontId="0" fillId="0" borderId="8" xfId="1" applyNumberFormat="1" applyFont="1" applyBorder="1"/>
    <xf numFmtId="14" fontId="4" fillId="0" borderId="8" xfId="0" applyNumberFormat="1" applyFont="1" applyBorder="1"/>
    <xf numFmtId="0" fontId="0" fillId="0" borderId="9" xfId="0" applyBorder="1"/>
    <xf numFmtId="0" fontId="0" fillId="0" borderId="10" xfId="0" applyBorder="1"/>
    <xf numFmtId="9" fontId="0" fillId="0" borderId="11" xfId="0" applyNumberFormat="1" applyBorder="1"/>
    <xf numFmtId="9" fontId="0" fillId="0" borderId="12" xfId="2" applyFont="1" applyBorder="1"/>
    <xf numFmtId="0" fontId="0" fillId="0" borderId="4" xfId="0" applyBorder="1" applyAlignment="1">
      <alignment horizontal="left" indent="1"/>
    </xf>
    <xf numFmtId="9" fontId="0" fillId="0" borderId="13" xfId="2" applyFont="1" applyBorder="1"/>
    <xf numFmtId="9" fontId="0" fillId="0" borderId="11" xfId="2" applyFont="1" applyBorder="1"/>
    <xf numFmtId="0" fontId="0" fillId="0" borderId="13" xfId="0" applyBorder="1"/>
    <xf numFmtId="0" fontId="0" fillId="0" borderId="7" xfId="0" applyBorder="1" applyAlignment="1">
      <alignment horizontal="left" indent="1"/>
    </xf>
    <xf numFmtId="0" fontId="0" fillId="0" borderId="14" xfId="0" applyBorder="1"/>
    <xf numFmtId="9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wrapText="1"/>
    </xf>
    <xf numFmtId="166" fontId="0" fillId="0" borderId="0" xfId="1" applyNumberFormat="1" applyFont="1"/>
    <xf numFmtId="0" fontId="0" fillId="0" borderId="0" xfId="0" applyNumberFormat="1"/>
    <xf numFmtId="0" fontId="3" fillId="0" borderId="0" xfId="0" applyFont="1" applyFill="1" applyBorder="1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7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92043</xdr:colOff>
      <xdr:row>1</xdr:row>
      <xdr:rowOff>15781</xdr:rowOff>
    </xdr:from>
    <xdr:to>
      <xdr:col>9</xdr:col>
      <xdr:colOff>522460</xdr:colOff>
      <xdr:row>3</xdr:row>
      <xdr:rowOff>34642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4E91A1B3-5800-4782-9317-141E1AD3BE16}"/>
            </a:ext>
          </a:extLst>
        </xdr:cNvPr>
        <xdr:cNvSpPr/>
      </xdr:nvSpPr>
      <xdr:spPr>
        <a:xfrm>
          <a:off x="7146893" y="199931"/>
          <a:ext cx="1040017" cy="38716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107824</xdr:colOff>
      <xdr:row>1</xdr:row>
      <xdr:rowOff>15592</xdr:rowOff>
    </xdr:from>
    <xdr:to>
      <xdr:col>9</xdr:col>
      <xdr:colOff>509949</xdr:colOff>
      <xdr:row>3</xdr:row>
      <xdr:rowOff>6161</xdr:rowOff>
    </xdr:to>
    <xdr:sp macro="[0]!TrackData" textlink="">
      <xdr:nvSpPr>
        <xdr:cNvPr id="5" name="TextBox 4">
          <a:extLst>
            <a:ext uri="{FF2B5EF4-FFF2-40B4-BE49-F238E27FC236}">
              <a16:creationId xmlns:a16="http://schemas.microsoft.com/office/drawing/2014/main" id="{E670568E-110E-44F5-8C82-466EFDA62B5E}"/>
            </a:ext>
          </a:extLst>
        </xdr:cNvPr>
        <xdr:cNvSpPr txBox="1"/>
      </xdr:nvSpPr>
      <xdr:spPr>
        <a:xfrm>
          <a:off x="7162674" y="199742"/>
          <a:ext cx="1011725" cy="35886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Tracking Macro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A%20Report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FA Report"/>
      <sheetName val="Chart"/>
      <sheetName val="Tracking"/>
      <sheetName val="MR"/>
      <sheetName val="LT"/>
      <sheetName val="Raw_Data_Merged"/>
      <sheetName val="Tracking1"/>
      <sheetName val="FA Reporting 2019"/>
    </sheetNames>
    <sheetDataSet>
      <sheetData sheetId="0"/>
      <sheetData sheetId="1">
        <row r="1">
          <cell r="C1">
            <v>43774</v>
          </cell>
        </row>
        <row r="42">
          <cell r="D42">
            <v>0.14285714285714288</v>
          </cell>
        </row>
        <row r="48">
          <cell r="D48">
            <v>7.1428571428571438E-2</v>
          </cell>
        </row>
        <row r="52">
          <cell r="C52">
            <v>0.3</v>
          </cell>
        </row>
        <row r="55">
          <cell r="C55">
            <v>0.4</v>
          </cell>
        </row>
        <row r="58">
          <cell r="D58">
            <v>0.2142857142857143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41299DA-18F5-4ACF-81F4-B6A1FB0AFB74}" autoFormatId="16" applyNumberFormats="0" applyBorderFormats="0" applyFontFormats="0" applyPatternFormats="0" applyAlignmentFormats="0" applyWidthHeightFormats="0">
  <queryTableRefresh nextId="178">
    <queryTableFields count="177">
      <queryTableField id="1" name="SyStudentId" tableColumnId="1"/>
      <queryTableField id="2" name="LastName" tableColumnId="2"/>
      <queryTableField id="3" name="FirstName" tableColumnId="3"/>
      <queryTableField id="4" name="StudentName" tableColumnId="4"/>
      <queryTableField id="5" name="StudentNameConCat" tableColumnId="5"/>
      <queryTableField id="6" name="#Atmpts" tableColumnId="6"/>
      <queryTableField id="7" name="1stCon" tableColumnId="7"/>
      <queryTableField id="8" name="LstCon" tableColumnId="8"/>
      <queryTableField id="9" name="LstAtmpt" tableColumnId="9"/>
      <queryTableField id="10" name="Notes" tableColumnId="10"/>
      <queryTableField id="11" name="Color" tableColumnId="11"/>
      <queryTableField id="12" name="D/I" tableColumnId="12"/>
      <queryTableField id="13" name="email" tableColumnId="13"/>
      <queryTableField id="14" name="address" tableColumnId="14"/>
      <queryTableField id="15" name="city" tableColumnId="15"/>
      <queryTableField id="16" name="state" tableColumnId="16"/>
      <queryTableField id="17" name="zip" tableColumnId="17"/>
      <queryTableField id="18" name="HSGPA" tableColumnId="18"/>
      <queryTableField id="19" name="ExpStartDate" tableColumnId="19"/>
      <queryTableField id="20" name="Rep" tableColumnId="20"/>
      <queryTableField id="21" name="Gender" tableColumnId="21"/>
      <queryTableField id="22" name="Code" tableColumnId="22"/>
      <queryTableField id="23" name="FAA" tableColumnId="23"/>
      <queryTableField id="24" name="FAAEmail" tableColumnId="24"/>
      <queryTableField id="25" name="FAAPhone" tableColumnId="25"/>
      <queryTableField id="26" name="Status" tableColumnId="26"/>
      <queryTableField id="27" name="IntProg" tableColumnId="27"/>
      <queryTableField id="28" name="Act" tableColumnId="28"/>
      <queryTableField id="29" name="Sat" tableColumnId="29"/>
      <queryTableField id="30" name="IndexScore" tableColumnId="30"/>
      <queryTableField id="31" name="AccRating" tableColumnId="31"/>
      <queryTableField id="32" name="Rank" tableColumnId="32"/>
      <queryTableField id="33" name="AccCom" tableColumnId="33"/>
      <queryTableField id="34" name="EFCRaw" tableColumnId="34"/>
      <queryTableField id="35" name="EFC" tableColumnId="35"/>
      <queryTableField id="36" name="EFCDate" tableColumnId="36"/>
      <queryTableField id="37" name="VerReq" tableColumnId="37"/>
      <queryTableField id="38" name="VerCom" tableColumnId="38"/>
      <queryTableField id="39" name="ALESent" tableColumnId="39"/>
      <queryTableField id="40" name="Interview" tableColumnId="40"/>
      <queryTableField id="41" name="FAQ" tableColumnId="41"/>
      <queryTableField id="42" name="FERPA" tableColumnId="42"/>
      <queryTableField id="43" name="SCB" tableColumnId="43"/>
      <queryTableField id="44" name="EC" tableColumnId="44"/>
      <queryTableField id="45" name="SMPN" tableColumnId="45"/>
      <queryTableField id="46" name="PCC" tableColumnId="46"/>
      <queryTableField id="47" name="PCB" tableColumnId="47"/>
      <queryTableField id="48" name="PlusApp" tableColumnId="48"/>
      <queryTableField id="49" name="PMPN" tableColumnId="49"/>
      <queryTableField id="50" name="PrivApp" tableColumnId="50"/>
      <queryTableField id="51" name="TPP" tableColumnId="51"/>
      <queryTableField id="52" name="TOApp" tableColumnId="52"/>
      <queryTableField id="53" name="TO_E-Sign" tableColumnId="53"/>
      <queryTableField id="54" name="VACert" tableColumnId="54"/>
      <queryTableField id="55" name="DD214" tableColumnId="55"/>
      <queryTableField id="56" name="V-HHSNIC" tableColumnId="56"/>
      <queryTableField id="57" name="V-SNonFiler" tableColumnId="57"/>
      <queryTableField id="58" name="V-PNonFiler" tableColumnId="58"/>
      <queryTableField id="59" name="V-ID" tableColumnId="59"/>
      <queryTableField id="60" name="DRT" tableColumnId="60"/>
      <queryTableField id="61" name="TaxTran" tableColumnId="61"/>
      <queryTableField id="62" name="%Complete" tableColumnId="62"/>
      <queryTableField id="63" name="AYStart" tableColumnId="63"/>
      <queryTableField id="64" name="AYEnd" tableColumnId="64"/>
      <queryTableField id="65" name="T&amp;FQ1" tableColumnId="65"/>
      <queryTableField id="66" name="T&amp;FQ2" tableColumnId="66"/>
      <queryTableField id="67" name="T&amp;FQ3" tableColumnId="67"/>
      <queryTableField id="68" name="T&amp;FTot" tableColumnId="68"/>
      <queryTableField id="69" name="B&amp;SQ1" tableColumnId="69"/>
      <queryTableField id="70" name="B&amp;SQ2" tableColumnId="70"/>
      <queryTableField id="71" name="B&amp;SQ3" tableColumnId="71"/>
      <queryTableField id="72" name="B&amp;STot" tableColumnId="72"/>
      <queryTableField id="73" name="HousQ1" tableColumnId="73"/>
      <queryTableField id="74" name="HousQ2" tableColumnId="74"/>
      <queryTableField id="75" name="HousQ3" tableColumnId="75"/>
      <queryTableField id="76" name="HousTot" tableColumnId="76"/>
      <queryTableField id="77" name="LEQ1" tableColumnId="77"/>
      <queryTableField id="78" name="LEQ2" tableColumnId="78"/>
      <queryTableField id="79" name="LEQ3" tableColumnId="79"/>
      <queryTableField id="80" name="LETot" tableColumnId="80"/>
      <queryTableField id="81" name="OthCostQ1" tableColumnId="81"/>
      <queryTableField id="82" name="OthCostQ2" tableColumnId="82"/>
      <queryTableField id="83" name="OthCostQ3" tableColumnId="83"/>
      <queryTableField id="84" name="OthCostTot" tableColumnId="84"/>
      <queryTableField id="85" name="CostTot" tableColumnId="85"/>
      <queryTableField id="86" name="SEOGQ1" tableColumnId="86"/>
      <queryTableField id="87" name="SEOGQ2" tableColumnId="87"/>
      <queryTableField id="88" name="SEOGQ3" tableColumnId="88"/>
      <queryTableField id="89" name="SEOGTot" tableColumnId="89"/>
      <queryTableField id="90" name="PellQ1" tableColumnId="90"/>
      <queryTableField id="91" name="PellQ2" tableColumnId="91"/>
      <queryTableField id="92" name="PellQ3" tableColumnId="92"/>
      <queryTableField id="93" name="PellTot" tableColumnId="93"/>
      <queryTableField id="94" name="AccessQ1" tableColumnId="94"/>
      <queryTableField id="95" name="AccessQ2" tableColumnId="95"/>
      <queryTableField id="96" name="AccessQ3" tableColumnId="96"/>
      <queryTableField id="97" name="AccessTot" tableColumnId="97"/>
      <queryTableField id="98" name="AchiQ1" tableColumnId="98"/>
      <queryTableField id="99" name="AchiQ2" tableColumnId="99"/>
      <queryTableField id="100" name="AchiQ3" tableColumnId="100"/>
      <queryTableField id="101" name="AchiTot" tableColumnId="101"/>
      <queryTableField id="102" name="UTQ1" tableColumnId="102"/>
      <queryTableField id="103" name="UTQ2" tableColumnId="103"/>
      <queryTableField id="104" name="UTQ3" tableColumnId="104"/>
      <queryTableField id="105" name="UTTot" tableColumnId="105"/>
      <queryTableField id="106" name="WITQ1" tableColumnId="106"/>
      <queryTableField id="107" name="WITQ2" tableColumnId="107"/>
      <queryTableField id="108" name="WITQ3" tableColumnId="108"/>
      <queryTableField id="109" name="WITTot" tableColumnId="109"/>
      <queryTableField id="110" name="SerQ1" tableColumnId="110"/>
      <queryTableField id="111" name="SerQ2" tableColumnId="111"/>
      <queryTableField id="112" name="SerQ3" tableColumnId="112"/>
      <queryTableField id="113" name="SerTot" tableColumnId="113"/>
      <queryTableField id="114" name="TranQ1" tableColumnId="114"/>
      <queryTableField id="115" name="TranQ2" tableColumnId="115"/>
      <queryTableField id="116" name="TranQ3" tableColumnId="116"/>
      <queryTableField id="117" name="TranTot" tableColumnId="117"/>
      <queryTableField id="118" name="MatQ1" tableColumnId="118"/>
      <queryTableField id="119" name="MatQ2" tableColumnId="119"/>
      <queryTableField id="120" name="MatQ3" tableColumnId="120"/>
      <queryTableField id="121" name="MatTot" tableColumnId="121"/>
      <queryTableField id="122" name="OutQ1" tableColumnId="122"/>
      <queryTableField id="123" name="OutQ2" tableColumnId="123"/>
      <queryTableField id="124" name="OutQ3" tableColumnId="124"/>
      <queryTableField id="125" name="OutTot" tableColumnId="125"/>
      <queryTableField id="126" name="VAQ1" tableColumnId="126"/>
      <queryTableField id="127" name="VAQ2" tableColumnId="127"/>
      <queryTableField id="128" name="VAQ3" tableColumnId="128"/>
      <queryTableField id="129" name="VATot" tableColumnId="129"/>
      <queryTableField id="130" name="OthGrantQ1" tableColumnId="130"/>
      <queryTableField id="131" name="OthGrantQ2" tableColumnId="131"/>
      <queryTableField id="132" name="OthGrantQ3" tableColumnId="132"/>
      <queryTableField id="133" name="OthGrantTot" tableColumnId="133"/>
      <queryTableField id="134" name="GiftTot" tableColumnId="134"/>
      <queryTableField id="135" name="CashQ1" tableColumnId="135"/>
      <queryTableField id="136" name="CashQ2" tableColumnId="136"/>
      <queryTableField id="137" name="CashQ3" tableColumnId="137"/>
      <queryTableField id="138" name="CashTot" tableColumnId="138"/>
      <queryTableField id="139" name="SubQ1" tableColumnId="139"/>
      <queryTableField id="140" name="SubQ2" tableColumnId="140"/>
      <queryTableField id="141" name="SubQ3" tableColumnId="141"/>
      <queryTableField id="142" name="SubTot" tableColumnId="142"/>
      <queryTableField id="143" name="SubFee" tableColumnId="143"/>
      <queryTableField id="144" name="UnsubQ1" tableColumnId="144"/>
      <queryTableField id="145" name="UnsubQ2" tableColumnId="145"/>
      <queryTableField id="146" name="UnsubQ3" tableColumnId="146"/>
      <queryTableField id="147" name="UnsubTot" tableColumnId="147"/>
      <queryTableField id="148" name="UnsubFee" tableColumnId="148"/>
      <queryTableField id="149" name="PLUSQ1" tableColumnId="149"/>
      <queryTableField id="150" name="PLUSQ2" tableColumnId="150"/>
      <queryTableField id="151" name="PLUSQ3" tableColumnId="151"/>
      <queryTableField id="152" name="PLUSTot" tableColumnId="152"/>
      <queryTableField id="153" name="PLUSFee" tableColumnId="153"/>
      <queryTableField id="154" name="PrivQ1" tableColumnId="154"/>
      <queryTableField id="155" name="PrivQ2" tableColumnId="155"/>
      <queryTableField id="156" name="PrivQ3" tableColumnId="156"/>
      <queryTableField id="157" name="PrivTot" tableColumnId="157"/>
      <queryTableField id="158" name="TOQ1" tableColumnId="158"/>
      <queryTableField id="159" name="TOQ2" tableColumnId="159"/>
      <queryTableField id="160" name="TOQ3" tableColumnId="160"/>
      <queryTableField id="161" name="TOTot" tableColumnId="161"/>
      <queryTableField id="162" name="OFundQ1" tableColumnId="162"/>
      <queryTableField id="163" name="OFundQ2" tableColumnId="163"/>
      <queryTableField id="164" name="OFundQ3" tableColumnId="164"/>
      <queryTableField id="165" name="OFundTot" tableColumnId="165"/>
      <queryTableField id="166" name="SelfHelpTot" tableColumnId="166"/>
      <queryTableField id="167" name="NetCost" tableColumnId="167"/>
      <queryTableField id="168" name="GrossNeed" tableColumnId="168"/>
      <queryTableField id="169" name="NetNeed" tableColumnId="169"/>
      <queryTableField id="170" name="SDD" tableColumnId="170"/>
      <queryTableField id="171" name="Address" tableColumnId="171"/>
      <queryTableField id="172" name="City" tableColumnId="172"/>
      <queryTableField id="173" name="State" tableColumnId="173"/>
      <queryTableField id="174" name="Zip" tableColumnId="174"/>
      <queryTableField id="175" name="Global Submitted" tableColumnId="175"/>
      <queryTableField id="176" name="Global Confirmed" tableColumnId="176"/>
      <queryTableField id="177" name="Cvue Complete" tableColumnId="17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559B9A7-9201-404D-B458-CABC820452D0}" autoFormatId="16" applyNumberFormats="0" applyBorderFormats="0" applyFontFormats="0" applyPatternFormats="0" applyAlignmentFormats="0" applyWidthHeightFormats="0">
  <queryTableRefresh nextId="173">
    <queryTableFields count="172">
      <queryTableField id="1" name="SyStudentId" tableColumnId="1"/>
      <queryTableField id="2" name="LastName" tableColumnId="2"/>
      <queryTableField id="3" name="FirstName" tableColumnId="3"/>
      <queryTableField id="4" name="StudentName" tableColumnId="4"/>
      <queryTableField id="5" name="StudentNameConCat" tableColumnId="5"/>
      <queryTableField id="6" name="#Atmpts" tableColumnId="6"/>
      <queryTableField id="7" name="1stCon" tableColumnId="7"/>
      <queryTableField id="8" name="LstCon" tableColumnId="8"/>
      <queryTableField id="9" name="LstAtmpt" tableColumnId="9"/>
      <queryTableField id="10" name="Notes" tableColumnId="10"/>
      <queryTableField id="11" name="Color" tableColumnId="11"/>
      <queryTableField id="12" name="D/I" tableColumnId="12"/>
      <queryTableField id="13" name="email" tableColumnId="13"/>
      <queryTableField id="14" name="Address" tableColumnId="14"/>
      <queryTableField id="15" name="City" tableColumnId="15"/>
      <queryTableField id="16" name="State" tableColumnId="16"/>
      <queryTableField id="17" name="Zip" tableColumnId="17"/>
      <queryTableField id="18" name="HSGPA" tableColumnId="18"/>
      <queryTableField id="19" name="ExpStartDate" tableColumnId="19"/>
      <queryTableField id="20" name="Rep" tableColumnId="20"/>
      <queryTableField id="21" name="Gender" tableColumnId="21"/>
      <queryTableField id="22" name="Code" tableColumnId="22"/>
      <queryTableField id="23" name="FAA" tableColumnId="23"/>
      <queryTableField id="24" name="FAAEmail" tableColumnId="24"/>
      <queryTableField id="25" name="FAAPhone" tableColumnId="25"/>
      <queryTableField id="26" name="Status" tableColumnId="26"/>
      <queryTableField id="27" name="IntProg" tableColumnId="27"/>
      <queryTableField id="28" name="Act" tableColumnId="28"/>
      <queryTableField id="29" name="Sat" tableColumnId="29"/>
      <queryTableField id="30" name="IndexScore" tableColumnId="30"/>
      <queryTableField id="31" name="AccRating" tableColumnId="31"/>
      <queryTableField id="32" name="Rank" tableColumnId="32"/>
      <queryTableField id="33" name="AccCom" tableColumnId="33"/>
      <queryTableField id="34" name="EFCRaw" tableColumnId="34"/>
      <queryTableField id="35" name="EFC" tableColumnId="35"/>
      <queryTableField id="36" name="EFCDate" tableColumnId="36"/>
      <queryTableField id="37" name="VerReq" tableColumnId="37"/>
      <queryTableField id="38" name="VerCom" tableColumnId="38"/>
      <queryTableField id="39" name="ALESent" tableColumnId="39"/>
      <queryTableField id="40" name="Interview" tableColumnId="40"/>
      <queryTableField id="41" name="FAQ" tableColumnId="41"/>
      <queryTableField id="42" name="FERPA" tableColumnId="42"/>
      <queryTableField id="43" name="SCB" tableColumnId="43"/>
      <queryTableField id="44" name="EC" tableColumnId="44"/>
      <queryTableField id="45" name="SMPN" tableColumnId="45"/>
      <queryTableField id="46" name="PCC" tableColumnId="46"/>
      <queryTableField id="47" name="PCB" tableColumnId="47"/>
      <queryTableField id="48" name="PlusApp" tableColumnId="48"/>
      <queryTableField id="49" name="PMPN" tableColumnId="49"/>
      <queryTableField id="50" name="PrivApp" tableColumnId="50"/>
      <queryTableField id="51" name="TPP" tableColumnId="51"/>
      <queryTableField id="52" name="TOApp" tableColumnId="52"/>
      <queryTableField id="53" name="TO_E-Sign" tableColumnId="53"/>
      <queryTableField id="54" name="VACert" tableColumnId="54"/>
      <queryTableField id="55" name="DD214" tableColumnId="55"/>
      <queryTableField id="56" name="V-HHSNIC" tableColumnId="56"/>
      <queryTableField id="57" name="V-SNonFiler" tableColumnId="57"/>
      <queryTableField id="58" name="V-PNonFiler" tableColumnId="58"/>
      <queryTableField id="59" name="V-ID" tableColumnId="59"/>
      <queryTableField id="60" name="DRT" tableColumnId="60"/>
      <queryTableField id="61" name="TaxTran" tableColumnId="61"/>
      <queryTableField id="62" name="%Complete" tableColumnId="62"/>
      <queryTableField id="63" name="AYStart" tableColumnId="63"/>
      <queryTableField id="64" name="AYEnd" tableColumnId="64"/>
      <queryTableField id="65" name="T&amp;FQ1" tableColumnId="65"/>
      <queryTableField id="66" name="T&amp;FQ2" tableColumnId="66"/>
      <queryTableField id="67" name="T&amp;FQ3" tableColumnId="67"/>
      <queryTableField id="68" name="T&amp;FTot" tableColumnId="68"/>
      <queryTableField id="69" name="B&amp;SQ1" tableColumnId="69"/>
      <queryTableField id="70" name="B&amp;SQ2" tableColumnId="70"/>
      <queryTableField id="71" name="B&amp;SQ3" tableColumnId="71"/>
      <queryTableField id="72" name="B&amp;STot" tableColumnId="72"/>
      <queryTableField id="73" name="HousQ1" tableColumnId="73"/>
      <queryTableField id="74" name="HousQ2" tableColumnId="74"/>
      <queryTableField id="75" name="HousQ3" tableColumnId="75"/>
      <queryTableField id="76" name="HousTot" tableColumnId="76"/>
      <queryTableField id="77" name="LEQ1" tableColumnId="77"/>
      <queryTableField id="78" name="LEQ2" tableColumnId="78"/>
      <queryTableField id="79" name="LEQ3" tableColumnId="79"/>
      <queryTableField id="80" name="LETot" tableColumnId="80"/>
      <queryTableField id="81" name="OthCostQ1" tableColumnId="81"/>
      <queryTableField id="82" name="OthCostQ2" tableColumnId="82"/>
      <queryTableField id="83" name="OthCostQ3" tableColumnId="83"/>
      <queryTableField id="84" name="OthCostTot" tableColumnId="84"/>
      <queryTableField id="85" name="CostTot" tableColumnId="85"/>
      <queryTableField id="86" name="SEOGQ1" tableColumnId="86"/>
      <queryTableField id="87" name="SEOGQ2" tableColumnId="87"/>
      <queryTableField id="88" name="SEOGQ3" tableColumnId="88"/>
      <queryTableField id="89" name="SEOGTot" tableColumnId="89"/>
      <queryTableField id="90" name="PellQ1" tableColumnId="90"/>
      <queryTableField id="91" name="PellQ2" tableColumnId="91"/>
      <queryTableField id="92" name="PellQ3" tableColumnId="92"/>
      <queryTableField id="93" name="PellTot" tableColumnId="93"/>
      <queryTableField id="94" name="AccessQ1" tableColumnId="94"/>
      <queryTableField id="95" name="AccessQ2" tableColumnId="95"/>
      <queryTableField id="96" name="AccessQ3" tableColumnId="96"/>
      <queryTableField id="97" name="AccessTot" tableColumnId="97"/>
      <queryTableField id="98" name="AchiQ1" tableColumnId="98"/>
      <queryTableField id="99" name="AchiQ2" tableColumnId="99"/>
      <queryTableField id="100" name="AchiQ3" tableColumnId="100"/>
      <queryTableField id="101" name="AchiTot" tableColumnId="101"/>
      <queryTableField id="102" name="UTQ1" tableColumnId="102"/>
      <queryTableField id="103" name="UTQ2" tableColumnId="103"/>
      <queryTableField id="104" name="UTQ3" tableColumnId="104"/>
      <queryTableField id="105" name="UTTot" tableColumnId="105"/>
      <queryTableField id="106" name="WITQ1" tableColumnId="106"/>
      <queryTableField id="107" name="WITQ2" tableColumnId="107"/>
      <queryTableField id="108" name="WITQ3" tableColumnId="108"/>
      <queryTableField id="109" name="WITTot" tableColumnId="109"/>
      <queryTableField id="110" name="SerQ1" tableColumnId="110"/>
      <queryTableField id="111" name="SerQ2" tableColumnId="111"/>
      <queryTableField id="112" name="SerQ3" tableColumnId="112"/>
      <queryTableField id="113" name="SerTot" tableColumnId="113"/>
      <queryTableField id="114" name="TranQ1" tableColumnId="114"/>
      <queryTableField id="115" name="TranQ2" tableColumnId="115"/>
      <queryTableField id="116" name="TranQ3" tableColumnId="116"/>
      <queryTableField id="117" name="TranTot" tableColumnId="117"/>
      <queryTableField id="118" name="MatQ1" tableColumnId="118"/>
      <queryTableField id="119" name="MatQ2" tableColumnId="119"/>
      <queryTableField id="120" name="MatQ3" tableColumnId="120"/>
      <queryTableField id="121" name="MatTot" tableColumnId="121"/>
      <queryTableField id="122" name="OutQ1" tableColumnId="122"/>
      <queryTableField id="123" name="OutQ2" tableColumnId="123"/>
      <queryTableField id="124" name="OutQ3" tableColumnId="124"/>
      <queryTableField id="125" name="OutTot" tableColumnId="125"/>
      <queryTableField id="126" name="VAQ1" tableColumnId="126"/>
      <queryTableField id="127" name="VAQ2" tableColumnId="127"/>
      <queryTableField id="128" name="VAQ3" tableColumnId="128"/>
      <queryTableField id="129" name="VATot" tableColumnId="129"/>
      <queryTableField id="130" name="OthGrantQ1" tableColumnId="130"/>
      <queryTableField id="131" name="OthGrantQ2" tableColumnId="131"/>
      <queryTableField id="132" name="OthGrantQ3" tableColumnId="132"/>
      <queryTableField id="133" name="OthGrantTot" tableColumnId="133"/>
      <queryTableField id="134" name="GiftTot" tableColumnId="134"/>
      <queryTableField id="135" name="CashQ1" tableColumnId="135"/>
      <queryTableField id="136" name="CashQ2" tableColumnId="136"/>
      <queryTableField id="137" name="CashQ3" tableColumnId="137"/>
      <queryTableField id="138" name="CashTot" tableColumnId="138"/>
      <queryTableField id="139" name="SubQ1" tableColumnId="139"/>
      <queryTableField id="140" name="SubQ2" tableColumnId="140"/>
      <queryTableField id="141" name="SubQ3" tableColumnId="141"/>
      <queryTableField id="142" name="SubTot" tableColumnId="142"/>
      <queryTableField id="143" name="SubFee" tableColumnId="143"/>
      <queryTableField id="144" name="UnsubQ1" tableColumnId="144"/>
      <queryTableField id="145" name="UnsubQ2" tableColumnId="145"/>
      <queryTableField id="146" name="UnsubQ3" tableColumnId="146"/>
      <queryTableField id="147" name="UnsubTot" tableColumnId="147"/>
      <queryTableField id="148" name="UnsubFee" tableColumnId="148"/>
      <queryTableField id="149" name="PLUSQ1" tableColumnId="149"/>
      <queryTableField id="150" name="PLUSQ2" tableColumnId="150"/>
      <queryTableField id="151" name="PLUSQ3" tableColumnId="151"/>
      <queryTableField id="152" name="PLUSTot" tableColumnId="152"/>
      <queryTableField id="153" name="PLUSFee" tableColumnId="153"/>
      <queryTableField id="154" name="PrivQ1" tableColumnId="154"/>
      <queryTableField id="155" name="PrivQ2" tableColumnId="155"/>
      <queryTableField id="156" name="PrivQ3" tableColumnId="156"/>
      <queryTableField id="157" name="PrivTot" tableColumnId="157"/>
      <queryTableField id="158" name="TOQ1" tableColumnId="158"/>
      <queryTableField id="159" name="TOQ2" tableColumnId="159"/>
      <queryTableField id="160" name="TOQ3" tableColumnId="160"/>
      <queryTableField id="161" name="TOTot" tableColumnId="161"/>
      <queryTableField id="162" name="OFundQ1" tableColumnId="162"/>
      <queryTableField id="163" name="OFundQ2" tableColumnId="163"/>
      <queryTableField id="164" name="OFundQ3" tableColumnId="164"/>
      <queryTableField id="165" name="OFundTot" tableColumnId="165"/>
      <queryTableField id="166" name="SelfHelpTot" tableColumnId="166"/>
      <queryTableField id="167" name="NetCost" tableColumnId="167"/>
      <queryTableField id="168" name="GrossNeed" tableColumnId="168"/>
      <queryTableField id="169" name="NetNeed" tableColumnId="169"/>
      <queryTableField id="170" name="Global Submitted" tableColumnId="170"/>
      <queryTableField id="171" name="Global Confirmed" tableColumnId="171"/>
      <queryTableField id="172" name="Cvue Complete" tableColumnId="17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E7625F8-4028-4E02-8034-62C6CA35844B}" autoFormatId="16" applyNumberFormats="0" applyBorderFormats="0" applyFontFormats="0" applyPatternFormats="0" applyAlignmentFormats="0" applyWidthHeightFormats="0">
  <queryTableRefresh nextId="171">
    <queryTableFields count="170">
      <queryTableField id="1" name="SyStudentId" tableColumnId="1"/>
      <queryTableField id="2" name="LastName" tableColumnId="2"/>
      <queryTableField id="3" name="FirstName" tableColumnId="3"/>
      <queryTableField id="4" name="StudentName" tableColumnId="4"/>
      <queryTableField id="5" name="StudentNameConCat" tableColumnId="5"/>
      <queryTableField id="6" name="#Atmpts" tableColumnId="6"/>
      <queryTableField id="7" name="1stCon" tableColumnId="7"/>
      <queryTableField id="8" name="LstCon" tableColumnId="8"/>
      <queryTableField id="9" name="LstAtmpt" tableColumnId="9"/>
      <queryTableField id="10" name="Notes" tableColumnId="10"/>
      <queryTableField id="11" name="Color" tableColumnId="11"/>
      <queryTableField id="12" name="D/I" tableColumnId="12"/>
      <queryTableField id="13" name="email" tableColumnId="13"/>
      <queryTableField id="14" name="address" tableColumnId="14"/>
      <queryTableField id="15" name="city" tableColumnId="15"/>
      <queryTableField id="16" name="state" tableColumnId="16"/>
      <queryTableField id="17" name="zip" tableColumnId="17"/>
      <queryTableField id="18" name="HSGPA" tableColumnId="18"/>
      <queryTableField id="19" name="ExpStartDate" tableColumnId="19"/>
      <queryTableField id="20" name="Rep" tableColumnId="20"/>
      <queryTableField id="21" name="Gender" tableColumnId="21"/>
      <queryTableField id="22" name="Code" tableColumnId="22"/>
      <queryTableField id="23" name="FAA" tableColumnId="23"/>
      <queryTableField id="24" name="FAAEmail" tableColumnId="24"/>
      <queryTableField id="25" name="FAAPhone" tableColumnId="25"/>
      <queryTableField id="26" name="Status" tableColumnId="26"/>
      <queryTableField id="27" name="IntProg" tableColumnId="27"/>
      <queryTableField id="28" name="Act" tableColumnId="28"/>
      <queryTableField id="29" name="Sat" tableColumnId="29"/>
      <queryTableField id="30" name="IndexScore" tableColumnId="30"/>
      <queryTableField id="31" name="AccRating" tableColumnId="31"/>
      <queryTableField id="32" name="Rank" tableColumnId="32"/>
      <queryTableField id="33" name="AccCom" tableColumnId="33"/>
      <queryTableField id="34" name="EFCRaw" tableColumnId="34"/>
      <queryTableField id="35" name="EFC" tableColumnId="35"/>
      <queryTableField id="36" name="EFCDate" tableColumnId="36"/>
      <queryTableField id="37" name="VerReq" tableColumnId="37"/>
      <queryTableField id="38" name="VerCom" tableColumnId="38"/>
      <queryTableField id="39" name="ALESent" tableColumnId="39"/>
      <queryTableField id="40" name="Interview" tableColumnId="40"/>
      <queryTableField id="41" name="FAQ" tableColumnId="41"/>
      <queryTableField id="42" name="FERPA" tableColumnId="42"/>
      <queryTableField id="43" name="SCB" tableColumnId="43"/>
      <queryTableField id="44" name="EC" tableColumnId="44"/>
      <queryTableField id="45" name="SMPN" tableColumnId="45"/>
      <queryTableField id="46" name="PCC" tableColumnId="46"/>
      <queryTableField id="47" name="PCB" tableColumnId="47"/>
      <queryTableField id="48" name="PlusApp" tableColumnId="48"/>
      <queryTableField id="49" name="PMPN" tableColumnId="49"/>
      <queryTableField id="50" name="PrivApp" tableColumnId="50"/>
      <queryTableField id="51" name="TPP" tableColumnId="51"/>
      <queryTableField id="52" name="TOApp" tableColumnId="52"/>
      <queryTableField id="53" name="TO_E-Sign" tableColumnId="53"/>
      <queryTableField id="54" name="VACert" tableColumnId="54"/>
      <queryTableField id="55" name="DD214" tableColumnId="55"/>
      <queryTableField id="56" name="V-HHSNIC" tableColumnId="56"/>
      <queryTableField id="57" name="V-SNonFiler" tableColumnId="57"/>
      <queryTableField id="58" name="V-PNonFiler" tableColumnId="58"/>
      <queryTableField id="59" name="V-ID" tableColumnId="59"/>
      <queryTableField id="60" name="DRT" tableColumnId="60"/>
      <queryTableField id="61" name="TaxTran" tableColumnId="61"/>
      <queryTableField id="62" name="%Complete" tableColumnId="62"/>
      <queryTableField id="63" name="AYStart" tableColumnId="63"/>
      <queryTableField id="64" name="AYEnd" tableColumnId="64"/>
      <queryTableField id="65" name="T&amp;FQ1" tableColumnId="65"/>
      <queryTableField id="66" name="T&amp;FQ2" tableColumnId="66"/>
      <queryTableField id="67" name="T&amp;FQ3" tableColumnId="67"/>
      <queryTableField id="68" name="T&amp;FTot" tableColumnId="68"/>
      <queryTableField id="69" name="B&amp;SQ1" tableColumnId="69"/>
      <queryTableField id="70" name="B&amp;SQ2" tableColumnId="70"/>
      <queryTableField id="71" name="B&amp;SQ3" tableColumnId="71"/>
      <queryTableField id="72" name="B&amp;STot" tableColumnId="72"/>
      <queryTableField id="73" name="HousQ1" tableColumnId="73"/>
      <queryTableField id="74" name="HousQ2" tableColumnId="74"/>
      <queryTableField id="75" name="HousQ3" tableColumnId="75"/>
      <queryTableField id="76" name="HousTot" tableColumnId="76"/>
      <queryTableField id="77" name="LEQ1" tableColumnId="77"/>
      <queryTableField id="78" name="LEQ2" tableColumnId="78"/>
      <queryTableField id="79" name="LEQ3" tableColumnId="79"/>
      <queryTableField id="80" name="LETot" tableColumnId="80"/>
      <queryTableField id="81" name="OthCostQ1" tableColumnId="81"/>
      <queryTableField id="82" name="OthCostQ2" tableColumnId="82"/>
      <queryTableField id="83" name="OthCostQ3" tableColumnId="83"/>
      <queryTableField id="84" name="OthCostTot" tableColumnId="84"/>
      <queryTableField id="85" name="CostTot" tableColumnId="85"/>
      <queryTableField id="86" name="SEOGQ1" tableColumnId="86"/>
      <queryTableField id="87" name="SEOGQ2" tableColumnId="87"/>
      <queryTableField id="88" name="SEOGQ3" tableColumnId="88"/>
      <queryTableField id="89" name="SEOGTot" tableColumnId="89"/>
      <queryTableField id="90" name="PellQ1" tableColumnId="90"/>
      <queryTableField id="91" name="PellQ2" tableColumnId="91"/>
      <queryTableField id="92" name="PellQ3" tableColumnId="92"/>
      <queryTableField id="93" name="PellTot" tableColumnId="93"/>
      <queryTableField id="94" name="AccessQ1" tableColumnId="94"/>
      <queryTableField id="95" name="AccessQ2" tableColumnId="95"/>
      <queryTableField id="96" name="AccessQ3" tableColumnId="96"/>
      <queryTableField id="97" name="AccessTot" tableColumnId="97"/>
      <queryTableField id="98" name="AchiQ1" tableColumnId="98"/>
      <queryTableField id="99" name="AchiQ2" tableColumnId="99"/>
      <queryTableField id="100" name="AchiQ3" tableColumnId="100"/>
      <queryTableField id="101" name="AchiTot" tableColumnId="101"/>
      <queryTableField id="102" name="UTQ1" tableColumnId="102"/>
      <queryTableField id="103" name="UTQ2" tableColumnId="103"/>
      <queryTableField id="104" name="UTQ3" tableColumnId="104"/>
      <queryTableField id="105" name="UTTot" tableColumnId="105"/>
      <queryTableField id="106" name="WITQ1" tableColumnId="106"/>
      <queryTableField id="107" name="WITQ2" tableColumnId="107"/>
      <queryTableField id="108" name="WITQ3" tableColumnId="108"/>
      <queryTableField id="109" name="WITTot" tableColumnId="109"/>
      <queryTableField id="110" name="SerQ1" tableColumnId="110"/>
      <queryTableField id="111" name="SerQ2" tableColumnId="111"/>
      <queryTableField id="112" name="SerQ3" tableColumnId="112"/>
      <queryTableField id="113" name="SerTot" tableColumnId="113"/>
      <queryTableField id="114" name="TranQ1" tableColumnId="114"/>
      <queryTableField id="115" name="TranQ2" tableColumnId="115"/>
      <queryTableField id="116" name="TranQ3" tableColumnId="116"/>
      <queryTableField id="117" name="TranTot" tableColumnId="117"/>
      <queryTableField id="118" name="MatQ1" tableColumnId="118"/>
      <queryTableField id="119" name="MatQ2" tableColumnId="119"/>
      <queryTableField id="120" name="MatQ3" tableColumnId="120"/>
      <queryTableField id="121" name="MatTot" tableColumnId="121"/>
      <queryTableField id="122" name="OutQ1" tableColumnId="122"/>
      <queryTableField id="123" name="OutQ2" tableColumnId="123"/>
      <queryTableField id="124" name="OutQ3" tableColumnId="124"/>
      <queryTableField id="125" name="OutTot" tableColumnId="125"/>
      <queryTableField id="126" name="VAQ1" tableColumnId="126"/>
      <queryTableField id="127" name="VAQ2" tableColumnId="127"/>
      <queryTableField id="128" name="VAQ3" tableColumnId="128"/>
      <queryTableField id="129" name="VATot" tableColumnId="129"/>
      <queryTableField id="130" name="OthGrantQ1" tableColumnId="130"/>
      <queryTableField id="131" name="OthGrantQ2" tableColumnId="131"/>
      <queryTableField id="132" name="OthGrantQ3" tableColumnId="132"/>
      <queryTableField id="133" name="OthGrantTot" tableColumnId="133"/>
      <queryTableField id="134" name="GiftTot" tableColumnId="134"/>
      <queryTableField id="135" name="CashQ1" tableColumnId="135"/>
      <queryTableField id="136" name="CashQ2" tableColumnId="136"/>
      <queryTableField id="137" name="CashQ3" tableColumnId="137"/>
      <queryTableField id="138" name="CashTot" tableColumnId="138"/>
      <queryTableField id="139" name="SubQ1" tableColumnId="139"/>
      <queryTableField id="140" name="SubQ2" tableColumnId="140"/>
      <queryTableField id="141" name="SubQ3" tableColumnId="141"/>
      <queryTableField id="142" name="SubTot" tableColumnId="142"/>
      <queryTableField id="143" name="SubFee" tableColumnId="143"/>
      <queryTableField id="144" name="UnsubQ1" tableColumnId="144"/>
      <queryTableField id="145" name="UnsubQ2" tableColumnId="145"/>
      <queryTableField id="146" name="UnsubQ3" tableColumnId="146"/>
      <queryTableField id="147" name="UnsubTot" tableColumnId="147"/>
      <queryTableField id="148" name="UnsubFee" tableColumnId="148"/>
      <queryTableField id="149" name="PLUSQ1" tableColumnId="149"/>
      <queryTableField id="150" name="PLUSQ2" tableColumnId="150"/>
      <queryTableField id="151" name="PLUSQ3" tableColumnId="151"/>
      <queryTableField id="152" name="PLUSTot" tableColumnId="152"/>
      <queryTableField id="153" name="PLUSFee" tableColumnId="153"/>
      <queryTableField id="154" name="PrivQ1" tableColumnId="154"/>
      <queryTableField id="155" name="PrivQ2" tableColumnId="155"/>
      <queryTableField id="156" name="PrivQ3" tableColumnId="156"/>
      <queryTableField id="157" name="PrivTot" tableColumnId="157"/>
      <queryTableField id="158" name="TOQ1" tableColumnId="158"/>
      <queryTableField id="159" name="TOQ2" tableColumnId="159"/>
      <queryTableField id="160" name="TOQ3" tableColumnId="160"/>
      <queryTableField id="161" name="TOTot" tableColumnId="161"/>
      <queryTableField id="162" name="OFundQ1" tableColumnId="162"/>
      <queryTableField id="163" name="OFundQ2" tableColumnId="163"/>
      <queryTableField id="164" name="OFundQ3" tableColumnId="164"/>
      <queryTableField id="165" name="OFundTot" tableColumnId="165"/>
      <queryTableField id="166" name="SelfHelpTot" tableColumnId="166"/>
      <queryTableField id="167" name="NetCost" tableColumnId="167"/>
      <queryTableField id="168" name="GrossNeed" tableColumnId="168"/>
      <queryTableField id="169" name="NetNeed" tableColumnId="169"/>
      <queryTableField id="170" name="SDD" tableColumnId="17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52F5D2-8152-47AD-8E8D-3AA725B8FFA6}" name="Append1" displayName="Append1" ref="A1:FU496" tableType="queryTable" totalsRowShown="0">
  <autoFilter ref="A1:FU496" xr:uid="{1DC096AC-64E4-4EC5-BAA4-2B7B3FACD926}"/>
  <tableColumns count="177">
    <tableColumn id="1" xr3:uid="{5F329094-273F-4360-B398-138F746A0FA7}" uniqueName="1" name="SyStudentId" queryTableFieldId="1"/>
    <tableColumn id="2" xr3:uid="{79FC2D08-AE90-46FF-85ED-1260A6401763}" uniqueName="2" name="LastName" queryTableFieldId="2"/>
    <tableColumn id="3" xr3:uid="{DEBA359D-BB06-4608-9B83-002EE2825ED2}" uniqueName="3" name="FirstName" queryTableFieldId="3"/>
    <tableColumn id="4" xr3:uid="{B9FC51E0-2E2C-4CE6-AE61-312CF76AD230}" uniqueName="4" name="StudentName" queryTableFieldId="4"/>
    <tableColumn id="5" xr3:uid="{E780BA8C-C23D-4D68-BEFC-4EAA5E19C21E}" uniqueName="5" name="StudentNameConCat" queryTableFieldId="5" dataDxfId="15"/>
    <tableColumn id="6" xr3:uid="{19AD5438-8F59-4644-8BE3-8D2F32B30454}" uniqueName="6" name="#Atmpts" queryTableFieldId="6"/>
    <tableColumn id="7" xr3:uid="{4CF0ED89-5292-4C09-AA44-E23928D791F0}" uniqueName="7" name="1stCon" queryTableFieldId="7"/>
    <tableColumn id="8" xr3:uid="{98FE869F-663E-4BA4-B760-269FD1B964B0}" uniqueName="8" name="LstCon" queryTableFieldId="8"/>
    <tableColumn id="9" xr3:uid="{6B35660D-6036-4330-88A6-AE0632D0CA5F}" uniqueName="9" name="LstAtmpt" queryTableFieldId="9"/>
    <tableColumn id="10" xr3:uid="{723E61C2-CDD9-4824-9D84-D65451CF7CDB}" uniqueName="10" name="Notes" queryTableFieldId="10"/>
    <tableColumn id="11" xr3:uid="{4E43F302-2A3B-4176-8DE7-9DF9FD0D561F}" uniqueName="11" name="Color" queryTableFieldId="11"/>
    <tableColumn id="12" xr3:uid="{B0370B99-49FE-498D-85AD-ECD04C209649}" uniqueName="12" name="D/I" queryTableFieldId="12" dataDxfId="14"/>
    <tableColumn id="13" xr3:uid="{9E6E7835-4D36-4077-B2EA-8313ED45FE2A}" uniqueName="13" name="email" queryTableFieldId="13"/>
    <tableColumn id="14" xr3:uid="{1D595E00-F44C-4B7A-A60C-5E859A63709C}" uniqueName="14" name="address" queryTableFieldId="14" dataDxfId="13"/>
    <tableColumn id="15" xr3:uid="{732D2EA8-DB83-4AB5-B5A2-042BF5435C26}" uniqueName="15" name="city" queryTableFieldId="15" dataDxfId="12"/>
    <tableColumn id="16" xr3:uid="{DD2DE207-FDB0-4FB2-8FCA-A747C71CF8B4}" uniqueName="16" name="state" queryTableFieldId="16" dataDxfId="11"/>
    <tableColumn id="17" xr3:uid="{63A1E8CF-4F66-4C08-A2F0-E15F55FA609E}" uniqueName="17" name="zip" queryTableFieldId="17" dataDxfId="10"/>
    <tableColumn id="18" xr3:uid="{F8047FB4-4FE5-4D83-B7DB-B168A7007055}" uniqueName="18" name="HSGPA" queryTableFieldId="18"/>
    <tableColumn id="19" xr3:uid="{B25D3264-68B9-4AAE-8EFE-6C62BC84AEEC}" uniqueName="19" name="ExpStartDate" queryTableFieldId="19"/>
    <tableColumn id="20" xr3:uid="{E7008B71-2C49-47CB-9B56-13C1955A60A1}" uniqueName="20" name="Rep" queryTableFieldId="20"/>
    <tableColumn id="21" xr3:uid="{C3E34737-845A-43DC-A9CB-C89E6BC9AE2E}" uniqueName="21" name="Gender" queryTableFieldId="21"/>
    <tableColumn id="22" xr3:uid="{4ADB530B-7B7B-4306-A3D2-5237C33D3E78}" uniqueName="22" name="Code" queryTableFieldId="22"/>
    <tableColumn id="23" xr3:uid="{E930DC3E-5765-430C-B6DB-D53B189B8D9B}" uniqueName="23" name="FAA" queryTableFieldId="23"/>
    <tableColumn id="24" xr3:uid="{7212197F-3A36-4F20-BA8A-69C459BFF710}" uniqueName="24" name="FAAEmail" queryTableFieldId="24"/>
    <tableColumn id="25" xr3:uid="{0B1791FD-5A97-4CDE-8456-E7D683B4E8E8}" uniqueName="25" name="FAAPhone" queryTableFieldId="25"/>
    <tableColumn id="26" xr3:uid="{D3CB3935-0FA4-4C07-83AB-769D573206AC}" uniqueName="26" name="Status" queryTableFieldId="26"/>
    <tableColumn id="27" xr3:uid="{4F739CF7-0BCC-4AFB-9518-E3B2667A4018}" uniqueName="27" name="IntProg" queryTableFieldId="27"/>
    <tableColumn id="28" xr3:uid="{5E781136-9D5B-47C4-A11F-7631BF75EFB6}" uniqueName="28" name="Act" queryTableFieldId="28"/>
    <tableColumn id="29" xr3:uid="{DBCAA8A9-1B20-47C4-A016-B1EDD9901D51}" uniqueName="29" name="Sat" queryTableFieldId="29"/>
    <tableColumn id="30" xr3:uid="{7E71E906-5390-4497-9D55-051BD3769550}" uniqueName="30" name="IndexScore" queryTableFieldId="30"/>
    <tableColumn id="31" xr3:uid="{B6071BC2-2B6D-4FD9-868D-C0CAF6C5C419}" uniqueName="31" name="AccRating" queryTableFieldId="31"/>
    <tableColumn id="32" xr3:uid="{ED5D22F1-1CDE-4A2D-9996-5832D6AE79AB}" uniqueName="32" name="Rank" queryTableFieldId="32"/>
    <tableColumn id="33" xr3:uid="{F2FB64EB-ED01-4E72-802F-7E7D8A81CEE6}" uniqueName="33" name="AccCom" queryTableFieldId="33"/>
    <tableColumn id="34" xr3:uid="{11F8C3D9-752E-4AD2-B3F1-EBD9C3821B02}" uniqueName="34" name="EFCRaw" queryTableFieldId="34"/>
    <tableColumn id="35" xr3:uid="{296289B6-A8A7-4B3B-AE2D-977EF1025426}" uniqueName="35" name="EFC" queryTableFieldId="35"/>
    <tableColumn id="36" xr3:uid="{5455166E-89F4-4FFC-89AC-D9BC434443C6}" uniqueName="36" name="EFCDate" queryTableFieldId="36"/>
    <tableColumn id="37" xr3:uid="{1BB8CA56-9B5B-4234-B8BC-34BCC67B4A99}" uniqueName="37" name="VerReq" queryTableFieldId="37" dataDxfId="9"/>
    <tableColumn id="38" xr3:uid="{9156C0A9-1303-40E5-986E-278796CAB375}" uniqueName="38" name="VerCom" queryTableFieldId="38" dataDxfId="8"/>
    <tableColumn id="39" xr3:uid="{C58B8EB9-6056-40A9-A2A9-CE6838AD2911}" uniqueName="39" name="ALESent" queryTableFieldId="39"/>
    <tableColumn id="40" xr3:uid="{CC0A11A8-6933-4A65-8368-78754DB2EA5D}" uniqueName="40" name="Interview" queryTableFieldId="40"/>
    <tableColumn id="41" xr3:uid="{F75DED4D-2F6F-4C84-A71A-4574A699352E}" uniqueName="41" name="FAQ" queryTableFieldId="41" dataDxfId="7"/>
    <tableColumn id="42" xr3:uid="{D8BD8714-3D27-4402-AC2C-C1C211E203EE}" uniqueName="42" name="FERPA" queryTableFieldId="42" dataDxfId="6"/>
    <tableColumn id="43" xr3:uid="{8B9DA557-E5A7-4097-A64D-5FF9ECD2E688}" uniqueName="43" name="SCB" queryTableFieldId="43" dataDxfId="5"/>
    <tableColumn id="44" xr3:uid="{1BC3AA23-75A8-44BE-8155-1A9A5E544713}" uniqueName="44" name="EC" queryTableFieldId="44"/>
    <tableColumn id="45" xr3:uid="{CD5F0567-41D4-4B31-A275-5D2FCA5A5DB6}" uniqueName="45" name="SMPN" queryTableFieldId="45"/>
    <tableColumn id="46" xr3:uid="{7A939B0C-5E9C-4D54-8330-08FE28DE0F72}" uniqueName="46" name="PCC" queryTableFieldId="46"/>
    <tableColumn id="47" xr3:uid="{EA0C9F3F-D359-48FB-88B8-5A51DEC8EE72}" uniqueName="47" name="PCB" queryTableFieldId="47"/>
    <tableColumn id="48" xr3:uid="{AB93F68C-C5DD-44E8-9F94-DA3BB7795447}" uniqueName="48" name="PlusApp" queryTableFieldId="48"/>
    <tableColumn id="49" xr3:uid="{C2237548-6A30-46D3-9FC4-A9D68342FB83}" uniqueName="49" name="PMPN" queryTableFieldId="49"/>
    <tableColumn id="50" xr3:uid="{03354C94-1F19-4266-8D50-4AA8E1E12290}" uniqueName="50" name="PrivApp" queryTableFieldId="50"/>
    <tableColumn id="51" xr3:uid="{B355901B-3B0E-4B38-BCEF-1E9045116E86}" uniqueName="51" name="TPP" queryTableFieldId="51"/>
    <tableColumn id="52" xr3:uid="{FA8DF54E-5DD1-4EE9-BE2C-ACD95E1F25DB}" uniqueName="52" name="TOApp" queryTableFieldId="52"/>
    <tableColumn id="53" xr3:uid="{46EA701A-B068-46E1-A7E3-9E06133D05E6}" uniqueName="53" name="TO_E-Sign" queryTableFieldId="53"/>
    <tableColumn id="54" xr3:uid="{AE7C030C-576D-497D-A737-BDFE2D82BBB0}" uniqueName="54" name="VACert" queryTableFieldId="54"/>
    <tableColumn id="55" xr3:uid="{F07DDD72-A917-4252-8FB8-E2956E110614}" uniqueName="55" name="DD214" queryTableFieldId="55"/>
    <tableColumn id="56" xr3:uid="{B0AE1B53-1661-45C3-96BC-B1CA0C49E7FD}" uniqueName="56" name="V-HHSNIC" queryTableFieldId="56" dataDxfId="4"/>
    <tableColumn id="57" xr3:uid="{5EF4321E-B449-47C0-8E4E-ED880CCA9E58}" uniqueName="57" name="V-SNonFiler" queryTableFieldId="57" dataDxfId="3"/>
    <tableColumn id="58" xr3:uid="{328A4C4B-FF03-4E33-8775-BE6D1F8ED30B}" uniqueName="58" name="V-PNonFiler" queryTableFieldId="58" dataDxfId="2"/>
    <tableColumn id="59" xr3:uid="{1566F7FF-8C65-492C-9D4D-2030530E7C16}" uniqueName="59" name="V-ID" queryTableFieldId="59" dataDxfId="1"/>
    <tableColumn id="60" xr3:uid="{85C46E78-6DEE-4629-AE7E-E62244EEF000}" uniqueName="60" name="DRT" queryTableFieldId="60"/>
    <tableColumn id="61" xr3:uid="{1E14CCF4-D101-4D65-B4FA-218211FFBA0C}" uniqueName="61" name="TaxTran" queryTableFieldId="61" dataDxfId="0"/>
    <tableColumn id="62" xr3:uid="{CB3F99F3-BC86-43BA-BD60-8416CEC79502}" uniqueName="62" name="%Complete" queryTableFieldId="62"/>
    <tableColumn id="63" xr3:uid="{CA5F0F1A-E76A-40FA-B9DA-272891409F5D}" uniqueName="63" name="AYStart" queryTableFieldId="63"/>
    <tableColumn id="64" xr3:uid="{2639BE02-3E01-44BE-B769-07008FF35D76}" uniqueName="64" name="AYEnd" queryTableFieldId="64"/>
    <tableColumn id="65" xr3:uid="{C08AAF9F-22C7-4352-9CE0-0D25A4AD6D28}" uniqueName="65" name="T&amp;FQ1" queryTableFieldId="65"/>
    <tableColumn id="66" xr3:uid="{9BC3694D-B8B0-40EA-ACF9-B1E35AFBA7A0}" uniqueName="66" name="T&amp;FQ2" queryTableFieldId="66"/>
    <tableColumn id="67" xr3:uid="{C6DF3F77-83CB-45E4-9FCB-E06F1C1A3115}" uniqueName="67" name="T&amp;FQ3" queryTableFieldId="67"/>
    <tableColumn id="68" xr3:uid="{C5D485AE-565C-4041-B191-3D6D7C3AB30B}" uniqueName="68" name="T&amp;FTot" queryTableFieldId="68"/>
    <tableColumn id="69" xr3:uid="{66CBF517-EDB8-45AE-A726-5CF28C5BB72F}" uniqueName="69" name="B&amp;SQ1" queryTableFieldId="69"/>
    <tableColumn id="70" xr3:uid="{9DE1DA48-E607-4B12-8561-20DA5C21CCDA}" uniqueName="70" name="B&amp;SQ2" queryTableFieldId="70"/>
    <tableColumn id="71" xr3:uid="{9A64E606-0527-4C6E-9A55-6C659FF047E3}" uniqueName="71" name="B&amp;SQ3" queryTableFieldId="71"/>
    <tableColumn id="72" xr3:uid="{B6591F80-F96C-4E07-9952-02FDE4712EC3}" uniqueName="72" name="B&amp;STot" queryTableFieldId="72"/>
    <tableColumn id="73" xr3:uid="{88BE31F7-9ED3-493B-8E12-ED3B0C48CFDB}" uniqueName="73" name="HousQ1" queryTableFieldId="73"/>
    <tableColumn id="74" xr3:uid="{A6138759-301B-4E4C-B182-834C26BBE56D}" uniqueName="74" name="HousQ2" queryTableFieldId="74"/>
    <tableColumn id="75" xr3:uid="{94A7DD50-37E1-44EC-8637-0D49BB728449}" uniqueName="75" name="HousQ3" queryTableFieldId="75"/>
    <tableColumn id="76" xr3:uid="{83C69078-BD7A-471F-9AB5-393E211882EE}" uniqueName="76" name="HousTot" queryTableFieldId="76"/>
    <tableColumn id="77" xr3:uid="{B9CDCE3C-7DE9-479B-8ED2-F28D40FBB414}" uniqueName="77" name="LEQ1" queryTableFieldId="77"/>
    <tableColumn id="78" xr3:uid="{3B330C80-9233-431B-A978-7E4F32C27648}" uniqueName="78" name="LEQ2" queryTableFieldId="78"/>
    <tableColumn id="79" xr3:uid="{DF859920-29EA-43CD-AEE9-37E8C1E673F1}" uniqueName="79" name="LEQ3" queryTableFieldId="79"/>
    <tableColumn id="80" xr3:uid="{8EEAFC2A-8270-4660-BB76-C63291D6C080}" uniqueName="80" name="LETot" queryTableFieldId="80"/>
    <tableColumn id="81" xr3:uid="{381F7402-90BE-41FB-B1EA-6543917D0F73}" uniqueName="81" name="OthCostQ1" queryTableFieldId="81"/>
    <tableColumn id="82" xr3:uid="{912492AC-C66B-42DC-9BA6-C65589CD0680}" uniqueName="82" name="OthCostQ2" queryTableFieldId="82"/>
    <tableColumn id="83" xr3:uid="{C8742B0D-591B-4744-913B-04EAAFED687E}" uniqueName="83" name="OthCostQ3" queryTableFieldId="83"/>
    <tableColumn id="84" xr3:uid="{514EA01D-EF80-40B9-B612-3FF48E160EE0}" uniqueName="84" name="OthCostTot" queryTableFieldId="84"/>
    <tableColumn id="85" xr3:uid="{EEDCF9FA-D921-4516-B650-8B3A50EBB00C}" uniqueName="85" name="CostTot" queryTableFieldId="85"/>
    <tableColumn id="86" xr3:uid="{C28ABC6B-7A3B-4E9D-8E11-D59452E565DA}" uniqueName="86" name="SEOGQ1" queryTableFieldId="86"/>
    <tableColumn id="87" xr3:uid="{EAB485D0-C649-4E8F-B15F-0574F54B4162}" uniqueName="87" name="SEOGQ2" queryTableFieldId="87"/>
    <tableColumn id="88" xr3:uid="{ACA19D63-8740-4CAB-A7CF-7C60246A1123}" uniqueName="88" name="SEOGQ3" queryTableFieldId="88"/>
    <tableColumn id="89" xr3:uid="{3AA10C80-4AEC-4295-A34D-1B6EFDA4B779}" uniqueName="89" name="SEOGTot" queryTableFieldId="89"/>
    <tableColumn id="90" xr3:uid="{9848AC6B-3A79-4D56-95EB-DA2248176B09}" uniqueName="90" name="PellQ1" queryTableFieldId="90"/>
    <tableColumn id="91" xr3:uid="{7FA429AD-C2F8-41F6-B56C-DB785BC174B6}" uniqueName="91" name="PellQ2" queryTableFieldId="91"/>
    <tableColumn id="92" xr3:uid="{89AF584E-AD05-4DA1-AC5C-60AAFCB8F15A}" uniqueName="92" name="PellQ3" queryTableFieldId="92"/>
    <tableColumn id="93" xr3:uid="{8BC8E3A1-E15C-42B2-9698-3023051A9364}" uniqueName="93" name="PellTot" queryTableFieldId="93"/>
    <tableColumn id="94" xr3:uid="{4FD85A3A-4E7F-47CE-81E5-DCAA23F7A13D}" uniqueName="94" name="AccessQ1" queryTableFieldId="94"/>
    <tableColumn id="95" xr3:uid="{855405FB-D4AA-44E2-801B-9CF642B1F472}" uniqueName="95" name="AccessQ2" queryTableFieldId="95"/>
    <tableColumn id="96" xr3:uid="{D3024F5A-FA07-48EC-90AC-A5C816B25594}" uniqueName="96" name="AccessQ3" queryTableFieldId="96"/>
    <tableColumn id="97" xr3:uid="{497EDF9B-783E-41E0-9150-13E456A5601D}" uniqueName="97" name="AccessTot" queryTableFieldId="97"/>
    <tableColumn id="98" xr3:uid="{61D32CC0-CAB1-4695-A459-6048ABF19315}" uniqueName="98" name="AchiQ1" queryTableFieldId="98"/>
    <tableColumn id="99" xr3:uid="{E140CC55-1C7F-4EEB-8CB8-D1998CCE8ECC}" uniqueName="99" name="AchiQ2" queryTableFieldId="99"/>
    <tableColumn id="100" xr3:uid="{F9A7E05D-4A0E-4065-A97C-8B3C8FCE02D5}" uniqueName="100" name="AchiQ3" queryTableFieldId="100"/>
    <tableColumn id="101" xr3:uid="{E00DB46A-D80C-42D0-B3D2-2E2E0BF4A6C0}" uniqueName="101" name="AchiTot" queryTableFieldId="101"/>
    <tableColumn id="102" xr3:uid="{AE67E11B-F720-40ED-B73F-326E2E161E3B}" uniqueName="102" name="UTQ1" queryTableFieldId="102"/>
    <tableColumn id="103" xr3:uid="{C8F6BFB5-BEED-45EF-8F8A-7DF22D207CFA}" uniqueName="103" name="UTQ2" queryTableFieldId="103"/>
    <tableColumn id="104" xr3:uid="{BD3B4310-0D5C-416C-A765-8C026F7C5445}" uniqueName="104" name="UTQ3" queryTableFieldId="104"/>
    <tableColumn id="105" xr3:uid="{193D136C-AA47-421C-9BCE-6F3514C8B2AD}" uniqueName="105" name="UTTot" queryTableFieldId="105"/>
    <tableColumn id="106" xr3:uid="{E9DF4BA8-75F5-40A2-A361-AD43229F4137}" uniqueName="106" name="WITQ1" queryTableFieldId="106"/>
    <tableColumn id="107" xr3:uid="{65CBCE96-0C23-432D-B749-0F76C96D642C}" uniqueName="107" name="WITQ2" queryTableFieldId="107"/>
    <tableColumn id="108" xr3:uid="{6B06C4BA-76C1-4584-BB32-949B2B59C6B0}" uniqueName="108" name="WITQ3" queryTableFieldId="108"/>
    <tableColumn id="109" xr3:uid="{43790700-EF58-469F-B6E9-E71B22F984E7}" uniqueName="109" name="WITTot" queryTableFieldId="109"/>
    <tableColumn id="110" xr3:uid="{8E762F73-5295-47B7-A6E9-2AA412E71B77}" uniqueName="110" name="SerQ1" queryTableFieldId="110"/>
    <tableColumn id="111" xr3:uid="{FD23A248-97FF-4139-8BB5-C826C2FC06B2}" uniqueName="111" name="SerQ2" queryTableFieldId="111"/>
    <tableColumn id="112" xr3:uid="{5416BF0F-EEB4-4365-A904-14B50EE8AC49}" uniqueName="112" name="SerQ3" queryTableFieldId="112"/>
    <tableColumn id="113" xr3:uid="{9F1B6BDA-535C-4B83-A137-AF2502DA4061}" uniqueName="113" name="SerTot" queryTableFieldId="113"/>
    <tableColumn id="114" xr3:uid="{C39F1A36-8003-4529-BBA6-A5784413E475}" uniqueName="114" name="TranQ1" queryTableFieldId="114"/>
    <tableColumn id="115" xr3:uid="{2A5401E2-C19C-4A86-89E5-13B558C88103}" uniqueName="115" name="TranQ2" queryTableFieldId="115"/>
    <tableColumn id="116" xr3:uid="{BD956CD9-584C-426E-AA56-DAE12F142576}" uniqueName="116" name="TranQ3" queryTableFieldId="116"/>
    <tableColumn id="117" xr3:uid="{4874AFCF-AADF-44FE-AAA4-12A57CE6DCCD}" uniqueName="117" name="TranTot" queryTableFieldId="117"/>
    <tableColumn id="118" xr3:uid="{4A4CF7EC-3FD7-4361-9069-1AC8F57451BC}" uniqueName="118" name="MatQ1" queryTableFieldId="118"/>
    <tableColumn id="119" xr3:uid="{813C5A77-97DD-419D-86A2-310C09C46C72}" uniqueName="119" name="MatQ2" queryTableFieldId="119"/>
    <tableColumn id="120" xr3:uid="{EDE6F111-4371-4544-92E3-F4348245538F}" uniqueName="120" name="MatQ3" queryTableFieldId="120"/>
    <tableColumn id="121" xr3:uid="{9328EE94-9351-44E5-B7A1-F2499AE5EA78}" uniqueName="121" name="MatTot" queryTableFieldId="121"/>
    <tableColumn id="122" xr3:uid="{394364EA-43AF-4781-B4C6-366CB581A49B}" uniqueName="122" name="OutQ1" queryTableFieldId="122"/>
    <tableColumn id="123" xr3:uid="{5E491814-6DDA-48B4-9F86-DD8E411A4FED}" uniqueName="123" name="OutQ2" queryTableFieldId="123"/>
    <tableColumn id="124" xr3:uid="{9CBAEBE1-BBBD-4777-87EC-20A2CDF0546A}" uniqueName="124" name="OutQ3" queryTableFieldId="124"/>
    <tableColumn id="125" xr3:uid="{7EADB67A-92A9-48C4-87C3-336FCDF8E5BC}" uniqueName="125" name="OutTot" queryTableFieldId="125"/>
    <tableColumn id="126" xr3:uid="{055C583A-50E7-4B28-BEA7-9C2129A11EB0}" uniqueName="126" name="VAQ1" queryTableFieldId="126"/>
    <tableColumn id="127" xr3:uid="{63665BBB-39E2-4B9B-AC50-39900FE82272}" uniqueName="127" name="VAQ2" queryTableFieldId="127"/>
    <tableColumn id="128" xr3:uid="{4EAE0363-8730-45E7-9847-DD9E54DEB1A4}" uniqueName="128" name="VAQ3" queryTableFieldId="128"/>
    <tableColumn id="129" xr3:uid="{18125FCB-3ABC-433F-B3B8-EB84D477EE9C}" uniqueName="129" name="VATot" queryTableFieldId="129"/>
    <tableColumn id="130" xr3:uid="{B3E54754-A835-4A5A-A467-DACB4A34976B}" uniqueName="130" name="OthGrantQ1" queryTableFieldId="130"/>
    <tableColumn id="131" xr3:uid="{81A0F2F3-A3CD-4430-AF1F-4CEB54D89698}" uniqueName="131" name="OthGrantQ2" queryTableFieldId="131"/>
    <tableColumn id="132" xr3:uid="{58B03C8F-D20F-4064-A395-D9ED2A85BD72}" uniqueName="132" name="OthGrantQ3" queryTableFieldId="132"/>
    <tableColumn id="133" xr3:uid="{38C48C78-0239-4FAF-8FCD-6785E200A960}" uniqueName="133" name="OthGrantTot" queryTableFieldId="133"/>
    <tableColumn id="134" xr3:uid="{4B1D4540-4833-4CB4-9663-CE45A7E2616B}" uniqueName="134" name="GiftTot" queryTableFieldId="134"/>
    <tableColumn id="135" xr3:uid="{829CCBC0-0046-4696-A87D-4B785E0919A9}" uniqueName="135" name="CashQ1" queryTableFieldId="135"/>
    <tableColumn id="136" xr3:uid="{16F71552-F253-4DD2-8FB2-BBC4D3499F61}" uniqueName="136" name="CashQ2" queryTableFieldId="136"/>
    <tableColumn id="137" xr3:uid="{66DC2CC1-84E7-45F1-A7D4-DF4983F8256B}" uniqueName="137" name="CashQ3" queryTableFieldId="137"/>
    <tableColumn id="138" xr3:uid="{2123E350-4A18-4C89-8B6C-00361128EE8D}" uniqueName="138" name="CashTot" queryTableFieldId="138"/>
    <tableColumn id="139" xr3:uid="{91DCDE20-3606-49FD-9FA6-E7BA1465B965}" uniqueName="139" name="SubQ1" queryTableFieldId="139"/>
    <tableColumn id="140" xr3:uid="{A0B4159D-39BA-471E-B5F7-D32FD14DEF8B}" uniqueName="140" name="SubQ2" queryTableFieldId="140"/>
    <tableColumn id="141" xr3:uid="{BE7AC616-3B52-458A-8AA6-2B11478F8044}" uniqueName="141" name="SubQ3" queryTableFieldId="141"/>
    <tableColumn id="142" xr3:uid="{926EB89A-3982-46AA-B873-F36B3321B95F}" uniqueName="142" name="SubTot" queryTableFieldId="142"/>
    <tableColumn id="143" xr3:uid="{E2A00127-C10E-4B51-996A-6EAF337A8307}" uniqueName="143" name="SubFee" queryTableFieldId="143"/>
    <tableColumn id="144" xr3:uid="{ADA29F55-4DD1-4836-92E0-C3F75A936E14}" uniqueName="144" name="UnsubQ1" queryTableFieldId="144"/>
    <tableColumn id="145" xr3:uid="{C588F0D1-E2C6-4DED-A939-F104E201D0CC}" uniqueName="145" name="UnsubQ2" queryTableFieldId="145"/>
    <tableColumn id="146" xr3:uid="{0306E3F7-348D-4C2A-830E-08144758A64D}" uniqueName="146" name="UnsubQ3" queryTableFieldId="146"/>
    <tableColumn id="147" xr3:uid="{2F849394-59B1-4EB8-AA35-EA344B80F65A}" uniqueName="147" name="UnsubTot" queryTableFieldId="147"/>
    <tableColumn id="148" xr3:uid="{0EEC5E0E-FE4A-4464-8E9D-B9BC18C999E6}" uniqueName="148" name="UnsubFee" queryTableFieldId="148"/>
    <tableColumn id="149" xr3:uid="{F3A546FE-575A-47D6-8169-1A12476AFFD8}" uniqueName="149" name="PLUSQ1" queryTableFieldId="149"/>
    <tableColumn id="150" xr3:uid="{D1BB12F3-0592-4AF3-B2A5-08209326A49F}" uniqueName="150" name="PLUSQ2" queryTableFieldId="150"/>
    <tableColumn id="151" xr3:uid="{6AF35476-B80C-45C8-9C51-6996BBC96884}" uniqueName="151" name="PLUSQ3" queryTableFieldId="151"/>
    <tableColumn id="152" xr3:uid="{972370A5-D289-451F-9A07-F988DE255096}" uniqueName="152" name="PLUSTot" queryTableFieldId="152"/>
    <tableColumn id="153" xr3:uid="{A217239A-C2AA-4101-AED3-571D226BEDFD}" uniqueName="153" name="PLUSFee" queryTableFieldId="153"/>
    <tableColumn id="154" xr3:uid="{E50AA6C2-F928-4D3B-B8B1-1786D967A287}" uniqueName="154" name="PrivQ1" queryTableFieldId="154"/>
    <tableColumn id="155" xr3:uid="{1E4E7C3A-19EA-4204-933A-44DAF371CCA2}" uniqueName="155" name="PrivQ2" queryTableFieldId="155"/>
    <tableColumn id="156" xr3:uid="{3C6F5C9C-5139-4EFE-B9A5-716586AD0E4F}" uniqueName="156" name="PrivQ3" queryTableFieldId="156"/>
    <tableColumn id="157" xr3:uid="{4C98C296-999A-4855-BECC-1AB4E1B4CF7D}" uniqueName="157" name="PrivTot" queryTableFieldId="157"/>
    <tableColumn id="158" xr3:uid="{B02D1745-12C0-4EC0-825B-40B8E63B0B4F}" uniqueName="158" name="TOQ1" queryTableFieldId="158"/>
    <tableColumn id="159" xr3:uid="{7966F48D-A522-457B-B122-A4F92D53FFEB}" uniqueName="159" name="TOQ2" queryTableFieldId="159"/>
    <tableColumn id="160" xr3:uid="{C0CCCEE6-F83D-41C6-88AF-81B3D3CB5A75}" uniqueName="160" name="TOQ3" queryTableFieldId="160"/>
    <tableColumn id="161" xr3:uid="{8D706E4D-8B76-419C-96C2-48E3DAB50AB8}" uniqueName="161" name="TOTot" queryTableFieldId="161"/>
    <tableColumn id="162" xr3:uid="{F7942CC4-33CC-46FA-9E74-614C1B25C9CF}" uniqueName="162" name="OFundQ1" queryTableFieldId="162"/>
    <tableColumn id="163" xr3:uid="{E3E7E2B2-C605-42D5-9484-B3C58199DAF4}" uniqueName="163" name="OFundQ2" queryTableFieldId="163"/>
    <tableColumn id="164" xr3:uid="{FD12E076-73A9-4FC7-A75F-7102626ECC66}" uniqueName="164" name="OFundQ3" queryTableFieldId="164"/>
    <tableColumn id="165" xr3:uid="{2C747AD8-D6B3-40C2-98F9-325922B88915}" uniqueName="165" name="OFundTot" queryTableFieldId="165"/>
    <tableColumn id="166" xr3:uid="{8E488502-59FA-416E-87D5-30FD0875966A}" uniqueName="166" name="SelfHelpTot" queryTableFieldId="166"/>
    <tableColumn id="167" xr3:uid="{30D45F8C-BD3D-4C73-AD0E-A3F32B091173}" uniqueName="167" name="NetCost" queryTableFieldId="167"/>
    <tableColumn id="168" xr3:uid="{868C1205-9E03-4C11-A7F1-8B9ADFD16055}" uniqueName="168" name="GrossNeed" queryTableFieldId="168"/>
    <tableColumn id="169" xr3:uid="{10E4AED8-2051-4198-84A2-C12F31E496CD}" uniqueName="169" name="NetNeed" queryTableFieldId="169"/>
    <tableColumn id="170" xr3:uid="{109B3BF0-2165-4D7D-8E26-4A8D577551F9}" uniqueName="170" name="SDD" queryTableFieldId="170"/>
    <tableColumn id="171" xr3:uid="{5A9E3706-E832-448E-B9E3-4D0093FA7A24}" uniqueName="171" name="Address2" queryTableFieldId="171"/>
    <tableColumn id="172" xr3:uid="{372653AC-2F13-4288-834E-4DFABA020ABF}" uniqueName="172" name="City3" queryTableFieldId="172"/>
    <tableColumn id="173" xr3:uid="{26D65245-895A-4DE8-89CC-8A29BF5ED0D3}" uniqueName="173" name="State4" queryTableFieldId="173"/>
    <tableColumn id="174" xr3:uid="{15FE1FAD-3D91-47BB-B52A-18F7830163E4}" uniqueName="174" name="Zip5" queryTableFieldId="174"/>
    <tableColumn id="175" xr3:uid="{3B947B49-A55D-44FF-AE1D-12169B0B43CF}" uniqueName="175" name="Global Submitted" queryTableFieldId="175"/>
    <tableColumn id="176" xr3:uid="{67789D76-4226-4900-AA4F-16126CD1E34E}" uniqueName="176" name="Global Confirmed" queryTableFieldId="176"/>
    <tableColumn id="177" xr3:uid="{437B2B02-B3DE-4130-8BFD-56FD7B1FF9B5}" uniqueName="177" name="Cvue Complete" queryTableFieldId="17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CD4416-6B89-4F7D-8E74-314D917D6185}" name="RawData" displayName="RawData" ref="A1:FP233" tableType="queryTable" totalsRowShown="0">
  <autoFilter ref="A1:FP233" xr:uid="{8667C04F-D6EA-488C-9FC3-C1B55A792E8E}"/>
  <tableColumns count="172">
    <tableColumn id="1" xr3:uid="{B11FFF09-DC13-4B17-A683-4B1F24942ACD}" uniqueName="1" name="SyStudentId" queryTableFieldId="1"/>
    <tableColumn id="2" xr3:uid="{DB6E928A-E866-4399-B258-17CF30CB123A}" uniqueName="2" name="LastName" queryTableFieldId="2"/>
    <tableColumn id="3" xr3:uid="{A0FAD1B7-00F7-4EF0-957D-0911C79FF62E}" uniqueName="3" name="FirstName" queryTableFieldId="3"/>
    <tableColumn id="4" xr3:uid="{021B7F8C-A53F-414B-ADB4-327A4CC17CF8}" uniqueName="4" name="StudentName" queryTableFieldId="4"/>
    <tableColumn id="5" xr3:uid="{8D475716-EE21-4AAC-B5E6-79B3A1404387}" uniqueName="5" name="StudentNameConCat" queryTableFieldId="5" dataDxfId="74"/>
    <tableColumn id="6" xr3:uid="{D825F850-4AB8-4152-B6EC-B67996B15038}" uniqueName="6" name="#Atmpts" queryTableFieldId="6"/>
    <tableColumn id="7" xr3:uid="{A33F1130-A390-4246-B19A-DBEBE2C10BA6}" uniqueName="7" name="1stCon" queryTableFieldId="7" dataDxfId="73"/>
    <tableColumn id="8" xr3:uid="{258B795F-79A3-4557-8494-04B3F6C01416}" uniqueName="8" name="LstCon" queryTableFieldId="8" dataDxfId="72"/>
    <tableColumn id="9" xr3:uid="{65BD2FF0-A8B9-4676-A536-8ED89D9BF319}" uniqueName="9" name="LstAtmpt" queryTableFieldId="9" dataDxfId="71"/>
    <tableColumn id="10" xr3:uid="{86AC2A76-ABF7-45FC-97EF-94787EE621E6}" uniqueName="10" name="Notes" queryTableFieldId="10"/>
    <tableColumn id="11" xr3:uid="{231C4DE1-28BA-45A0-898E-3B726275F20F}" uniqueName="11" name="Color" queryTableFieldId="11"/>
    <tableColumn id="12" xr3:uid="{E1767256-B989-4480-AC7D-069F275CB0C5}" uniqueName="12" name="D/I" queryTableFieldId="12" dataDxfId="70"/>
    <tableColumn id="13" xr3:uid="{BB55319F-92D6-4087-AEAF-01C5AE1F4DA9}" uniqueName="13" name="email" queryTableFieldId="13"/>
    <tableColumn id="14" xr3:uid="{9E40F3B4-102F-4C1A-BA99-E7ECC7A5EFF8}" uniqueName="14" name="Address" queryTableFieldId="14"/>
    <tableColumn id="15" xr3:uid="{B24B332D-E100-4D2B-BFF0-7D57C3B1F5C3}" uniqueName="15" name="City" queryTableFieldId="15"/>
    <tableColumn id="16" xr3:uid="{397CCC01-0BF3-4029-A7AB-32FCC4EF9E21}" uniqueName="16" name="State" queryTableFieldId="16"/>
    <tableColumn id="17" xr3:uid="{C7CAF557-DF2F-4067-B6AA-1D019DD87B3E}" uniqueName="17" name="Zip" queryTableFieldId="17"/>
    <tableColumn id="18" xr3:uid="{FCF9AA91-87BB-44DC-85D5-31958F4E8BE7}" uniqueName="18" name="HSGPA" queryTableFieldId="18"/>
    <tableColumn id="19" xr3:uid="{45AC0605-B6C5-40A2-974D-823117943CE5}" uniqueName="19" name="ExpStartDate" queryTableFieldId="19"/>
    <tableColumn id="20" xr3:uid="{4C1ED695-6A95-4AA8-81E0-C914AD9CBBA9}" uniqueName="20" name="Rep" queryTableFieldId="20"/>
    <tableColumn id="21" xr3:uid="{E1C289EB-A295-4D06-B5DD-D76627BC789D}" uniqueName="21" name="Gender" queryTableFieldId="21"/>
    <tableColumn id="22" xr3:uid="{591132B8-3C18-4D6F-B441-8EF4207EC1DB}" uniqueName="22" name="Code" queryTableFieldId="22"/>
    <tableColumn id="23" xr3:uid="{0E5BA9D7-EE0F-4B8A-96E9-1047FC827F0A}" uniqueName="23" name="FAA" queryTableFieldId="23"/>
    <tableColumn id="24" xr3:uid="{3572A861-D82B-4521-B007-103205FBDC2E}" uniqueName="24" name="FAAEmail" queryTableFieldId="24"/>
    <tableColumn id="25" xr3:uid="{E6E95239-BDA1-43B8-A637-5795B15950CB}" uniqueName="25" name="FAAPhone" queryTableFieldId="25"/>
    <tableColumn id="26" xr3:uid="{56DF6612-1DC9-4399-92BC-9C287BF2AD1F}" uniqueName="26" name="Status" queryTableFieldId="26"/>
    <tableColumn id="27" xr3:uid="{ECE8945F-CC71-4733-9C84-E81AA5C7A4A5}" uniqueName="27" name="IntProg" queryTableFieldId="27"/>
    <tableColumn id="28" xr3:uid="{C6081657-703B-40C9-9B3E-082F4E96B1AE}" uniqueName="28" name="Act" queryTableFieldId="28"/>
    <tableColumn id="29" xr3:uid="{38C10D95-8123-43A2-849B-C81E7B8795DD}" uniqueName="29" name="Sat" queryTableFieldId="29"/>
    <tableColumn id="30" xr3:uid="{9DD5A87E-B4E8-4032-8154-067FE0075FD7}" uniqueName="30" name="IndexScore" queryTableFieldId="30"/>
    <tableColumn id="31" xr3:uid="{49B1E04F-E3F8-4306-A601-A997E8FDA4F3}" uniqueName="31" name="AccRating" queryTableFieldId="31"/>
    <tableColumn id="32" xr3:uid="{551D24E3-5D6B-46A7-A2D1-506829695796}" uniqueName="32" name="Rank" queryTableFieldId="32"/>
    <tableColumn id="33" xr3:uid="{F4CAEF96-32F7-4B2C-BC90-A5D84D65F2E5}" uniqueName="33" name="AccCom" queryTableFieldId="33"/>
    <tableColumn id="34" xr3:uid="{E381E09A-94C2-4958-BF88-85AE2EC187D6}" uniqueName="34" name="EFCRaw" queryTableFieldId="34" dataDxfId="69"/>
    <tableColumn id="35" xr3:uid="{043D47D5-8BF4-46B0-B130-ABC28F0EF5E3}" uniqueName="35" name="EFC" queryTableFieldId="35" dataDxfId="68"/>
    <tableColumn id="36" xr3:uid="{1571CA18-0D4A-4BF8-AD10-B92F9F4ABDF0}" uniqueName="36" name="EFCDate" queryTableFieldId="36" dataDxfId="67"/>
    <tableColumn id="37" xr3:uid="{E212ABA9-A1F5-4152-A41E-DAB2F5A25F22}" uniqueName="37" name="VerReq" queryTableFieldId="37" dataDxfId="66"/>
    <tableColumn id="38" xr3:uid="{C2997FF9-9667-45D7-9733-7F9050FEF3D8}" uniqueName="38" name="VerCom" queryTableFieldId="38" dataDxfId="65"/>
    <tableColumn id="39" xr3:uid="{4DF93688-CFE8-4888-809D-63007A83B025}" uniqueName="39" name="ALESent" queryTableFieldId="39"/>
    <tableColumn id="40" xr3:uid="{EBF15B21-D267-47D9-AF49-3132B45BD180}" uniqueName="40" name="Interview" queryTableFieldId="40"/>
    <tableColumn id="41" xr3:uid="{00A9E166-9C3E-4DCC-95A2-E8658E1A117D}" uniqueName="41" name="FAQ" queryTableFieldId="41" dataDxfId="64"/>
    <tableColumn id="42" xr3:uid="{F364DAAC-DE7A-453B-94B8-9087FFDBA248}" uniqueName="42" name="FERPA" queryTableFieldId="42" dataDxfId="63"/>
    <tableColumn id="43" xr3:uid="{D7017529-1C16-491B-BA9F-0294C7444343}" uniqueName="43" name="SCB" queryTableFieldId="43" dataDxfId="62"/>
    <tableColumn id="44" xr3:uid="{7530506E-BEF3-4E96-B5EE-3718D41E1794}" uniqueName="44" name="EC" queryTableFieldId="44"/>
    <tableColumn id="45" xr3:uid="{C804044B-44C1-4E56-B2E6-A0B11C667CB1}" uniqueName="45" name="SMPN" queryTableFieldId="45"/>
    <tableColumn id="46" xr3:uid="{49C94F7D-C133-4889-9476-3C29C7AF1A19}" uniqueName="46" name="PCC" queryTableFieldId="46"/>
    <tableColumn id="47" xr3:uid="{148EA00F-CE04-4E61-AC2A-7166D5BC27A9}" uniqueName="47" name="PCB" queryTableFieldId="47"/>
    <tableColumn id="48" xr3:uid="{0B77E38E-5AD8-49C2-9265-A25289267EB9}" uniqueName="48" name="PlusApp" queryTableFieldId="48"/>
    <tableColumn id="49" xr3:uid="{30A2B40A-76A5-4A55-B8D1-5668B89C2D83}" uniqueName="49" name="PMPN" queryTableFieldId="49"/>
    <tableColumn id="50" xr3:uid="{5784F02D-3694-4569-84D4-FCC3F66D5038}" uniqueName="50" name="PrivApp" queryTableFieldId="50"/>
    <tableColumn id="51" xr3:uid="{D2FDE1F9-10AA-433E-81EC-40566B4832FA}" uniqueName="51" name="TPP" queryTableFieldId="51"/>
    <tableColumn id="52" xr3:uid="{09E9D1BA-A35F-4B79-AE68-5894CD921029}" uniqueName="52" name="TOApp" queryTableFieldId="52"/>
    <tableColumn id="53" xr3:uid="{2D1E5397-9BB7-4AC3-B05C-78086515B013}" uniqueName="53" name="TO_E-Sign" queryTableFieldId="53"/>
    <tableColumn id="54" xr3:uid="{A3532AEF-C986-4C19-8603-590B4B47E9D4}" uniqueName="54" name="VACert" queryTableFieldId="54"/>
    <tableColumn id="55" xr3:uid="{E436E7C9-FD88-41B2-80E1-18E6FAE527DA}" uniqueName="55" name="DD214" queryTableFieldId="55"/>
    <tableColumn id="56" xr3:uid="{67B6082A-8B32-4FA1-8920-30D7AB8BF01E}" uniqueName="56" name="V-HHSNIC" queryTableFieldId="56" dataDxfId="61"/>
    <tableColumn id="57" xr3:uid="{3216B756-AAC8-4A6F-B52A-5C732F24D863}" uniqueName="57" name="V-SNonFiler" queryTableFieldId="57" dataDxfId="60"/>
    <tableColumn id="58" xr3:uid="{6E92B461-0276-4E51-B7BB-ADF485B7FF75}" uniqueName="58" name="V-PNonFiler" queryTableFieldId="58" dataDxfId="59"/>
    <tableColumn id="59" xr3:uid="{4A9167CB-1134-4117-A418-7BA1CE4103FB}" uniqueName="59" name="V-ID" queryTableFieldId="59" dataDxfId="58"/>
    <tableColumn id="60" xr3:uid="{73B0D9F5-FE04-442A-8014-14307834AE0F}" uniqueName="60" name="DRT" queryTableFieldId="60" dataDxfId="57"/>
    <tableColumn id="61" xr3:uid="{052E78B0-DAEB-4A76-A079-586CAD2B77F2}" uniqueName="61" name="TaxTran" queryTableFieldId="61" dataDxfId="56"/>
    <tableColumn id="62" xr3:uid="{E8DBE01E-9BEE-4DA1-B2F6-09CB4380FC94}" uniqueName="62" name="%Complete" queryTableFieldId="62"/>
    <tableColumn id="63" xr3:uid="{696F63A9-D79D-4D69-A538-14911132B64F}" uniqueName="63" name="AYStart" queryTableFieldId="63"/>
    <tableColumn id="64" xr3:uid="{6CBCC1C5-3E58-4EEF-97E5-C82708BF1BF5}" uniqueName="64" name="AYEnd" queryTableFieldId="64"/>
    <tableColumn id="65" xr3:uid="{8052D0B3-459E-4ABE-8927-85C3E7389589}" uniqueName="65" name="T&amp;FQ1" queryTableFieldId="65"/>
    <tableColumn id="66" xr3:uid="{33BF858D-87AE-421A-B50D-C38B4D49DC8D}" uniqueName="66" name="T&amp;FQ2" queryTableFieldId="66"/>
    <tableColumn id="67" xr3:uid="{FAD9B8C7-DCE1-47FF-A157-DD31F2298EAE}" uniqueName="67" name="T&amp;FQ3" queryTableFieldId="67"/>
    <tableColumn id="68" xr3:uid="{E0DC6439-AB00-4A2A-AD1C-CA396908C0E6}" uniqueName="68" name="T&amp;FTot" queryTableFieldId="68"/>
    <tableColumn id="69" xr3:uid="{7E6236BE-0024-4748-BEE4-DC400C789B80}" uniqueName="69" name="B&amp;SQ1" queryTableFieldId="69"/>
    <tableColumn id="70" xr3:uid="{1DBFAE15-7BD4-41DB-B6DA-32E87144EE5A}" uniqueName="70" name="B&amp;SQ2" queryTableFieldId="70"/>
    <tableColumn id="71" xr3:uid="{414D5872-564A-4B83-809B-9801A7C788FE}" uniqueName="71" name="B&amp;SQ3" queryTableFieldId="71"/>
    <tableColumn id="72" xr3:uid="{0CAD4B47-CFE9-42E9-8D18-968B9E7099B3}" uniqueName="72" name="B&amp;STot" queryTableFieldId="72"/>
    <tableColumn id="73" xr3:uid="{AC91FFD0-74A2-4D71-B27A-B1BAE4757ABC}" uniqueName="73" name="HousQ1" queryTableFieldId="73"/>
    <tableColumn id="74" xr3:uid="{C9AA1B77-4DD4-49DC-979D-073F7693F4CF}" uniqueName="74" name="HousQ2" queryTableFieldId="74"/>
    <tableColumn id="75" xr3:uid="{8CDCC1D9-77A8-4E90-8BA6-2109948A32DA}" uniqueName="75" name="HousQ3" queryTableFieldId="75"/>
    <tableColumn id="76" xr3:uid="{E9276C93-EC61-435C-AC64-C75EC477D0EB}" uniqueName="76" name="HousTot" queryTableFieldId="76"/>
    <tableColumn id="77" xr3:uid="{7488A8F6-2B86-41FE-91B2-D7524458DC8E}" uniqueName="77" name="LEQ1" queryTableFieldId="77"/>
    <tableColumn id="78" xr3:uid="{F5858339-0BFB-42F7-A639-AC727BE6AB0E}" uniqueName="78" name="LEQ2" queryTableFieldId="78"/>
    <tableColumn id="79" xr3:uid="{D68E1204-7DFA-462F-9000-FDFA65595EF7}" uniqueName="79" name="LEQ3" queryTableFieldId="79"/>
    <tableColumn id="80" xr3:uid="{23C086E0-C119-4771-9317-58692F18711D}" uniqueName="80" name="LETot" queryTableFieldId="80"/>
    <tableColumn id="81" xr3:uid="{64C53134-212F-47A7-BB88-DECA04754F64}" uniqueName="81" name="OthCostQ1" queryTableFieldId="81"/>
    <tableColumn id="82" xr3:uid="{8E4F9024-056D-4602-88EB-20C655E9CC0A}" uniqueName="82" name="OthCostQ2" queryTableFieldId="82"/>
    <tableColumn id="83" xr3:uid="{CCE7535F-8A69-4391-B1F2-5ADEF4779DCF}" uniqueName="83" name="OthCostQ3" queryTableFieldId="83"/>
    <tableColumn id="84" xr3:uid="{CD608ED4-3DE6-495E-B8C5-DA2A8CC57472}" uniqueName="84" name="OthCostTot" queryTableFieldId="84"/>
    <tableColumn id="85" xr3:uid="{7EE6855A-A2B2-4E2B-A731-3E9EBA0BD245}" uniqueName="85" name="CostTot" queryTableFieldId="85"/>
    <tableColumn id="86" xr3:uid="{CF714903-8019-423C-B351-471F6C17D52F}" uniqueName="86" name="SEOGQ1" queryTableFieldId="86"/>
    <tableColumn id="87" xr3:uid="{6F0DB72A-4377-443A-9C3E-0F58ACD6C5EC}" uniqueName="87" name="SEOGQ2" queryTableFieldId="87"/>
    <tableColumn id="88" xr3:uid="{1678B68E-0FEA-4645-90B4-BBB86123CA78}" uniqueName="88" name="SEOGQ3" queryTableFieldId="88"/>
    <tableColumn id="89" xr3:uid="{9E37A6C5-A42D-427A-8C22-5A534974A496}" uniqueName="89" name="SEOGTot" queryTableFieldId="89"/>
    <tableColumn id="90" xr3:uid="{77DD9516-3A6E-483D-818C-461606241FD3}" uniqueName="90" name="PellQ1" queryTableFieldId="90"/>
    <tableColumn id="91" xr3:uid="{A5EEC989-C719-4634-B370-92592B410F3E}" uniqueName="91" name="PellQ2" queryTableFieldId="91"/>
    <tableColumn id="92" xr3:uid="{AA3B6AE3-0D3B-4F40-A172-1AFBECDE0FDE}" uniqueName="92" name="PellQ3" queryTableFieldId="92"/>
    <tableColumn id="93" xr3:uid="{57DD904B-279B-40A5-ADB0-E8040E0D011C}" uniqueName="93" name="PellTot" queryTableFieldId="93"/>
    <tableColumn id="94" xr3:uid="{DB620F59-FE78-459D-8549-0AF41D7434AA}" uniqueName="94" name="AccessQ1" queryTableFieldId="94"/>
    <tableColumn id="95" xr3:uid="{86CC4A1A-A9F1-4DDC-999F-7EC5EECD9286}" uniqueName="95" name="AccessQ2" queryTableFieldId="95"/>
    <tableColumn id="96" xr3:uid="{A525CB93-D066-40FA-A712-96E763E0FD4E}" uniqueName="96" name="AccessQ3" queryTableFieldId="96"/>
    <tableColumn id="97" xr3:uid="{6744665B-FB88-4F2F-9F30-89ACC5636FD3}" uniqueName="97" name="AccessTot" queryTableFieldId="97"/>
    <tableColumn id="98" xr3:uid="{326B32D1-6703-44D5-8911-A55566BF3A70}" uniqueName="98" name="AchiQ1" queryTableFieldId="98"/>
    <tableColumn id="99" xr3:uid="{FE6A43A3-557F-4B57-9B50-E2B1E9F70D92}" uniqueName="99" name="AchiQ2" queryTableFieldId="99"/>
    <tableColumn id="100" xr3:uid="{FD323535-A659-497C-93C6-A649B2593F50}" uniqueName="100" name="AchiQ3" queryTableFieldId="100"/>
    <tableColumn id="101" xr3:uid="{76492E48-08B3-48FA-B250-5F43381A4CA8}" uniqueName="101" name="AchiTot" queryTableFieldId="101"/>
    <tableColumn id="102" xr3:uid="{F8AE851E-1AC6-4535-A677-768E5F7F8AC9}" uniqueName="102" name="UTQ1" queryTableFieldId="102"/>
    <tableColumn id="103" xr3:uid="{845973BC-CB6D-424B-94B8-EA56EB4CF736}" uniqueName="103" name="UTQ2" queryTableFieldId="103"/>
    <tableColumn id="104" xr3:uid="{E2B10766-7E3E-4429-A2FC-8CAB2FB8461F}" uniqueName="104" name="UTQ3" queryTableFieldId="104"/>
    <tableColumn id="105" xr3:uid="{36E1A17E-B5A6-449B-B2E0-8834DF1810B2}" uniqueName="105" name="UTTot" queryTableFieldId="105"/>
    <tableColumn id="106" xr3:uid="{42D18810-EAF4-43BA-9AA7-20021D133196}" uniqueName="106" name="WITQ1" queryTableFieldId="106"/>
    <tableColumn id="107" xr3:uid="{BA8DEB10-597C-46F6-8D5E-697539BCCEB7}" uniqueName="107" name="WITQ2" queryTableFieldId="107"/>
    <tableColumn id="108" xr3:uid="{FAE7A517-681C-4390-92F0-D050D3C63AF5}" uniqueName="108" name="WITQ3" queryTableFieldId="108"/>
    <tableColumn id="109" xr3:uid="{89D6AD7C-F09F-4E2E-8488-B9A6DC8A67A6}" uniqueName="109" name="WITTot" queryTableFieldId="109"/>
    <tableColumn id="110" xr3:uid="{B118F193-F84E-4547-B04D-73A7DC6CE6B7}" uniqueName="110" name="SerQ1" queryTableFieldId="110"/>
    <tableColumn id="111" xr3:uid="{8BDD46CC-8727-4D18-B558-1B7A5D40F765}" uniqueName="111" name="SerQ2" queryTableFieldId="111"/>
    <tableColumn id="112" xr3:uid="{B94008EB-701A-43F8-A3B1-5C8CF7012058}" uniqueName="112" name="SerQ3" queryTableFieldId="112"/>
    <tableColumn id="113" xr3:uid="{8543E4FD-75A4-440C-AB08-B6EFF8B7623B}" uniqueName="113" name="SerTot" queryTableFieldId="113"/>
    <tableColumn id="114" xr3:uid="{BF5673D4-4D82-4507-A4DE-9E05B462F237}" uniqueName="114" name="TranQ1" queryTableFieldId="114"/>
    <tableColumn id="115" xr3:uid="{2BCD92BB-546F-4FD2-BE26-219453CD5FC8}" uniqueName="115" name="TranQ2" queryTableFieldId="115"/>
    <tableColumn id="116" xr3:uid="{18A9147F-6C8A-4176-8BFA-9AB743791DDF}" uniqueName="116" name="TranQ3" queryTableFieldId="116"/>
    <tableColumn id="117" xr3:uid="{96804780-85FB-4B92-B8E6-C04BF7B8E6B5}" uniqueName="117" name="TranTot" queryTableFieldId="117"/>
    <tableColumn id="118" xr3:uid="{49155805-DBC2-4CF1-B191-73FDE042FA81}" uniqueName="118" name="MatQ1" queryTableFieldId="118"/>
    <tableColumn id="119" xr3:uid="{239EE41C-D579-44B5-84DD-93F5E5A57985}" uniqueName="119" name="MatQ2" queryTableFieldId="119"/>
    <tableColumn id="120" xr3:uid="{3E1D0882-E798-4AFB-9D64-F960F438635C}" uniqueName="120" name="MatQ3" queryTableFieldId="120"/>
    <tableColumn id="121" xr3:uid="{6E981324-65DD-4B4E-92DC-D7AF63280399}" uniqueName="121" name="MatTot" queryTableFieldId="121"/>
    <tableColumn id="122" xr3:uid="{498EF1AD-39F3-408C-871D-B8F4465880B2}" uniqueName="122" name="OutQ1" queryTableFieldId="122"/>
    <tableColumn id="123" xr3:uid="{1F9C1884-8938-4458-B809-E30A17909317}" uniqueName="123" name="OutQ2" queryTableFieldId="123"/>
    <tableColumn id="124" xr3:uid="{689ACA05-9E9E-4E92-BC0A-F81F06262277}" uniqueName="124" name="OutQ3" queryTableFieldId="124"/>
    <tableColumn id="125" xr3:uid="{A21DD6F0-E7C8-4C8A-B485-9AFAD286DB29}" uniqueName="125" name="OutTot" queryTableFieldId="125"/>
    <tableColumn id="126" xr3:uid="{E4409287-0F91-44CC-85E6-7AE147FB1F52}" uniqueName="126" name="VAQ1" queryTableFieldId="126"/>
    <tableColumn id="127" xr3:uid="{FBBC7016-AE07-4E2A-829E-7B369713D9CF}" uniqueName="127" name="VAQ2" queryTableFieldId="127"/>
    <tableColumn id="128" xr3:uid="{0EA1B102-15B7-472B-9909-6EF7B4379917}" uniqueName="128" name="VAQ3" queryTableFieldId="128"/>
    <tableColumn id="129" xr3:uid="{DF4A2338-E9A7-479F-A647-8A100A78C10A}" uniqueName="129" name="VATot" queryTableFieldId="129"/>
    <tableColumn id="130" xr3:uid="{35D20795-4664-4B70-9DCD-477273FB4827}" uniqueName="130" name="OthGrantQ1" queryTableFieldId="130"/>
    <tableColumn id="131" xr3:uid="{41656753-C89C-46B6-B0AF-7E52CF180FAC}" uniqueName="131" name="OthGrantQ2" queryTableFieldId="131"/>
    <tableColumn id="132" xr3:uid="{5E8F473B-C96E-4176-8435-BD8A4B077A36}" uniqueName="132" name="OthGrantQ3" queryTableFieldId="132"/>
    <tableColumn id="133" xr3:uid="{C66C6B9B-A02E-4579-863C-2095E5DCFD23}" uniqueName="133" name="OthGrantTot" queryTableFieldId="133"/>
    <tableColumn id="134" xr3:uid="{C47CBE1B-AF6B-4807-991C-37278168A825}" uniqueName="134" name="GiftTot" queryTableFieldId="134"/>
    <tableColumn id="135" xr3:uid="{A8CCE029-4579-445D-83E0-B9F93183C3C3}" uniqueName="135" name="CashQ1" queryTableFieldId="135"/>
    <tableColumn id="136" xr3:uid="{5EE47A41-181E-4045-A41E-CC3CC7FF787C}" uniqueName="136" name="CashQ2" queryTableFieldId="136"/>
    <tableColumn id="137" xr3:uid="{8B95A17E-C653-460B-82E3-0D33B79F001F}" uniqueName="137" name="CashQ3" queryTableFieldId="137"/>
    <tableColumn id="138" xr3:uid="{103EB715-9028-4535-B3C7-DEF831252E99}" uniqueName="138" name="CashTot" queryTableFieldId="138"/>
    <tableColumn id="139" xr3:uid="{5132DD9E-D473-440C-8A85-AD75D0AF4FD4}" uniqueName="139" name="SubQ1" queryTableFieldId="139"/>
    <tableColumn id="140" xr3:uid="{53413457-8C64-4758-B561-A49FDB541CBA}" uniqueName="140" name="SubQ2" queryTableFieldId="140"/>
    <tableColumn id="141" xr3:uid="{C6D8214F-0B3F-4416-8ED6-70C4F8951C1E}" uniqueName="141" name="SubQ3" queryTableFieldId="141"/>
    <tableColumn id="142" xr3:uid="{E5E565C7-0C3C-480C-BD4E-FE0171B43160}" uniqueName="142" name="SubTot" queryTableFieldId="142"/>
    <tableColumn id="143" xr3:uid="{BD54B406-B045-4742-A8D5-8E934140FAFD}" uniqueName="143" name="SubFee" queryTableFieldId="143"/>
    <tableColumn id="144" xr3:uid="{CA6057DF-0986-4B36-A188-FCA7FE6417A5}" uniqueName="144" name="UnsubQ1" queryTableFieldId="144"/>
    <tableColumn id="145" xr3:uid="{7FB6A8DC-D66B-41A3-B076-28917E08357A}" uniqueName="145" name="UnsubQ2" queryTableFieldId="145"/>
    <tableColumn id="146" xr3:uid="{22FFE479-F926-4CC8-A843-AC1CFE8080BA}" uniqueName="146" name="UnsubQ3" queryTableFieldId="146"/>
    <tableColumn id="147" xr3:uid="{849E63C3-6B8D-43B5-ABBF-64D525F58624}" uniqueName="147" name="UnsubTot" queryTableFieldId="147"/>
    <tableColumn id="148" xr3:uid="{3E8A331A-019D-4D27-95EE-0E850D124E71}" uniqueName="148" name="UnsubFee" queryTableFieldId="148"/>
    <tableColumn id="149" xr3:uid="{00B72F4F-A72F-4693-9778-90186D1425FD}" uniqueName="149" name="PLUSQ1" queryTableFieldId="149"/>
    <tableColumn id="150" xr3:uid="{EFDC54A0-B991-4E12-98FF-7C61B41C44F3}" uniqueName="150" name="PLUSQ2" queryTableFieldId="150"/>
    <tableColumn id="151" xr3:uid="{461D03FB-F737-4639-B17E-D5DBB5FDFC16}" uniqueName="151" name="PLUSQ3" queryTableFieldId="151"/>
    <tableColumn id="152" xr3:uid="{4962F1FB-8747-4B18-8E19-F192849BAA18}" uniqueName="152" name="PLUSTot" queryTableFieldId="152"/>
    <tableColumn id="153" xr3:uid="{3AB5F27F-8964-44CE-81A8-50FB704957B2}" uniqueName="153" name="PLUSFee" queryTableFieldId="153"/>
    <tableColumn id="154" xr3:uid="{7C0782D9-41A5-46D4-BA61-1C049D54641F}" uniqueName="154" name="PrivQ1" queryTableFieldId="154"/>
    <tableColumn id="155" xr3:uid="{3C2574A1-B8EE-4081-9B0A-0EB0234DB0E2}" uniqueName="155" name="PrivQ2" queryTableFieldId="155"/>
    <tableColumn id="156" xr3:uid="{FEDC73D4-782D-41D8-BDF9-1DCB985AD221}" uniqueName="156" name="PrivQ3" queryTableFieldId="156"/>
    <tableColumn id="157" xr3:uid="{13F87E94-981D-4849-A962-79F7852E8708}" uniqueName="157" name="PrivTot" queryTableFieldId="157"/>
    <tableColumn id="158" xr3:uid="{6B9679AD-9E17-4F44-8BC0-B5F5165CB42C}" uniqueName="158" name="TOQ1" queryTableFieldId="158"/>
    <tableColumn id="159" xr3:uid="{5C10202C-A7A4-48F6-AF68-3B8CE218A82A}" uniqueName="159" name="TOQ2" queryTableFieldId="159"/>
    <tableColumn id="160" xr3:uid="{AA4E8253-1FF9-4618-B3F8-CF916B1FBD67}" uniqueName="160" name="TOQ3" queryTableFieldId="160"/>
    <tableColumn id="161" xr3:uid="{6E7DD604-4410-4F60-A1D0-F902C32D863A}" uniqueName="161" name="TOTot" queryTableFieldId="161"/>
    <tableColumn id="162" xr3:uid="{937B8955-37F5-47EE-B17C-77850B4B8CDC}" uniqueName="162" name="OFundQ1" queryTableFieldId="162"/>
    <tableColumn id="163" xr3:uid="{ADA901EA-3D7F-459A-BEE0-860BB8355591}" uniqueName="163" name="OFundQ2" queryTableFieldId="163"/>
    <tableColumn id="164" xr3:uid="{9795CF8E-9E3E-4748-B090-EACF85C3C10E}" uniqueName="164" name="OFundQ3" queryTableFieldId="164"/>
    <tableColumn id="165" xr3:uid="{934EC184-8670-4983-8234-A8BCF0472E44}" uniqueName="165" name="OFundTot" queryTableFieldId="165"/>
    <tableColumn id="166" xr3:uid="{E1ED2427-B737-4692-9602-5FEE779CCB68}" uniqueName="166" name="SelfHelpTot" queryTableFieldId="166"/>
    <tableColumn id="167" xr3:uid="{9CEE02B4-2F76-41EE-9D18-7DC9D3A93DC9}" uniqueName="167" name="NetCost" queryTableFieldId="167"/>
    <tableColumn id="168" xr3:uid="{97379F0B-DC28-4AEA-B111-15D8E94626E7}" uniqueName="168" name="GrossNeed" queryTableFieldId="168"/>
    <tableColumn id="169" xr3:uid="{DF758059-F43C-44D5-8AB3-DFCF90F380A5}" uniqueName="169" name="NetNeed" queryTableFieldId="169"/>
    <tableColumn id="170" xr3:uid="{2F2B840A-FD97-402B-B0A9-777E32BA38B5}" uniqueName="170" name="Global Submitted" queryTableFieldId="170"/>
    <tableColumn id="171" xr3:uid="{7B51F92B-7AFB-464C-BA96-95AA687591C0}" uniqueName="171" name="Global Confirmed" queryTableFieldId="171"/>
    <tableColumn id="172" xr3:uid="{39032A79-A249-4FC5-BABD-9492DB298AFA}" uniqueName="172" name="Cvue Complete" queryTableFieldId="17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CEE69-BB63-4567-8722-E73E38B02A7F}" name="Table1" displayName="Table1" ref="A1:FN264" tableType="queryTable" totalsRowShown="0">
  <autoFilter ref="A1:FN264" xr:uid="{8CA34FA4-7FDA-48B1-AAA6-78271C1FF0C3}"/>
  <tableColumns count="170">
    <tableColumn id="1" xr3:uid="{4230201C-695C-4730-8E0F-95B8D7C38468}" uniqueName="1" name="SyStudentId" queryTableFieldId="1"/>
    <tableColumn id="2" xr3:uid="{70C13779-C2B7-4A52-B1DF-3C6F17DA9C8A}" uniqueName="2" name="LastName" queryTableFieldId="2" dataDxfId="55"/>
    <tableColumn id="3" xr3:uid="{3F09295E-1383-40F4-A855-66AC3BDFDDD0}" uniqueName="3" name="FirstName" queryTableFieldId="3" dataDxfId="54"/>
    <tableColumn id="4" xr3:uid="{7E7106A8-0877-4E84-9E96-4115F402DFA8}" uniqueName="4" name="StudentName" queryTableFieldId="4" dataDxfId="53"/>
    <tableColumn id="5" xr3:uid="{2038D762-A50C-43FF-B0F1-C2E96E6ACD76}" uniqueName="5" name="StudentNameConCat" queryTableFieldId="5" dataDxfId="52"/>
    <tableColumn id="6" xr3:uid="{0F6CC9CB-F97D-4627-9806-01A803EA5EBE}" uniqueName="6" name="#Atmpts" queryTableFieldId="6"/>
    <tableColumn id="7" xr3:uid="{81A11418-9BAA-489A-8CFD-1334AE63006D}" uniqueName="7" name="1stCon" queryTableFieldId="7"/>
    <tableColumn id="8" xr3:uid="{AAC524B5-10CC-49DB-AF3D-40737E04E92E}" uniqueName="8" name="LstCon" queryTableFieldId="8" dataDxfId="51"/>
    <tableColumn id="9" xr3:uid="{3EE76241-81C0-4BE4-AB7E-E6078BC11CFF}" uniqueName="9" name="LstAtmpt" queryTableFieldId="9"/>
    <tableColumn id="10" xr3:uid="{4F18CD0C-64C9-4A97-94E8-85530C33BC46}" uniqueName="10" name="Notes" queryTableFieldId="10" dataDxfId="50"/>
    <tableColumn id="11" xr3:uid="{D7FB8529-441F-4186-BB3B-FE4C61B3C491}" uniqueName="11" name="Color" queryTableFieldId="11" dataDxfId="49"/>
    <tableColumn id="12" xr3:uid="{3899049E-2D1E-429C-8D84-DB75FADB2EDF}" uniqueName="12" name="D/I" queryTableFieldId="12" dataDxfId="48"/>
    <tableColumn id="13" xr3:uid="{5010618A-FAD0-4B38-A306-144F76B3D45E}" uniqueName="13" name="email" queryTableFieldId="13" dataDxfId="47"/>
    <tableColumn id="14" xr3:uid="{ED70106B-1064-4D7A-A908-C0436F493B8E}" uniqueName="14" name="address" queryTableFieldId="14" dataDxfId="46"/>
    <tableColumn id="15" xr3:uid="{EA047853-B1DC-41C0-823C-AA009C4FD2EF}" uniqueName="15" name="city" queryTableFieldId="15" dataDxfId="45"/>
    <tableColumn id="16" xr3:uid="{7D91D107-5CCD-4C77-84CE-F730124D116A}" uniqueName="16" name="state" queryTableFieldId="16" dataDxfId="44"/>
    <tableColumn id="17" xr3:uid="{798AB4EF-C7DB-4646-AD6E-DAB69D4FB093}" uniqueName="17" name="zip" queryTableFieldId="17" dataDxfId="43"/>
    <tableColumn id="18" xr3:uid="{E261E060-ACAA-4BAE-9F68-9568A8EB1A11}" uniqueName="18" name="HSGPA" queryTableFieldId="18"/>
    <tableColumn id="19" xr3:uid="{C44D58FE-C905-4053-8FAD-753B8746DD43}" uniqueName="19" name="ExpStartDate" queryTableFieldId="19" dataDxfId="42"/>
    <tableColumn id="20" xr3:uid="{000E7D95-2FE5-4C64-A6E2-32711B788166}" uniqueName="20" name="Rep" queryTableFieldId="20" dataDxfId="41"/>
    <tableColumn id="21" xr3:uid="{3DE65D94-224A-4FAF-A1D2-7D0356A17224}" uniqueName="21" name="Gender" queryTableFieldId="21" dataDxfId="40"/>
    <tableColumn id="22" xr3:uid="{30C8BA17-E0AB-4663-AF35-47F3DF7DE267}" uniqueName="22" name="Code" queryTableFieldId="22" dataDxfId="39"/>
    <tableColumn id="23" xr3:uid="{4B4CE71D-9C49-47C4-8C30-C0F5726C6262}" uniqueName="23" name="FAA" queryTableFieldId="23" dataDxfId="38"/>
    <tableColumn id="24" xr3:uid="{5292826F-F833-4114-ACE6-90924451787F}" uniqueName="24" name="FAAEmail" queryTableFieldId="24" dataDxfId="37"/>
    <tableColumn id="25" xr3:uid="{875209BA-92AC-436C-AB19-009C259A1B72}" uniqueName="25" name="FAAPhone" queryTableFieldId="25"/>
    <tableColumn id="26" xr3:uid="{B887FB6C-1E32-4A89-8E15-85C0C851E968}" uniqueName="26" name="Status" queryTableFieldId="26" dataDxfId="36"/>
    <tableColumn id="27" xr3:uid="{77701E5C-2726-4422-9E87-672D08211A45}" uniqueName="27" name="IntProg" queryTableFieldId="27" dataDxfId="35"/>
    <tableColumn id="28" xr3:uid="{DB357917-3993-499E-A64F-8FC2B6C18FC2}" uniqueName="28" name="Act" queryTableFieldId="28"/>
    <tableColumn id="29" xr3:uid="{AF4E70E7-9E72-4AB7-91FC-074EDA27423C}" uniqueName="29" name="Sat" queryTableFieldId="29"/>
    <tableColumn id="30" xr3:uid="{2BE2AD6A-D69C-47EA-A28A-813804BEE521}" uniqueName="30" name="IndexScore" queryTableFieldId="30"/>
    <tableColumn id="31" xr3:uid="{1888BAF5-20E5-4EF1-A781-9E2317E299B8}" uniqueName="31" name="AccRating" queryTableFieldId="31" dataDxfId="34"/>
    <tableColumn id="32" xr3:uid="{1CDCB849-807F-402A-9CFE-2464F720937E}" uniqueName="32" name="Rank" queryTableFieldId="32"/>
    <tableColumn id="33" xr3:uid="{8464E98E-D298-4999-A4DD-FFE7003920D0}" uniqueName="33" name="AccCom" queryTableFieldId="33" dataDxfId="33"/>
    <tableColumn id="34" xr3:uid="{92DDE6B4-9689-45D2-9F22-3A225204A44D}" uniqueName="34" name="EFCRaw" queryTableFieldId="34"/>
    <tableColumn id="35" xr3:uid="{13903FEA-FE53-4B69-8C3A-9B0E983E9494}" uniqueName="35" name="EFC" queryTableFieldId="35"/>
    <tableColumn id="36" xr3:uid="{74E775CD-C1F1-41BA-90B6-63DAA161A925}" uniqueName="36" name="EFCDate" queryTableFieldId="36" dataDxfId="32"/>
    <tableColumn id="37" xr3:uid="{8F422AC2-DEEE-48AD-9566-07D2ACFA7A02}" uniqueName="37" name="VerReq" queryTableFieldId="37" dataDxfId="31"/>
    <tableColumn id="38" xr3:uid="{9305F9F0-45BA-4D5C-BC93-E5B51D9A9AC8}" uniqueName="38" name="VerCom" queryTableFieldId="38" dataDxfId="30"/>
    <tableColumn id="39" xr3:uid="{D3911839-D49E-41A8-9CD5-9FDDEB49D002}" uniqueName="39" name="ALESent" queryTableFieldId="39" dataDxfId="29"/>
    <tableColumn id="40" xr3:uid="{E1DD590C-94C8-4DA6-BFD7-E4533F64900E}" uniqueName="40" name="Interview" queryTableFieldId="40" dataDxfId="28"/>
    <tableColumn id="41" xr3:uid="{087695A9-452F-49D8-ABDB-3B7B60AF443A}" uniqueName="41" name="FAQ" queryTableFieldId="41" dataDxfId="27"/>
    <tableColumn id="42" xr3:uid="{36E15D25-4B1F-4691-9243-0B1900C68B59}" uniqueName="42" name="FERPA" queryTableFieldId="42" dataDxfId="26"/>
    <tableColumn id="43" xr3:uid="{CC661E46-A05E-47D9-A9E0-4695FC2E5ABE}" uniqueName="43" name="SCB" queryTableFieldId="43" dataDxfId="25"/>
    <tableColumn id="44" xr3:uid="{E98A4EBB-6567-4B24-B59D-61B11EBCEF41}" uniqueName="44" name="EC" queryTableFieldId="44"/>
    <tableColumn id="45" xr3:uid="{499A6939-E39F-4DFB-A0E4-0FC1C44BB23C}" uniqueName="45" name="SMPN" queryTableFieldId="45"/>
    <tableColumn id="46" xr3:uid="{C62BED23-BCC9-4E93-93B9-D1EC43F18FA5}" uniqueName="46" name="PCC" queryTableFieldId="46"/>
    <tableColumn id="47" xr3:uid="{EED900B6-A539-44A4-A851-6306ACB173E8}" uniqueName="47" name="PCB" queryTableFieldId="47"/>
    <tableColumn id="48" xr3:uid="{FEDB11C1-D26E-4DEE-964B-DE72EAD14E2B}" uniqueName="48" name="PlusApp" queryTableFieldId="48"/>
    <tableColumn id="49" xr3:uid="{0F54B21F-AA35-4483-8BD3-447F26F2557F}" uniqueName="49" name="PMPN" queryTableFieldId="49"/>
    <tableColumn id="50" xr3:uid="{076B2972-6AD3-4108-8B41-D9C02B3DFF04}" uniqueName="50" name="PrivApp" queryTableFieldId="50"/>
    <tableColumn id="51" xr3:uid="{10B0499A-5CFD-4CB6-992E-040D4D010AE9}" uniqueName="51" name="TPP" queryTableFieldId="51"/>
    <tableColumn id="52" xr3:uid="{9A3F7D39-E693-46F1-A543-12B0EB9FF5B6}" uniqueName="52" name="TOApp" queryTableFieldId="52"/>
    <tableColumn id="53" xr3:uid="{74E3EFF2-1D5D-4E9B-8B66-E5F7C37DC9B3}" uniqueName="53" name="TO_E-Sign" queryTableFieldId="53"/>
    <tableColumn id="54" xr3:uid="{ED46CFB1-412E-4AB1-9D25-994F203D72FA}" uniqueName="54" name="VACert" queryTableFieldId="54" dataDxfId="24"/>
    <tableColumn id="55" xr3:uid="{D7CA34BB-30D7-4506-AA0A-3A47AA0A26DA}" uniqueName="55" name="DD214" queryTableFieldId="55" dataDxfId="23"/>
    <tableColumn id="56" xr3:uid="{EBB3420B-9538-438E-A321-C22E3FAD5DD7}" uniqueName="56" name="V-HHSNIC" queryTableFieldId="56" dataDxfId="22"/>
    <tableColumn id="57" xr3:uid="{C9DB1883-2AB1-4651-94ED-BCA9BA7D1EBD}" uniqueName="57" name="V-SNonFiler" queryTableFieldId="57" dataDxfId="21"/>
    <tableColumn id="58" xr3:uid="{1C7B9FD8-C9A1-4651-82AF-E8723BB661D1}" uniqueName="58" name="V-PNonFiler" queryTableFieldId="58" dataDxfId="20"/>
    <tableColumn id="59" xr3:uid="{2C05E543-4098-496F-923C-E0CBE964F878}" uniqueName="59" name="V-ID" queryTableFieldId="59" dataDxfId="19"/>
    <tableColumn id="60" xr3:uid="{CDF2ED52-5A56-4295-A3B1-E625EE7E28B5}" uniqueName="60" name="DRT" queryTableFieldId="60"/>
    <tableColumn id="61" xr3:uid="{9BC79F2B-4306-49D6-A3DB-460AF1FCD138}" uniqueName="61" name="TaxTran" queryTableFieldId="61" dataDxfId="18"/>
    <tableColumn id="62" xr3:uid="{4F1611FE-873E-4FA0-BCE5-9BECE2AF8408}" uniqueName="62" name="%Complete" queryTableFieldId="62"/>
    <tableColumn id="63" xr3:uid="{9A7CE05B-B491-4962-87F2-73A11DD29278}" uniqueName="63" name="AYStart" queryTableFieldId="63" dataDxfId="17"/>
    <tableColumn id="64" xr3:uid="{9922690C-D29B-4B1F-8938-34D0B3269C3B}" uniqueName="64" name="AYEnd" queryTableFieldId="64" dataDxfId="16"/>
    <tableColumn id="65" xr3:uid="{2BA780A8-206B-4ADE-AED7-CB45653D2C47}" uniqueName="65" name="T&amp;FQ1" queryTableFieldId="65"/>
    <tableColumn id="66" xr3:uid="{3FB35D77-2397-4533-8D28-99107B61DC63}" uniqueName="66" name="T&amp;FQ2" queryTableFieldId="66"/>
    <tableColumn id="67" xr3:uid="{66C9D0F1-5DC3-40B3-B094-652E2CB5712A}" uniqueName="67" name="T&amp;FQ3" queryTableFieldId="67"/>
    <tableColumn id="68" xr3:uid="{8A0ED405-49CD-4D5C-9741-A43304094ED5}" uniqueName="68" name="T&amp;FTot" queryTableFieldId="68"/>
    <tableColumn id="69" xr3:uid="{D61F5EDD-9083-4668-B15E-4F99A159CE7A}" uniqueName="69" name="B&amp;SQ1" queryTableFieldId="69"/>
    <tableColumn id="70" xr3:uid="{E011D6F5-CED4-431F-AC53-2B8E5B07AB2A}" uniqueName="70" name="B&amp;SQ2" queryTableFieldId="70"/>
    <tableColumn id="71" xr3:uid="{FC7DCC5B-CB40-4583-AFCD-DA4768A03564}" uniqueName="71" name="B&amp;SQ3" queryTableFieldId="71"/>
    <tableColumn id="72" xr3:uid="{FD39E221-4357-4B61-BDEC-8C533FAE2C22}" uniqueName="72" name="B&amp;STot" queryTableFieldId="72"/>
    <tableColumn id="73" xr3:uid="{70800CC4-46D3-4809-8E82-D40F874D39AE}" uniqueName="73" name="HousQ1" queryTableFieldId="73"/>
    <tableColumn id="74" xr3:uid="{9E23A4D0-79C3-4125-A077-72A70F9AF09F}" uniqueName="74" name="HousQ2" queryTableFieldId="74"/>
    <tableColumn id="75" xr3:uid="{3FA737BE-3478-4C10-831F-24EDEC900B88}" uniqueName="75" name="HousQ3" queryTableFieldId="75"/>
    <tableColumn id="76" xr3:uid="{274CE826-BF63-4E3C-8667-DBBC1C1B8062}" uniqueName="76" name="HousTot" queryTableFieldId="76"/>
    <tableColumn id="77" xr3:uid="{9FA4E21F-67C7-44F6-89E6-A7268B9252F4}" uniqueName="77" name="LEQ1" queryTableFieldId="77"/>
    <tableColumn id="78" xr3:uid="{425F3585-463F-47BD-8DA8-F4915F055214}" uniqueName="78" name="LEQ2" queryTableFieldId="78"/>
    <tableColumn id="79" xr3:uid="{81C4F86A-F161-4F42-9958-66F602E7D8BC}" uniqueName="79" name="LEQ3" queryTableFieldId="79"/>
    <tableColumn id="80" xr3:uid="{429CC9A3-A26F-4FF1-A337-ACCE25EFF4D5}" uniqueName="80" name="LETot" queryTableFieldId="80"/>
    <tableColumn id="81" xr3:uid="{EC63C101-3C7E-4206-A7B6-42968CF67D92}" uniqueName="81" name="OthCostQ1" queryTableFieldId="81"/>
    <tableColumn id="82" xr3:uid="{FF06253E-A033-4C5D-87BF-1A368C552B1C}" uniqueName="82" name="OthCostQ2" queryTableFieldId="82"/>
    <tableColumn id="83" xr3:uid="{BF317E9A-87D4-4DC9-9D83-7DDA848B62D2}" uniqueName="83" name="OthCostQ3" queryTableFieldId="83"/>
    <tableColumn id="84" xr3:uid="{F3E40F49-E505-47CD-B10F-811A9C7F3520}" uniqueName="84" name="OthCostTot" queryTableFieldId="84"/>
    <tableColumn id="85" xr3:uid="{0C9BD1A8-89CD-4FB3-BF55-E6A4D77B8C7B}" uniqueName="85" name="CostTot" queryTableFieldId="85"/>
    <tableColumn id="86" xr3:uid="{09F4F639-96F2-4679-AB27-62D5CA2ABA4C}" uniqueName="86" name="SEOGQ1" queryTableFieldId="86"/>
    <tableColumn id="87" xr3:uid="{2076C281-792A-471D-AF7B-47A5F0E07EAF}" uniqueName="87" name="SEOGQ2" queryTableFieldId="87"/>
    <tableColumn id="88" xr3:uid="{F81D4BBA-B515-48B6-9A6C-492BFC935FA5}" uniqueName="88" name="SEOGQ3" queryTableFieldId="88"/>
    <tableColumn id="89" xr3:uid="{D800F402-658C-484A-A88E-F7E7C1D78B8C}" uniqueName="89" name="SEOGTot" queryTableFieldId="89"/>
    <tableColumn id="90" xr3:uid="{8229B2C5-A814-40B5-BA24-387DD4E74F8F}" uniqueName="90" name="PellQ1" queryTableFieldId="90"/>
    <tableColumn id="91" xr3:uid="{37B29AEE-43C0-464D-B7C4-1C1A2F3DE815}" uniqueName="91" name="PellQ2" queryTableFieldId="91"/>
    <tableColumn id="92" xr3:uid="{3055068C-30C6-4D77-8BD5-9DAAF2E7940D}" uniqueName="92" name="PellQ3" queryTableFieldId="92"/>
    <tableColumn id="93" xr3:uid="{490F46E3-A1EB-4C98-B38E-757AA4B992A1}" uniqueName="93" name="PellTot" queryTableFieldId="93"/>
    <tableColumn id="94" xr3:uid="{3E0BE2E1-1FEB-457D-9422-45B15D4EEFE1}" uniqueName="94" name="AccessQ1" queryTableFieldId="94"/>
    <tableColumn id="95" xr3:uid="{D17F6D11-5AEA-43E3-BB00-42F210B5706E}" uniqueName="95" name="AccessQ2" queryTableFieldId="95"/>
    <tableColumn id="96" xr3:uid="{79ACDE6B-12C0-49D3-89AC-AFA0F204C7AA}" uniqueName="96" name="AccessQ3" queryTableFieldId="96"/>
    <tableColumn id="97" xr3:uid="{7BF0EAC7-E28D-4690-BCC2-9B27EA2F319B}" uniqueName="97" name="AccessTot" queryTableFieldId="97"/>
    <tableColumn id="98" xr3:uid="{E1EC1969-007F-4775-88C3-FAA057ED1F27}" uniqueName="98" name="AchiQ1" queryTableFieldId="98"/>
    <tableColumn id="99" xr3:uid="{4422B11A-BA0B-4614-AE53-6D5E5BE26325}" uniqueName="99" name="AchiQ2" queryTableFieldId="99"/>
    <tableColumn id="100" xr3:uid="{05C397F0-482F-477A-841F-D52F33D49CC1}" uniqueName="100" name="AchiQ3" queryTableFieldId="100"/>
    <tableColumn id="101" xr3:uid="{B593AEE3-3E4C-4381-B492-E154A34FDFB5}" uniqueName="101" name="AchiTot" queryTableFieldId="101"/>
    <tableColumn id="102" xr3:uid="{4FDFA8C4-2176-433A-9370-55695A95AB55}" uniqueName="102" name="UTQ1" queryTableFieldId="102"/>
    <tableColumn id="103" xr3:uid="{95344E5D-5F79-4F25-89FF-8F583037EDD4}" uniqueName="103" name="UTQ2" queryTableFieldId="103"/>
    <tableColumn id="104" xr3:uid="{C713C05B-85C7-47F9-BFF2-2ACC30AB0623}" uniqueName="104" name="UTQ3" queryTableFieldId="104"/>
    <tableColumn id="105" xr3:uid="{9131D0EA-A0DE-48F5-AEBA-5F39B06275A1}" uniqueName="105" name="UTTot" queryTableFieldId="105"/>
    <tableColumn id="106" xr3:uid="{94200167-32A7-455A-A7A3-D871EE70BFAE}" uniqueName="106" name="WITQ1" queryTableFieldId="106"/>
    <tableColumn id="107" xr3:uid="{500E7A76-73EE-49DE-AB91-3D4CADBA7E56}" uniqueName="107" name="WITQ2" queryTableFieldId="107"/>
    <tableColumn id="108" xr3:uid="{50BAE6C8-2B37-4340-827C-AB3170019309}" uniqueName="108" name="WITQ3" queryTableFieldId="108"/>
    <tableColumn id="109" xr3:uid="{17254DF0-DF6E-46A7-884B-C55A811C410B}" uniqueName="109" name="WITTot" queryTableFieldId="109"/>
    <tableColumn id="110" xr3:uid="{C8928B9C-845D-480F-9479-DD6AD0D60CD9}" uniqueName="110" name="SerQ1" queryTableFieldId="110"/>
    <tableColumn id="111" xr3:uid="{45DCC0BC-1EFE-49AE-B11D-D4447CB48D11}" uniqueName="111" name="SerQ2" queryTableFieldId="111"/>
    <tableColumn id="112" xr3:uid="{F7D9C23D-30ED-47F9-8E61-C010FCE9F994}" uniqueName="112" name="SerQ3" queryTableFieldId="112"/>
    <tableColumn id="113" xr3:uid="{D8FFC414-3B64-4165-ADA1-5818F0983DFE}" uniqueName="113" name="SerTot" queryTableFieldId="113"/>
    <tableColumn id="114" xr3:uid="{6E0EEB03-1B89-491F-B500-0400A28174BF}" uniqueName="114" name="TranQ1" queryTableFieldId="114"/>
    <tableColumn id="115" xr3:uid="{F4443DFE-1D6F-4FA0-AD88-04DBA0ED151C}" uniqueName="115" name="TranQ2" queryTableFieldId="115"/>
    <tableColumn id="116" xr3:uid="{5EABBE35-4F2A-46AD-9967-B91219B4D61D}" uniqueName="116" name="TranQ3" queryTableFieldId="116"/>
    <tableColumn id="117" xr3:uid="{4FBD6E3B-D1CD-429B-A903-88D086DB0326}" uniqueName="117" name="TranTot" queryTableFieldId="117"/>
    <tableColumn id="118" xr3:uid="{1E162C2A-70FE-4B7A-8906-E594560C6ABB}" uniqueName="118" name="MatQ1" queryTableFieldId="118"/>
    <tableColumn id="119" xr3:uid="{4D10CBB0-D9FE-47B0-A04B-40127EF6A5BE}" uniqueName="119" name="MatQ2" queryTableFieldId="119"/>
    <tableColumn id="120" xr3:uid="{AC87B37C-5206-414E-93E9-962779930E14}" uniqueName="120" name="MatQ3" queryTableFieldId="120"/>
    <tableColumn id="121" xr3:uid="{D6A82FDA-7202-4AFB-9050-4420864382AD}" uniqueName="121" name="MatTot" queryTableFieldId="121"/>
    <tableColumn id="122" xr3:uid="{42CF631E-EC27-400F-9E0D-146CCC4F5EF0}" uniqueName="122" name="OutQ1" queryTableFieldId="122"/>
    <tableColumn id="123" xr3:uid="{A2948900-2AFE-4DCD-B8B4-F8414E56461D}" uniqueName="123" name="OutQ2" queryTableFieldId="123"/>
    <tableColumn id="124" xr3:uid="{3B6C2D92-4556-4C7C-956C-FE12D3EEFE95}" uniqueName="124" name="OutQ3" queryTableFieldId="124"/>
    <tableColumn id="125" xr3:uid="{0A4B81BD-AB11-4185-AF11-581B90CE5B38}" uniqueName="125" name="OutTot" queryTableFieldId="125"/>
    <tableColumn id="126" xr3:uid="{AFAFF330-23FF-44B5-AB9D-E96B6ED2AE70}" uniqueName="126" name="VAQ1" queryTableFieldId="126"/>
    <tableColumn id="127" xr3:uid="{7F5D8D4D-DC05-420A-94FF-0B85CE4FBDD5}" uniqueName="127" name="VAQ2" queryTableFieldId="127"/>
    <tableColumn id="128" xr3:uid="{F219F9AC-B2D0-4EB2-B219-20C9B2ADF0F3}" uniqueName="128" name="VAQ3" queryTableFieldId="128"/>
    <tableColumn id="129" xr3:uid="{3D27D685-BB3E-41A1-BE88-FC8DAF17A7D4}" uniqueName="129" name="VATot" queryTableFieldId="129"/>
    <tableColumn id="130" xr3:uid="{26B7A6E9-EBE1-4DBB-AD2F-B889FED1C016}" uniqueName="130" name="OthGrantQ1" queryTableFieldId="130"/>
    <tableColumn id="131" xr3:uid="{51742021-A12A-441A-8930-04A29A98D817}" uniqueName="131" name="OthGrantQ2" queryTableFieldId="131"/>
    <tableColumn id="132" xr3:uid="{8814F5EB-7083-4794-B2A4-7B94F28C3CF3}" uniqueName="132" name="OthGrantQ3" queryTableFieldId="132"/>
    <tableColumn id="133" xr3:uid="{2E3B26B1-13FD-443C-B5C6-513B632E028F}" uniqueName="133" name="OthGrantTot" queryTableFieldId="133"/>
    <tableColumn id="134" xr3:uid="{4FA73A51-009B-484C-9D87-859963F62FE7}" uniqueName="134" name="GiftTot" queryTableFieldId="134"/>
    <tableColumn id="135" xr3:uid="{ACDE9941-3A97-44EA-91C5-399D2434B9E5}" uniqueName="135" name="CashQ1" queryTableFieldId="135"/>
    <tableColumn id="136" xr3:uid="{DBE823A1-D4C7-4E14-8757-CE6604532FFC}" uniqueName="136" name="CashQ2" queryTableFieldId="136"/>
    <tableColumn id="137" xr3:uid="{CC36A3C0-6090-4E49-8CD3-0735B5391E3A}" uniqueName="137" name="CashQ3" queryTableFieldId="137"/>
    <tableColumn id="138" xr3:uid="{4B56D9A5-0BD7-4039-9DF5-0B763533852A}" uniqueName="138" name="CashTot" queryTableFieldId="138"/>
    <tableColumn id="139" xr3:uid="{4F898A8B-E425-414C-BC7A-3E0C7C040F84}" uniqueName="139" name="SubQ1" queryTableFieldId="139"/>
    <tableColumn id="140" xr3:uid="{60555CE3-45D8-473B-B5B3-3EC82A77B552}" uniqueName="140" name="SubQ2" queryTableFieldId="140"/>
    <tableColumn id="141" xr3:uid="{2BC66A2A-3588-4457-AD7E-D2F888FE595A}" uniqueName="141" name="SubQ3" queryTableFieldId="141"/>
    <tableColumn id="142" xr3:uid="{039B9B0C-BCB8-499F-9616-DF998A92C968}" uniqueName="142" name="SubTot" queryTableFieldId="142"/>
    <tableColumn id="143" xr3:uid="{0DAF8227-500B-4A0C-BE68-43C9D2F5072F}" uniqueName="143" name="SubFee" queryTableFieldId="143"/>
    <tableColumn id="144" xr3:uid="{8E100EF6-1985-4847-8F92-9544C303C729}" uniqueName="144" name="UnsubQ1" queryTableFieldId="144"/>
    <tableColumn id="145" xr3:uid="{B9DD753E-265A-4EFF-999E-B0D726C84D9B}" uniqueName="145" name="UnsubQ2" queryTableFieldId="145"/>
    <tableColumn id="146" xr3:uid="{611B31AB-DAD0-4C57-A683-DDAE3025E664}" uniqueName="146" name="UnsubQ3" queryTableFieldId="146"/>
    <tableColumn id="147" xr3:uid="{4FD24624-7A4D-451E-B7CE-C855E2CA1C45}" uniqueName="147" name="UnsubTot" queryTableFieldId="147"/>
    <tableColumn id="148" xr3:uid="{8B60C328-EA39-4D70-AF01-59251193CC4B}" uniqueName="148" name="UnsubFee" queryTableFieldId="148"/>
    <tableColumn id="149" xr3:uid="{2C27E602-E7C6-4938-AB2F-8F2E4AC4A9D1}" uniqueName="149" name="PLUSQ1" queryTableFieldId="149"/>
    <tableColumn id="150" xr3:uid="{D15A868A-DF24-4F82-B7DA-333B5A924E34}" uniqueName="150" name="PLUSQ2" queryTableFieldId="150"/>
    <tableColumn id="151" xr3:uid="{ED72515D-B25A-4C74-80B3-595FDAD43269}" uniqueName="151" name="PLUSQ3" queryTableFieldId="151"/>
    <tableColumn id="152" xr3:uid="{9E2024D1-A84B-4844-90FC-51838397A6E8}" uniqueName="152" name="PLUSTot" queryTableFieldId="152"/>
    <tableColumn id="153" xr3:uid="{A3DF99E0-C306-4310-801E-B29E8C8822E7}" uniqueName="153" name="PLUSFee" queryTableFieldId="153"/>
    <tableColumn id="154" xr3:uid="{956D2538-CF47-4126-91E5-28B99B3E3ED2}" uniqueName="154" name="PrivQ1" queryTableFieldId="154"/>
    <tableColumn id="155" xr3:uid="{E554326A-9A68-49F0-9F99-B1157C6F1742}" uniqueName="155" name="PrivQ2" queryTableFieldId="155"/>
    <tableColumn id="156" xr3:uid="{6AC1C556-3BC9-4203-B3E7-2AD3F7775B62}" uniqueName="156" name="PrivQ3" queryTableFieldId="156"/>
    <tableColumn id="157" xr3:uid="{C776A93E-1258-43E7-BDD5-691936C5F441}" uniqueName="157" name="PrivTot" queryTableFieldId="157"/>
    <tableColumn id="158" xr3:uid="{B61310A0-A095-4596-94B4-6D0246EF1ADB}" uniqueName="158" name="TOQ1" queryTableFieldId="158"/>
    <tableColumn id="159" xr3:uid="{A3DEEEF7-D70E-400F-B1B0-42E831658944}" uniqueName="159" name="TOQ2" queryTableFieldId="159"/>
    <tableColumn id="160" xr3:uid="{338441FE-3AF7-46A6-86CE-E9A6951F0360}" uniqueName="160" name="TOQ3" queryTableFieldId="160"/>
    <tableColumn id="161" xr3:uid="{D696E32E-1AE5-47DA-A0DC-B90198BAFD81}" uniqueName="161" name="TOTot" queryTableFieldId="161"/>
    <tableColumn id="162" xr3:uid="{5D0CE036-CFCC-4158-9FC2-72CD46E31C53}" uniqueName="162" name="OFundQ1" queryTableFieldId="162"/>
    <tableColumn id="163" xr3:uid="{5382BAD9-B02F-415A-A228-2F3B08DA756D}" uniqueName="163" name="OFundQ2" queryTableFieldId="163"/>
    <tableColumn id="164" xr3:uid="{B98ADF98-8060-402C-A6AB-AAE3BE1F0CBD}" uniqueName="164" name="OFundQ3" queryTableFieldId="164"/>
    <tableColumn id="165" xr3:uid="{0D01173C-0DC0-412F-B309-7F07E51D079D}" uniqueName="165" name="OFundTot" queryTableFieldId="165"/>
    <tableColumn id="166" xr3:uid="{9ADD7939-DFD0-4313-9FC6-97308C1C7A0B}" uniqueName="166" name="SelfHelpTot" queryTableFieldId="166"/>
    <tableColumn id="167" xr3:uid="{217A75CC-B500-4E52-8756-7698AE4B07F9}" uniqueName="167" name="NetCost" queryTableFieldId="167"/>
    <tableColumn id="168" xr3:uid="{2385E8B2-15DB-4CDF-BC9C-0889175CF172}" uniqueName="168" name="GrossNeed" queryTableFieldId="168"/>
    <tableColumn id="169" xr3:uid="{E124BCC5-37D8-44F0-8D24-724EFA225819}" uniqueName="169" name="NetNeed" queryTableFieldId="169"/>
    <tableColumn id="170" xr3:uid="{F883CEFA-0D79-48E4-9E07-366616C69CEC}" uniqueName="170" name="SDD" queryTableFieldId="17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48861-BC3E-4572-821D-A016E44D63B8}">
  <sheetPr codeName="Sheet1"/>
  <dimension ref="A1:A11"/>
  <sheetViews>
    <sheetView workbookViewId="0">
      <selection activeCell="E22" sqref="E22"/>
    </sheetView>
  </sheetViews>
  <sheetFormatPr defaultRowHeight="14.5" x14ac:dyDescent="0.35"/>
  <sheetData>
    <row r="1" spans="1:1" x14ac:dyDescent="0.35">
      <c r="A1" s="4" t="s">
        <v>91</v>
      </c>
    </row>
    <row r="3" spans="1:1" x14ac:dyDescent="0.35">
      <c r="A3" t="s">
        <v>92</v>
      </c>
    </row>
    <row r="6" spans="1:1" x14ac:dyDescent="0.35">
      <c r="A6" t="s">
        <v>93</v>
      </c>
    </row>
    <row r="7" spans="1:1" x14ac:dyDescent="0.35">
      <c r="A7" t="s">
        <v>94</v>
      </c>
    </row>
    <row r="10" spans="1:1" x14ac:dyDescent="0.35">
      <c r="A10" t="s">
        <v>95</v>
      </c>
    </row>
    <row r="11" spans="1:1" x14ac:dyDescent="0.35">
      <c r="A11" t="s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9C225-A691-4D73-B872-22C0E7AE9C1A}">
  <sheetPr codeName="Sheet2"/>
  <dimension ref="B1:O62"/>
  <sheetViews>
    <sheetView tabSelected="1" zoomScale="85" zoomScaleNormal="85" workbookViewId="0">
      <selection activeCell="Q16" sqref="Q16"/>
    </sheetView>
  </sheetViews>
  <sheetFormatPr defaultRowHeight="14.5" x14ac:dyDescent="0.35"/>
  <cols>
    <col min="2" max="2" width="35.1796875" bestFit="1" customWidth="1"/>
    <col min="3" max="3" width="11.26953125" customWidth="1"/>
    <col min="4" max="5" width="9.453125" customWidth="1"/>
    <col min="6" max="6" width="9.453125" bestFit="1" customWidth="1"/>
  </cols>
  <sheetData>
    <row r="1" spans="2:15" x14ac:dyDescent="0.35">
      <c r="B1" s="1" t="s">
        <v>0</v>
      </c>
      <c r="C1" s="2">
        <f ca="1">TODAY()</f>
        <v>43805</v>
      </c>
      <c r="D1" s="2"/>
      <c r="E1" s="2"/>
      <c r="F1" s="1"/>
      <c r="G1" s="1"/>
      <c r="H1" s="1"/>
      <c r="I1" s="1"/>
      <c r="J1" s="1"/>
      <c r="K1" s="1"/>
      <c r="L1" s="1"/>
      <c r="M1" s="1"/>
      <c r="N1" s="1"/>
    </row>
    <row r="2" spans="2:15" x14ac:dyDescent="0.35">
      <c r="B2" s="1" t="s">
        <v>1</v>
      </c>
      <c r="C2" s="2">
        <f ca="1">C1-1</f>
        <v>43804</v>
      </c>
      <c r="D2" s="2"/>
      <c r="E2" s="2"/>
      <c r="F2" s="1"/>
      <c r="G2" s="1"/>
      <c r="H2" s="1"/>
      <c r="I2" s="1"/>
      <c r="J2" s="1"/>
      <c r="K2" s="1"/>
      <c r="L2" s="1"/>
      <c r="M2" s="1"/>
      <c r="N2" s="1"/>
    </row>
    <row r="3" spans="2:15" x14ac:dyDescent="0.35">
      <c r="B3" s="1" t="s">
        <v>2</v>
      </c>
      <c r="C3" s="1">
        <f ca="1">MONTH(C1)</f>
        <v>12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2:15" ht="15" thickBot="1" x14ac:dyDescent="0.4">
      <c r="B4" s="1"/>
      <c r="C4" s="2"/>
      <c r="D4" s="2"/>
      <c r="E4" s="2"/>
      <c r="F4" s="1"/>
      <c r="G4" s="1"/>
      <c r="H4" s="1"/>
      <c r="I4" s="1"/>
      <c r="J4" s="49" t="str">
        <f>"Goals for Week Ending 12/6/19"</f>
        <v>Goals for Week Ending 12/6/19</v>
      </c>
      <c r="K4" s="50"/>
      <c r="L4" s="50"/>
      <c r="M4" s="50"/>
      <c r="N4" s="50"/>
      <c r="O4" s="50"/>
    </row>
    <row r="5" spans="2:15" ht="29" x14ac:dyDescent="0.35">
      <c r="B5" s="46" t="str">
        <f ca="1">"FA Reporting Package Dashboard"&amp;" "&amp;TEXT(TODAY(),"mm/dd/yyyy")</f>
        <v>FA Reporting Package Dashboard 12/06/2019</v>
      </c>
      <c r="C5" s="47"/>
      <c r="D5" s="47"/>
      <c r="E5" s="47"/>
      <c r="F5" s="47"/>
      <c r="G5" s="48"/>
      <c r="H5" s="3"/>
      <c r="I5" s="4"/>
      <c r="J5" s="5" t="s">
        <v>3333</v>
      </c>
      <c r="K5" s="5" t="s">
        <v>3</v>
      </c>
      <c r="L5" s="5" t="s">
        <v>3334</v>
      </c>
      <c r="M5" s="5" t="s">
        <v>4</v>
      </c>
      <c r="N5" s="45" t="s">
        <v>5</v>
      </c>
      <c r="O5" s="45" t="s">
        <v>6</v>
      </c>
    </row>
    <row r="6" spans="2:15" x14ac:dyDescent="0.35">
      <c r="B6" s="6" t="s">
        <v>7</v>
      </c>
      <c r="C6" s="7" t="s">
        <v>8</v>
      </c>
      <c r="D6" s="7" t="s">
        <v>544</v>
      </c>
      <c r="E6" s="7" t="s">
        <v>3308</v>
      </c>
      <c r="F6" s="7" t="s">
        <v>9</v>
      </c>
      <c r="G6" s="8" t="s">
        <v>10</v>
      </c>
      <c r="H6" s="4"/>
      <c r="I6" s="44" t="s">
        <v>4168</v>
      </c>
      <c r="J6" s="9"/>
      <c r="K6" s="9"/>
      <c r="L6" s="9"/>
      <c r="M6" s="9"/>
      <c r="N6" s="45"/>
      <c r="O6" s="45"/>
    </row>
    <row r="7" spans="2:15" x14ac:dyDescent="0.35">
      <c r="B7" s="10" t="s">
        <v>12</v>
      </c>
      <c r="C7">
        <f>COUNT(Combined!$A:$A)</f>
        <v>485</v>
      </c>
      <c r="D7">
        <f>COUNT(MR!$A:$A)</f>
        <v>223</v>
      </c>
      <c r="E7">
        <f>COUNT(LT!$A:$A)</f>
        <v>262</v>
      </c>
      <c r="G7" s="11"/>
      <c r="I7" s="12"/>
      <c r="J7" s="13"/>
      <c r="K7" s="13"/>
      <c r="L7" s="13"/>
      <c r="M7" s="13"/>
      <c r="N7" s="45"/>
      <c r="O7" s="45"/>
    </row>
    <row r="8" spans="2:15" x14ac:dyDescent="0.35">
      <c r="B8" s="10" t="s">
        <v>13</v>
      </c>
      <c r="C8">
        <f>COUNTIF(Combined!$I:$I,"&gt;0")</f>
        <v>355</v>
      </c>
      <c r="D8">
        <f>COUNTIF(MR!$I:$I,"&gt;0")</f>
        <v>94</v>
      </c>
      <c r="E8">
        <f>COUNTIF(LT!$I:$I,"&gt;0")</f>
        <v>261</v>
      </c>
      <c r="F8" s="14">
        <f>+C8/$C$7</f>
        <v>0.73195876288659789</v>
      </c>
      <c r="G8" s="11"/>
      <c r="I8" s="12"/>
    </row>
    <row r="9" spans="2:15" x14ac:dyDescent="0.35">
      <c r="B9" s="10" t="s">
        <v>14</v>
      </c>
      <c r="C9">
        <f>+C7-C8</f>
        <v>130</v>
      </c>
      <c r="D9">
        <f>+D7-D8</f>
        <v>129</v>
      </c>
      <c r="E9">
        <f>+E7-E8</f>
        <v>1</v>
      </c>
      <c r="F9" s="14">
        <f>+C9/$C$7</f>
        <v>0.26804123711340205</v>
      </c>
      <c r="G9" s="11"/>
    </row>
    <row r="10" spans="2:15" x14ac:dyDescent="0.35">
      <c r="B10" s="10" t="s">
        <v>15</v>
      </c>
      <c r="C10">
        <f>COUNTIF(Combined!$H:$H,"&gt;0")</f>
        <v>100</v>
      </c>
      <c r="D10">
        <f>COUNTIF(MR!$H:$H,"&gt;0")</f>
        <v>45</v>
      </c>
      <c r="E10">
        <f>COUNTIF(LT!$H:$H,"&gt;0")</f>
        <v>55</v>
      </c>
      <c r="F10" s="14">
        <f>+C10/$C$7</f>
        <v>0.20618556701030927</v>
      </c>
      <c r="G10" s="11"/>
      <c r="I10" s="15">
        <v>20</v>
      </c>
      <c r="J10" s="16">
        <v>60</v>
      </c>
      <c r="K10" s="16">
        <v>63</v>
      </c>
      <c r="L10" s="16">
        <v>0</v>
      </c>
      <c r="M10" s="16">
        <v>123</v>
      </c>
      <c r="N10" s="17">
        <f>+(J10+K10-C10)/C10</f>
        <v>0.23</v>
      </c>
      <c r="O10" s="16">
        <f>+M10-C10</f>
        <v>23</v>
      </c>
    </row>
    <row r="11" spans="2:15" x14ac:dyDescent="0.35">
      <c r="B11" s="10" t="s">
        <v>16</v>
      </c>
      <c r="C11">
        <f>+C7-C10</f>
        <v>385</v>
      </c>
      <c r="D11">
        <f>+D7-D10</f>
        <v>178</v>
      </c>
      <c r="E11">
        <f>+E7-E10</f>
        <v>207</v>
      </c>
      <c r="F11" s="14">
        <f>+C11/$C$7</f>
        <v>0.79381443298969068</v>
      </c>
      <c r="G11" s="11"/>
    </row>
    <row r="12" spans="2:15" x14ac:dyDescent="0.35">
      <c r="B12" s="10" t="s">
        <v>17</v>
      </c>
      <c r="C12" s="18">
        <f ca="1">C1-AVERAGE(Combined!$I:$I)</f>
        <v>10.318309859154397</v>
      </c>
      <c r="D12" s="18">
        <f ca="1">C1-AVERAGE(MR!$I:$I)</f>
        <v>18.882978723406268</v>
      </c>
      <c r="E12" s="18">
        <f ca="1">C1-AVERAGE(LT!$I:$I)</f>
        <v>7.233716475093388</v>
      </c>
      <c r="G12" s="11"/>
      <c r="I12" s="12"/>
    </row>
    <row r="13" spans="2:15" x14ac:dyDescent="0.35">
      <c r="B13" s="10" t="s">
        <v>18</v>
      </c>
      <c r="C13" s="18">
        <f>AVERAGE(Combined!$AF:$AF)</f>
        <v>4.3979381443298973</v>
      </c>
      <c r="D13" s="18">
        <f>AVERAGE(MR!$AF:$AF)</f>
        <v>4.6636771300448432</v>
      </c>
      <c r="E13" s="18">
        <f>AVERAGE(LT!$AF:$AF)</f>
        <v>4.1717557251908399</v>
      </c>
      <c r="G13" s="11"/>
    </row>
    <row r="14" spans="2:15" x14ac:dyDescent="0.35">
      <c r="B14" s="10" t="s">
        <v>19</v>
      </c>
      <c r="C14" s="19">
        <f ca="1">COUNTIFS(Combined!$I:$I,$C$2)</f>
        <v>164</v>
      </c>
      <c r="D14" s="19">
        <f ca="1">COUNTIFS(MR!$I:$I,$C$2)</f>
        <v>0</v>
      </c>
      <c r="E14" s="19">
        <f ca="1">COUNTIFS(LT!$I:$I,$C$2)</f>
        <v>164</v>
      </c>
      <c r="F14" s="20">
        <f t="shared" ref="F14:F35" ca="1" si="0">+C14/$C$7</f>
        <v>0.33814432989690724</v>
      </c>
      <c r="G14" s="11"/>
    </row>
    <row r="15" spans="2:15" x14ac:dyDescent="0.35">
      <c r="B15" s="10" t="s">
        <v>20</v>
      </c>
      <c r="C15" s="19">
        <f ca="1">COUNTIFS(Combined!$H:$H,$C$2)</f>
        <v>3</v>
      </c>
      <c r="D15" s="19">
        <f ca="1">COUNTIFS(MR!$H:$H,$C$2)</f>
        <v>0</v>
      </c>
      <c r="E15" s="19">
        <f ca="1">COUNTIFS(LT!$H:$H,$C$2)</f>
        <v>3</v>
      </c>
      <c r="F15" s="20">
        <f t="shared" ca="1" si="0"/>
        <v>6.1855670103092781E-3</v>
      </c>
      <c r="G15" s="11"/>
    </row>
    <row r="16" spans="2:15" x14ac:dyDescent="0.35">
      <c r="B16" s="10" t="s">
        <v>21</v>
      </c>
      <c r="C16" s="19">
        <f ca="1">COUNTIFS(Combined!$I:$I,$C$1)</f>
        <v>0</v>
      </c>
      <c r="D16" s="19">
        <f ca="1">COUNTIFS(MR!$I:$I,$C$1)</f>
        <v>0</v>
      </c>
      <c r="E16" s="19">
        <f ca="1">COUNTIFS(LT!$I:$I,$C$1)</f>
        <v>0</v>
      </c>
      <c r="F16" s="20">
        <f t="shared" ca="1" si="0"/>
        <v>0</v>
      </c>
      <c r="G16" s="11"/>
    </row>
    <row r="17" spans="2:15" x14ac:dyDescent="0.35">
      <c r="B17" s="10" t="s">
        <v>22</v>
      </c>
      <c r="C17" s="19">
        <f ca="1">COUNTIFS(Combined!$H:$H,$C$1)</f>
        <v>0</v>
      </c>
      <c r="D17" s="19">
        <f ca="1">COUNTIFS(MR!$H:$H,$C$1)</f>
        <v>0</v>
      </c>
      <c r="E17" s="19">
        <f ca="1">COUNTIFS(LT!$H:$H,$C$1)</f>
        <v>0</v>
      </c>
      <c r="F17" s="20">
        <f t="shared" ca="1" si="0"/>
        <v>0</v>
      </c>
      <c r="G17" s="11"/>
    </row>
    <row r="18" spans="2:15" x14ac:dyDescent="0.35">
      <c r="B18" s="10" t="s">
        <v>23</v>
      </c>
      <c r="C18">
        <f ca="1">COUNTIFS(Combined!$FN:$FN,$C$3)</f>
        <v>0</v>
      </c>
      <c r="D18">
        <f ca="1">COUNTIFS(MR!$FN:$FN,$C$3)</f>
        <v>0</v>
      </c>
      <c r="E18">
        <f ca="1">COUNTIFS(LT!$FN:$FN,$C$3)</f>
        <v>0</v>
      </c>
      <c r="F18" s="21">
        <f t="shared" ca="1" si="0"/>
        <v>0</v>
      </c>
      <c r="G18" s="11"/>
      <c r="I18" s="12"/>
    </row>
    <row r="19" spans="2:15" x14ac:dyDescent="0.35">
      <c r="B19" s="10" t="s">
        <v>24</v>
      </c>
      <c r="C19">
        <f>COUNTIFS(Combined!$AI:$AI,"&gt;&lt;0")</f>
        <v>110</v>
      </c>
      <c r="D19">
        <f>COUNTIFS(MR!$AI:$AI,"&gt;&lt;0")</f>
        <v>110</v>
      </c>
      <c r="E19">
        <f>COUNTIFS(LT!$AI:$AI,"&gt;&lt;0")</f>
        <v>1</v>
      </c>
      <c r="F19" s="14">
        <f t="shared" si="0"/>
        <v>0.22680412371134021</v>
      </c>
      <c r="G19" s="11"/>
      <c r="I19" s="15">
        <v>20</v>
      </c>
      <c r="J19" s="16">
        <v>120</v>
      </c>
      <c r="K19" s="16">
        <v>107</v>
      </c>
      <c r="L19" s="16">
        <v>0</v>
      </c>
      <c r="M19" s="16">
        <v>226</v>
      </c>
      <c r="N19" s="17">
        <f>+(J19+K19-C19)/C19</f>
        <v>1.0636363636363637</v>
      </c>
      <c r="O19" s="16">
        <f>+M19-C19</f>
        <v>116</v>
      </c>
    </row>
    <row r="20" spans="2:15" x14ac:dyDescent="0.35">
      <c r="B20" s="10" t="s">
        <v>25</v>
      </c>
      <c r="C20">
        <f>COUNTIFS(Combined!$AK:$AK,"Y")</f>
        <v>75</v>
      </c>
      <c r="D20">
        <f>COUNTIFS(MR!$AK:$AK,"Y")</f>
        <v>36</v>
      </c>
      <c r="E20">
        <f>COUNTIFS(LT!$AK:$AK,"Y")</f>
        <v>39</v>
      </c>
      <c r="F20" s="14">
        <f t="shared" si="0"/>
        <v>0.15463917525773196</v>
      </c>
      <c r="G20" s="11"/>
    </row>
    <row r="21" spans="2:15" x14ac:dyDescent="0.35">
      <c r="B21" s="10" t="s">
        <v>26</v>
      </c>
      <c r="C21">
        <f>COUNTIFS(Combined!$AM:$AM,"Y")</f>
        <v>0</v>
      </c>
      <c r="D21">
        <f>COUNTIFS(MR!$AM:$AM,"Y")</f>
        <v>0</v>
      </c>
      <c r="E21">
        <f>COUNTIFS(LT!$AM:$AM,"Y")</f>
        <v>0</v>
      </c>
      <c r="F21" s="14">
        <f t="shared" si="0"/>
        <v>0</v>
      </c>
      <c r="G21" s="11"/>
    </row>
    <row r="22" spans="2:15" x14ac:dyDescent="0.35">
      <c r="B22" s="10" t="s">
        <v>27</v>
      </c>
      <c r="C22">
        <f>COUNTIFS(Combined!$AN:$AN,"&gt;0")</f>
        <v>31</v>
      </c>
      <c r="D22">
        <f>COUNTIFS(MR!$AN:$AN,"&gt;0")</f>
        <v>10</v>
      </c>
      <c r="E22">
        <f>COUNTIFS(LT!$AN:$AN,"&gt;0")</f>
        <v>21</v>
      </c>
      <c r="F22" s="14">
        <f t="shared" si="0"/>
        <v>6.3917525773195871E-2</v>
      </c>
      <c r="G22" s="11"/>
      <c r="I22" s="15">
        <v>10</v>
      </c>
      <c r="J22" s="16">
        <v>19</v>
      </c>
      <c r="K22" s="16">
        <v>29</v>
      </c>
      <c r="L22" s="16">
        <v>0</v>
      </c>
      <c r="M22" s="16">
        <v>48</v>
      </c>
      <c r="N22" s="17">
        <f>+(J22+K22-C22)/C22</f>
        <v>0.54838709677419351</v>
      </c>
      <c r="O22" s="16">
        <f>+M22-C22</f>
        <v>17</v>
      </c>
    </row>
    <row r="23" spans="2:15" x14ac:dyDescent="0.35">
      <c r="B23" s="10" t="s">
        <v>28</v>
      </c>
      <c r="C23">
        <f>COUNTIFS(Combined!$AO:$AO,"&gt;0")</f>
        <v>93</v>
      </c>
      <c r="D23">
        <f>COUNTIFS(MR!$AO:$AO,"&gt;0")</f>
        <v>37</v>
      </c>
      <c r="E23">
        <f>COUNTIFS(LT!$AO:$AO,"&gt;0")</f>
        <v>56</v>
      </c>
      <c r="F23" s="14">
        <f t="shared" si="0"/>
        <v>0.19175257731958764</v>
      </c>
      <c r="G23" s="11"/>
      <c r="I23" s="15">
        <v>15</v>
      </c>
      <c r="J23" s="16">
        <v>46</v>
      </c>
      <c r="K23" s="16">
        <v>59</v>
      </c>
      <c r="L23" s="16">
        <v>0</v>
      </c>
      <c r="M23" s="16">
        <v>61</v>
      </c>
      <c r="N23" s="17">
        <f>+(J23+K23-C23)/C23</f>
        <v>0.12903225806451613</v>
      </c>
      <c r="O23" s="16">
        <f>+M23-C23</f>
        <v>-32</v>
      </c>
    </row>
    <row r="24" spans="2:15" x14ac:dyDescent="0.35">
      <c r="B24" s="10" t="s">
        <v>29</v>
      </c>
      <c r="C24">
        <f>COUNTIFS(Combined!$AP:$AP,"&gt;0")</f>
        <v>36</v>
      </c>
      <c r="D24">
        <f>COUNTIFS(MR!$AP:$AP,"&gt;0")</f>
        <v>16</v>
      </c>
      <c r="E24">
        <f>COUNTIFS(LT!$AP:$AP,"&gt;0")</f>
        <v>20</v>
      </c>
      <c r="F24" s="14">
        <f t="shared" si="0"/>
        <v>7.422680412371134E-2</v>
      </c>
      <c r="G24" s="11"/>
      <c r="I24" s="4" t="s">
        <v>11</v>
      </c>
    </row>
    <row r="25" spans="2:15" x14ac:dyDescent="0.35">
      <c r="B25" s="10" t="s">
        <v>30</v>
      </c>
      <c r="C25">
        <f>COUNTIFS(Combined!$AQ:$AQ,"&gt;0")</f>
        <v>36</v>
      </c>
      <c r="D25">
        <f>COUNTIFS(MR!$AQ:$AQ,"&gt;0")</f>
        <v>16</v>
      </c>
      <c r="E25">
        <f>COUNTIFS(LT!$AQ:$AQ,"&gt;0")</f>
        <v>20</v>
      </c>
      <c r="F25" s="21">
        <f t="shared" si="0"/>
        <v>7.422680412371134E-2</v>
      </c>
      <c r="G25" s="11"/>
      <c r="I25" t="s">
        <v>31</v>
      </c>
    </row>
    <row r="26" spans="2:15" x14ac:dyDescent="0.35">
      <c r="B26" s="10" t="s">
        <v>32</v>
      </c>
      <c r="C26">
        <f>COUNTIFS(Combined!$AR:$AR,"&gt;0")</f>
        <v>0</v>
      </c>
      <c r="D26">
        <f>COUNTIFS(MR!$AR:$AR,"&gt;0")</f>
        <v>0</v>
      </c>
      <c r="E26">
        <f>COUNTIFS(LT!$AR:$AR,"&gt;0")</f>
        <v>0</v>
      </c>
      <c r="F26" s="21">
        <f t="shared" si="0"/>
        <v>0</v>
      </c>
      <c r="G26" s="11"/>
      <c r="I26" t="s">
        <v>33</v>
      </c>
    </row>
    <row r="27" spans="2:15" x14ac:dyDescent="0.35">
      <c r="B27" s="10" t="s">
        <v>34</v>
      </c>
      <c r="C27">
        <f>COUNTIFS(Combined!$AS:$AS,"&gt;0")</f>
        <v>0</v>
      </c>
      <c r="D27">
        <f>COUNTIFS(MR!$AS:$AS,"&gt;0")</f>
        <v>0</v>
      </c>
      <c r="E27">
        <f>COUNTIFS(LT!$AS:$AS,"&gt;0")</f>
        <v>0</v>
      </c>
      <c r="F27" s="21">
        <f t="shared" si="0"/>
        <v>0</v>
      </c>
      <c r="G27" s="11"/>
      <c r="I27" t="s">
        <v>35</v>
      </c>
    </row>
    <row r="28" spans="2:15" x14ac:dyDescent="0.35">
      <c r="B28" s="22" t="s">
        <v>36</v>
      </c>
      <c r="C28">
        <f>COUNTIFS(Combined!$AT:$AT,"&gt;0")</f>
        <v>0</v>
      </c>
      <c r="D28">
        <f>COUNTIFS(MR!$AT:$AT,"&gt;0")</f>
        <v>0</v>
      </c>
      <c r="E28">
        <f>COUNTIFS(LT!$AT:$AT,"&gt;0")</f>
        <v>0</v>
      </c>
      <c r="F28" s="21">
        <f t="shared" si="0"/>
        <v>0</v>
      </c>
      <c r="G28" s="11"/>
      <c r="I28" t="s">
        <v>37</v>
      </c>
    </row>
    <row r="29" spans="2:15" x14ac:dyDescent="0.35">
      <c r="B29" s="22" t="s">
        <v>38</v>
      </c>
      <c r="C29">
        <f>COUNTIFS(Combined!$AU:$AU,"&gt;0")</f>
        <v>0</v>
      </c>
      <c r="D29">
        <f>COUNTIFS(MR!$AU:$AU,"&gt;0")</f>
        <v>0</v>
      </c>
      <c r="E29">
        <f>COUNTIFS(LT!$AU:$AU,"&gt;0")</f>
        <v>0</v>
      </c>
      <c r="F29" s="21">
        <f t="shared" si="0"/>
        <v>0</v>
      </c>
      <c r="G29" s="11"/>
      <c r="I29" t="s">
        <v>39</v>
      </c>
      <c r="N29" s="23"/>
    </row>
    <row r="30" spans="2:15" x14ac:dyDescent="0.35">
      <c r="B30" s="22" t="s">
        <v>40</v>
      </c>
      <c r="C30">
        <f>COUNTIFS(Combined!$AV:$AV,"&gt;0")</f>
        <v>0</v>
      </c>
      <c r="D30">
        <f>COUNTIFS(MR!$AV:$AV,"&gt;0")</f>
        <v>0</v>
      </c>
      <c r="E30">
        <f>COUNTIFS(LT!$AV:$AV,"&gt;0")</f>
        <v>0</v>
      </c>
      <c r="F30" s="21">
        <f t="shared" si="0"/>
        <v>0</v>
      </c>
      <c r="G30" s="11"/>
      <c r="I30" t="s">
        <v>41</v>
      </c>
      <c r="N30" s="23"/>
    </row>
    <row r="31" spans="2:15" x14ac:dyDescent="0.35">
      <c r="B31" s="22" t="s">
        <v>42</v>
      </c>
      <c r="C31">
        <f>COUNTIFS(Combined!$AW:$AW,"&gt;0")</f>
        <v>0</v>
      </c>
      <c r="D31">
        <f>COUNTIFS(MR!$AW:$AW,"&gt;0")</f>
        <v>0</v>
      </c>
      <c r="E31">
        <f>COUNTIFS(LT!$AW:$AW,"&gt;0")</f>
        <v>0</v>
      </c>
      <c r="F31" s="21">
        <f t="shared" si="0"/>
        <v>0</v>
      </c>
      <c r="G31" s="11"/>
      <c r="I31" t="s">
        <v>43</v>
      </c>
      <c r="N31" s="23"/>
    </row>
    <row r="32" spans="2:15" x14ac:dyDescent="0.35">
      <c r="B32" s="22" t="s">
        <v>44</v>
      </c>
      <c r="C32">
        <f>COUNTIFS(Combined!$AX:$AX,"&gt;0")</f>
        <v>0</v>
      </c>
      <c r="D32">
        <f>COUNTIFS(MR!$AX:$AX,"&gt;0")</f>
        <v>0</v>
      </c>
      <c r="E32">
        <f>COUNTIFS(LT!$AX:$AX,"&gt;0")</f>
        <v>0</v>
      </c>
      <c r="F32" s="21">
        <f t="shared" si="0"/>
        <v>0</v>
      </c>
      <c r="G32" s="11"/>
      <c r="I32" t="s">
        <v>45</v>
      </c>
      <c r="N32" s="23"/>
    </row>
    <row r="33" spans="2:14" x14ac:dyDescent="0.35">
      <c r="B33" s="10" t="s">
        <v>46</v>
      </c>
      <c r="C33">
        <f>COUNTIFS(Combined!$AY:$AY,"&gt;0")</f>
        <v>0</v>
      </c>
      <c r="D33">
        <f>COUNTIFS(MR!$AY:$AY,"&gt;0")</f>
        <v>0</v>
      </c>
      <c r="E33">
        <f>COUNTIFS(LT!$AY:$AY,"&gt;0")</f>
        <v>0</v>
      </c>
      <c r="F33" s="21">
        <f t="shared" si="0"/>
        <v>0</v>
      </c>
      <c r="G33" s="11"/>
      <c r="I33" t="s">
        <v>47</v>
      </c>
      <c r="N33" s="23"/>
    </row>
    <row r="34" spans="2:14" x14ac:dyDescent="0.35">
      <c r="B34" s="10" t="s">
        <v>48</v>
      </c>
      <c r="C34">
        <f>COUNTIFS(Combined!$BJ:$BJ,"=1")</f>
        <v>0</v>
      </c>
      <c r="D34">
        <f>COUNTIFS(MR!$BJ:$BJ,"=1")</f>
        <v>0</v>
      </c>
      <c r="E34">
        <f>COUNTIFS(LT!$BJ:$BJ,"=1")</f>
        <v>0</v>
      </c>
      <c r="F34" s="21">
        <f t="shared" si="0"/>
        <v>0</v>
      </c>
      <c r="G34" s="11"/>
      <c r="N34" s="23"/>
    </row>
    <row r="35" spans="2:14" x14ac:dyDescent="0.35">
      <c r="B35" s="10" t="s">
        <v>49</v>
      </c>
      <c r="C35">
        <f>COUNTIF(Combined!$BJ:$BJ,"&gt;0")</f>
        <v>103</v>
      </c>
      <c r="D35">
        <f>COUNTIF(MR!$BJ:$BJ,"&gt;0")</f>
        <v>40</v>
      </c>
      <c r="E35">
        <f>COUNTIF(LT!$BJ:$BJ,"&gt;0")</f>
        <v>63</v>
      </c>
      <c r="F35" s="21">
        <f t="shared" si="0"/>
        <v>0.21237113402061855</v>
      </c>
      <c r="G35" s="11"/>
      <c r="N35" s="23"/>
    </row>
    <row r="36" spans="2:14" x14ac:dyDescent="0.35">
      <c r="B36" s="10" t="s">
        <v>50</v>
      </c>
      <c r="C36" s="24">
        <f>AVERAGEIF(Combined!$BJ:$BJ,"&gt;0")</f>
        <v>0.13343501430846411</v>
      </c>
      <c r="D36" s="24">
        <f>AVERAGEIF(MR!$BJ:$BJ,"&gt;0")</f>
        <v>0.12322570332480817</v>
      </c>
      <c r="E36" s="24">
        <f>AVERAGEIF(LT!$BJ:$BJ,"&gt;0")</f>
        <v>0.13991711652030925</v>
      </c>
      <c r="F36" s="21"/>
      <c r="G36" s="11"/>
      <c r="N36" s="23"/>
    </row>
    <row r="37" spans="2:14" ht="15" thickBot="1" x14ac:dyDescent="0.4">
      <c r="B37" s="25" t="s">
        <v>51</v>
      </c>
      <c r="C37" s="26">
        <f ca="1">(($F$37-($C$2-1))/7)+1</f>
        <v>44</v>
      </c>
      <c r="D37" s="26">
        <f ca="1">(($F$37-($C$2-1))/7)+1</f>
        <v>44</v>
      </c>
      <c r="E37" s="26">
        <f ca="1">(($F$37-($C$2-1))/7)+1</f>
        <v>44</v>
      </c>
      <c r="F37" s="27">
        <v>44104</v>
      </c>
      <c r="G37" s="28"/>
    </row>
    <row r="41" spans="2:14" ht="15" thickBot="1" x14ac:dyDescent="0.4"/>
    <row r="42" spans="2:14" ht="15" thickBot="1" x14ac:dyDescent="0.4">
      <c r="B42" s="29" t="s">
        <v>52</v>
      </c>
      <c r="C42" s="30">
        <v>0.1</v>
      </c>
      <c r="D42" s="30"/>
      <c r="E42" s="30"/>
      <c r="F42" s="31">
        <f>+C42/0.7</f>
        <v>0.14285714285714288</v>
      </c>
    </row>
    <row r="43" spans="2:14" x14ac:dyDescent="0.35">
      <c r="B43" s="32" t="s">
        <v>24</v>
      </c>
      <c r="C43" s="11"/>
      <c r="D43" s="11"/>
      <c r="E43" s="11"/>
      <c r="F43" s="33"/>
    </row>
    <row r="44" spans="2:14" x14ac:dyDescent="0.35">
      <c r="B44" s="32" t="s">
        <v>27</v>
      </c>
      <c r="C44" s="11"/>
      <c r="D44" s="11"/>
      <c r="E44" s="11"/>
      <c r="F44" s="33"/>
    </row>
    <row r="45" spans="2:14" x14ac:dyDescent="0.35">
      <c r="B45" s="32" t="s">
        <v>53</v>
      </c>
      <c r="C45" s="11"/>
      <c r="D45" s="11"/>
      <c r="E45" s="11"/>
      <c r="F45" s="33"/>
    </row>
    <row r="46" spans="2:14" x14ac:dyDescent="0.35">
      <c r="B46" s="32" t="s">
        <v>54</v>
      </c>
      <c r="C46" s="11"/>
      <c r="D46" s="11"/>
      <c r="E46" s="11"/>
      <c r="F46" s="33"/>
    </row>
    <row r="47" spans="2:14" ht="15" thickBot="1" x14ac:dyDescent="0.4">
      <c r="B47" s="10"/>
      <c r="C47" s="11"/>
      <c r="D47" s="11"/>
      <c r="E47" s="11"/>
      <c r="F47" s="33"/>
    </row>
    <row r="48" spans="2:14" ht="15" thickBot="1" x14ac:dyDescent="0.4">
      <c r="B48" s="29" t="s">
        <v>55</v>
      </c>
      <c r="C48" s="30">
        <v>0.05</v>
      </c>
      <c r="D48" s="30"/>
      <c r="E48" s="30"/>
      <c r="F48" s="31">
        <f>+C48/0.7</f>
        <v>7.1428571428571438E-2</v>
      </c>
    </row>
    <row r="49" spans="2:6" x14ac:dyDescent="0.35">
      <c r="B49" s="32" t="s">
        <v>29</v>
      </c>
      <c r="C49" s="11"/>
      <c r="D49" s="11"/>
      <c r="E49" s="11"/>
      <c r="F49" s="33"/>
    </row>
    <row r="50" spans="2:6" x14ac:dyDescent="0.35">
      <c r="B50" s="32" t="s">
        <v>30</v>
      </c>
      <c r="C50" s="11"/>
      <c r="D50" s="11"/>
      <c r="E50" s="11"/>
      <c r="F50" s="33"/>
    </row>
    <row r="51" spans="2:6" ht="15" thickBot="1" x14ac:dyDescent="0.4">
      <c r="B51" s="10"/>
      <c r="C51" s="11"/>
      <c r="D51" s="11"/>
      <c r="E51" s="11"/>
      <c r="F51" s="33"/>
    </row>
    <row r="52" spans="2:6" ht="15" thickBot="1" x14ac:dyDescent="0.4">
      <c r="B52" s="29" t="s">
        <v>56</v>
      </c>
      <c r="C52" s="30">
        <f>30%</f>
        <v>0.3</v>
      </c>
      <c r="D52" s="30"/>
      <c r="E52" s="30"/>
      <c r="F52" s="31">
        <v>0</v>
      </c>
    </row>
    <row r="53" spans="2:6" x14ac:dyDescent="0.35">
      <c r="B53" s="32" t="s">
        <v>57</v>
      </c>
      <c r="C53" s="11"/>
      <c r="D53" s="11"/>
      <c r="E53" s="11"/>
      <c r="F53" s="33"/>
    </row>
    <row r="54" spans="2:6" ht="15" thickBot="1" x14ac:dyDescent="0.4">
      <c r="B54" s="10"/>
      <c r="C54" s="11"/>
      <c r="D54" s="11"/>
      <c r="E54" s="11"/>
      <c r="F54" s="33"/>
    </row>
    <row r="55" spans="2:6" ht="15" thickBot="1" x14ac:dyDescent="0.4">
      <c r="B55" s="29" t="s">
        <v>58</v>
      </c>
      <c r="C55" s="30">
        <v>0.4</v>
      </c>
      <c r="D55" s="30"/>
      <c r="E55" s="30"/>
      <c r="F55" s="31">
        <f>+C55/0.7</f>
        <v>0.57142857142857151</v>
      </c>
    </row>
    <row r="56" spans="2:6" x14ac:dyDescent="0.35">
      <c r="B56" s="10" t="s">
        <v>41</v>
      </c>
      <c r="C56" s="11"/>
      <c r="D56" s="11"/>
      <c r="E56" s="11"/>
      <c r="F56" s="33"/>
    </row>
    <row r="57" spans="2:6" ht="15" thickBot="1" x14ac:dyDescent="0.4">
      <c r="B57" s="10"/>
      <c r="C57" s="11"/>
      <c r="D57" s="11"/>
      <c r="E57" s="11"/>
      <c r="F57" s="33"/>
    </row>
    <row r="58" spans="2:6" ht="15" thickBot="1" x14ac:dyDescent="0.4">
      <c r="B58" s="29" t="s">
        <v>59</v>
      </c>
      <c r="C58" s="34">
        <v>0.15</v>
      </c>
      <c r="D58" s="34"/>
      <c r="E58" s="34"/>
      <c r="F58" s="31">
        <f>+C58/0.7</f>
        <v>0.2142857142857143</v>
      </c>
    </row>
    <row r="59" spans="2:6" x14ac:dyDescent="0.35">
      <c r="B59" s="32" t="s">
        <v>32</v>
      </c>
      <c r="C59" s="11"/>
      <c r="D59" s="11"/>
      <c r="E59" s="11"/>
      <c r="F59" s="35"/>
    </row>
    <row r="60" spans="2:6" x14ac:dyDescent="0.35">
      <c r="B60" s="32" t="s">
        <v>34</v>
      </c>
      <c r="C60" s="11"/>
      <c r="D60" s="11"/>
      <c r="E60" s="11"/>
      <c r="F60" s="35"/>
    </row>
    <row r="61" spans="2:6" x14ac:dyDescent="0.35">
      <c r="B61" s="32" t="s">
        <v>60</v>
      </c>
      <c r="C61" s="11"/>
      <c r="D61" s="11"/>
      <c r="E61" s="11"/>
      <c r="F61" s="35"/>
    </row>
    <row r="62" spans="2:6" ht="15" thickBot="1" x14ac:dyDescent="0.4">
      <c r="B62" s="36" t="s">
        <v>61</v>
      </c>
      <c r="C62" s="28"/>
      <c r="D62" s="28"/>
      <c r="E62" s="28"/>
      <c r="F62" s="37"/>
    </row>
  </sheetData>
  <mergeCells count="4">
    <mergeCell ref="N5:N7"/>
    <mergeCell ref="B5:G5"/>
    <mergeCell ref="O5:O7"/>
    <mergeCell ref="J4:O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0C7E9-60B3-4FA7-8913-5B58A1DBB6F5}">
  <sheetPr codeName="Sheet5"/>
  <dimension ref="A1:AY499"/>
  <sheetViews>
    <sheetView zoomScale="85" zoomScaleNormal="85" workbookViewId="0">
      <pane xSplit="1" ySplit="1" topLeftCell="B221" activePane="bottomRight" state="frozen"/>
      <selection activeCell="A121" sqref="A121:AD121"/>
      <selection pane="topRight" activeCell="A121" sqref="A121:AD121"/>
      <selection pane="bottomLeft" activeCell="A121" sqref="A121:AD121"/>
      <selection pane="bottomRight" activeCell="A248" sqref="A248:AD248"/>
    </sheetView>
  </sheetViews>
  <sheetFormatPr defaultRowHeight="14.5" x14ac:dyDescent="0.35"/>
  <cols>
    <col min="1" max="1" width="11" bestFit="1" customWidth="1"/>
    <col min="2" max="2" width="7" bestFit="1" customWidth="1"/>
    <col min="3" max="3" width="9" bestFit="1" customWidth="1"/>
    <col min="5" max="5" width="9" bestFit="1" customWidth="1"/>
    <col min="7" max="8" width="12" bestFit="1" customWidth="1"/>
    <col min="9" max="9" width="8.54296875" bestFit="1" customWidth="1"/>
    <col min="10" max="10" width="9" bestFit="1" customWidth="1"/>
    <col min="11" max="11" width="8.1796875" bestFit="1" customWidth="1"/>
    <col min="12" max="12" width="9" bestFit="1" customWidth="1"/>
    <col min="13" max="13" width="8.1796875" bestFit="1" customWidth="1"/>
    <col min="14" max="14" width="5.54296875" bestFit="1" customWidth="1"/>
    <col min="15" max="15" width="6.54296875" bestFit="1" customWidth="1"/>
    <col min="16" max="16" width="7.54296875" bestFit="1" customWidth="1"/>
    <col min="17" max="17" width="8.26953125" bestFit="1" customWidth="1"/>
    <col min="19" max="19" width="5.81640625" bestFit="1" customWidth="1"/>
    <col min="20" max="20" width="7.1796875" bestFit="1" customWidth="1"/>
    <col min="21" max="21" width="16.54296875" bestFit="1" customWidth="1"/>
    <col min="22" max="22" width="9" bestFit="1" customWidth="1"/>
    <col min="23" max="23" width="7.26953125" bestFit="1" customWidth="1"/>
    <col min="24" max="24" width="7.1796875" bestFit="1" customWidth="1"/>
    <col min="25" max="25" width="8.81640625" bestFit="1" customWidth="1"/>
    <col min="26" max="26" width="9" bestFit="1" customWidth="1"/>
    <col min="27" max="27" width="8.81640625" bestFit="1" customWidth="1"/>
    <col min="28" max="28" width="7.81640625" bestFit="1" customWidth="1"/>
    <col min="29" max="29" width="10.81640625" customWidth="1"/>
    <col min="30" max="30" width="12" bestFit="1" customWidth="1"/>
    <col min="31" max="31" width="12.26953125" bestFit="1" customWidth="1"/>
  </cols>
  <sheetData>
    <row r="1" spans="1:51" ht="72.5" x14ac:dyDescent="0.35">
      <c r="A1" s="41" t="s">
        <v>90</v>
      </c>
      <c r="B1" s="41" t="s">
        <v>12</v>
      </c>
      <c r="C1" s="41" t="s">
        <v>13</v>
      </c>
      <c r="D1" s="41" t="s">
        <v>14</v>
      </c>
      <c r="E1" s="41" t="s">
        <v>15</v>
      </c>
      <c r="F1" s="41" t="s">
        <v>16</v>
      </c>
      <c r="G1" s="41" t="s">
        <v>17</v>
      </c>
      <c r="H1" s="41" t="s">
        <v>18</v>
      </c>
      <c r="I1" s="41" t="s">
        <v>89</v>
      </c>
      <c r="J1" s="41" t="s">
        <v>88</v>
      </c>
      <c r="K1" s="41" t="s">
        <v>87</v>
      </c>
      <c r="L1" s="41" t="s">
        <v>86</v>
      </c>
      <c r="M1" s="41" t="s">
        <v>85</v>
      </c>
      <c r="N1" s="41" t="s">
        <v>24</v>
      </c>
      <c r="O1" s="41" t="s">
        <v>25</v>
      </c>
      <c r="P1" s="41" t="s">
        <v>26</v>
      </c>
      <c r="Q1" s="41" t="s">
        <v>27</v>
      </c>
      <c r="R1" s="41" t="s">
        <v>28</v>
      </c>
      <c r="S1" s="41" t="s">
        <v>29</v>
      </c>
      <c r="T1" s="41" t="s">
        <v>31</v>
      </c>
      <c r="U1" s="41" t="s">
        <v>33</v>
      </c>
      <c r="V1" s="41" t="s">
        <v>35</v>
      </c>
      <c r="W1" s="41" t="s">
        <v>37</v>
      </c>
      <c r="X1" s="41" t="s">
        <v>84</v>
      </c>
      <c r="Y1" s="41" t="s">
        <v>41</v>
      </c>
      <c r="Z1" s="41" t="s">
        <v>83</v>
      </c>
      <c r="AA1" s="41" t="s">
        <v>82</v>
      </c>
      <c r="AB1" s="41" t="s">
        <v>81</v>
      </c>
      <c r="AC1" s="41" t="s">
        <v>49</v>
      </c>
      <c r="AD1" s="41" t="s">
        <v>50</v>
      </c>
      <c r="AE1" s="41" t="s">
        <v>80</v>
      </c>
      <c r="AF1" s="41" t="s">
        <v>79</v>
      </c>
      <c r="AG1" s="41" t="s">
        <v>78</v>
      </c>
      <c r="AH1" s="41" t="s">
        <v>77</v>
      </c>
      <c r="AI1" s="41" t="s">
        <v>76</v>
      </c>
      <c r="AJ1" s="41" t="s">
        <v>75</v>
      </c>
      <c r="AK1" s="41" t="s">
        <v>74</v>
      </c>
      <c r="AL1" s="41" t="s">
        <v>73</v>
      </c>
      <c r="AM1" s="41" t="s">
        <v>72</v>
      </c>
      <c r="AN1" s="41" t="s">
        <v>71</v>
      </c>
      <c r="AO1" s="41" t="s">
        <v>70</v>
      </c>
      <c r="AP1" s="41" t="s">
        <v>69</v>
      </c>
      <c r="AQ1" s="41" t="s">
        <v>68</v>
      </c>
      <c r="AR1" s="41" t="s">
        <v>67</v>
      </c>
      <c r="AS1" s="41" t="s">
        <v>66</v>
      </c>
      <c r="AT1" s="41" t="s">
        <v>65</v>
      </c>
      <c r="AU1" s="41" t="s">
        <v>64</v>
      </c>
      <c r="AV1" s="41" t="s">
        <v>63</v>
      </c>
      <c r="AW1" s="41" t="s">
        <v>62</v>
      </c>
    </row>
    <row r="2" spans="1:51" x14ac:dyDescent="0.35">
      <c r="A2" s="23">
        <v>43550</v>
      </c>
      <c r="B2">
        <v>597</v>
      </c>
      <c r="C2">
        <v>562</v>
      </c>
      <c r="D2">
        <v>35</v>
      </c>
      <c r="E2">
        <v>368</v>
      </c>
      <c r="F2">
        <v>229</v>
      </c>
      <c r="G2">
        <v>16.099644128116779</v>
      </c>
      <c r="H2" s="40">
        <v>4.4388609715242877</v>
      </c>
      <c r="I2">
        <v>25</v>
      </c>
      <c r="J2">
        <v>3</v>
      </c>
      <c r="K2">
        <v>0</v>
      </c>
      <c r="L2">
        <v>0</v>
      </c>
      <c r="M2">
        <v>479</v>
      </c>
      <c r="N2">
        <v>423</v>
      </c>
      <c r="O2">
        <v>120</v>
      </c>
      <c r="P2">
        <v>181</v>
      </c>
      <c r="Q2">
        <v>180</v>
      </c>
      <c r="R2">
        <v>278</v>
      </c>
      <c r="S2">
        <v>128</v>
      </c>
      <c r="T2">
        <v>119</v>
      </c>
      <c r="U2">
        <v>0</v>
      </c>
      <c r="V2">
        <v>0</v>
      </c>
      <c r="W2">
        <v>1</v>
      </c>
      <c r="X2">
        <v>2</v>
      </c>
      <c r="Y2">
        <v>0</v>
      </c>
      <c r="Z2">
        <v>0</v>
      </c>
      <c r="AA2">
        <v>0</v>
      </c>
      <c r="AB2">
        <v>1</v>
      </c>
      <c r="AC2">
        <v>292</v>
      </c>
      <c r="AD2" s="38">
        <v>0.21964264518966797</v>
      </c>
      <c r="AE2">
        <f t="shared" ref="AE2:AE33" si="0">WEEKNUM(A2)</f>
        <v>13</v>
      </c>
      <c r="AF2" s="24">
        <f>IFERROR(Q2/$R2,"")</f>
        <v>0.64748201438848918</v>
      </c>
      <c r="AG2" s="38">
        <f>+'[1]FA Report'!$D$42</f>
        <v>0.14285714285714288</v>
      </c>
      <c r="AH2" s="24">
        <f t="shared" ref="AH2:AH33" si="1">IFERROR(+AF2*AG2,"")</f>
        <v>9.2497430626927044E-2</v>
      </c>
      <c r="AI2" s="24">
        <f t="shared" ref="AI2:AI33" si="2">IFERROR(T2/$R2,"")</f>
        <v>0.42805755395683454</v>
      </c>
      <c r="AJ2" s="38">
        <f>+'[1]FA Report'!$D$48</f>
        <v>7.1428571428571438E-2</v>
      </c>
      <c r="AK2" s="24">
        <f t="shared" ref="AK2:AK33" si="3">IFERROR(+AI2*AJ2,"")</f>
        <v>3.0575539568345328E-2</v>
      </c>
      <c r="AL2" s="24">
        <f t="shared" ref="AL2:AL33" si="4">IFERROR(+Z2/R2,"")</f>
        <v>0</v>
      </c>
      <c r="AM2" s="38">
        <f>+'[1]FA Report'!$C$55</f>
        <v>0.4</v>
      </c>
      <c r="AN2" s="24">
        <f t="shared" ref="AN2:AN33" si="5">IFERROR(+AL2*AM2,"")</f>
        <v>0</v>
      </c>
      <c r="AO2" s="24">
        <f t="shared" ref="AO2:AO33" si="6">IFERROR(V2/$R2,"")</f>
        <v>0</v>
      </c>
      <c r="AP2" s="38">
        <f>+'[1]FA Report'!$D$58</f>
        <v>0.2142857142857143</v>
      </c>
      <c r="AQ2" s="24">
        <f t="shared" ref="AQ2:AQ33" si="7">IFERROR(+AO2*AP2,"")</f>
        <v>0</v>
      </c>
      <c r="AR2" s="24">
        <f t="shared" ref="AR2:AR33" si="8">IFERROR(O2/$B2,"")</f>
        <v>0.20100502512562815</v>
      </c>
      <c r="AS2" s="38">
        <f>+'[1]FA Report'!$C$52</f>
        <v>0.3</v>
      </c>
      <c r="AT2" s="24">
        <f t="shared" ref="AT2:AT33" si="9">IFERROR(-AR2*AS2,"")</f>
        <v>-6.030150753768844E-2</v>
      </c>
      <c r="AU2" s="38">
        <f t="shared" ref="AU2:AU33" si="10">IFERROR(+AH2+AK2+AN2+AQ2+AT2,"")</f>
        <v>6.2771462657583932E-2</v>
      </c>
      <c r="AV2" s="38">
        <v>0.06</v>
      </c>
      <c r="AW2">
        <v>0</v>
      </c>
    </row>
    <row r="3" spans="1:51" x14ac:dyDescent="0.35">
      <c r="A3" s="23">
        <v>43551</v>
      </c>
      <c r="B3">
        <v>592</v>
      </c>
      <c r="C3">
        <v>569</v>
      </c>
      <c r="D3">
        <v>23</v>
      </c>
      <c r="E3">
        <v>370</v>
      </c>
      <c r="F3">
        <v>222</v>
      </c>
      <c r="G3">
        <v>15.100175746927562</v>
      </c>
      <c r="H3">
        <v>4.4358108108108105</v>
      </c>
      <c r="I3">
        <v>51</v>
      </c>
      <c r="J3">
        <v>5</v>
      </c>
      <c r="K3">
        <v>0</v>
      </c>
      <c r="L3">
        <v>0</v>
      </c>
      <c r="M3">
        <v>508</v>
      </c>
      <c r="N3">
        <v>421</v>
      </c>
      <c r="O3">
        <v>120</v>
      </c>
      <c r="P3">
        <v>184</v>
      </c>
      <c r="Q3">
        <v>183</v>
      </c>
      <c r="R3">
        <v>281</v>
      </c>
      <c r="S3">
        <v>132</v>
      </c>
      <c r="T3">
        <v>122</v>
      </c>
      <c r="U3">
        <v>1</v>
      </c>
      <c r="V3">
        <v>1</v>
      </c>
      <c r="W3">
        <v>1</v>
      </c>
      <c r="X3">
        <v>2</v>
      </c>
      <c r="Y3">
        <v>0</v>
      </c>
      <c r="Z3">
        <v>0</v>
      </c>
      <c r="AA3">
        <v>0</v>
      </c>
      <c r="AB3">
        <v>1</v>
      </c>
      <c r="AC3">
        <v>294</v>
      </c>
      <c r="AD3" s="38">
        <v>0.22374310272917158</v>
      </c>
      <c r="AE3">
        <f t="shared" si="0"/>
        <v>13</v>
      </c>
      <c r="AF3" s="24">
        <f t="shared" ref="AF3:AF34" si="11">IFERROR(Q3/R3,"")</f>
        <v>0.6512455516014235</v>
      </c>
      <c r="AG3" s="38">
        <f>+'[1]FA Report'!$D$42</f>
        <v>0.14285714285714288</v>
      </c>
      <c r="AH3" s="24">
        <f t="shared" si="1"/>
        <v>9.3035078800203369E-2</v>
      </c>
      <c r="AI3" s="24">
        <f t="shared" si="2"/>
        <v>0.43416370106761565</v>
      </c>
      <c r="AJ3" s="38">
        <f>+'[1]FA Report'!$D$48</f>
        <v>7.1428571428571438E-2</v>
      </c>
      <c r="AK3" s="24">
        <f t="shared" si="3"/>
        <v>3.1011692933401121E-2</v>
      </c>
      <c r="AL3" s="24">
        <f t="shared" si="4"/>
        <v>0</v>
      </c>
      <c r="AM3" s="38">
        <f>+'[1]FA Report'!$C$55</f>
        <v>0.4</v>
      </c>
      <c r="AN3" s="24">
        <f t="shared" si="5"/>
        <v>0</v>
      </c>
      <c r="AO3" s="24">
        <f t="shared" si="6"/>
        <v>3.5587188612099642E-3</v>
      </c>
      <c r="AP3" s="38">
        <f>+'[1]FA Report'!$D$58</f>
        <v>0.2142857142857143</v>
      </c>
      <c r="AQ3" s="24">
        <f t="shared" si="7"/>
        <v>7.6258261311642095E-4</v>
      </c>
      <c r="AR3" s="24">
        <f t="shared" si="8"/>
        <v>0.20270270270270271</v>
      </c>
      <c r="AS3" s="38">
        <f>+'[1]FA Report'!$C$52</f>
        <v>0.3</v>
      </c>
      <c r="AT3" s="24">
        <f t="shared" si="9"/>
        <v>-6.0810810810810814E-2</v>
      </c>
      <c r="AU3" s="38">
        <f t="shared" si="10"/>
        <v>6.3998543535910085E-2</v>
      </c>
      <c r="AV3" s="38">
        <v>0.06</v>
      </c>
      <c r="AW3">
        <v>0</v>
      </c>
      <c r="AX3" s="38"/>
    </row>
    <row r="4" spans="1:51" x14ac:dyDescent="0.35">
      <c r="A4" s="23">
        <v>43552</v>
      </c>
      <c r="B4">
        <v>589</v>
      </c>
      <c r="C4">
        <v>568</v>
      </c>
      <c r="D4">
        <v>21</v>
      </c>
      <c r="E4">
        <v>372</v>
      </c>
      <c r="F4">
        <v>217</v>
      </c>
      <c r="G4">
        <v>13.950704225353547</v>
      </c>
      <c r="H4">
        <v>4.4397283531409171</v>
      </c>
      <c r="I4">
        <v>53</v>
      </c>
      <c r="J4">
        <v>4</v>
      </c>
      <c r="K4">
        <v>0</v>
      </c>
      <c r="L4">
        <v>0</v>
      </c>
      <c r="M4">
        <v>520</v>
      </c>
      <c r="N4">
        <v>426</v>
      </c>
      <c r="O4">
        <v>121</v>
      </c>
      <c r="P4">
        <v>186</v>
      </c>
      <c r="Q4">
        <v>185</v>
      </c>
      <c r="R4">
        <v>281</v>
      </c>
      <c r="S4">
        <v>133</v>
      </c>
      <c r="T4">
        <v>122</v>
      </c>
      <c r="U4">
        <v>1</v>
      </c>
      <c r="V4">
        <v>1</v>
      </c>
      <c r="W4">
        <v>1</v>
      </c>
      <c r="X4">
        <v>2</v>
      </c>
      <c r="Y4">
        <v>0</v>
      </c>
      <c r="Z4">
        <v>0</v>
      </c>
      <c r="AA4">
        <v>0</v>
      </c>
      <c r="AB4">
        <v>1</v>
      </c>
      <c r="AC4">
        <v>294</v>
      </c>
      <c r="AD4" s="38">
        <v>0.22558981238841117</v>
      </c>
      <c r="AE4">
        <f t="shared" si="0"/>
        <v>13</v>
      </c>
      <c r="AF4" s="24">
        <f t="shared" si="11"/>
        <v>0.65836298932384341</v>
      </c>
      <c r="AG4" s="38">
        <f>+'[1]FA Report'!$D$42</f>
        <v>0.14285714285714288</v>
      </c>
      <c r="AH4" s="24">
        <f t="shared" si="1"/>
        <v>9.4051855617691929E-2</v>
      </c>
      <c r="AI4" s="24">
        <f t="shared" si="2"/>
        <v>0.43416370106761565</v>
      </c>
      <c r="AJ4" s="38">
        <f>+'[1]FA Report'!$D$48</f>
        <v>7.1428571428571438E-2</v>
      </c>
      <c r="AK4" s="24">
        <f t="shared" si="3"/>
        <v>3.1011692933401121E-2</v>
      </c>
      <c r="AL4" s="24">
        <f t="shared" si="4"/>
        <v>0</v>
      </c>
      <c r="AM4" s="38">
        <f>+'[1]FA Report'!$C$55</f>
        <v>0.4</v>
      </c>
      <c r="AN4" s="24">
        <f t="shared" si="5"/>
        <v>0</v>
      </c>
      <c r="AO4" s="24">
        <f t="shared" si="6"/>
        <v>3.5587188612099642E-3</v>
      </c>
      <c r="AP4" s="38">
        <f>+'[1]FA Report'!$D$58</f>
        <v>0.2142857142857143</v>
      </c>
      <c r="AQ4" s="24">
        <f t="shared" si="7"/>
        <v>7.6258261311642095E-4</v>
      </c>
      <c r="AR4" s="24">
        <f t="shared" si="8"/>
        <v>0.20543293718166383</v>
      </c>
      <c r="AS4" s="38">
        <f>+'[1]FA Report'!$C$52</f>
        <v>0.3</v>
      </c>
      <c r="AT4" s="24">
        <f t="shared" si="9"/>
        <v>-6.1629881154499147E-2</v>
      </c>
      <c r="AU4" s="38">
        <f t="shared" si="10"/>
        <v>6.419625000971034E-2</v>
      </c>
      <c r="AV4" s="38">
        <v>0.06</v>
      </c>
      <c r="AW4">
        <v>0</v>
      </c>
      <c r="AY4" s="39"/>
    </row>
    <row r="5" spans="1:51" x14ac:dyDescent="0.35">
      <c r="A5" s="23">
        <v>43553</v>
      </c>
      <c r="B5">
        <v>581</v>
      </c>
      <c r="C5">
        <v>554</v>
      </c>
      <c r="D5">
        <v>27</v>
      </c>
      <c r="E5">
        <v>366</v>
      </c>
      <c r="F5">
        <v>215</v>
      </c>
      <c r="G5">
        <v>14.368231046930305</v>
      </c>
      <c r="H5">
        <v>4.4406196213425133</v>
      </c>
      <c r="I5">
        <v>0</v>
      </c>
      <c r="J5">
        <v>0</v>
      </c>
      <c r="K5">
        <v>3</v>
      </c>
      <c r="L5">
        <v>2</v>
      </c>
      <c r="M5">
        <v>510</v>
      </c>
      <c r="N5">
        <v>427</v>
      </c>
      <c r="O5">
        <v>123</v>
      </c>
      <c r="P5">
        <v>187</v>
      </c>
      <c r="Q5">
        <v>186</v>
      </c>
      <c r="R5">
        <v>278</v>
      </c>
      <c r="S5">
        <v>133</v>
      </c>
      <c r="T5">
        <v>121</v>
      </c>
      <c r="U5">
        <v>1</v>
      </c>
      <c r="V5">
        <v>1</v>
      </c>
      <c r="W5">
        <v>1</v>
      </c>
      <c r="X5">
        <v>2</v>
      </c>
      <c r="Y5">
        <v>0</v>
      </c>
      <c r="Z5">
        <v>0</v>
      </c>
      <c r="AA5">
        <v>0</v>
      </c>
      <c r="AB5">
        <v>1</v>
      </c>
      <c r="AC5">
        <v>291</v>
      </c>
      <c r="AD5" s="38">
        <v>0.22748853591582352</v>
      </c>
      <c r="AE5">
        <f t="shared" si="0"/>
        <v>13</v>
      </c>
      <c r="AF5" s="24">
        <f t="shared" si="11"/>
        <v>0.6690647482014388</v>
      </c>
      <c r="AG5" s="38">
        <f>+'[1]FA Report'!$D$42</f>
        <v>0.14285714285714288</v>
      </c>
      <c r="AH5" s="24">
        <f t="shared" si="1"/>
        <v>9.5580678314491269E-2</v>
      </c>
      <c r="AI5" s="24">
        <f t="shared" si="2"/>
        <v>0.43525179856115109</v>
      </c>
      <c r="AJ5" s="38">
        <f>+'[1]FA Report'!$D$48</f>
        <v>7.1428571428571438E-2</v>
      </c>
      <c r="AK5" s="24">
        <f t="shared" si="3"/>
        <v>3.1089414182939368E-2</v>
      </c>
      <c r="AL5" s="24">
        <f t="shared" si="4"/>
        <v>0</v>
      </c>
      <c r="AM5" s="38">
        <f>+'[1]FA Report'!$C$55</f>
        <v>0.4</v>
      </c>
      <c r="AN5" s="24">
        <f t="shared" si="5"/>
        <v>0</v>
      </c>
      <c r="AO5" s="24">
        <f t="shared" si="6"/>
        <v>3.5971223021582736E-3</v>
      </c>
      <c r="AP5" s="38">
        <f>+'[1]FA Report'!$D$58</f>
        <v>0.2142857142857143</v>
      </c>
      <c r="AQ5" s="24">
        <f t="shared" si="7"/>
        <v>7.7081192189105865E-4</v>
      </c>
      <c r="AR5" s="24">
        <f t="shared" si="8"/>
        <v>0.2117039586919105</v>
      </c>
      <c r="AS5" s="38">
        <f>+'[1]FA Report'!$C$52</f>
        <v>0.3</v>
      </c>
      <c r="AT5" s="24">
        <f t="shared" si="9"/>
        <v>-6.3511187607573141E-2</v>
      </c>
      <c r="AU5" s="38">
        <f t="shared" si="10"/>
        <v>6.3929716811748541E-2</v>
      </c>
      <c r="AV5" s="38">
        <v>0.06</v>
      </c>
      <c r="AW5">
        <v>0</v>
      </c>
    </row>
    <row r="6" spans="1:51" x14ac:dyDescent="0.35">
      <c r="A6" s="23">
        <v>43554</v>
      </c>
      <c r="AD6" s="38"/>
      <c r="AE6">
        <f t="shared" si="0"/>
        <v>13</v>
      </c>
      <c r="AF6" s="24" t="str">
        <f t="shared" si="11"/>
        <v/>
      </c>
      <c r="AG6" s="38">
        <f>+'[1]FA Report'!$D$42</f>
        <v>0.14285714285714288</v>
      </c>
      <c r="AH6" s="24" t="str">
        <f t="shared" si="1"/>
        <v/>
      </c>
      <c r="AI6" s="24" t="str">
        <f t="shared" si="2"/>
        <v/>
      </c>
      <c r="AJ6" s="38">
        <f>+'[1]FA Report'!$D$48</f>
        <v>7.1428571428571438E-2</v>
      </c>
      <c r="AK6" s="24" t="str">
        <f t="shared" si="3"/>
        <v/>
      </c>
      <c r="AL6" s="24" t="str">
        <f t="shared" si="4"/>
        <v/>
      </c>
      <c r="AM6" s="38">
        <f>+'[1]FA Report'!$C$55</f>
        <v>0.4</v>
      </c>
      <c r="AN6" s="24" t="str">
        <f t="shared" si="5"/>
        <v/>
      </c>
      <c r="AO6" s="24" t="str">
        <f t="shared" si="6"/>
        <v/>
      </c>
      <c r="AP6" s="38">
        <f>+'[1]FA Report'!$D$58</f>
        <v>0.2142857142857143</v>
      </c>
      <c r="AQ6" s="24" t="str">
        <f t="shared" si="7"/>
        <v/>
      </c>
      <c r="AR6" s="24" t="str">
        <f t="shared" si="8"/>
        <v/>
      </c>
      <c r="AS6" s="38">
        <f>+'[1]FA Report'!$C$52</f>
        <v>0.3</v>
      </c>
      <c r="AT6" s="24" t="str">
        <f t="shared" si="9"/>
        <v/>
      </c>
      <c r="AU6" s="38" t="str">
        <f t="shared" si="10"/>
        <v/>
      </c>
      <c r="AV6" s="38">
        <v>0.06</v>
      </c>
      <c r="AW6">
        <v>0</v>
      </c>
    </row>
    <row r="7" spans="1:51" x14ac:dyDescent="0.35">
      <c r="A7" s="23">
        <v>43555</v>
      </c>
      <c r="AD7" s="38"/>
      <c r="AE7">
        <f t="shared" si="0"/>
        <v>14</v>
      </c>
      <c r="AF7" s="24" t="str">
        <f t="shared" si="11"/>
        <v/>
      </c>
      <c r="AG7" s="38">
        <f>+'[1]FA Report'!$D$42</f>
        <v>0.14285714285714288</v>
      </c>
      <c r="AH7" s="24" t="str">
        <f t="shared" si="1"/>
        <v/>
      </c>
      <c r="AI7" s="24" t="str">
        <f t="shared" si="2"/>
        <v/>
      </c>
      <c r="AJ7" s="38">
        <f>+'[1]FA Report'!$D$48</f>
        <v>7.1428571428571438E-2</v>
      </c>
      <c r="AK7" s="24" t="str">
        <f t="shared" si="3"/>
        <v/>
      </c>
      <c r="AL7" s="24" t="str">
        <f t="shared" si="4"/>
        <v/>
      </c>
      <c r="AM7" s="38">
        <f>+'[1]FA Report'!$C$55</f>
        <v>0.4</v>
      </c>
      <c r="AN7" s="24" t="str">
        <f t="shared" si="5"/>
        <v/>
      </c>
      <c r="AO7" s="24" t="str">
        <f t="shared" si="6"/>
        <v/>
      </c>
      <c r="AP7" s="38">
        <f>+'[1]FA Report'!$D$58</f>
        <v>0.2142857142857143</v>
      </c>
      <c r="AQ7" s="24" t="str">
        <f t="shared" si="7"/>
        <v/>
      </c>
      <c r="AR7" s="24" t="str">
        <f t="shared" si="8"/>
        <v/>
      </c>
      <c r="AS7" s="38">
        <f>+'[1]FA Report'!$C$52</f>
        <v>0.3</v>
      </c>
      <c r="AT7" s="24" t="str">
        <f t="shared" si="9"/>
        <v/>
      </c>
      <c r="AU7" s="38" t="str">
        <f t="shared" si="10"/>
        <v/>
      </c>
      <c r="AV7" s="38">
        <v>7.0000000000000007E-2</v>
      </c>
      <c r="AW7">
        <f t="shared" ref="AW7:AW38" si="12">+AE7-AE6</f>
        <v>1</v>
      </c>
    </row>
    <row r="8" spans="1:51" x14ac:dyDescent="0.35">
      <c r="A8" s="23">
        <v>43556</v>
      </c>
      <c r="B8">
        <v>581</v>
      </c>
      <c r="C8">
        <v>554</v>
      </c>
      <c r="D8">
        <v>27</v>
      </c>
      <c r="E8">
        <v>366</v>
      </c>
      <c r="F8">
        <v>215</v>
      </c>
      <c r="G8">
        <v>17.368231046930305</v>
      </c>
      <c r="H8">
        <v>4.4406196213425133</v>
      </c>
      <c r="I8">
        <v>3</v>
      </c>
      <c r="J8">
        <v>0</v>
      </c>
      <c r="K8">
        <v>0</v>
      </c>
      <c r="L8">
        <v>0</v>
      </c>
      <c r="M8">
        <v>0</v>
      </c>
      <c r="N8">
        <v>427</v>
      </c>
      <c r="O8">
        <v>123</v>
      </c>
      <c r="P8">
        <v>187</v>
      </c>
      <c r="Q8">
        <v>186</v>
      </c>
      <c r="R8">
        <v>278</v>
      </c>
      <c r="S8">
        <v>133</v>
      </c>
      <c r="T8">
        <v>121</v>
      </c>
      <c r="U8">
        <v>1</v>
      </c>
      <c r="V8">
        <v>1</v>
      </c>
      <c r="W8">
        <v>1</v>
      </c>
      <c r="X8">
        <v>2</v>
      </c>
      <c r="Y8">
        <v>0</v>
      </c>
      <c r="Z8">
        <v>0</v>
      </c>
      <c r="AA8">
        <v>0</v>
      </c>
      <c r="AB8">
        <v>1</v>
      </c>
      <c r="AC8">
        <v>291</v>
      </c>
      <c r="AD8" s="38">
        <v>0.22748853591582352</v>
      </c>
      <c r="AE8">
        <f t="shared" si="0"/>
        <v>14</v>
      </c>
      <c r="AF8" s="24">
        <f t="shared" si="11"/>
        <v>0.6690647482014388</v>
      </c>
      <c r="AG8" s="38">
        <f>+'[1]FA Report'!$D$42</f>
        <v>0.14285714285714288</v>
      </c>
      <c r="AH8" s="24">
        <f t="shared" si="1"/>
        <v>9.5580678314491269E-2</v>
      </c>
      <c r="AI8" s="24">
        <f t="shared" si="2"/>
        <v>0.43525179856115109</v>
      </c>
      <c r="AJ8" s="38">
        <f>+'[1]FA Report'!$D$48</f>
        <v>7.1428571428571438E-2</v>
      </c>
      <c r="AK8" s="24">
        <f t="shared" si="3"/>
        <v>3.1089414182939368E-2</v>
      </c>
      <c r="AL8" s="24">
        <f t="shared" si="4"/>
        <v>0</v>
      </c>
      <c r="AM8" s="38">
        <f>+'[1]FA Report'!$C$55</f>
        <v>0.4</v>
      </c>
      <c r="AN8" s="24">
        <f t="shared" si="5"/>
        <v>0</v>
      </c>
      <c r="AO8" s="24">
        <f t="shared" si="6"/>
        <v>3.5971223021582736E-3</v>
      </c>
      <c r="AP8" s="38">
        <f>+'[1]FA Report'!$D$58</f>
        <v>0.2142857142857143</v>
      </c>
      <c r="AQ8" s="24">
        <f t="shared" si="7"/>
        <v>7.7081192189105865E-4</v>
      </c>
      <c r="AR8" s="24">
        <f t="shared" si="8"/>
        <v>0.2117039586919105</v>
      </c>
      <c r="AS8" s="38">
        <f>+'[1]FA Report'!$C$52</f>
        <v>0.3</v>
      </c>
      <c r="AT8" s="24">
        <f t="shared" si="9"/>
        <v>-6.3511187607573141E-2</v>
      </c>
      <c r="AU8" s="38">
        <f t="shared" si="10"/>
        <v>6.3929716811748541E-2</v>
      </c>
      <c r="AV8" s="38">
        <v>0.06</v>
      </c>
      <c r="AW8">
        <f t="shared" si="12"/>
        <v>0</v>
      </c>
    </row>
    <row r="9" spans="1:51" x14ac:dyDescent="0.35">
      <c r="A9" s="23">
        <v>43557</v>
      </c>
      <c r="B9">
        <v>584</v>
      </c>
      <c r="C9">
        <v>565</v>
      </c>
      <c r="D9">
        <v>19</v>
      </c>
      <c r="E9">
        <v>378</v>
      </c>
      <c r="F9">
        <v>206</v>
      </c>
      <c r="G9">
        <v>16.125663716811687</v>
      </c>
      <c r="H9">
        <v>4.4469178082191778</v>
      </c>
      <c r="I9">
        <v>20</v>
      </c>
      <c r="J9">
        <v>5</v>
      </c>
      <c r="K9">
        <v>31</v>
      </c>
      <c r="L9">
        <v>16</v>
      </c>
      <c r="M9">
        <v>51</v>
      </c>
      <c r="N9">
        <v>430</v>
      </c>
      <c r="O9">
        <v>125</v>
      </c>
      <c r="P9">
        <v>197</v>
      </c>
      <c r="Q9">
        <v>196</v>
      </c>
      <c r="R9">
        <v>286</v>
      </c>
      <c r="S9">
        <v>141</v>
      </c>
      <c r="T9">
        <v>129</v>
      </c>
      <c r="U9">
        <v>1</v>
      </c>
      <c r="V9">
        <v>1</v>
      </c>
      <c r="W9">
        <v>1</v>
      </c>
      <c r="X9">
        <v>2</v>
      </c>
      <c r="Y9">
        <v>0</v>
      </c>
      <c r="Z9">
        <v>0</v>
      </c>
      <c r="AA9">
        <v>0</v>
      </c>
      <c r="AB9">
        <v>2</v>
      </c>
      <c r="AC9">
        <v>300</v>
      </c>
      <c r="AD9" s="38">
        <v>0.23508244579687637</v>
      </c>
      <c r="AE9">
        <f t="shared" si="0"/>
        <v>14</v>
      </c>
      <c r="AF9" s="24">
        <f t="shared" si="11"/>
        <v>0.68531468531468531</v>
      </c>
      <c r="AG9" s="38">
        <f>+'[1]FA Report'!$D$42</f>
        <v>0.14285714285714288</v>
      </c>
      <c r="AH9" s="24">
        <f t="shared" si="1"/>
        <v>9.7902097902097918E-2</v>
      </c>
      <c r="AI9" s="24">
        <f t="shared" si="2"/>
        <v>0.45104895104895104</v>
      </c>
      <c r="AJ9" s="38">
        <f>+'[1]FA Report'!$D$48</f>
        <v>7.1428571428571438E-2</v>
      </c>
      <c r="AK9" s="24">
        <f t="shared" si="3"/>
        <v>3.2217782217782223E-2</v>
      </c>
      <c r="AL9" s="24">
        <f t="shared" si="4"/>
        <v>0</v>
      </c>
      <c r="AM9" s="38">
        <f>+'[1]FA Report'!$C$55</f>
        <v>0.4</v>
      </c>
      <c r="AN9" s="24">
        <f t="shared" si="5"/>
        <v>0</v>
      </c>
      <c r="AO9" s="24">
        <f t="shared" si="6"/>
        <v>3.4965034965034965E-3</v>
      </c>
      <c r="AP9" s="38">
        <f>+'[1]FA Report'!$D$58</f>
        <v>0.2142857142857143</v>
      </c>
      <c r="AQ9" s="24">
        <f t="shared" si="7"/>
        <v>7.4925074925074936E-4</v>
      </c>
      <c r="AR9" s="24">
        <f t="shared" si="8"/>
        <v>0.21404109589041095</v>
      </c>
      <c r="AS9" s="38">
        <f>+'[1]FA Report'!$C$52</f>
        <v>0.3</v>
      </c>
      <c r="AT9" s="24">
        <f t="shared" si="9"/>
        <v>-6.4212328767123281E-2</v>
      </c>
      <c r="AU9" s="38">
        <f t="shared" si="10"/>
        <v>6.6656802102007598E-2</v>
      </c>
      <c r="AV9" s="24">
        <v>7.0000000000000007E-2</v>
      </c>
      <c r="AW9">
        <f t="shared" si="12"/>
        <v>0</v>
      </c>
    </row>
    <row r="10" spans="1:51" x14ac:dyDescent="0.35">
      <c r="A10" s="23">
        <v>43558</v>
      </c>
      <c r="B10">
        <v>584</v>
      </c>
      <c r="C10">
        <v>565</v>
      </c>
      <c r="D10">
        <v>19</v>
      </c>
      <c r="E10">
        <v>378</v>
      </c>
      <c r="F10">
        <v>206</v>
      </c>
      <c r="G10">
        <v>17.125663716811687</v>
      </c>
      <c r="H10">
        <v>4.4469178082191778</v>
      </c>
      <c r="I10">
        <v>31</v>
      </c>
      <c r="J10">
        <v>8</v>
      </c>
      <c r="K10">
        <v>0</v>
      </c>
      <c r="L10">
        <v>0</v>
      </c>
      <c r="M10">
        <v>51</v>
      </c>
      <c r="N10">
        <v>430</v>
      </c>
      <c r="O10">
        <v>125</v>
      </c>
      <c r="P10">
        <v>197</v>
      </c>
      <c r="Q10">
        <v>196</v>
      </c>
      <c r="R10">
        <v>286</v>
      </c>
      <c r="S10">
        <v>141</v>
      </c>
      <c r="T10">
        <v>129</v>
      </c>
      <c r="U10">
        <v>1</v>
      </c>
      <c r="V10">
        <v>1</v>
      </c>
      <c r="W10">
        <v>1</v>
      </c>
      <c r="X10">
        <v>2</v>
      </c>
      <c r="Y10">
        <v>0</v>
      </c>
      <c r="Z10">
        <v>0</v>
      </c>
      <c r="AA10">
        <v>0</v>
      </c>
      <c r="AB10">
        <v>2</v>
      </c>
      <c r="AC10">
        <v>300</v>
      </c>
      <c r="AD10" s="38">
        <v>0.23508244579687637</v>
      </c>
      <c r="AE10">
        <f t="shared" si="0"/>
        <v>14</v>
      </c>
      <c r="AF10" s="24">
        <f t="shared" si="11"/>
        <v>0.68531468531468531</v>
      </c>
      <c r="AG10" s="38">
        <f>+'[1]FA Report'!$D$42</f>
        <v>0.14285714285714288</v>
      </c>
      <c r="AH10" s="24">
        <f t="shared" si="1"/>
        <v>9.7902097902097918E-2</v>
      </c>
      <c r="AI10" s="24">
        <f t="shared" si="2"/>
        <v>0.45104895104895104</v>
      </c>
      <c r="AJ10" s="38">
        <f>+'[1]FA Report'!$D$48</f>
        <v>7.1428571428571438E-2</v>
      </c>
      <c r="AK10" s="24">
        <f t="shared" si="3"/>
        <v>3.2217782217782223E-2</v>
      </c>
      <c r="AL10" s="24">
        <f t="shared" si="4"/>
        <v>0</v>
      </c>
      <c r="AM10" s="38">
        <f>+'[1]FA Report'!$C$55</f>
        <v>0.4</v>
      </c>
      <c r="AN10" s="24">
        <f t="shared" si="5"/>
        <v>0</v>
      </c>
      <c r="AO10" s="24">
        <f t="shared" si="6"/>
        <v>3.4965034965034965E-3</v>
      </c>
      <c r="AP10" s="38">
        <f>+'[1]FA Report'!$D$58</f>
        <v>0.2142857142857143</v>
      </c>
      <c r="AQ10" s="24">
        <f t="shared" si="7"/>
        <v>7.4925074925074936E-4</v>
      </c>
      <c r="AR10" s="24">
        <f t="shared" si="8"/>
        <v>0.21404109589041095</v>
      </c>
      <c r="AS10" s="38">
        <f>+'[1]FA Report'!$C$52</f>
        <v>0.3</v>
      </c>
      <c r="AT10" s="24">
        <f t="shared" si="9"/>
        <v>-6.4212328767123281E-2</v>
      </c>
      <c r="AU10" s="38">
        <f t="shared" si="10"/>
        <v>6.6656802102007598E-2</v>
      </c>
      <c r="AV10" s="24">
        <v>7.0000000000000007E-2</v>
      </c>
      <c r="AW10">
        <f t="shared" si="12"/>
        <v>0</v>
      </c>
    </row>
    <row r="11" spans="1:51" x14ac:dyDescent="0.35">
      <c r="A11" s="23">
        <v>43559</v>
      </c>
      <c r="B11">
        <v>577</v>
      </c>
      <c r="C11">
        <v>560</v>
      </c>
      <c r="D11">
        <v>17</v>
      </c>
      <c r="E11">
        <v>377</v>
      </c>
      <c r="F11">
        <v>200</v>
      </c>
      <c r="G11">
        <v>15.871428571430442</v>
      </c>
      <c r="H11">
        <v>4.4558058925476605</v>
      </c>
      <c r="I11">
        <v>37</v>
      </c>
      <c r="J11">
        <v>1</v>
      </c>
      <c r="K11">
        <v>0</v>
      </c>
      <c r="L11">
        <v>0</v>
      </c>
      <c r="M11">
        <v>86</v>
      </c>
      <c r="N11">
        <v>427</v>
      </c>
      <c r="O11">
        <v>124</v>
      </c>
      <c r="P11">
        <v>199</v>
      </c>
      <c r="Q11">
        <v>198</v>
      </c>
      <c r="R11">
        <v>293</v>
      </c>
      <c r="S11">
        <v>142</v>
      </c>
      <c r="T11">
        <v>130</v>
      </c>
      <c r="U11">
        <v>1</v>
      </c>
      <c r="V11">
        <v>1</v>
      </c>
      <c r="W11">
        <v>1</v>
      </c>
      <c r="X11">
        <v>2</v>
      </c>
      <c r="Y11">
        <v>0</v>
      </c>
      <c r="Z11">
        <v>0</v>
      </c>
      <c r="AA11">
        <v>0</v>
      </c>
      <c r="AB11">
        <v>2</v>
      </c>
      <c r="AC11">
        <v>301</v>
      </c>
      <c r="AD11" s="38">
        <v>0.23673387348277705</v>
      </c>
      <c r="AE11">
        <f t="shared" si="0"/>
        <v>14</v>
      </c>
      <c r="AF11" s="24">
        <f t="shared" si="11"/>
        <v>0.67576791808873715</v>
      </c>
      <c r="AG11" s="38">
        <f>+'[1]FA Report'!$D$42</f>
        <v>0.14285714285714288</v>
      </c>
      <c r="AH11" s="24">
        <f t="shared" si="1"/>
        <v>9.6538274012676756E-2</v>
      </c>
      <c r="AI11" s="24">
        <f t="shared" si="2"/>
        <v>0.44368600682593856</v>
      </c>
      <c r="AJ11" s="38">
        <f>+'[1]FA Report'!$D$48</f>
        <v>7.1428571428571438E-2</v>
      </c>
      <c r="AK11" s="24">
        <f t="shared" si="3"/>
        <v>3.1691857630424189E-2</v>
      </c>
      <c r="AL11" s="24">
        <f t="shared" si="4"/>
        <v>0</v>
      </c>
      <c r="AM11" s="38">
        <f>+'[1]FA Report'!$C$55</f>
        <v>0.4</v>
      </c>
      <c r="AN11" s="24">
        <f t="shared" si="5"/>
        <v>0</v>
      </c>
      <c r="AO11" s="24">
        <f t="shared" si="6"/>
        <v>3.4129692832764505E-3</v>
      </c>
      <c r="AP11" s="38">
        <f>+'[1]FA Report'!$D$58</f>
        <v>0.2142857142857143</v>
      </c>
      <c r="AQ11" s="24">
        <f t="shared" si="7"/>
        <v>7.3135056070209659E-4</v>
      </c>
      <c r="AR11" s="24">
        <f t="shared" si="8"/>
        <v>0.21490467937608318</v>
      </c>
      <c r="AS11" s="38">
        <f>+'[1]FA Report'!$C$52</f>
        <v>0.3</v>
      </c>
      <c r="AT11" s="24">
        <f t="shared" si="9"/>
        <v>-6.4471403812824957E-2</v>
      </c>
      <c r="AU11" s="38">
        <f t="shared" si="10"/>
        <v>6.4490078390978062E-2</v>
      </c>
      <c r="AV11" s="24">
        <v>7.0000000000000007E-2</v>
      </c>
      <c r="AW11">
        <f t="shared" si="12"/>
        <v>0</v>
      </c>
    </row>
    <row r="12" spans="1:51" x14ac:dyDescent="0.35">
      <c r="A12" s="23">
        <v>43560</v>
      </c>
      <c r="B12">
        <v>583</v>
      </c>
      <c r="C12">
        <v>559</v>
      </c>
      <c r="D12">
        <v>24</v>
      </c>
      <c r="E12">
        <v>375</v>
      </c>
      <c r="F12">
        <v>208</v>
      </c>
      <c r="G12">
        <v>15.783542039353051</v>
      </c>
      <c r="H12">
        <v>4.4631217838765007</v>
      </c>
      <c r="I12">
        <v>19</v>
      </c>
      <c r="J12">
        <v>1</v>
      </c>
      <c r="K12">
        <v>0</v>
      </c>
      <c r="L12">
        <v>0</v>
      </c>
      <c r="M12">
        <v>104</v>
      </c>
      <c r="N12">
        <v>426</v>
      </c>
      <c r="O12">
        <v>124</v>
      </c>
      <c r="P12">
        <v>199</v>
      </c>
      <c r="Q12">
        <v>198</v>
      </c>
      <c r="R12">
        <v>293</v>
      </c>
      <c r="S12">
        <v>143</v>
      </c>
      <c r="T12">
        <v>131</v>
      </c>
      <c r="U12">
        <v>1</v>
      </c>
      <c r="V12">
        <v>1</v>
      </c>
      <c r="W12">
        <v>1</v>
      </c>
      <c r="X12">
        <v>2</v>
      </c>
      <c r="Y12">
        <v>0</v>
      </c>
      <c r="Z12">
        <v>0</v>
      </c>
      <c r="AA12">
        <v>0</v>
      </c>
      <c r="AB12">
        <v>2</v>
      </c>
      <c r="AC12">
        <v>302</v>
      </c>
      <c r="AD12" s="38">
        <v>0.23671412301021566</v>
      </c>
      <c r="AE12">
        <f t="shared" si="0"/>
        <v>14</v>
      </c>
      <c r="AF12" s="24">
        <f t="shared" si="11"/>
        <v>0.67576791808873715</v>
      </c>
      <c r="AG12" s="38">
        <f>+'[1]FA Report'!$D$42</f>
        <v>0.14285714285714288</v>
      </c>
      <c r="AH12" s="24">
        <f t="shared" si="1"/>
        <v>9.6538274012676756E-2</v>
      </c>
      <c r="AI12" s="24">
        <f t="shared" si="2"/>
        <v>0.44709897610921501</v>
      </c>
      <c r="AJ12" s="38">
        <f>+'[1]FA Report'!$D$48</f>
        <v>7.1428571428571438E-2</v>
      </c>
      <c r="AK12" s="24">
        <f t="shared" si="3"/>
        <v>3.1935641150658216E-2</v>
      </c>
      <c r="AL12" s="24">
        <f t="shared" si="4"/>
        <v>0</v>
      </c>
      <c r="AM12" s="38">
        <f>+'[1]FA Report'!$C$55</f>
        <v>0.4</v>
      </c>
      <c r="AN12" s="24">
        <f t="shared" si="5"/>
        <v>0</v>
      </c>
      <c r="AO12" s="24">
        <f t="shared" si="6"/>
        <v>3.4129692832764505E-3</v>
      </c>
      <c r="AP12" s="38">
        <f>+'[1]FA Report'!$D$58</f>
        <v>0.2142857142857143</v>
      </c>
      <c r="AQ12" s="24">
        <f t="shared" si="7"/>
        <v>7.3135056070209659E-4</v>
      </c>
      <c r="AR12" s="24">
        <f t="shared" si="8"/>
        <v>0.21269296740994853</v>
      </c>
      <c r="AS12" s="38">
        <f>+'[1]FA Report'!$C$52</f>
        <v>0.3</v>
      </c>
      <c r="AT12" s="24">
        <f t="shared" si="9"/>
        <v>-6.3807890222984553E-2</v>
      </c>
      <c r="AU12" s="38">
        <f t="shared" si="10"/>
        <v>6.5397375501052513E-2</v>
      </c>
      <c r="AV12" s="24">
        <v>7.0000000000000007E-2</v>
      </c>
      <c r="AW12">
        <f t="shared" si="12"/>
        <v>0</v>
      </c>
    </row>
    <row r="13" spans="1:51" x14ac:dyDescent="0.35">
      <c r="A13" s="23">
        <v>43561</v>
      </c>
      <c r="AD13" s="38"/>
      <c r="AE13">
        <f t="shared" si="0"/>
        <v>14</v>
      </c>
      <c r="AF13" s="24" t="str">
        <f t="shared" si="11"/>
        <v/>
      </c>
      <c r="AG13" s="38">
        <f>+'[1]FA Report'!$D$42</f>
        <v>0.14285714285714288</v>
      </c>
      <c r="AH13" s="24" t="str">
        <f t="shared" si="1"/>
        <v/>
      </c>
      <c r="AI13" s="24" t="str">
        <f t="shared" si="2"/>
        <v/>
      </c>
      <c r="AJ13" s="38">
        <f>+'[1]FA Report'!$D$48</f>
        <v>7.1428571428571438E-2</v>
      </c>
      <c r="AK13" s="24" t="str">
        <f t="shared" si="3"/>
        <v/>
      </c>
      <c r="AL13" s="24" t="str">
        <f t="shared" si="4"/>
        <v/>
      </c>
      <c r="AM13" s="38">
        <f>+'[1]FA Report'!$C$55</f>
        <v>0.4</v>
      </c>
      <c r="AN13" s="24" t="str">
        <f t="shared" si="5"/>
        <v/>
      </c>
      <c r="AO13" s="24" t="str">
        <f t="shared" si="6"/>
        <v/>
      </c>
      <c r="AP13" s="38">
        <f>+'[1]FA Report'!$D$58</f>
        <v>0.2142857142857143</v>
      </c>
      <c r="AQ13" s="24" t="str">
        <f t="shared" si="7"/>
        <v/>
      </c>
      <c r="AR13" s="24" t="str">
        <f t="shared" si="8"/>
        <v/>
      </c>
      <c r="AS13" s="38">
        <f>+'[1]FA Report'!$C$52</f>
        <v>0.3</v>
      </c>
      <c r="AT13" s="24" t="str">
        <f t="shared" si="9"/>
        <v/>
      </c>
      <c r="AU13" s="38" t="str">
        <f t="shared" si="10"/>
        <v/>
      </c>
      <c r="AV13" s="24">
        <v>7.0000000000000007E-2</v>
      </c>
      <c r="AW13">
        <f t="shared" si="12"/>
        <v>0</v>
      </c>
    </row>
    <row r="14" spans="1:51" x14ac:dyDescent="0.35">
      <c r="A14" s="23">
        <v>43562</v>
      </c>
      <c r="AD14" s="38"/>
      <c r="AE14">
        <f t="shared" si="0"/>
        <v>15</v>
      </c>
      <c r="AF14" s="24" t="str">
        <f t="shared" si="11"/>
        <v/>
      </c>
      <c r="AG14" s="38">
        <f>+'[1]FA Report'!$D$42</f>
        <v>0.14285714285714288</v>
      </c>
      <c r="AH14" s="24" t="str">
        <f t="shared" si="1"/>
        <v/>
      </c>
      <c r="AI14" s="24" t="str">
        <f t="shared" si="2"/>
        <v/>
      </c>
      <c r="AJ14" s="38">
        <f>+'[1]FA Report'!$D$48</f>
        <v>7.1428571428571438E-2</v>
      </c>
      <c r="AK14" s="24" t="str">
        <f t="shared" si="3"/>
        <v/>
      </c>
      <c r="AL14" s="24" t="str">
        <f t="shared" si="4"/>
        <v/>
      </c>
      <c r="AM14" s="38">
        <f>+'[1]FA Report'!$C$55</f>
        <v>0.4</v>
      </c>
      <c r="AN14" s="24" t="str">
        <f t="shared" si="5"/>
        <v/>
      </c>
      <c r="AO14" s="24" t="str">
        <f t="shared" si="6"/>
        <v/>
      </c>
      <c r="AP14" s="38">
        <f>+'[1]FA Report'!$D$58</f>
        <v>0.2142857142857143</v>
      </c>
      <c r="AQ14" s="24" t="str">
        <f t="shared" si="7"/>
        <v/>
      </c>
      <c r="AR14" s="24" t="str">
        <f t="shared" si="8"/>
        <v/>
      </c>
      <c r="AS14" s="38">
        <f>+'[1]FA Report'!$C$52</f>
        <v>0.3</v>
      </c>
      <c r="AT14" s="24" t="str">
        <f t="shared" si="9"/>
        <v/>
      </c>
      <c r="AU14" s="38" t="str">
        <f t="shared" si="10"/>
        <v/>
      </c>
      <c r="AV14" s="24">
        <v>7.0000000000000007E-2</v>
      </c>
      <c r="AW14">
        <f t="shared" si="12"/>
        <v>1</v>
      </c>
    </row>
    <row r="15" spans="1:51" x14ac:dyDescent="0.35">
      <c r="A15" s="23">
        <v>43563</v>
      </c>
      <c r="B15">
        <v>580</v>
      </c>
      <c r="C15">
        <v>557</v>
      </c>
      <c r="D15">
        <v>23</v>
      </c>
      <c r="E15">
        <v>375</v>
      </c>
      <c r="F15">
        <v>205</v>
      </c>
      <c r="G15">
        <v>18.154398563732684</v>
      </c>
      <c r="H15">
        <v>4.4620689655172416</v>
      </c>
      <c r="I15">
        <v>4</v>
      </c>
      <c r="J15">
        <v>1</v>
      </c>
      <c r="K15">
        <v>0</v>
      </c>
      <c r="L15">
        <v>0</v>
      </c>
      <c r="M15">
        <v>115</v>
      </c>
      <c r="N15">
        <v>426</v>
      </c>
      <c r="O15">
        <v>124</v>
      </c>
      <c r="P15">
        <v>200</v>
      </c>
      <c r="Q15">
        <v>199</v>
      </c>
      <c r="R15">
        <v>293</v>
      </c>
      <c r="S15">
        <v>144</v>
      </c>
      <c r="T15">
        <v>132</v>
      </c>
      <c r="U15">
        <v>2</v>
      </c>
      <c r="V15">
        <v>1</v>
      </c>
      <c r="W15">
        <v>1</v>
      </c>
      <c r="X15">
        <v>2</v>
      </c>
      <c r="Y15">
        <v>0</v>
      </c>
      <c r="Z15">
        <v>0</v>
      </c>
      <c r="AA15">
        <v>0</v>
      </c>
      <c r="AB15">
        <v>2</v>
      </c>
      <c r="AC15">
        <v>302</v>
      </c>
      <c r="AD15" s="38">
        <v>0.23793992535356767</v>
      </c>
      <c r="AE15">
        <f t="shared" si="0"/>
        <v>15</v>
      </c>
      <c r="AF15" s="24">
        <f t="shared" si="11"/>
        <v>0.67918088737201365</v>
      </c>
      <c r="AG15" s="38">
        <f>+'[1]FA Report'!$D$42</f>
        <v>0.14285714285714288</v>
      </c>
      <c r="AH15" s="24">
        <f t="shared" si="1"/>
        <v>9.7025841053144823E-2</v>
      </c>
      <c r="AI15" s="24">
        <f t="shared" si="2"/>
        <v>0.45051194539249145</v>
      </c>
      <c r="AJ15" s="38">
        <f>+'[1]FA Report'!$D$48</f>
        <v>7.1428571428571438E-2</v>
      </c>
      <c r="AK15" s="24">
        <f t="shared" si="3"/>
        <v>3.217942467089225E-2</v>
      </c>
      <c r="AL15" s="24">
        <f t="shared" si="4"/>
        <v>0</v>
      </c>
      <c r="AM15" s="38">
        <f>+'[1]FA Report'!$C$55</f>
        <v>0.4</v>
      </c>
      <c r="AN15" s="24">
        <f t="shared" si="5"/>
        <v>0</v>
      </c>
      <c r="AO15" s="24">
        <f t="shared" si="6"/>
        <v>3.4129692832764505E-3</v>
      </c>
      <c r="AP15" s="38">
        <f>+'[1]FA Report'!$D$58</f>
        <v>0.2142857142857143</v>
      </c>
      <c r="AQ15" s="24">
        <f t="shared" si="7"/>
        <v>7.3135056070209659E-4</v>
      </c>
      <c r="AR15" s="24">
        <f t="shared" si="8"/>
        <v>0.21379310344827587</v>
      </c>
      <c r="AS15" s="38">
        <f>+'[1]FA Report'!$C$52</f>
        <v>0.3</v>
      </c>
      <c r="AT15" s="24">
        <f t="shared" si="9"/>
        <v>-6.4137931034482759E-2</v>
      </c>
      <c r="AU15" s="38">
        <f t="shared" si="10"/>
        <v>6.5798685250256395E-2</v>
      </c>
      <c r="AV15" s="24">
        <v>7.0000000000000007E-2</v>
      </c>
      <c r="AW15">
        <f t="shared" si="12"/>
        <v>0</v>
      </c>
    </row>
    <row r="16" spans="1:51" x14ac:dyDescent="0.35">
      <c r="A16" s="23">
        <v>43564</v>
      </c>
      <c r="B16">
        <v>574</v>
      </c>
      <c r="C16">
        <v>546</v>
      </c>
      <c r="D16">
        <v>28</v>
      </c>
      <c r="E16">
        <v>373</v>
      </c>
      <c r="F16">
        <v>201</v>
      </c>
      <c r="G16">
        <v>17.910256410257716</v>
      </c>
      <c r="H16">
        <v>4.484320557491289</v>
      </c>
      <c r="I16">
        <v>34</v>
      </c>
      <c r="J16">
        <v>6</v>
      </c>
      <c r="K16">
        <v>0</v>
      </c>
      <c r="L16">
        <v>0</v>
      </c>
      <c r="M16">
        <v>136</v>
      </c>
      <c r="N16">
        <v>425</v>
      </c>
      <c r="O16">
        <v>123</v>
      </c>
      <c r="P16">
        <v>201</v>
      </c>
      <c r="Q16">
        <v>200</v>
      </c>
      <c r="R16">
        <v>293</v>
      </c>
      <c r="S16">
        <v>146</v>
      </c>
      <c r="T16">
        <v>131</v>
      </c>
      <c r="U16">
        <v>2</v>
      </c>
      <c r="V16">
        <v>1</v>
      </c>
      <c r="W16">
        <v>1</v>
      </c>
      <c r="X16">
        <v>2</v>
      </c>
      <c r="Y16">
        <v>0</v>
      </c>
      <c r="Z16">
        <v>0</v>
      </c>
      <c r="AA16">
        <v>0</v>
      </c>
      <c r="AB16">
        <v>2</v>
      </c>
      <c r="AC16">
        <v>298</v>
      </c>
      <c r="AD16" s="38">
        <v>0.24132544583659721</v>
      </c>
      <c r="AE16">
        <f t="shared" si="0"/>
        <v>15</v>
      </c>
      <c r="AF16" s="24">
        <f t="shared" si="11"/>
        <v>0.68259385665529015</v>
      </c>
      <c r="AG16" s="38">
        <f>+'[1]FA Report'!$D$42</f>
        <v>0.14285714285714288</v>
      </c>
      <c r="AH16" s="24">
        <f t="shared" si="1"/>
        <v>9.7513408093612891E-2</v>
      </c>
      <c r="AI16" s="24">
        <f t="shared" si="2"/>
        <v>0.44709897610921501</v>
      </c>
      <c r="AJ16" s="38">
        <f>+'[1]FA Report'!$D$48</f>
        <v>7.1428571428571438E-2</v>
      </c>
      <c r="AK16" s="24">
        <f t="shared" si="3"/>
        <v>3.1935641150658216E-2</v>
      </c>
      <c r="AL16" s="24">
        <f t="shared" si="4"/>
        <v>0</v>
      </c>
      <c r="AM16" s="38">
        <f>+'[1]FA Report'!$C$55</f>
        <v>0.4</v>
      </c>
      <c r="AN16" s="24">
        <f t="shared" si="5"/>
        <v>0</v>
      </c>
      <c r="AO16" s="24">
        <f t="shared" si="6"/>
        <v>3.4129692832764505E-3</v>
      </c>
      <c r="AP16" s="38">
        <f>+'[1]FA Report'!$D$58</f>
        <v>0.2142857142857143</v>
      </c>
      <c r="AQ16" s="24">
        <f t="shared" si="7"/>
        <v>7.3135056070209659E-4</v>
      </c>
      <c r="AR16" s="24">
        <f t="shared" si="8"/>
        <v>0.21428571428571427</v>
      </c>
      <c r="AS16" s="38">
        <f>+'[1]FA Report'!$C$52</f>
        <v>0.3</v>
      </c>
      <c r="AT16" s="24">
        <f t="shared" si="9"/>
        <v>-6.4285714285714279E-2</v>
      </c>
      <c r="AU16" s="38">
        <f t="shared" si="10"/>
        <v>6.5894685519258922E-2</v>
      </c>
      <c r="AV16" s="24">
        <v>7.0000000000000007E-2</v>
      </c>
      <c r="AW16">
        <f t="shared" si="12"/>
        <v>0</v>
      </c>
    </row>
    <row r="17" spans="1:49" x14ac:dyDescent="0.35">
      <c r="A17" s="23">
        <v>43565</v>
      </c>
      <c r="B17">
        <v>568</v>
      </c>
      <c r="C17">
        <v>541</v>
      </c>
      <c r="D17">
        <v>27</v>
      </c>
      <c r="E17">
        <v>372</v>
      </c>
      <c r="F17">
        <v>196</v>
      </c>
      <c r="G17">
        <v>16.961182994455157</v>
      </c>
      <c r="H17">
        <v>4.461267605633803</v>
      </c>
      <c r="I17">
        <v>45</v>
      </c>
      <c r="J17">
        <v>1</v>
      </c>
      <c r="K17">
        <v>0</v>
      </c>
      <c r="L17">
        <v>0</v>
      </c>
      <c r="M17">
        <v>175</v>
      </c>
      <c r="N17">
        <v>422</v>
      </c>
      <c r="O17">
        <v>123</v>
      </c>
      <c r="P17">
        <v>205</v>
      </c>
      <c r="Q17">
        <v>204</v>
      </c>
      <c r="R17">
        <v>293</v>
      </c>
      <c r="S17">
        <v>148</v>
      </c>
      <c r="T17">
        <v>133</v>
      </c>
      <c r="U17">
        <v>2</v>
      </c>
      <c r="V17">
        <v>1</v>
      </c>
      <c r="W17">
        <v>1</v>
      </c>
      <c r="X17">
        <v>2</v>
      </c>
      <c r="Y17">
        <v>0</v>
      </c>
      <c r="Z17">
        <v>0</v>
      </c>
      <c r="AA17">
        <v>0</v>
      </c>
      <c r="AB17">
        <v>2</v>
      </c>
      <c r="AC17">
        <v>299</v>
      </c>
      <c r="AD17" s="38">
        <v>0.24422064974115526</v>
      </c>
      <c r="AE17">
        <f t="shared" si="0"/>
        <v>15</v>
      </c>
      <c r="AF17" s="24">
        <f t="shared" si="11"/>
        <v>0.69624573378839594</v>
      </c>
      <c r="AG17" s="38">
        <f>+'[1]FA Report'!$D$42</f>
        <v>0.14285714285714288</v>
      </c>
      <c r="AH17" s="24">
        <f t="shared" si="1"/>
        <v>9.9463676255485148E-2</v>
      </c>
      <c r="AI17" s="24">
        <f t="shared" si="2"/>
        <v>0.4539249146757679</v>
      </c>
      <c r="AJ17" s="38">
        <f>+'[1]FA Report'!$D$48</f>
        <v>7.1428571428571438E-2</v>
      </c>
      <c r="AK17" s="24">
        <f t="shared" si="3"/>
        <v>3.2423208191126283E-2</v>
      </c>
      <c r="AL17" s="24">
        <f t="shared" si="4"/>
        <v>0</v>
      </c>
      <c r="AM17" s="38">
        <f>+'[1]FA Report'!$C$55</f>
        <v>0.4</v>
      </c>
      <c r="AN17" s="24">
        <f t="shared" si="5"/>
        <v>0</v>
      </c>
      <c r="AO17" s="24">
        <f t="shared" si="6"/>
        <v>3.4129692832764505E-3</v>
      </c>
      <c r="AP17" s="38">
        <f>+'[1]FA Report'!$D$58</f>
        <v>0.2142857142857143</v>
      </c>
      <c r="AQ17" s="24">
        <f t="shared" si="7"/>
        <v>7.3135056070209659E-4</v>
      </c>
      <c r="AR17" s="24">
        <f t="shared" si="8"/>
        <v>0.21654929577464788</v>
      </c>
      <c r="AS17" s="38">
        <f>+'[1]FA Report'!$C$52</f>
        <v>0.3</v>
      </c>
      <c r="AT17" s="24">
        <f t="shared" si="9"/>
        <v>-6.4964788732394363E-2</v>
      </c>
      <c r="AU17" s="38">
        <f t="shared" si="10"/>
        <v>6.7653446274919149E-2</v>
      </c>
      <c r="AV17" s="24">
        <v>7.0000000000000007E-2</v>
      </c>
      <c r="AW17">
        <f t="shared" si="12"/>
        <v>0</v>
      </c>
    </row>
    <row r="18" spans="1:49" x14ac:dyDescent="0.35">
      <c r="A18" s="23">
        <v>43566</v>
      </c>
      <c r="B18">
        <v>553</v>
      </c>
      <c r="C18">
        <v>529</v>
      </c>
      <c r="D18">
        <v>24</v>
      </c>
      <c r="E18">
        <v>369</v>
      </c>
      <c r="F18">
        <v>184</v>
      </c>
      <c r="G18">
        <v>16.655954631380155</v>
      </c>
      <c r="H18">
        <v>4.4285714285714288</v>
      </c>
      <c r="I18">
        <v>31</v>
      </c>
      <c r="J18">
        <v>2</v>
      </c>
      <c r="K18">
        <v>0</v>
      </c>
      <c r="L18">
        <v>0</v>
      </c>
      <c r="M18">
        <v>197</v>
      </c>
      <c r="N18">
        <v>412</v>
      </c>
      <c r="O18">
        <v>120</v>
      </c>
      <c r="P18">
        <v>208</v>
      </c>
      <c r="Q18">
        <v>207</v>
      </c>
      <c r="R18">
        <v>291</v>
      </c>
      <c r="S18">
        <v>146</v>
      </c>
      <c r="T18">
        <v>133</v>
      </c>
      <c r="U18">
        <v>4</v>
      </c>
      <c r="V18">
        <v>2</v>
      </c>
      <c r="W18">
        <v>1</v>
      </c>
      <c r="X18">
        <v>2</v>
      </c>
      <c r="Y18">
        <v>0</v>
      </c>
      <c r="Z18">
        <v>0</v>
      </c>
      <c r="AA18">
        <v>0</v>
      </c>
      <c r="AB18">
        <v>2</v>
      </c>
      <c r="AC18">
        <v>298</v>
      </c>
      <c r="AD18" s="38">
        <v>0.2498652273658129</v>
      </c>
      <c r="AE18">
        <f t="shared" si="0"/>
        <v>15</v>
      </c>
      <c r="AF18" s="24">
        <f t="shared" si="11"/>
        <v>0.71134020618556704</v>
      </c>
      <c r="AG18" s="38">
        <f>+'[1]FA Report'!$D$42</f>
        <v>0.14285714285714288</v>
      </c>
      <c r="AH18" s="24">
        <f t="shared" si="1"/>
        <v>0.10162002945508102</v>
      </c>
      <c r="AI18" s="24">
        <f t="shared" si="2"/>
        <v>0.45704467353951889</v>
      </c>
      <c r="AJ18" s="38">
        <f>+'[1]FA Report'!$D$48</f>
        <v>7.1428571428571438E-2</v>
      </c>
      <c r="AK18" s="24">
        <f t="shared" si="3"/>
        <v>3.2646048109965638E-2</v>
      </c>
      <c r="AL18" s="24">
        <f t="shared" si="4"/>
        <v>0</v>
      </c>
      <c r="AM18" s="38">
        <f>+'[1]FA Report'!$C$55</f>
        <v>0.4</v>
      </c>
      <c r="AN18" s="24">
        <f t="shared" si="5"/>
        <v>0</v>
      </c>
      <c r="AO18" s="24">
        <f t="shared" si="6"/>
        <v>6.8728522336769758E-3</v>
      </c>
      <c r="AP18" s="38">
        <f>+'[1]FA Report'!$D$58</f>
        <v>0.2142857142857143</v>
      </c>
      <c r="AQ18" s="24">
        <f t="shared" si="7"/>
        <v>1.4727540500736379E-3</v>
      </c>
      <c r="AR18" s="24">
        <f t="shared" si="8"/>
        <v>0.21699819168173598</v>
      </c>
      <c r="AS18" s="38">
        <f>+'[1]FA Report'!$C$52</f>
        <v>0.3</v>
      </c>
      <c r="AT18" s="24">
        <f t="shared" si="9"/>
        <v>-6.5099457504520786E-2</v>
      </c>
      <c r="AU18" s="38">
        <f t="shared" si="10"/>
        <v>7.0639374110599507E-2</v>
      </c>
      <c r="AV18" s="24">
        <v>7.0000000000000007E-2</v>
      </c>
      <c r="AW18">
        <f t="shared" si="12"/>
        <v>0</v>
      </c>
    </row>
    <row r="19" spans="1:49" x14ac:dyDescent="0.35">
      <c r="A19" s="23">
        <v>43567</v>
      </c>
      <c r="B19">
        <v>544</v>
      </c>
      <c r="C19">
        <v>523</v>
      </c>
      <c r="D19">
        <v>21</v>
      </c>
      <c r="E19">
        <v>363</v>
      </c>
      <c r="F19">
        <v>181</v>
      </c>
      <c r="G19">
        <v>16.531548757171549</v>
      </c>
      <c r="H19">
        <v>4.4044117647058822</v>
      </c>
      <c r="I19">
        <v>27</v>
      </c>
      <c r="J19">
        <v>1</v>
      </c>
      <c r="K19">
        <v>0</v>
      </c>
      <c r="L19">
        <v>0</v>
      </c>
      <c r="M19">
        <v>214</v>
      </c>
      <c r="N19">
        <v>405</v>
      </c>
      <c r="O19">
        <v>119</v>
      </c>
      <c r="P19">
        <v>210</v>
      </c>
      <c r="Q19">
        <v>209</v>
      </c>
      <c r="R19">
        <v>289</v>
      </c>
      <c r="S19">
        <v>147</v>
      </c>
      <c r="T19">
        <v>135</v>
      </c>
      <c r="U19">
        <v>4</v>
      </c>
      <c r="V19">
        <v>2</v>
      </c>
      <c r="W19">
        <v>1</v>
      </c>
      <c r="X19">
        <v>2</v>
      </c>
      <c r="Y19">
        <v>0</v>
      </c>
      <c r="Z19">
        <v>0</v>
      </c>
      <c r="AA19">
        <v>0</v>
      </c>
      <c r="AB19">
        <v>2</v>
      </c>
      <c r="AC19">
        <v>297</v>
      </c>
      <c r="AD19" s="38">
        <v>0.25215577235704523</v>
      </c>
      <c r="AE19">
        <f t="shared" si="0"/>
        <v>15</v>
      </c>
      <c r="AF19" s="24">
        <f t="shared" si="11"/>
        <v>0.72318339100346019</v>
      </c>
      <c r="AG19" s="38">
        <f>+'[1]FA Report'!$D$42</f>
        <v>0.14285714285714288</v>
      </c>
      <c r="AH19" s="24">
        <f t="shared" si="1"/>
        <v>0.10331191300049433</v>
      </c>
      <c r="AI19" s="24">
        <f t="shared" si="2"/>
        <v>0.4671280276816609</v>
      </c>
      <c r="AJ19" s="38">
        <f>+'[1]FA Report'!$D$48</f>
        <v>7.1428571428571438E-2</v>
      </c>
      <c r="AK19" s="24">
        <f t="shared" si="3"/>
        <v>3.336628769154721E-2</v>
      </c>
      <c r="AL19" s="24">
        <f t="shared" si="4"/>
        <v>0</v>
      </c>
      <c r="AM19" s="38">
        <f>+'[1]FA Report'!$C$55</f>
        <v>0.4</v>
      </c>
      <c r="AN19" s="24">
        <f t="shared" si="5"/>
        <v>0</v>
      </c>
      <c r="AO19" s="24">
        <f t="shared" si="6"/>
        <v>6.920415224913495E-3</v>
      </c>
      <c r="AP19" s="38">
        <f>+'[1]FA Report'!$D$58</f>
        <v>0.2142857142857143</v>
      </c>
      <c r="AQ19" s="24">
        <f t="shared" si="7"/>
        <v>1.4829461196243204E-3</v>
      </c>
      <c r="AR19" s="24">
        <f t="shared" si="8"/>
        <v>0.21875</v>
      </c>
      <c r="AS19" s="38">
        <f>+'[1]FA Report'!$C$52</f>
        <v>0.3</v>
      </c>
      <c r="AT19" s="24">
        <f t="shared" si="9"/>
        <v>-6.5625000000000003E-2</v>
      </c>
      <c r="AU19" s="38">
        <f t="shared" si="10"/>
        <v>7.2536146811665855E-2</v>
      </c>
      <c r="AV19" s="24">
        <v>7.0000000000000007E-2</v>
      </c>
      <c r="AW19">
        <f t="shared" si="12"/>
        <v>0</v>
      </c>
    </row>
    <row r="20" spans="1:49" x14ac:dyDescent="0.35">
      <c r="A20" s="23">
        <v>43568</v>
      </c>
      <c r="AD20" s="38"/>
      <c r="AE20">
        <f t="shared" si="0"/>
        <v>15</v>
      </c>
      <c r="AF20" s="24" t="str">
        <f t="shared" si="11"/>
        <v/>
      </c>
      <c r="AG20" s="38">
        <f>+'[1]FA Report'!$D$42</f>
        <v>0.14285714285714288</v>
      </c>
      <c r="AH20" s="24" t="str">
        <f t="shared" si="1"/>
        <v/>
      </c>
      <c r="AI20" s="24" t="str">
        <f t="shared" si="2"/>
        <v/>
      </c>
      <c r="AJ20" s="38">
        <f>+'[1]FA Report'!$D$48</f>
        <v>7.1428571428571438E-2</v>
      </c>
      <c r="AK20" s="24" t="str">
        <f t="shared" si="3"/>
        <v/>
      </c>
      <c r="AL20" s="24" t="str">
        <f t="shared" si="4"/>
        <v/>
      </c>
      <c r="AM20" s="38">
        <f>+'[1]FA Report'!$C$55</f>
        <v>0.4</v>
      </c>
      <c r="AN20" s="24" t="str">
        <f t="shared" si="5"/>
        <v/>
      </c>
      <c r="AO20" s="24" t="str">
        <f t="shared" si="6"/>
        <v/>
      </c>
      <c r="AP20" s="38">
        <f>+'[1]FA Report'!$D$58</f>
        <v>0.2142857142857143</v>
      </c>
      <c r="AQ20" s="24" t="str">
        <f t="shared" si="7"/>
        <v/>
      </c>
      <c r="AR20" s="24" t="str">
        <f t="shared" si="8"/>
        <v/>
      </c>
      <c r="AS20" s="38">
        <f>+'[1]FA Report'!$C$52</f>
        <v>0.3</v>
      </c>
      <c r="AT20" s="24" t="str">
        <f t="shared" si="9"/>
        <v/>
      </c>
      <c r="AU20" s="38" t="str">
        <f t="shared" si="10"/>
        <v/>
      </c>
      <c r="AV20" s="24">
        <v>7.0000000000000007E-2</v>
      </c>
      <c r="AW20">
        <f t="shared" si="12"/>
        <v>0</v>
      </c>
    </row>
    <row r="21" spans="1:49" x14ac:dyDescent="0.35">
      <c r="A21" s="23">
        <v>43569</v>
      </c>
      <c r="AD21" s="38"/>
      <c r="AE21">
        <f t="shared" si="0"/>
        <v>16</v>
      </c>
      <c r="AF21" s="24" t="str">
        <f t="shared" si="11"/>
        <v/>
      </c>
      <c r="AG21" s="38">
        <f>+'[1]FA Report'!$D$42</f>
        <v>0.14285714285714288</v>
      </c>
      <c r="AH21" s="24" t="str">
        <f t="shared" si="1"/>
        <v/>
      </c>
      <c r="AI21" s="24" t="str">
        <f t="shared" si="2"/>
        <v/>
      </c>
      <c r="AJ21" s="38">
        <f>+'[1]FA Report'!$D$48</f>
        <v>7.1428571428571438E-2</v>
      </c>
      <c r="AK21" s="24" t="str">
        <f t="shared" si="3"/>
        <v/>
      </c>
      <c r="AL21" s="24" t="str">
        <f t="shared" si="4"/>
        <v/>
      </c>
      <c r="AM21" s="38">
        <f>+'[1]FA Report'!$C$55</f>
        <v>0.4</v>
      </c>
      <c r="AN21" s="24" t="str">
        <f t="shared" si="5"/>
        <v/>
      </c>
      <c r="AO21" s="24" t="str">
        <f t="shared" si="6"/>
        <v/>
      </c>
      <c r="AP21" s="38">
        <f>+'[1]FA Report'!$D$58</f>
        <v>0.2142857142857143</v>
      </c>
      <c r="AQ21" s="24" t="str">
        <f t="shared" si="7"/>
        <v/>
      </c>
      <c r="AR21" s="24" t="str">
        <f t="shared" si="8"/>
        <v/>
      </c>
      <c r="AS21" s="38">
        <f>+'[1]FA Report'!$C$52</f>
        <v>0.3</v>
      </c>
      <c r="AT21" s="24" t="str">
        <f t="shared" si="9"/>
        <v/>
      </c>
      <c r="AU21" s="38" t="str">
        <f t="shared" si="10"/>
        <v/>
      </c>
      <c r="AV21" s="24">
        <v>7.0000000000000007E-2</v>
      </c>
      <c r="AW21">
        <f t="shared" si="12"/>
        <v>1</v>
      </c>
    </row>
    <row r="22" spans="1:49" x14ac:dyDescent="0.35">
      <c r="A22" s="23">
        <v>43570</v>
      </c>
      <c r="B22">
        <v>536</v>
      </c>
      <c r="C22">
        <v>515</v>
      </c>
      <c r="D22">
        <v>21</v>
      </c>
      <c r="E22">
        <v>360</v>
      </c>
      <c r="F22">
        <v>176</v>
      </c>
      <c r="G22">
        <v>19.512621359222976</v>
      </c>
      <c r="H22">
        <v>4.4179104477611943</v>
      </c>
      <c r="I22">
        <v>0</v>
      </c>
      <c r="J22">
        <v>0</v>
      </c>
      <c r="K22">
        <v>3</v>
      </c>
      <c r="L22">
        <v>1</v>
      </c>
      <c r="M22">
        <v>210</v>
      </c>
      <c r="N22">
        <v>398</v>
      </c>
      <c r="O22">
        <v>118</v>
      </c>
      <c r="P22">
        <v>207</v>
      </c>
      <c r="Q22">
        <v>206</v>
      </c>
      <c r="R22">
        <v>290</v>
      </c>
      <c r="S22">
        <v>144</v>
      </c>
      <c r="T22">
        <v>133</v>
      </c>
      <c r="U22">
        <v>5</v>
      </c>
      <c r="V22">
        <v>3</v>
      </c>
      <c r="W22">
        <v>1</v>
      </c>
      <c r="X22">
        <v>2</v>
      </c>
      <c r="Y22">
        <v>0</v>
      </c>
      <c r="Z22">
        <v>0</v>
      </c>
      <c r="AA22">
        <v>0</v>
      </c>
      <c r="AB22">
        <v>2</v>
      </c>
      <c r="AC22">
        <v>295</v>
      </c>
      <c r="AD22" s="38">
        <v>0.25097154828605833</v>
      </c>
      <c r="AE22">
        <f t="shared" si="0"/>
        <v>16</v>
      </c>
      <c r="AF22" s="24">
        <f t="shared" si="11"/>
        <v>0.71034482758620687</v>
      </c>
      <c r="AG22" s="38">
        <f>+'[1]FA Report'!$D$42</f>
        <v>0.14285714285714288</v>
      </c>
      <c r="AH22" s="24">
        <f t="shared" si="1"/>
        <v>0.10147783251231528</v>
      </c>
      <c r="AI22" s="24">
        <f t="shared" si="2"/>
        <v>0.45862068965517239</v>
      </c>
      <c r="AJ22" s="38">
        <f>+'[1]FA Report'!$D$48</f>
        <v>7.1428571428571438E-2</v>
      </c>
      <c r="AK22" s="24">
        <f t="shared" si="3"/>
        <v>3.2758620689655175E-2</v>
      </c>
      <c r="AL22" s="24">
        <f t="shared" si="4"/>
        <v>0</v>
      </c>
      <c r="AM22" s="38">
        <f>+'[1]FA Report'!$C$55</f>
        <v>0.4</v>
      </c>
      <c r="AN22" s="24">
        <f t="shared" si="5"/>
        <v>0</v>
      </c>
      <c r="AO22" s="24">
        <f t="shared" si="6"/>
        <v>1.0344827586206896E-2</v>
      </c>
      <c r="AP22" s="38">
        <f>+'[1]FA Report'!$D$58</f>
        <v>0.2142857142857143</v>
      </c>
      <c r="AQ22" s="24">
        <f t="shared" si="7"/>
        <v>2.2167487684729066E-3</v>
      </c>
      <c r="AR22" s="24">
        <f t="shared" si="8"/>
        <v>0.22014925373134328</v>
      </c>
      <c r="AS22" s="38">
        <f>+'[1]FA Report'!$C$52</f>
        <v>0.3</v>
      </c>
      <c r="AT22" s="24">
        <f t="shared" si="9"/>
        <v>-6.6044776119402987E-2</v>
      </c>
      <c r="AU22" s="38">
        <f t="shared" si="10"/>
        <v>7.0408425851040374E-2</v>
      </c>
      <c r="AV22" s="24">
        <v>7.0000000000000007E-2</v>
      </c>
      <c r="AW22">
        <f t="shared" si="12"/>
        <v>0</v>
      </c>
    </row>
    <row r="23" spans="1:49" x14ac:dyDescent="0.35">
      <c r="A23" s="23">
        <v>43571</v>
      </c>
      <c r="B23">
        <v>526</v>
      </c>
      <c r="C23">
        <v>516</v>
      </c>
      <c r="D23">
        <v>10</v>
      </c>
      <c r="E23">
        <v>359</v>
      </c>
      <c r="F23">
        <v>167</v>
      </c>
      <c r="G23">
        <v>17.858527131786104</v>
      </c>
      <c r="H23">
        <v>4.4505703422053235</v>
      </c>
      <c r="I23">
        <v>7</v>
      </c>
      <c r="J23">
        <v>1</v>
      </c>
      <c r="K23">
        <v>60</v>
      </c>
      <c r="L23">
        <v>12</v>
      </c>
      <c r="M23">
        <v>249</v>
      </c>
      <c r="N23">
        <v>396</v>
      </c>
      <c r="O23">
        <v>121</v>
      </c>
      <c r="P23">
        <v>209</v>
      </c>
      <c r="Q23">
        <v>207</v>
      </c>
      <c r="R23">
        <v>290</v>
      </c>
      <c r="S23">
        <v>147</v>
      </c>
      <c r="T23">
        <v>136</v>
      </c>
      <c r="U23">
        <v>7</v>
      </c>
      <c r="V23">
        <v>4</v>
      </c>
      <c r="W23">
        <v>2</v>
      </c>
      <c r="X23">
        <v>3</v>
      </c>
      <c r="Y23">
        <v>2</v>
      </c>
      <c r="Z23">
        <v>1</v>
      </c>
      <c r="AA23">
        <v>0</v>
      </c>
      <c r="AB23">
        <v>2</v>
      </c>
      <c r="AC23">
        <v>294</v>
      </c>
      <c r="AD23" s="38">
        <v>0.25740279102461555</v>
      </c>
      <c r="AE23">
        <f t="shared" si="0"/>
        <v>16</v>
      </c>
      <c r="AF23" s="24">
        <f t="shared" si="11"/>
        <v>0.71379310344827585</v>
      </c>
      <c r="AG23" s="38">
        <f>+'[1]FA Report'!$D$42</f>
        <v>0.14285714285714288</v>
      </c>
      <c r="AH23" s="24">
        <f t="shared" si="1"/>
        <v>0.10197044334975371</v>
      </c>
      <c r="AI23" s="24">
        <f t="shared" si="2"/>
        <v>0.4689655172413793</v>
      </c>
      <c r="AJ23" s="38">
        <f>+'[1]FA Report'!$D$48</f>
        <v>7.1428571428571438E-2</v>
      </c>
      <c r="AK23" s="24">
        <f t="shared" si="3"/>
        <v>3.3497536945812811E-2</v>
      </c>
      <c r="AL23" s="24">
        <f t="shared" si="4"/>
        <v>3.4482758620689655E-3</v>
      </c>
      <c r="AM23" s="38">
        <f>+'[1]FA Report'!$C$55</f>
        <v>0.4</v>
      </c>
      <c r="AN23" s="24">
        <f t="shared" si="5"/>
        <v>1.3793103448275863E-3</v>
      </c>
      <c r="AO23" s="24">
        <f t="shared" si="6"/>
        <v>1.3793103448275862E-2</v>
      </c>
      <c r="AP23" s="38">
        <f>+'[1]FA Report'!$D$58</f>
        <v>0.2142857142857143</v>
      </c>
      <c r="AQ23" s="24">
        <f t="shared" si="7"/>
        <v>2.9556650246305421E-3</v>
      </c>
      <c r="AR23" s="24">
        <f t="shared" si="8"/>
        <v>0.23003802281368821</v>
      </c>
      <c r="AS23" s="38">
        <f>+'[1]FA Report'!$C$52</f>
        <v>0.3</v>
      </c>
      <c r="AT23" s="24">
        <f t="shared" si="9"/>
        <v>-6.9011406844106463E-2</v>
      </c>
      <c r="AU23" s="38">
        <f t="shared" si="10"/>
        <v>7.0791548820918163E-2</v>
      </c>
      <c r="AV23" s="24">
        <v>7.0000000000000007E-2</v>
      </c>
      <c r="AW23">
        <f t="shared" si="12"/>
        <v>0</v>
      </c>
    </row>
    <row r="24" spans="1:49" x14ac:dyDescent="0.35">
      <c r="A24" s="23">
        <v>43572</v>
      </c>
      <c r="B24">
        <v>526</v>
      </c>
      <c r="C24">
        <v>516</v>
      </c>
      <c r="D24">
        <v>10</v>
      </c>
      <c r="E24">
        <v>359</v>
      </c>
      <c r="F24">
        <v>167</v>
      </c>
      <c r="G24">
        <v>18.858527131786104</v>
      </c>
      <c r="H24">
        <v>4.4505703422053235</v>
      </c>
      <c r="I24">
        <v>60</v>
      </c>
      <c r="J24">
        <v>6</v>
      </c>
      <c r="K24">
        <v>0</v>
      </c>
      <c r="L24">
        <v>0</v>
      </c>
      <c r="M24">
        <v>249</v>
      </c>
      <c r="N24">
        <v>396</v>
      </c>
      <c r="O24">
        <v>121</v>
      </c>
      <c r="P24">
        <v>209</v>
      </c>
      <c r="Q24">
        <v>207</v>
      </c>
      <c r="R24">
        <v>290</v>
      </c>
      <c r="S24">
        <v>147</v>
      </c>
      <c r="T24">
        <v>136</v>
      </c>
      <c r="U24">
        <v>7</v>
      </c>
      <c r="V24">
        <v>4</v>
      </c>
      <c r="W24">
        <v>2</v>
      </c>
      <c r="X24">
        <v>3</v>
      </c>
      <c r="Y24">
        <v>2</v>
      </c>
      <c r="Z24">
        <v>1</v>
      </c>
      <c r="AA24">
        <v>0</v>
      </c>
      <c r="AB24">
        <v>2</v>
      </c>
      <c r="AC24">
        <v>294</v>
      </c>
      <c r="AD24" s="38">
        <v>0.25740279102461555</v>
      </c>
      <c r="AE24">
        <f t="shared" si="0"/>
        <v>16</v>
      </c>
      <c r="AF24" s="24">
        <f t="shared" si="11"/>
        <v>0.71379310344827585</v>
      </c>
      <c r="AG24" s="38">
        <f>+'[1]FA Report'!$D$42</f>
        <v>0.14285714285714288</v>
      </c>
      <c r="AH24" s="24">
        <f t="shared" si="1"/>
        <v>0.10197044334975371</v>
      </c>
      <c r="AI24" s="24">
        <f t="shared" si="2"/>
        <v>0.4689655172413793</v>
      </c>
      <c r="AJ24" s="38">
        <f>+'[1]FA Report'!$D$48</f>
        <v>7.1428571428571438E-2</v>
      </c>
      <c r="AK24" s="24">
        <f t="shared" si="3"/>
        <v>3.3497536945812811E-2</v>
      </c>
      <c r="AL24" s="24">
        <f t="shared" si="4"/>
        <v>3.4482758620689655E-3</v>
      </c>
      <c r="AM24" s="38">
        <f>+'[1]FA Report'!$C$55</f>
        <v>0.4</v>
      </c>
      <c r="AN24" s="24">
        <f t="shared" si="5"/>
        <v>1.3793103448275863E-3</v>
      </c>
      <c r="AO24" s="24">
        <f t="shared" si="6"/>
        <v>1.3793103448275862E-2</v>
      </c>
      <c r="AP24" s="38">
        <f>+'[1]FA Report'!$D$58</f>
        <v>0.2142857142857143</v>
      </c>
      <c r="AQ24" s="24">
        <f t="shared" si="7"/>
        <v>2.9556650246305421E-3</v>
      </c>
      <c r="AR24" s="24">
        <f t="shared" si="8"/>
        <v>0.23003802281368821</v>
      </c>
      <c r="AS24" s="38">
        <f>+'[1]FA Report'!$C$52</f>
        <v>0.3</v>
      </c>
      <c r="AT24" s="24">
        <f t="shared" si="9"/>
        <v>-6.9011406844106463E-2</v>
      </c>
      <c r="AU24" s="38">
        <f t="shared" si="10"/>
        <v>7.0791548820918163E-2</v>
      </c>
      <c r="AV24" s="24">
        <v>7.0000000000000007E-2</v>
      </c>
      <c r="AW24">
        <f t="shared" si="12"/>
        <v>0</v>
      </c>
    </row>
    <row r="25" spans="1:49" x14ac:dyDescent="0.35">
      <c r="A25" s="23">
        <v>43573</v>
      </c>
      <c r="B25">
        <v>523</v>
      </c>
      <c r="C25">
        <v>513</v>
      </c>
      <c r="D25">
        <v>10</v>
      </c>
      <c r="E25">
        <v>358</v>
      </c>
      <c r="F25">
        <v>165</v>
      </c>
      <c r="G25">
        <v>19.206627680308884</v>
      </c>
      <c r="H25">
        <v>4.4512428298279163</v>
      </c>
      <c r="I25">
        <v>16</v>
      </c>
      <c r="J25">
        <v>0</v>
      </c>
      <c r="K25">
        <v>0</v>
      </c>
      <c r="L25">
        <v>0</v>
      </c>
      <c r="M25">
        <v>257</v>
      </c>
      <c r="N25">
        <v>393</v>
      </c>
      <c r="O25">
        <v>120</v>
      </c>
      <c r="P25">
        <v>211</v>
      </c>
      <c r="Q25">
        <v>209</v>
      </c>
      <c r="R25">
        <v>287</v>
      </c>
      <c r="S25">
        <v>147</v>
      </c>
      <c r="T25">
        <v>136</v>
      </c>
      <c r="U25">
        <v>7</v>
      </c>
      <c r="V25">
        <v>4</v>
      </c>
      <c r="W25">
        <v>2</v>
      </c>
      <c r="X25">
        <v>3</v>
      </c>
      <c r="Y25">
        <v>2</v>
      </c>
      <c r="Z25">
        <v>1</v>
      </c>
      <c r="AA25">
        <v>0</v>
      </c>
      <c r="AB25">
        <v>2</v>
      </c>
      <c r="AC25">
        <v>296</v>
      </c>
      <c r="AD25" s="38">
        <v>0.25666861323410034</v>
      </c>
      <c r="AE25">
        <f t="shared" si="0"/>
        <v>16</v>
      </c>
      <c r="AF25" s="24">
        <f t="shared" si="11"/>
        <v>0.72822299651567945</v>
      </c>
      <c r="AG25" s="38">
        <f>+'[1]FA Report'!$D$42</f>
        <v>0.14285714285714288</v>
      </c>
      <c r="AH25" s="24">
        <f t="shared" si="1"/>
        <v>0.10403185664509708</v>
      </c>
      <c r="AI25" s="24">
        <f t="shared" si="2"/>
        <v>0.47386759581881532</v>
      </c>
      <c r="AJ25" s="38">
        <f>+'[1]FA Report'!$D$48</f>
        <v>7.1428571428571438E-2</v>
      </c>
      <c r="AK25" s="24">
        <f t="shared" si="3"/>
        <v>3.3847685415629672E-2</v>
      </c>
      <c r="AL25" s="24">
        <f t="shared" si="4"/>
        <v>3.4843205574912892E-3</v>
      </c>
      <c r="AM25" s="38">
        <f>+'[1]FA Report'!$C$55</f>
        <v>0.4</v>
      </c>
      <c r="AN25" s="24">
        <f t="shared" si="5"/>
        <v>1.3937282229965157E-3</v>
      </c>
      <c r="AO25" s="24">
        <f t="shared" si="6"/>
        <v>1.3937282229965157E-2</v>
      </c>
      <c r="AP25" s="38">
        <f>+'[1]FA Report'!$D$58</f>
        <v>0.2142857142857143</v>
      </c>
      <c r="AQ25" s="24">
        <f t="shared" si="7"/>
        <v>2.9865604778496766E-3</v>
      </c>
      <c r="AR25" s="24">
        <f t="shared" si="8"/>
        <v>0.2294455066921606</v>
      </c>
      <c r="AS25" s="38">
        <f>+'[1]FA Report'!$C$52</f>
        <v>0.3</v>
      </c>
      <c r="AT25" s="24">
        <f t="shared" si="9"/>
        <v>-6.8833652007648183E-2</v>
      </c>
      <c r="AU25" s="38">
        <f t="shared" si="10"/>
        <v>7.3426178753924765E-2</v>
      </c>
      <c r="AV25" s="24">
        <v>7.0000000000000007E-2</v>
      </c>
      <c r="AW25">
        <f t="shared" si="12"/>
        <v>0</v>
      </c>
    </row>
    <row r="26" spans="1:49" x14ac:dyDescent="0.35">
      <c r="A26" s="23">
        <v>43574</v>
      </c>
      <c r="B26">
        <v>497</v>
      </c>
      <c r="C26">
        <v>489</v>
      </c>
      <c r="D26">
        <v>8</v>
      </c>
      <c r="E26">
        <v>344</v>
      </c>
      <c r="F26">
        <v>153</v>
      </c>
      <c r="G26">
        <v>67.049079754600825</v>
      </c>
      <c r="H26">
        <v>4.507042253521127</v>
      </c>
      <c r="I26">
        <v>53</v>
      </c>
      <c r="J26">
        <v>1</v>
      </c>
      <c r="K26">
        <v>2</v>
      </c>
      <c r="L26">
        <v>2</v>
      </c>
      <c r="M26">
        <v>306</v>
      </c>
      <c r="N26">
        <v>381</v>
      </c>
      <c r="O26">
        <v>120</v>
      </c>
      <c r="P26">
        <v>216</v>
      </c>
      <c r="Q26">
        <v>213</v>
      </c>
      <c r="R26">
        <v>287</v>
      </c>
      <c r="S26">
        <v>154</v>
      </c>
      <c r="T26">
        <v>143</v>
      </c>
      <c r="U26">
        <v>13</v>
      </c>
      <c r="V26">
        <v>8</v>
      </c>
      <c r="W26">
        <v>8</v>
      </c>
      <c r="X26">
        <v>9</v>
      </c>
      <c r="Y26">
        <v>11</v>
      </c>
      <c r="Z26">
        <v>7</v>
      </c>
      <c r="AA26">
        <v>0</v>
      </c>
      <c r="AB26">
        <v>2</v>
      </c>
      <c r="AC26">
        <v>303</v>
      </c>
      <c r="AD26" s="38">
        <v>0.27036719909466467</v>
      </c>
      <c r="AE26">
        <f t="shared" si="0"/>
        <v>16</v>
      </c>
      <c r="AF26" s="24">
        <f t="shared" si="11"/>
        <v>0.74216027874564461</v>
      </c>
      <c r="AG26" s="38">
        <f>+'[1]FA Report'!$D$42</f>
        <v>0.14285714285714288</v>
      </c>
      <c r="AH26" s="24">
        <f t="shared" si="1"/>
        <v>0.10602289696366353</v>
      </c>
      <c r="AI26" s="24">
        <f t="shared" si="2"/>
        <v>0.49825783972125437</v>
      </c>
      <c r="AJ26" s="38">
        <f>+'[1]FA Report'!$D$48</f>
        <v>7.1428571428571438E-2</v>
      </c>
      <c r="AK26" s="24">
        <f t="shared" si="3"/>
        <v>3.5589845694375316E-2</v>
      </c>
      <c r="AL26" s="24">
        <f t="shared" si="4"/>
        <v>2.4390243902439025E-2</v>
      </c>
      <c r="AM26" s="38">
        <f>+'[1]FA Report'!$C$55</f>
        <v>0.4</v>
      </c>
      <c r="AN26" s="24">
        <f t="shared" si="5"/>
        <v>9.7560975609756115E-3</v>
      </c>
      <c r="AO26" s="24">
        <f t="shared" si="6"/>
        <v>2.7874564459930314E-2</v>
      </c>
      <c r="AP26" s="38">
        <f>+'[1]FA Report'!$D$58</f>
        <v>0.2142857142857143</v>
      </c>
      <c r="AQ26" s="24">
        <f t="shared" si="7"/>
        <v>5.9731209556993532E-3</v>
      </c>
      <c r="AR26" s="24">
        <f t="shared" si="8"/>
        <v>0.2414486921529175</v>
      </c>
      <c r="AS26" s="38">
        <f>+'[1]FA Report'!$C$52</f>
        <v>0.3</v>
      </c>
      <c r="AT26" s="24">
        <f t="shared" si="9"/>
        <v>-7.2434607645875254E-2</v>
      </c>
      <c r="AU26" s="38">
        <f t="shared" si="10"/>
        <v>8.4907353528838575E-2</v>
      </c>
      <c r="AV26" s="24">
        <v>7.0000000000000007E-2</v>
      </c>
      <c r="AW26">
        <f t="shared" si="12"/>
        <v>0</v>
      </c>
    </row>
    <row r="27" spans="1:49" x14ac:dyDescent="0.35">
      <c r="A27" s="23">
        <v>43575</v>
      </c>
      <c r="AD27" s="38"/>
      <c r="AE27">
        <f t="shared" si="0"/>
        <v>16</v>
      </c>
      <c r="AF27" s="24" t="str">
        <f t="shared" si="11"/>
        <v/>
      </c>
      <c r="AG27" s="38">
        <f>+'[1]FA Report'!$D$42</f>
        <v>0.14285714285714288</v>
      </c>
      <c r="AH27" s="24" t="str">
        <f t="shared" si="1"/>
        <v/>
      </c>
      <c r="AI27" s="24" t="str">
        <f t="shared" si="2"/>
        <v/>
      </c>
      <c r="AJ27" s="38">
        <f>+'[1]FA Report'!$D$48</f>
        <v>7.1428571428571438E-2</v>
      </c>
      <c r="AK27" s="24" t="str">
        <f t="shared" si="3"/>
        <v/>
      </c>
      <c r="AL27" s="24" t="str">
        <f t="shared" si="4"/>
        <v/>
      </c>
      <c r="AM27" s="38">
        <f>+'[1]FA Report'!$C$55</f>
        <v>0.4</v>
      </c>
      <c r="AN27" s="24" t="str">
        <f t="shared" si="5"/>
        <v/>
      </c>
      <c r="AO27" s="24" t="str">
        <f t="shared" si="6"/>
        <v/>
      </c>
      <c r="AP27" s="38">
        <f>+'[1]FA Report'!$D$58</f>
        <v>0.2142857142857143</v>
      </c>
      <c r="AQ27" s="24" t="str">
        <f t="shared" si="7"/>
        <v/>
      </c>
      <c r="AR27" s="24" t="str">
        <f t="shared" si="8"/>
        <v/>
      </c>
      <c r="AS27" s="38">
        <f>+'[1]FA Report'!$C$52</f>
        <v>0.3</v>
      </c>
      <c r="AT27" s="24" t="str">
        <f t="shared" si="9"/>
        <v/>
      </c>
      <c r="AU27" s="38" t="str">
        <f t="shared" si="10"/>
        <v/>
      </c>
      <c r="AV27" s="24">
        <v>7.0000000000000007E-2</v>
      </c>
      <c r="AW27">
        <f t="shared" si="12"/>
        <v>0</v>
      </c>
    </row>
    <row r="28" spans="1:49" x14ac:dyDescent="0.35">
      <c r="A28" s="23">
        <v>43576</v>
      </c>
      <c r="AD28" s="38"/>
      <c r="AE28">
        <f t="shared" si="0"/>
        <v>17</v>
      </c>
      <c r="AF28" s="24" t="str">
        <f t="shared" si="11"/>
        <v/>
      </c>
      <c r="AG28" s="38">
        <f>+'[1]FA Report'!$D$42</f>
        <v>0.14285714285714288</v>
      </c>
      <c r="AH28" s="24" t="str">
        <f t="shared" si="1"/>
        <v/>
      </c>
      <c r="AI28" s="24" t="str">
        <f t="shared" si="2"/>
        <v/>
      </c>
      <c r="AJ28" s="38">
        <f>+'[1]FA Report'!$D$48</f>
        <v>7.1428571428571438E-2</v>
      </c>
      <c r="AK28" s="24" t="str">
        <f t="shared" si="3"/>
        <v/>
      </c>
      <c r="AL28" s="24" t="str">
        <f t="shared" si="4"/>
        <v/>
      </c>
      <c r="AM28" s="38">
        <f>+'[1]FA Report'!$C$55</f>
        <v>0.4</v>
      </c>
      <c r="AN28" s="24" t="str">
        <f t="shared" si="5"/>
        <v/>
      </c>
      <c r="AO28" s="24" t="str">
        <f t="shared" si="6"/>
        <v/>
      </c>
      <c r="AP28" s="38">
        <f>+'[1]FA Report'!$D$58</f>
        <v>0.2142857142857143</v>
      </c>
      <c r="AQ28" s="24" t="str">
        <f t="shared" si="7"/>
        <v/>
      </c>
      <c r="AR28" s="24" t="str">
        <f t="shared" si="8"/>
        <v/>
      </c>
      <c r="AS28" s="38">
        <f>+'[1]FA Report'!$C$52</f>
        <v>0.3</v>
      </c>
      <c r="AT28" s="24" t="str">
        <f t="shared" si="9"/>
        <v/>
      </c>
      <c r="AU28" s="38" t="str">
        <f t="shared" si="10"/>
        <v/>
      </c>
      <c r="AV28" s="24">
        <v>9.2499999999999999E-2</v>
      </c>
      <c r="AW28">
        <f t="shared" si="12"/>
        <v>1</v>
      </c>
    </row>
    <row r="29" spans="1:49" x14ac:dyDescent="0.35">
      <c r="A29" s="23">
        <v>43577</v>
      </c>
      <c r="B29">
        <v>497</v>
      </c>
      <c r="C29">
        <v>489</v>
      </c>
      <c r="D29">
        <v>8</v>
      </c>
      <c r="E29">
        <v>344</v>
      </c>
      <c r="F29">
        <v>153</v>
      </c>
      <c r="G29">
        <v>70.049079754600825</v>
      </c>
      <c r="H29">
        <v>4.507042253521127</v>
      </c>
      <c r="I29">
        <v>0</v>
      </c>
      <c r="J29">
        <v>0</v>
      </c>
      <c r="K29">
        <v>19</v>
      </c>
      <c r="L29">
        <v>15</v>
      </c>
      <c r="M29">
        <v>306</v>
      </c>
      <c r="N29">
        <v>381</v>
      </c>
      <c r="O29">
        <v>120</v>
      </c>
      <c r="P29">
        <v>216</v>
      </c>
      <c r="Q29">
        <v>213</v>
      </c>
      <c r="R29">
        <v>287</v>
      </c>
      <c r="S29">
        <v>154</v>
      </c>
      <c r="T29">
        <v>143</v>
      </c>
      <c r="U29">
        <v>13</v>
      </c>
      <c r="V29">
        <v>8</v>
      </c>
      <c r="W29">
        <v>8</v>
      </c>
      <c r="X29">
        <v>9</v>
      </c>
      <c r="Y29">
        <v>11</v>
      </c>
      <c r="Z29">
        <v>7</v>
      </c>
      <c r="AA29">
        <v>0</v>
      </c>
      <c r="AB29">
        <v>2</v>
      </c>
      <c r="AC29">
        <v>303</v>
      </c>
      <c r="AD29" s="38">
        <v>0.27036719909466467</v>
      </c>
      <c r="AE29">
        <f t="shared" si="0"/>
        <v>17</v>
      </c>
      <c r="AF29" s="24">
        <f t="shared" si="11"/>
        <v>0.74216027874564461</v>
      </c>
      <c r="AG29" s="38">
        <f>+'[1]FA Report'!$D$42</f>
        <v>0.14285714285714288</v>
      </c>
      <c r="AH29" s="24">
        <f t="shared" si="1"/>
        <v>0.10602289696366353</v>
      </c>
      <c r="AI29" s="24">
        <f t="shared" si="2"/>
        <v>0.49825783972125437</v>
      </c>
      <c r="AJ29" s="38">
        <f>+'[1]FA Report'!$D$48</f>
        <v>7.1428571428571438E-2</v>
      </c>
      <c r="AK29" s="24">
        <f t="shared" si="3"/>
        <v>3.5589845694375316E-2</v>
      </c>
      <c r="AL29" s="24">
        <f t="shared" si="4"/>
        <v>2.4390243902439025E-2</v>
      </c>
      <c r="AM29" s="38">
        <f>+'[1]FA Report'!$C$55</f>
        <v>0.4</v>
      </c>
      <c r="AN29" s="24">
        <f t="shared" si="5"/>
        <v>9.7560975609756115E-3</v>
      </c>
      <c r="AO29" s="24">
        <f t="shared" si="6"/>
        <v>2.7874564459930314E-2</v>
      </c>
      <c r="AP29" s="38">
        <f>+'[1]FA Report'!$D$58</f>
        <v>0.2142857142857143</v>
      </c>
      <c r="AQ29" s="24">
        <f t="shared" si="7"/>
        <v>5.9731209556993532E-3</v>
      </c>
      <c r="AR29" s="24">
        <f t="shared" si="8"/>
        <v>0.2414486921529175</v>
      </c>
      <c r="AS29" s="38">
        <f>+'[1]FA Report'!$C$52</f>
        <v>0.3</v>
      </c>
      <c r="AT29" s="24">
        <f t="shared" si="9"/>
        <v>-7.2434607645875254E-2</v>
      </c>
      <c r="AU29" s="38">
        <f t="shared" si="10"/>
        <v>8.4907353528838575E-2</v>
      </c>
      <c r="AV29" s="24">
        <v>9.2499999999999999E-2</v>
      </c>
      <c r="AW29">
        <f t="shared" si="12"/>
        <v>0</v>
      </c>
    </row>
    <row r="30" spans="1:49" x14ac:dyDescent="0.35">
      <c r="A30" s="23">
        <v>43578</v>
      </c>
      <c r="B30">
        <v>497</v>
      </c>
      <c r="C30">
        <v>489</v>
      </c>
      <c r="D30">
        <v>8</v>
      </c>
      <c r="E30">
        <v>344</v>
      </c>
      <c r="F30">
        <v>153</v>
      </c>
      <c r="G30">
        <v>71.049079754600825</v>
      </c>
      <c r="H30">
        <v>4.507042253521127</v>
      </c>
      <c r="I30">
        <v>19</v>
      </c>
      <c r="J30">
        <v>3</v>
      </c>
      <c r="K30">
        <v>43</v>
      </c>
      <c r="L30">
        <v>22</v>
      </c>
      <c r="M30">
        <v>306</v>
      </c>
      <c r="N30">
        <v>381</v>
      </c>
      <c r="O30">
        <v>120</v>
      </c>
      <c r="P30">
        <v>216</v>
      </c>
      <c r="Q30">
        <v>213</v>
      </c>
      <c r="R30">
        <v>287</v>
      </c>
      <c r="S30">
        <v>154</v>
      </c>
      <c r="T30">
        <v>143</v>
      </c>
      <c r="U30">
        <v>13</v>
      </c>
      <c r="V30">
        <v>8</v>
      </c>
      <c r="W30">
        <v>8</v>
      </c>
      <c r="X30">
        <v>9</v>
      </c>
      <c r="Y30">
        <v>11</v>
      </c>
      <c r="Z30">
        <v>7</v>
      </c>
      <c r="AA30">
        <v>0</v>
      </c>
      <c r="AB30">
        <v>2</v>
      </c>
      <c r="AC30">
        <v>303</v>
      </c>
      <c r="AD30" s="38">
        <v>0.27036719909466467</v>
      </c>
      <c r="AE30">
        <f t="shared" si="0"/>
        <v>17</v>
      </c>
      <c r="AF30" s="24">
        <f t="shared" si="11"/>
        <v>0.74216027874564461</v>
      </c>
      <c r="AG30" s="38">
        <f>+'[1]FA Report'!$D$42</f>
        <v>0.14285714285714288</v>
      </c>
      <c r="AH30" s="24">
        <f t="shared" si="1"/>
        <v>0.10602289696366353</v>
      </c>
      <c r="AI30" s="24">
        <f t="shared" si="2"/>
        <v>0.49825783972125437</v>
      </c>
      <c r="AJ30" s="38">
        <f>+'[1]FA Report'!$D$48</f>
        <v>7.1428571428571438E-2</v>
      </c>
      <c r="AK30" s="24">
        <f t="shared" si="3"/>
        <v>3.5589845694375316E-2</v>
      </c>
      <c r="AL30" s="24">
        <f t="shared" si="4"/>
        <v>2.4390243902439025E-2</v>
      </c>
      <c r="AM30" s="38">
        <f>+'[1]FA Report'!$C$55</f>
        <v>0.4</v>
      </c>
      <c r="AN30" s="24">
        <f t="shared" si="5"/>
        <v>9.7560975609756115E-3</v>
      </c>
      <c r="AO30" s="24">
        <f t="shared" si="6"/>
        <v>2.7874564459930314E-2</v>
      </c>
      <c r="AP30" s="38">
        <f>+'[1]FA Report'!$D$58</f>
        <v>0.2142857142857143</v>
      </c>
      <c r="AQ30" s="24">
        <f t="shared" si="7"/>
        <v>5.9731209556993532E-3</v>
      </c>
      <c r="AR30" s="24">
        <f t="shared" si="8"/>
        <v>0.2414486921529175</v>
      </c>
      <c r="AS30" s="38">
        <f>+'[1]FA Report'!$C$52</f>
        <v>0.3</v>
      </c>
      <c r="AT30" s="24">
        <f t="shared" si="9"/>
        <v>-7.2434607645875254E-2</v>
      </c>
      <c r="AU30" s="38">
        <f t="shared" si="10"/>
        <v>8.4907353528838575E-2</v>
      </c>
      <c r="AV30" s="24">
        <v>9.2499999999999999E-2</v>
      </c>
      <c r="AW30">
        <f t="shared" si="12"/>
        <v>0</v>
      </c>
    </row>
    <row r="31" spans="1:49" x14ac:dyDescent="0.35">
      <c r="A31" s="23">
        <v>43579</v>
      </c>
      <c r="B31">
        <v>497</v>
      </c>
      <c r="C31">
        <v>489</v>
      </c>
      <c r="D31">
        <v>8</v>
      </c>
      <c r="E31">
        <v>344</v>
      </c>
      <c r="F31">
        <v>153</v>
      </c>
      <c r="G31">
        <v>72.049079754600825</v>
      </c>
      <c r="H31">
        <v>4.507042253521127</v>
      </c>
      <c r="I31">
        <v>19</v>
      </c>
      <c r="J31">
        <v>3</v>
      </c>
      <c r="K31">
        <v>0</v>
      </c>
      <c r="L31">
        <v>0</v>
      </c>
      <c r="M31">
        <v>306</v>
      </c>
      <c r="N31">
        <v>381</v>
      </c>
      <c r="O31">
        <v>120</v>
      </c>
      <c r="P31">
        <v>216</v>
      </c>
      <c r="Q31">
        <v>213</v>
      </c>
      <c r="R31">
        <v>287</v>
      </c>
      <c r="S31">
        <v>154</v>
      </c>
      <c r="T31">
        <v>143</v>
      </c>
      <c r="U31">
        <v>13</v>
      </c>
      <c r="V31">
        <v>8</v>
      </c>
      <c r="W31">
        <v>8</v>
      </c>
      <c r="X31">
        <v>9</v>
      </c>
      <c r="Y31">
        <v>11</v>
      </c>
      <c r="Z31">
        <v>7</v>
      </c>
      <c r="AA31">
        <v>0</v>
      </c>
      <c r="AB31">
        <v>2</v>
      </c>
      <c r="AC31">
        <v>303</v>
      </c>
      <c r="AD31" s="38">
        <v>0.27036719909466467</v>
      </c>
      <c r="AE31">
        <f t="shared" si="0"/>
        <v>17</v>
      </c>
      <c r="AF31" s="24">
        <f t="shared" si="11"/>
        <v>0.74216027874564461</v>
      </c>
      <c r="AG31" s="38">
        <f>+'[1]FA Report'!$D$42</f>
        <v>0.14285714285714288</v>
      </c>
      <c r="AH31" s="24">
        <f t="shared" si="1"/>
        <v>0.10602289696366353</v>
      </c>
      <c r="AI31" s="24">
        <f t="shared" si="2"/>
        <v>0.49825783972125437</v>
      </c>
      <c r="AJ31" s="38">
        <f>+'[1]FA Report'!$D$48</f>
        <v>7.1428571428571438E-2</v>
      </c>
      <c r="AK31" s="24">
        <f t="shared" si="3"/>
        <v>3.5589845694375316E-2</v>
      </c>
      <c r="AL31" s="24">
        <f t="shared" si="4"/>
        <v>2.4390243902439025E-2</v>
      </c>
      <c r="AM31" s="38">
        <f>+'[1]FA Report'!$C$55</f>
        <v>0.4</v>
      </c>
      <c r="AN31" s="24">
        <f t="shared" si="5"/>
        <v>9.7560975609756115E-3</v>
      </c>
      <c r="AO31" s="24">
        <f t="shared" si="6"/>
        <v>2.7874564459930314E-2</v>
      </c>
      <c r="AP31" s="38">
        <f>+'[1]FA Report'!$D$58</f>
        <v>0.2142857142857143</v>
      </c>
      <c r="AQ31" s="24">
        <f t="shared" si="7"/>
        <v>5.9731209556993532E-3</v>
      </c>
      <c r="AR31" s="24">
        <f t="shared" si="8"/>
        <v>0.2414486921529175</v>
      </c>
      <c r="AS31" s="38">
        <f>+'[1]FA Report'!$C$52</f>
        <v>0.3</v>
      </c>
      <c r="AT31" s="24">
        <f t="shared" si="9"/>
        <v>-7.2434607645875254E-2</v>
      </c>
      <c r="AU31" s="38">
        <f t="shared" si="10"/>
        <v>8.4907353528838575E-2</v>
      </c>
      <c r="AV31" s="24">
        <v>9.2499999999999999E-2</v>
      </c>
      <c r="AW31">
        <f t="shared" si="12"/>
        <v>0</v>
      </c>
    </row>
    <row r="32" spans="1:49" x14ac:dyDescent="0.35">
      <c r="A32" s="23">
        <v>43580</v>
      </c>
      <c r="B32">
        <v>588</v>
      </c>
      <c r="C32">
        <v>579</v>
      </c>
      <c r="D32">
        <v>9</v>
      </c>
      <c r="E32">
        <v>340</v>
      </c>
      <c r="F32">
        <v>248</v>
      </c>
      <c r="G32">
        <v>69.272884283243911</v>
      </c>
      <c r="H32">
        <v>4.3703071672354952</v>
      </c>
      <c r="I32">
        <v>0</v>
      </c>
      <c r="J32">
        <v>0</v>
      </c>
      <c r="K32">
        <v>0</v>
      </c>
      <c r="L32">
        <v>0</v>
      </c>
      <c r="M32">
        <v>0</v>
      </c>
      <c r="N32">
        <v>392</v>
      </c>
      <c r="O32">
        <v>108</v>
      </c>
      <c r="P32">
        <v>129</v>
      </c>
      <c r="Q32">
        <v>129</v>
      </c>
      <c r="R32">
        <v>235</v>
      </c>
      <c r="S32">
        <v>84</v>
      </c>
      <c r="T32">
        <v>77</v>
      </c>
      <c r="U32">
        <v>0</v>
      </c>
      <c r="V32">
        <v>0</v>
      </c>
      <c r="W32">
        <v>1</v>
      </c>
      <c r="X32">
        <v>2</v>
      </c>
      <c r="Y32">
        <v>0</v>
      </c>
      <c r="Z32">
        <v>0</v>
      </c>
      <c r="AA32">
        <v>0</v>
      </c>
      <c r="AB32">
        <v>0</v>
      </c>
      <c r="AC32">
        <v>245</v>
      </c>
      <c r="AD32" s="38">
        <v>0.1865475582945734</v>
      </c>
      <c r="AE32">
        <f t="shared" si="0"/>
        <v>17</v>
      </c>
      <c r="AF32" s="24">
        <f t="shared" si="11"/>
        <v>0.54893617021276597</v>
      </c>
      <c r="AG32" s="38">
        <f>+'[1]FA Report'!$D$42</f>
        <v>0.14285714285714288</v>
      </c>
      <c r="AH32" s="24">
        <f t="shared" si="1"/>
        <v>7.8419452887538002E-2</v>
      </c>
      <c r="AI32" s="24">
        <f t="shared" si="2"/>
        <v>0.32765957446808508</v>
      </c>
      <c r="AJ32" s="38">
        <f>+'[1]FA Report'!$D$48</f>
        <v>7.1428571428571438E-2</v>
      </c>
      <c r="AK32" s="24">
        <f t="shared" si="3"/>
        <v>2.3404255319148939E-2</v>
      </c>
      <c r="AL32" s="24">
        <f t="shared" si="4"/>
        <v>0</v>
      </c>
      <c r="AM32" s="38">
        <f>+'[1]FA Report'!$C$55</f>
        <v>0.4</v>
      </c>
      <c r="AN32" s="24">
        <f t="shared" si="5"/>
        <v>0</v>
      </c>
      <c r="AO32" s="24">
        <f t="shared" si="6"/>
        <v>0</v>
      </c>
      <c r="AP32" s="38">
        <f>+'[1]FA Report'!$D$58</f>
        <v>0.2142857142857143</v>
      </c>
      <c r="AQ32" s="24">
        <f t="shared" si="7"/>
        <v>0</v>
      </c>
      <c r="AR32" s="24">
        <f t="shared" si="8"/>
        <v>0.18367346938775511</v>
      </c>
      <c r="AS32" s="38">
        <f>+'[1]FA Report'!$C$52</f>
        <v>0.3</v>
      </c>
      <c r="AT32" s="24">
        <f t="shared" si="9"/>
        <v>-5.5102040816326532E-2</v>
      </c>
      <c r="AU32" s="38">
        <f t="shared" si="10"/>
        <v>4.6721667390360412E-2</v>
      </c>
      <c r="AV32" s="24">
        <v>9.2499999999999999E-2</v>
      </c>
      <c r="AW32">
        <f t="shared" si="12"/>
        <v>0</v>
      </c>
    </row>
    <row r="33" spans="1:49" x14ac:dyDescent="0.35">
      <c r="A33" s="23">
        <v>43581</v>
      </c>
      <c r="B33">
        <v>588</v>
      </c>
      <c r="C33">
        <v>579</v>
      </c>
      <c r="D33">
        <v>9</v>
      </c>
      <c r="E33">
        <v>340</v>
      </c>
      <c r="F33">
        <v>248</v>
      </c>
      <c r="G33">
        <v>70.272884283243911</v>
      </c>
      <c r="H33">
        <v>4.3703071672354952</v>
      </c>
      <c r="I33">
        <v>0</v>
      </c>
      <c r="J33">
        <v>0</v>
      </c>
      <c r="K33">
        <v>0</v>
      </c>
      <c r="L33">
        <v>0</v>
      </c>
      <c r="M33">
        <v>0</v>
      </c>
      <c r="N33">
        <v>392</v>
      </c>
      <c r="O33">
        <v>108</v>
      </c>
      <c r="P33">
        <v>129</v>
      </c>
      <c r="Q33">
        <v>129</v>
      </c>
      <c r="R33">
        <v>235</v>
      </c>
      <c r="S33">
        <v>84</v>
      </c>
      <c r="T33">
        <v>77</v>
      </c>
      <c r="U33">
        <v>0</v>
      </c>
      <c r="V33">
        <v>0</v>
      </c>
      <c r="W33">
        <v>1</v>
      </c>
      <c r="X33">
        <v>2</v>
      </c>
      <c r="Y33">
        <v>0</v>
      </c>
      <c r="Z33">
        <v>0</v>
      </c>
      <c r="AA33">
        <v>0</v>
      </c>
      <c r="AB33">
        <v>0</v>
      </c>
      <c r="AC33">
        <v>245</v>
      </c>
      <c r="AD33" s="38">
        <v>0.1865475582945734</v>
      </c>
      <c r="AE33">
        <f t="shared" si="0"/>
        <v>17</v>
      </c>
      <c r="AF33" s="24">
        <f t="shared" si="11"/>
        <v>0.54893617021276597</v>
      </c>
      <c r="AG33" s="38">
        <f>+'[1]FA Report'!$D$42</f>
        <v>0.14285714285714288</v>
      </c>
      <c r="AH33" s="24">
        <f t="shared" si="1"/>
        <v>7.8419452887538002E-2</v>
      </c>
      <c r="AI33" s="24">
        <f t="shared" si="2"/>
        <v>0.32765957446808508</v>
      </c>
      <c r="AJ33" s="38">
        <f>+'[1]FA Report'!$D$48</f>
        <v>7.1428571428571438E-2</v>
      </c>
      <c r="AK33" s="24">
        <f t="shared" si="3"/>
        <v>2.3404255319148939E-2</v>
      </c>
      <c r="AL33" s="24">
        <f t="shared" si="4"/>
        <v>0</v>
      </c>
      <c r="AM33" s="38">
        <f>+'[1]FA Report'!$C$55</f>
        <v>0.4</v>
      </c>
      <c r="AN33" s="24">
        <f t="shared" si="5"/>
        <v>0</v>
      </c>
      <c r="AO33" s="24">
        <f t="shared" si="6"/>
        <v>0</v>
      </c>
      <c r="AP33" s="38">
        <f>+'[1]FA Report'!$D$58</f>
        <v>0.2142857142857143</v>
      </c>
      <c r="AQ33" s="24">
        <f t="shared" si="7"/>
        <v>0</v>
      </c>
      <c r="AR33" s="24">
        <f t="shared" si="8"/>
        <v>0.18367346938775511</v>
      </c>
      <c r="AS33" s="38">
        <f>+'[1]FA Report'!$C$52</f>
        <v>0.3</v>
      </c>
      <c r="AT33" s="24">
        <f t="shared" si="9"/>
        <v>-5.5102040816326532E-2</v>
      </c>
      <c r="AU33" s="38">
        <f t="shared" si="10"/>
        <v>4.6721667390360412E-2</v>
      </c>
      <c r="AV33" s="24">
        <v>9.2499999999999999E-2</v>
      </c>
      <c r="AW33">
        <f t="shared" si="12"/>
        <v>0</v>
      </c>
    </row>
    <row r="34" spans="1:49" x14ac:dyDescent="0.35">
      <c r="A34" s="23">
        <v>43582</v>
      </c>
      <c r="AD34" s="38"/>
      <c r="AE34">
        <f t="shared" ref="AE34:AE65" si="13">WEEKNUM(A34)</f>
        <v>17</v>
      </c>
      <c r="AF34" s="24" t="str">
        <f t="shared" si="11"/>
        <v/>
      </c>
      <c r="AG34" s="38">
        <f>+'[1]FA Report'!$D$42</f>
        <v>0.14285714285714288</v>
      </c>
      <c r="AH34" s="24" t="str">
        <f t="shared" ref="AH34:AH65" si="14">IFERROR(+AF34*AG34,"")</f>
        <v/>
      </c>
      <c r="AI34" s="24" t="str">
        <f t="shared" ref="AI34:AI65" si="15">IFERROR(T34/$R34,"")</f>
        <v/>
      </c>
      <c r="AJ34" s="38">
        <f>+'[1]FA Report'!$D$48</f>
        <v>7.1428571428571438E-2</v>
      </c>
      <c r="AK34" s="24" t="str">
        <f t="shared" ref="AK34:AK65" si="16">IFERROR(+AI34*AJ34,"")</f>
        <v/>
      </c>
      <c r="AL34" s="24" t="str">
        <f t="shared" ref="AL34:AL65" si="17">IFERROR(+Z34/R34,"")</f>
        <v/>
      </c>
      <c r="AM34" s="38">
        <f>+'[1]FA Report'!$C$55</f>
        <v>0.4</v>
      </c>
      <c r="AN34" s="24" t="str">
        <f t="shared" ref="AN34:AN65" si="18">IFERROR(+AL34*AM34,"")</f>
        <v/>
      </c>
      <c r="AO34" s="24" t="str">
        <f t="shared" ref="AO34:AO65" si="19">IFERROR(V34/$R34,"")</f>
        <v/>
      </c>
      <c r="AP34" s="38">
        <f>+'[1]FA Report'!$D$58</f>
        <v>0.2142857142857143</v>
      </c>
      <c r="AQ34" s="24" t="str">
        <f t="shared" ref="AQ34:AQ65" si="20">IFERROR(+AO34*AP34,"")</f>
        <v/>
      </c>
      <c r="AR34" s="24" t="str">
        <f t="shared" ref="AR34:AR65" si="21">IFERROR(O34/$B34,"")</f>
        <v/>
      </c>
      <c r="AS34" s="38">
        <f>+'[1]FA Report'!$C$52</f>
        <v>0.3</v>
      </c>
      <c r="AT34" s="24" t="str">
        <f t="shared" ref="AT34:AT65" si="22">IFERROR(-AR34*AS34,"")</f>
        <v/>
      </c>
      <c r="AU34" s="38" t="str">
        <f t="shared" ref="AU34:AU65" si="23">IFERROR(+AH34+AK34+AN34+AQ34+AT34,"")</f>
        <v/>
      </c>
      <c r="AV34" s="24">
        <v>9.2499999999999999E-2</v>
      </c>
      <c r="AW34">
        <f t="shared" si="12"/>
        <v>0</v>
      </c>
    </row>
    <row r="35" spans="1:49" x14ac:dyDescent="0.35">
      <c r="A35" s="23">
        <v>43583</v>
      </c>
      <c r="AD35" s="38"/>
      <c r="AE35">
        <f t="shared" si="13"/>
        <v>18</v>
      </c>
      <c r="AF35" s="24" t="str">
        <f t="shared" ref="AF35:AF66" si="24">IFERROR(Q35/R35,"")</f>
        <v/>
      </c>
      <c r="AG35" s="38">
        <f>+'[1]FA Report'!$D$42</f>
        <v>0.14285714285714288</v>
      </c>
      <c r="AH35" s="24" t="str">
        <f t="shared" si="14"/>
        <v/>
      </c>
      <c r="AI35" s="24" t="str">
        <f t="shared" si="15"/>
        <v/>
      </c>
      <c r="AJ35" s="38">
        <f>+'[1]FA Report'!$D$48</f>
        <v>7.1428571428571438E-2</v>
      </c>
      <c r="AK35" s="24" t="str">
        <f t="shared" si="16"/>
        <v/>
      </c>
      <c r="AL35" s="24" t="str">
        <f t="shared" si="17"/>
        <v/>
      </c>
      <c r="AM35" s="38">
        <f>+'[1]FA Report'!$C$55</f>
        <v>0.4</v>
      </c>
      <c r="AN35" s="24" t="str">
        <f t="shared" si="18"/>
        <v/>
      </c>
      <c r="AO35" s="24" t="str">
        <f t="shared" si="19"/>
        <v/>
      </c>
      <c r="AP35" s="38">
        <f>+'[1]FA Report'!$D$58</f>
        <v>0.2142857142857143</v>
      </c>
      <c r="AQ35" s="24" t="str">
        <f t="shared" si="20"/>
        <v/>
      </c>
      <c r="AR35" s="24" t="str">
        <f t="shared" si="21"/>
        <v/>
      </c>
      <c r="AS35" s="38">
        <f>+'[1]FA Report'!$C$52</f>
        <v>0.3</v>
      </c>
      <c r="AT35" s="24" t="str">
        <f t="shared" si="22"/>
        <v/>
      </c>
      <c r="AU35" s="38" t="str">
        <f t="shared" si="23"/>
        <v/>
      </c>
      <c r="AV35" s="24">
        <v>0.11499999999999999</v>
      </c>
      <c r="AW35">
        <f t="shared" si="12"/>
        <v>1</v>
      </c>
    </row>
    <row r="36" spans="1:49" x14ac:dyDescent="0.35">
      <c r="A36" s="23">
        <v>43584</v>
      </c>
      <c r="B36">
        <v>588</v>
      </c>
      <c r="C36">
        <v>579</v>
      </c>
      <c r="D36">
        <v>9</v>
      </c>
      <c r="E36">
        <v>340</v>
      </c>
      <c r="F36">
        <v>248</v>
      </c>
      <c r="G36">
        <v>73.272884283243911</v>
      </c>
      <c r="H36">
        <v>4.3703071672354952</v>
      </c>
      <c r="I36">
        <v>0</v>
      </c>
      <c r="J36">
        <v>0</v>
      </c>
      <c r="K36">
        <v>0</v>
      </c>
      <c r="L36">
        <v>0</v>
      </c>
      <c r="M36">
        <v>0</v>
      </c>
      <c r="N36">
        <v>392</v>
      </c>
      <c r="O36">
        <v>108</v>
      </c>
      <c r="P36">
        <v>129</v>
      </c>
      <c r="Q36">
        <v>129</v>
      </c>
      <c r="R36">
        <v>235</v>
      </c>
      <c r="S36">
        <v>84</v>
      </c>
      <c r="T36">
        <v>77</v>
      </c>
      <c r="U36">
        <v>0</v>
      </c>
      <c r="V36">
        <v>0</v>
      </c>
      <c r="W36">
        <v>1</v>
      </c>
      <c r="X36">
        <v>2</v>
      </c>
      <c r="Y36">
        <v>0</v>
      </c>
      <c r="Z36">
        <v>0</v>
      </c>
      <c r="AA36">
        <v>0</v>
      </c>
      <c r="AB36">
        <v>0</v>
      </c>
      <c r="AC36">
        <v>245</v>
      </c>
      <c r="AD36" s="38">
        <v>0.1865475582945734</v>
      </c>
      <c r="AE36">
        <f t="shared" si="13"/>
        <v>18</v>
      </c>
      <c r="AF36" s="24">
        <f t="shared" si="24"/>
        <v>0.54893617021276597</v>
      </c>
      <c r="AG36" s="38">
        <f>+'[1]FA Report'!$D$42</f>
        <v>0.14285714285714288</v>
      </c>
      <c r="AH36" s="24">
        <f t="shared" si="14"/>
        <v>7.8419452887538002E-2</v>
      </c>
      <c r="AI36" s="24">
        <f t="shared" si="15"/>
        <v>0.32765957446808508</v>
      </c>
      <c r="AJ36" s="38">
        <f>+'[1]FA Report'!$D$48</f>
        <v>7.1428571428571438E-2</v>
      </c>
      <c r="AK36" s="24">
        <f t="shared" si="16"/>
        <v>2.3404255319148939E-2</v>
      </c>
      <c r="AL36" s="24">
        <f t="shared" si="17"/>
        <v>0</v>
      </c>
      <c r="AM36" s="38">
        <f>+'[1]FA Report'!$C$55</f>
        <v>0.4</v>
      </c>
      <c r="AN36" s="24">
        <f t="shared" si="18"/>
        <v>0</v>
      </c>
      <c r="AO36" s="24">
        <f t="shared" si="19"/>
        <v>0</v>
      </c>
      <c r="AP36" s="38">
        <f>+'[1]FA Report'!$D$58</f>
        <v>0.2142857142857143</v>
      </c>
      <c r="AQ36" s="24">
        <f t="shared" si="20"/>
        <v>0</v>
      </c>
      <c r="AR36" s="24">
        <f t="shared" si="21"/>
        <v>0.18367346938775511</v>
      </c>
      <c r="AS36" s="38">
        <f>+'[1]FA Report'!$C$52</f>
        <v>0.3</v>
      </c>
      <c r="AT36" s="24">
        <f t="shared" si="22"/>
        <v>-5.5102040816326532E-2</v>
      </c>
      <c r="AU36" s="38">
        <f t="shared" si="23"/>
        <v>4.6721667390360412E-2</v>
      </c>
      <c r="AV36" s="24">
        <v>0.11499999999999999</v>
      </c>
      <c r="AW36">
        <f t="shared" si="12"/>
        <v>0</v>
      </c>
    </row>
    <row r="37" spans="1:49" x14ac:dyDescent="0.35">
      <c r="A37" s="23">
        <v>43585</v>
      </c>
      <c r="B37">
        <v>481</v>
      </c>
      <c r="C37">
        <v>472</v>
      </c>
      <c r="D37">
        <v>9</v>
      </c>
      <c r="E37">
        <v>341</v>
      </c>
      <c r="F37">
        <v>140</v>
      </c>
      <c r="G37">
        <v>18.330508474573435</v>
      </c>
      <c r="H37">
        <v>4.5114345114345111</v>
      </c>
      <c r="I37">
        <v>58</v>
      </c>
      <c r="J37">
        <v>23</v>
      </c>
      <c r="K37">
        <v>6</v>
      </c>
      <c r="L37">
        <v>4</v>
      </c>
      <c r="M37">
        <v>0</v>
      </c>
      <c r="N37">
        <v>112</v>
      </c>
      <c r="O37">
        <v>42</v>
      </c>
      <c r="P37">
        <v>227</v>
      </c>
      <c r="Q37">
        <v>222</v>
      </c>
      <c r="R37">
        <v>290</v>
      </c>
      <c r="S37">
        <v>166</v>
      </c>
      <c r="T37">
        <v>156</v>
      </c>
      <c r="U37">
        <v>19</v>
      </c>
      <c r="V37">
        <v>14</v>
      </c>
      <c r="W37">
        <v>11</v>
      </c>
      <c r="X37">
        <v>12</v>
      </c>
      <c r="Y37">
        <v>14</v>
      </c>
      <c r="Z37">
        <v>11</v>
      </c>
      <c r="AA37">
        <v>1</v>
      </c>
      <c r="AB37">
        <v>2</v>
      </c>
      <c r="AC37">
        <v>306</v>
      </c>
      <c r="AD37" s="38">
        <v>0.25988785539032822</v>
      </c>
      <c r="AE37">
        <f t="shared" si="13"/>
        <v>18</v>
      </c>
      <c r="AF37" s="24">
        <f t="shared" si="24"/>
        <v>0.76551724137931032</v>
      </c>
      <c r="AG37" s="38">
        <f>+'[1]FA Report'!$D$42</f>
        <v>0.14285714285714288</v>
      </c>
      <c r="AH37" s="24">
        <f t="shared" si="14"/>
        <v>0.10935960591133007</v>
      </c>
      <c r="AI37" s="24">
        <f t="shared" si="15"/>
        <v>0.53793103448275859</v>
      </c>
      <c r="AJ37" s="38">
        <f>+'[1]FA Report'!$D$48</f>
        <v>7.1428571428571438E-2</v>
      </c>
      <c r="AK37" s="24">
        <f t="shared" si="16"/>
        <v>3.8423645320197049E-2</v>
      </c>
      <c r="AL37" s="24">
        <f t="shared" si="17"/>
        <v>3.793103448275862E-2</v>
      </c>
      <c r="AM37" s="38">
        <f>+'[1]FA Report'!$C$55</f>
        <v>0.4</v>
      </c>
      <c r="AN37" s="24">
        <f t="shared" si="18"/>
        <v>1.5172413793103448E-2</v>
      </c>
      <c r="AO37" s="24">
        <f t="shared" si="19"/>
        <v>4.8275862068965517E-2</v>
      </c>
      <c r="AP37" s="38">
        <f>+'[1]FA Report'!$D$58</f>
        <v>0.2142857142857143</v>
      </c>
      <c r="AQ37" s="24">
        <f t="shared" si="20"/>
        <v>1.0344827586206896E-2</v>
      </c>
      <c r="AR37" s="24">
        <f t="shared" si="21"/>
        <v>8.7318087318087323E-2</v>
      </c>
      <c r="AS37" s="38">
        <f>+'[1]FA Report'!$C$52</f>
        <v>0.3</v>
      </c>
      <c r="AT37" s="24">
        <f t="shared" si="22"/>
        <v>-2.6195426195426197E-2</v>
      </c>
      <c r="AU37" s="38">
        <f t="shared" si="23"/>
        <v>0.14710506641541124</v>
      </c>
      <c r="AV37" s="24">
        <v>0.11499999999999999</v>
      </c>
      <c r="AW37">
        <f t="shared" si="12"/>
        <v>0</v>
      </c>
    </row>
    <row r="38" spans="1:49" x14ac:dyDescent="0.35">
      <c r="A38" s="23">
        <v>43586</v>
      </c>
      <c r="B38">
        <v>472</v>
      </c>
      <c r="C38">
        <v>463</v>
      </c>
      <c r="D38">
        <v>9</v>
      </c>
      <c r="E38">
        <v>335</v>
      </c>
      <c r="F38">
        <v>137</v>
      </c>
      <c r="G38">
        <v>17.453563714901975</v>
      </c>
      <c r="H38">
        <v>4.5084745762711869</v>
      </c>
      <c r="I38">
        <v>30</v>
      </c>
      <c r="J38">
        <v>14</v>
      </c>
      <c r="K38">
        <v>13</v>
      </c>
      <c r="L38">
        <v>3</v>
      </c>
      <c r="M38">
        <v>0</v>
      </c>
      <c r="N38">
        <v>236</v>
      </c>
      <c r="O38">
        <v>118</v>
      </c>
      <c r="P38">
        <v>260</v>
      </c>
      <c r="Q38">
        <v>223</v>
      </c>
      <c r="R38">
        <v>286</v>
      </c>
      <c r="S38">
        <v>169</v>
      </c>
      <c r="T38">
        <v>159</v>
      </c>
      <c r="U38">
        <v>22</v>
      </c>
      <c r="V38">
        <v>18</v>
      </c>
      <c r="W38">
        <v>13</v>
      </c>
      <c r="X38">
        <v>14</v>
      </c>
      <c r="Y38">
        <v>15</v>
      </c>
      <c r="Z38">
        <v>12</v>
      </c>
      <c r="AA38">
        <v>2</v>
      </c>
      <c r="AB38">
        <v>2</v>
      </c>
      <c r="AC38">
        <v>313</v>
      </c>
      <c r="AD38" s="38">
        <v>0.30544140986133517</v>
      </c>
      <c r="AE38">
        <f t="shared" si="13"/>
        <v>18</v>
      </c>
      <c r="AF38" s="24">
        <f t="shared" si="24"/>
        <v>0.77972027972027969</v>
      </c>
      <c r="AG38" s="38">
        <f>+'[1]FA Report'!$D$42</f>
        <v>0.14285714285714288</v>
      </c>
      <c r="AH38" s="24">
        <f t="shared" si="14"/>
        <v>0.11138861138861141</v>
      </c>
      <c r="AI38" s="24">
        <f t="shared" si="15"/>
        <v>0.55594405594405594</v>
      </c>
      <c r="AJ38" s="38">
        <f>+'[1]FA Report'!$D$48</f>
        <v>7.1428571428571438E-2</v>
      </c>
      <c r="AK38" s="24">
        <f t="shared" si="16"/>
        <v>3.9710289710289719E-2</v>
      </c>
      <c r="AL38" s="24">
        <f t="shared" si="17"/>
        <v>4.195804195804196E-2</v>
      </c>
      <c r="AM38" s="38">
        <f>+'[1]FA Report'!$C$55</f>
        <v>0.4</v>
      </c>
      <c r="AN38" s="24">
        <f t="shared" si="18"/>
        <v>1.6783216783216783E-2</v>
      </c>
      <c r="AO38" s="24">
        <f t="shared" si="19"/>
        <v>6.2937062937062943E-2</v>
      </c>
      <c r="AP38" s="38">
        <f>+'[1]FA Report'!$D$58</f>
        <v>0.2142857142857143</v>
      </c>
      <c r="AQ38" s="24">
        <f t="shared" si="20"/>
        <v>1.348651348651349E-2</v>
      </c>
      <c r="AR38" s="24">
        <f t="shared" si="21"/>
        <v>0.25</v>
      </c>
      <c r="AS38" s="38">
        <f>+'[1]FA Report'!$C$52</f>
        <v>0.3</v>
      </c>
      <c r="AT38" s="24">
        <f t="shared" si="22"/>
        <v>-7.4999999999999997E-2</v>
      </c>
      <c r="AU38" s="38">
        <f t="shared" si="23"/>
        <v>0.10636863136863141</v>
      </c>
      <c r="AV38" s="24">
        <v>0.11499999999999999</v>
      </c>
      <c r="AW38">
        <f t="shared" si="12"/>
        <v>0</v>
      </c>
    </row>
    <row r="39" spans="1:49" x14ac:dyDescent="0.35">
      <c r="A39" s="23">
        <v>43587</v>
      </c>
      <c r="B39">
        <v>468</v>
      </c>
      <c r="C39">
        <v>463</v>
      </c>
      <c r="D39">
        <v>5</v>
      </c>
      <c r="E39">
        <v>334</v>
      </c>
      <c r="F39">
        <v>134</v>
      </c>
      <c r="G39">
        <v>17.3326133909286</v>
      </c>
      <c r="H39">
        <v>4.5213675213675213</v>
      </c>
      <c r="I39">
        <v>41</v>
      </c>
      <c r="J39">
        <v>9</v>
      </c>
      <c r="K39">
        <v>0</v>
      </c>
      <c r="L39">
        <v>0</v>
      </c>
      <c r="M39">
        <v>0</v>
      </c>
      <c r="N39">
        <v>235</v>
      </c>
      <c r="O39">
        <v>118</v>
      </c>
      <c r="P39">
        <v>306</v>
      </c>
      <c r="Q39">
        <v>224</v>
      </c>
      <c r="R39">
        <v>285</v>
      </c>
      <c r="S39">
        <v>169</v>
      </c>
      <c r="T39">
        <v>159</v>
      </c>
      <c r="U39">
        <v>23</v>
      </c>
      <c r="V39">
        <v>19</v>
      </c>
      <c r="W39">
        <v>13</v>
      </c>
      <c r="X39">
        <v>14</v>
      </c>
      <c r="Y39">
        <v>15</v>
      </c>
      <c r="Z39">
        <v>12</v>
      </c>
      <c r="AA39">
        <v>2</v>
      </c>
      <c r="AB39">
        <v>2</v>
      </c>
      <c r="AC39">
        <v>328</v>
      </c>
      <c r="AD39" s="38">
        <v>0.30232754440838477</v>
      </c>
      <c r="AE39">
        <f t="shared" si="13"/>
        <v>18</v>
      </c>
      <c r="AF39" s="24">
        <f t="shared" si="24"/>
        <v>0.78596491228070176</v>
      </c>
      <c r="AG39" s="38">
        <f>+'[1]FA Report'!$D$42</f>
        <v>0.14285714285714288</v>
      </c>
      <c r="AH39" s="24">
        <f t="shared" si="14"/>
        <v>0.11228070175438598</v>
      </c>
      <c r="AI39" s="24">
        <f t="shared" si="15"/>
        <v>0.55789473684210522</v>
      </c>
      <c r="AJ39" s="38">
        <f>+'[1]FA Report'!$D$48</f>
        <v>7.1428571428571438E-2</v>
      </c>
      <c r="AK39" s="24">
        <f t="shared" si="16"/>
        <v>3.9849624060150378E-2</v>
      </c>
      <c r="AL39" s="24">
        <f t="shared" si="17"/>
        <v>4.2105263157894736E-2</v>
      </c>
      <c r="AM39" s="38">
        <f>+'[1]FA Report'!$C$55</f>
        <v>0.4</v>
      </c>
      <c r="AN39" s="24">
        <f t="shared" si="18"/>
        <v>1.6842105263157894E-2</v>
      </c>
      <c r="AO39" s="24">
        <f t="shared" si="19"/>
        <v>6.6666666666666666E-2</v>
      </c>
      <c r="AP39" s="38">
        <f>+'[1]FA Report'!$D$58</f>
        <v>0.2142857142857143</v>
      </c>
      <c r="AQ39" s="24">
        <f t="shared" si="20"/>
        <v>1.4285714285714287E-2</v>
      </c>
      <c r="AR39" s="24">
        <f t="shared" si="21"/>
        <v>0.25213675213675213</v>
      </c>
      <c r="AS39" s="38">
        <f>+'[1]FA Report'!$C$52</f>
        <v>0.3</v>
      </c>
      <c r="AT39" s="24">
        <f t="shared" si="22"/>
        <v>-7.5641025641025636E-2</v>
      </c>
      <c r="AU39" s="38">
        <f t="shared" si="23"/>
        <v>0.10761711972238293</v>
      </c>
      <c r="AV39" s="24">
        <v>0.11499999999999999</v>
      </c>
      <c r="AW39">
        <f t="shared" ref="AW39:AW70" si="25">+AE39-AE38</f>
        <v>0</v>
      </c>
    </row>
    <row r="40" spans="1:49" x14ac:dyDescent="0.35">
      <c r="A40" s="23">
        <v>43588</v>
      </c>
      <c r="B40">
        <v>439</v>
      </c>
      <c r="C40">
        <v>434</v>
      </c>
      <c r="D40">
        <v>5</v>
      </c>
      <c r="E40">
        <v>315</v>
      </c>
      <c r="F40">
        <v>124</v>
      </c>
      <c r="G40">
        <v>16.520737327191455</v>
      </c>
      <c r="H40">
        <v>4.571753986332574</v>
      </c>
      <c r="I40">
        <v>28</v>
      </c>
      <c r="J40">
        <v>2</v>
      </c>
      <c r="K40">
        <v>4</v>
      </c>
      <c r="L40">
        <v>2</v>
      </c>
      <c r="M40">
        <v>0</v>
      </c>
      <c r="N40">
        <v>221</v>
      </c>
      <c r="O40">
        <v>114</v>
      </c>
      <c r="P40">
        <v>353</v>
      </c>
      <c r="Q40">
        <v>215</v>
      </c>
      <c r="R40">
        <v>271</v>
      </c>
      <c r="S40">
        <v>169</v>
      </c>
      <c r="T40">
        <v>158</v>
      </c>
      <c r="U40">
        <v>26</v>
      </c>
      <c r="V40">
        <v>20</v>
      </c>
      <c r="W40">
        <v>14</v>
      </c>
      <c r="X40">
        <v>15</v>
      </c>
      <c r="Y40">
        <v>15</v>
      </c>
      <c r="Z40">
        <v>12</v>
      </c>
      <c r="AA40">
        <v>2</v>
      </c>
      <c r="AB40">
        <v>2</v>
      </c>
      <c r="AC40">
        <v>367</v>
      </c>
      <c r="AD40">
        <v>0.2740481916873424</v>
      </c>
      <c r="AE40">
        <f t="shared" si="13"/>
        <v>18</v>
      </c>
      <c r="AF40" s="24">
        <f t="shared" si="24"/>
        <v>0.79335793357933582</v>
      </c>
      <c r="AG40" s="38">
        <f>+'[1]FA Report'!$D$42</f>
        <v>0.14285714285714288</v>
      </c>
      <c r="AH40" s="24">
        <f t="shared" si="14"/>
        <v>0.11333684765419084</v>
      </c>
      <c r="AI40" s="24">
        <f t="shared" si="15"/>
        <v>0.58302583025830257</v>
      </c>
      <c r="AJ40" s="38">
        <f>+'[1]FA Report'!$D$48</f>
        <v>7.1428571428571438E-2</v>
      </c>
      <c r="AK40" s="24">
        <f t="shared" si="16"/>
        <v>4.1644702161307334E-2</v>
      </c>
      <c r="AL40" s="24">
        <f t="shared" si="17"/>
        <v>4.4280442804428041E-2</v>
      </c>
      <c r="AM40" s="38">
        <f>+'[1]FA Report'!$C$55</f>
        <v>0.4</v>
      </c>
      <c r="AN40" s="24">
        <f t="shared" si="18"/>
        <v>1.7712177121771217E-2</v>
      </c>
      <c r="AO40" s="24">
        <f t="shared" si="19"/>
        <v>7.3800738007380073E-2</v>
      </c>
      <c r="AP40" s="38">
        <f>+'[1]FA Report'!$D$58</f>
        <v>0.2142857142857143</v>
      </c>
      <c r="AQ40" s="24">
        <f t="shared" si="20"/>
        <v>1.5814443858724301E-2</v>
      </c>
      <c r="AR40" s="24">
        <f t="shared" si="21"/>
        <v>0.25968109339407747</v>
      </c>
      <c r="AS40" s="38">
        <f>+'[1]FA Report'!$C$52</f>
        <v>0.3</v>
      </c>
      <c r="AT40" s="24">
        <f t="shared" si="22"/>
        <v>-7.7904328018223237E-2</v>
      </c>
      <c r="AU40" s="38">
        <f t="shared" si="23"/>
        <v>0.11060384277777045</v>
      </c>
      <c r="AV40" s="24">
        <v>0.11499999999999999</v>
      </c>
      <c r="AW40">
        <f t="shared" si="25"/>
        <v>0</v>
      </c>
    </row>
    <row r="41" spans="1:49" x14ac:dyDescent="0.35">
      <c r="A41" s="23">
        <v>43589</v>
      </c>
      <c r="AE41">
        <f t="shared" si="13"/>
        <v>18</v>
      </c>
      <c r="AF41" s="24" t="str">
        <f t="shared" si="24"/>
        <v/>
      </c>
      <c r="AG41" s="38">
        <f>+'[1]FA Report'!$D$42</f>
        <v>0.14285714285714288</v>
      </c>
      <c r="AH41" s="24" t="str">
        <f t="shared" si="14"/>
        <v/>
      </c>
      <c r="AI41" s="24" t="str">
        <f t="shared" si="15"/>
        <v/>
      </c>
      <c r="AJ41" s="38">
        <f>+'[1]FA Report'!$D$48</f>
        <v>7.1428571428571438E-2</v>
      </c>
      <c r="AK41" s="24" t="str">
        <f t="shared" si="16"/>
        <v/>
      </c>
      <c r="AL41" s="24" t="str">
        <f t="shared" si="17"/>
        <v/>
      </c>
      <c r="AM41" s="38">
        <f>+'[1]FA Report'!$C$55</f>
        <v>0.4</v>
      </c>
      <c r="AN41" s="24" t="str">
        <f t="shared" si="18"/>
        <v/>
      </c>
      <c r="AO41" s="24" t="str">
        <f t="shared" si="19"/>
        <v/>
      </c>
      <c r="AP41" s="38">
        <f>+'[1]FA Report'!$D$58</f>
        <v>0.2142857142857143</v>
      </c>
      <c r="AQ41" s="24" t="str">
        <f t="shared" si="20"/>
        <v/>
      </c>
      <c r="AR41" s="24" t="str">
        <f t="shared" si="21"/>
        <v/>
      </c>
      <c r="AS41" s="38">
        <f>+'[1]FA Report'!$C$52</f>
        <v>0.3</v>
      </c>
      <c r="AT41" s="24" t="str">
        <f t="shared" si="22"/>
        <v/>
      </c>
      <c r="AU41" s="38" t="str">
        <f t="shared" si="23"/>
        <v/>
      </c>
      <c r="AV41" s="24">
        <v>0.11499999999999999</v>
      </c>
      <c r="AW41">
        <f t="shared" si="25"/>
        <v>0</v>
      </c>
    </row>
    <row r="42" spans="1:49" x14ac:dyDescent="0.35">
      <c r="A42" s="23">
        <v>43590</v>
      </c>
      <c r="AE42">
        <f t="shared" si="13"/>
        <v>19</v>
      </c>
      <c r="AF42" s="24" t="str">
        <f t="shared" si="24"/>
        <v/>
      </c>
      <c r="AG42" s="38">
        <f>+'[1]FA Report'!$D$42</f>
        <v>0.14285714285714288</v>
      </c>
      <c r="AH42" s="24" t="str">
        <f t="shared" si="14"/>
        <v/>
      </c>
      <c r="AI42" s="24" t="str">
        <f t="shared" si="15"/>
        <v/>
      </c>
      <c r="AJ42" s="38">
        <f>+'[1]FA Report'!$D$48</f>
        <v>7.1428571428571438E-2</v>
      </c>
      <c r="AK42" s="24" t="str">
        <f t="shared" si="16"/>
        <v/>
      </c>
      <c r="AL42" s="24" t="str">
        <f t="shared" si="17"/>
        <v/>
      </c>
      <c r="AM42" s="38">
        <f>+'[1]FA Report'!$C$55</f>
        <v>0.4</v>
      </c>
      <c r="AN42" s="24" t="str">
        <f t="shared" si="18"/>
        <v/>
      </c>
      <c r="AO42" s="24" t="str">
        <f t="shared" si="19"/>
        <v/>
      </c>
      <c r="AP42" s="38">
        <f>+'[1]FA Report'!$D$58</f>
        <v>0.2142857142857143</v>
      </c>
      <c r="AQ42" s="24" t="str">
        <f t="shared" si="20"/>
        <v/>
      </c>
      <c r="AR42" s="24" t="str">
        <f t="shared" si="21"/>
        <v/>
      </c>
      <c r="AS42" s="38">
        <f>+'[1]FA Report'!$C$52</f>
        <v>0.3</v>
      </c>
      <c r="AT42" s="24" t="str">
        <f t="shared" si="22"/>
        <v/>
      </c>
      <c r="AU42" s="38" t="str">
        <f t="shared" si="23"/>
        <v/>
      </c>
      <c r="AV42" s="24">
        <v>0.13749999999999998</v>
      </c>
      <c r="AW42">
        <f t="shared" si="25"/>
        <v>1</v>
      </c>
    </row>
    <row r="43" spans="1:49" x14ac:dyDescent="0.35">
      <c r="A43" s="23">
        <v>43591</v>
      </c>
      <c r="B43">
        <v>439</v>
      </c>
      <c r="C43">
        <v>434</v>
      </c>
      <c r="D43">
        <v>5</v>
      </c>
      <c r="E43">
        <v>315</v>
      </c>
      <c r="F43">
        <v>124</v>
      </c>
      <c r="G43">
        <v>19.520737327191455</v>
      </c>
      <c r="H43">
        <v>4.571753986332574</v>
      </c>
      <c r="I43">
        <v>4</v>
      </c>
      <c r="J43">
        <v>2</v>
      </c>
      <c r="K43">
        <v>0</v>
      </c>
      <c r="L43">
        <v>0</v>
      </c>
      <c r="M43">
        <v>0</v>
      </c>
      <c r="N43">
        <v>221</v>
      </c>
      <c r="O43">
        <v>114</v>
      </c>
      <c r="P43">
        <v>353</v>
      </c>
      <c r="Q43">
        <v>215</v>
      </c>
      <c r="R43">
        <v>271</v>
      </c>
      <c r="S43">
        <v>169</v>
      </c>
      <c r="T43">
        <v>158</v>
      </c>
      <c r="U43">
        <v>26</v>
      </c>
      <c r="V43">
        <v>20</v>
      </c>
      <c r="W43">
        <v>14</v>
      </c>
      <c r="X43">
        <v>15</v>
      </c>
      <c r="Y43">
        <v>15</v>
      </c>
      <c r="Z43">
        <v>12</v>
      </c>
      <c r="AA43">
        <v>2</v>
      </c>
      <c r="AB43">
        <v>2</v>
      </c>
      <c r="AC43">
        <v>367</v>
      </c>
      <c r="AD43">
        <v>0.2740481916873424</v>
      </c>
      <c r="AE43">
        <f t="shared" si="13"/>
        <v>19</v>
      </c>
      <c r="AF43" s="24">
        <f t="shared" si="24"/>
        <v>0.79335793357933582</v>
      </c>
      <c r="AG43" s="38">
        <f>+'[1]FA Report'!$D$42</f>
        <v>0.14285714285714288</v>
      </c>
      <c r="AH43" s="24">
        <f t="shared" si="14"/>
        <v>0.11333684765419084</v>
      </c>
      <c r="AI43" s="24">
        <f t="shared" si="15"/>
        <v>0.58302583025830257</v>
      </c>
      <c r="AJ43" s="38">
        <f>+'[1]FA Report'!$D$48</f>
        <v>7.1428571428571438E-2</v>
      </c>
      <c r="AK43" s="24">
        <f t="shared" si="16"/>
        <v>4.1644702161307334E-2</v>
      </c>
      <c r="AL43" s="24">
        <f t="shared" si="17"/>
        <v>4.4280442804428041E-2</v>
      </c>
      <c r="AM43" s="38">
        <f>+'[1]FA Report'!$C$55</f>
        <v>0.4</v>
      </c>
      <c r="AN43" s="24">
        <f t="shared" si="18"/>
        <v>1.7712177121771217E-2</v>
      </c>
      <c r="AO43" s="24">
        <f t="shared" si="19"/>
        <v>7.3800738007380073E-2</v>
      </c>
      <c r="AP43" s="38">
        <f>+'[1]FA Report'!$D$58</f>
        <v>0.2142857142857143</v>
      </c>
      <c r="AQ43" s="24">
        <f t="shared" si="20"/>
        <v>1.5814443858724301E-2</v>
      </c>
      <c r="AR43" s="24">
        <f t="shared" si="21"/>
        <v>0.25968109339407747</v>
      </c>
      <c r="AS43" s="38">
        <f>+'[1]FA Report'!$C$52</f>
        <v>0.3</v>
      </c>
      <c r="AT43" s="24">
        <f t="shared" si="22"/>
        <v>-7.7904328018223237E-2</v>
      </c>
      <c r="AU43" s="38">
        <f t="shared" si="23"/>
        <v>0.11060384277777045</v>
      </c>
      <c r="AV43" s="24">
        <v>0.13749999999999998</v>
      </c>
      <c r="AW43">
        <f t="shared" si="25"/>
        <v>0</v>
      </c>
    </row>
    <row r="44" spans="1:49" x14ac:dyDescent="0.35">
      <c r="A44" s="23">
        <v>43592</v>
      </c>
      <c r="B44">
        <v>426</v>
      </c>
      <c r="C44">
        <v>414</v>
      </c>
      <c r="D44">
        <v>12</v>
      </c>
      <c r="E44">
        <v>304</v>
      </c>
      <c r="F44">
        <v>122</v>
      </c>
      <c r="G44">
        <v>18.292270531397662</v>
      </c>
      <c r="H44">
        <v>4.636150234741784</v>
      </c>
      <c r="I44">
        <v>29</v>
      </c>
      <c r="J44">
        <v>7</v>
      </c>
      <c r="K44">
        <v>0</v>
      </c>
      <c r="L44">
        <v>0</v>
      </c>
      <c r="M44">
        <v>0</v>
      </c>
      <c r="N44">
        <v>217</v>
      </c>
      <c r="O44">
        <v>108</v>
      </c>
      <c r="P44">
        <v>361</v>
      </c>
      <c r="Q44">
        <v>212</v>
      </c>
      <c r="R44">
        <v>264</v>
      </c>
      <c r="S44">
        <v>166</v>
      </c>
      <c r="T44">
        <v>156</v>
      </c>
      <c r="U44">
        <v>29</v>
      </c>
      <c r="V44">
        <v>22</v>
      </c>
      <c r="W44">
        <v>14</v>
      </c>
      <c r="X44">
        <v>15</v>
      </c>
      <c r="Y44">
        <v>15</v>
      </c>
      <c r="Z44">
        <v>12</v>
      </c>
      <c r="AA44">
        <v>2</v>
      </c>
      <c r="AB44">
        <v>2</v>
      </c>
      <c r="AC44">
        <v>371</v>
      </c>
      <c r="AD44">
        <v>0.27020480635501171</v>
      </c>
      <c r="AE44">
        <f t="shared" si="13"/>
        <v>19</v>
      </c>
      <c r="AF44" s="24">
        <f t="shared" si="24"/>
        <v>0.80303030303030298</v>
      </c>
      <c r="AG44" s="38">
        <f>+'[1]FA Report'!$D$42</f>
        <v>0.14285714285714288</v>
      </c>
      <c r="AH44" s="24">
        <f t="shared" si="14"/>
        <v>0.11471861471861473</v>
      </c>
      <c r="AI44" s="24">
        <f t="shared" si="15"/>
        <v>0.59090909090909094</v>
      </c>
      <c r="AJ44" s="38">
        <f>+'[1]FA Report'!$D$48</f>
        <v>7.1428571428571438E-2</v>
      </c>
      <c r="AK44" s="24">
        <f t="shared" si="16"/>
        <v>4.2207792207792215E-2</v>
      </c>
      <c r="AL44" s="24">
        <f t="shared" si="17"/>
        <v>4.5454545454545456E-2</v>
      </c>
      <c r="AM44" s="38">
        <f>+'[1]FA Report'!$C$55</f>
        <v>0.4</v>
      </c>
      <c r="AN44" s="24">
        <f t="shared" si="18"/>
        <v>1.8181818181818184E-2</v>
      </c>
      <c r="AO44" s="24">
        <f t="shared" si="19"/>
        <v>8.3333333333333329E-2</v>
      </c>
      <c r="AP44" s="38">
        <f>+'[1]FA Report'!$D$58</f>
        <v>0.2142857142857143</v>
      </c>
      <c r="AQ44" s="24">
        <f t="shared" si="20"/>
        <v>1.7857142857142856E-2</v>
      </c>
      <c r="AR44" s="24">
        <f t="shared" si="21"/>
        <v>0.25352112676056338</v>
      </c>
      <c r="AS44" s="38">
        <f>+'[1]FA Report'!$C$52</f>
        <v>0.3</v>
      </c>
      <c r="AT44" s="24">
        <f t="shared" si="22"/>
        <v>-7.605633802816901E-2</v>
      </c>
      <c r="AU44" s="38">
        <f t="shared" si="23"/>
        <v>0.11690902993719897</v>
      </c>
      <c r="AV44" s="24">
        <v>0.13749999999999998</v>
      </c>
      <c r="AW44">
        <f t="shared" si="25"/>
        <v>0</v>
      </c>
    </row>
    <row r="45" spans="1:49" x14ac:dyDescent="0.35">
      <c r="A45" s="23">
        <v>43593</v>
      </c>
      <c r="B45">
        <v>393</v>
      </c>
      <c r="C45">
        <v>387</v>
      </c>
      <c r="D45">
        <v>6</v>
      </c>
      <c r="E45">
        <v>287</v>
      </c>
      <c r="F45">
        <v>106</v>
      </c>
      <c r="G45">
        <v>16.736434108526737</v>
      </c>
      <c r="H45">
        <v>4.6793893129770989</v>
      </c>
      <c r="I45">
        <v>34</v>
      </c>
      <c r="J45">
        <v>11</v>
      </c>
      <c r="K45">
        <v>0</v>
      </c>
      <c r="L45">
        <v>0</v>
      </c>
      <c r="M45">
        <v>0</v>
      </c>
      <c r="N45">
        <v>202</v>
      </c>
      <c r="O45">
        <v>101</v>
      </c>
      <c r="P45">
        <v>336</v>
      </c>
      <c r="Q45">
        <v>209</v>
      </c>
      <c r="R45">
        <v>253</v>
      </c>
      <c r="S45">
        <v>166</v>
      </c>
      <c r="T45">
        <v>156</v>
      </c>
      <c r="U45">
        <v>32</v>
      </c>
      <c r="V45">
        <v>25</v>
      </c>
      <c r="W45">
        <v>19</v>
      </c>
      <c r="X45">
        <v>20</v>
      </c>
      <c r="Y45">
        <v>20</v>
      </c>
      <c r="Z45">
        <v>15</v>
      </c>
      <c r="AA45">
        <v>2</v>
      </c>
      <c r="AB45">
        <v>2</v>
      </c>
      <c r="AC45">
        <v>345</v>
      </c>
      <c r="AD45">
        <v>0.29205200694869604</v>
      </c>
      <c r="AE45">
        <f t="shared" si="13"/>
        <v>19</v>
      </c>
      <c r="AF45" s="24">
        <f t="shared" si="24"/>
        <v>0.82608695652173914</v>
      </c>
      <c r="AG45" s="38">
        <f>+'[1]FA Report'!$D$42</f>
        <v>0.14285714285714288</v>
      </c>
      <c r="AH45" s="24">
        <f t="shared" si="14"/>
        <v>0.11801242236024846</v>
      </c>
      <c r="AI45" s="24">
        <f t="shared" si="15"/>
        <v>0.61660079051383399</v>
      </c>
      <c r="AJ45" s="38">
        <f>+'[1]FA Report'!$D$48</f>
        <v>7.1428571428571438E-2</v>
      </c>
      <c r="AK45" s="24">
        <f t="shared" si="16"/>
        <v>4.4042913608131007E-2</v>
      </c>
      <c r="AL45" s="24">
        <f t="shared" si="17"/>
        <v>5.9288537549407112E-2</v>
      </c>
      <c r="AM45" s="38">
        <f>+'[1]FA Report'!$C$55</f>
        <v>0.4</v>
      </c>
      <c r="AN45" s="24">
        <f t="shared" si="18"/>
        <v>2.3715415019762848E-2</v>
      </c>
      <c r="AO45" s="24">
        <f t="shared" si="19"/>
        <v>9.8814229249011856E-2</v>
      </c>
      <c r="AP45" s="38">
        <f>+'[1]FA Report'!$D$58</f>
        <v>0.2142857142857143</v>
      </c>
      <c r="AQ45" s="24">
        <f t="shared" si="20"/>
        <v>2.1174477696216828E-2</v>
      </c>
      <c r="AR45" s="24">
        <f t="shared" si="21"/>
        <v>0.25699745547073793</v>
      </c>
      <c r="AS45" s="38">
        <f>+'[1]FA Report'!$C$52</f>
        <v>0.3</v>
      </c>
      <c r="AT45" s="24">
        <f t="shared" si="22"/>
        <v>-7.7099236641221383E-2</v>
      </c>
      <c r="AU45" s="38">
        <f t="shared" si="23"/>
        <v>0.12984599204313774</v>
      </c>
      <c r="AV45" s="24">
        <v>0.13749999999999998</v>
      </c>
      <c r="AW45">
        <f t="shared" si="25"/>
        <v>0</v>
      </c>
    </row>
    <row r="46" spans="1:49" x14ac:dyDescent="0.35">
      <c r="A46" s="23">
        <v>43594</v>
      </c>
      <c r="B46">
        <v>340</v>
      </c>
      <c r="C46">
        <v>333</v>
      </c>
      <c r="D46">
        <v>7</v>
      </c>
      <c r="E46">
        <v>263</v>
      </c>
      <c r="F46">
        <v>77</v>
      </c>
      <c r="G46">
        <v>13.744744744741183</v>
      </c>
      <c r="H46">
        <v>4.7676470588235293</v>
      </c>
      <c r="I46">
        <v>39</v>
      </c>
      <c r="J46">
        <v>14</v>
      </c>
      <c r="K46">
        <v>0</v>
      </c>
      <c r="L46">
        <v>0</v>
      </c>
      <c r="M46">
        <v>0</v>
      </c>
      <c r="N46">
        <v>178</v>
      </c>
      <c r="O46">
        <v>90</v>
      </c>
      <c r="P46">
        <v>290</v>
      </c>
      <c r="Q46">
        <v>196</v>
      </c>
      <c r="R46">
        <v>229</v>
      </c>
      <c r="S46">
        <v>159</v>
      </c>
      <c r="T46">
        <v>146</v>
      </c>
      <c r="U46">
        <v>35</v>
      </c>
      <c r="V46">
        <v>30</v>
      </c>
      <c r="W46">
        <v>22</v>
      </c>
      <c r="X46">
        <v>22</v>
      </c>
      <c r="Y46">
        <v>21</v>
      </c>
      <c r="Z46">
        <v>16</v>
      </c>
      <c r="AA46">
        <v>2</v>
      </c>
      <c r="AB46">
        <v>2</v>
      </c>
      <c r="AC46">
        <v>299</v>
      </c>
      <c r="AD46">
        <v>0.31931394424754678</v>
      </c>
      <c r="AE46">
        <f t="shared" si="13"/>
        <v>19</v>
      </c>
      <c r="AF46" s="24">
        <f t="shared" si="24"/>
        <v>0.85589519650655022</v>
      </c>
      <c r="AG46" s="38">
        <f>+'[1]FA Report'!$D$42</f>
        <v>0.14285714285714288</v>
      </c>
      <c r="AH46" s="24">
        <f t="shared" si="14"/>
        <v>0.12227074235807862</v>
      </c>
      <c r="AI46" s="24">
        <f t="shared" si="15"/>
        <v>0.63755458515283847</v>
      </c>
      <c r="AJ46" s="38">
        <f>+'[1]FA Report'!$D$48</f>
        <v>7.1428571428571438E-2</v>
      </c>
      <c r="AK46" s="24">
        <f t="shared" si="16"/>
        <v>4.5539613225202752E-2</v>
      </c>
      <c r="AL46" s="24">
        <f t="shared" si="17"/>
        <v>6.9868995633187769E-2</v>
      </c>
      <c r="AM46" s="38">
        <f>+'[1]FA Report'!$C$55</f>
        <v>0.4</v>
      </c>
      <c r="AN46" s="24">
        <f t="shared" si="18"/>
        <v>2.794759825327511E-2</v>
      </c>
      <c r="AO46" s="24">
        <f t="shared" si="19"/>
        <v>0.13100436681222707</v>
      </c>
      <c r="AP46" s="38">
        <f>+'[1]FA Report'!$D$58</f>
        <v>0.2142857142857143</v>
      </c>
      <c r="AQ46" s="24">
        <f t="shared" si="20"/>
        <v>2.8072364316905803E-2</v>
      </c>
      <c r="AR46" s="24">
        <f t="shared" si="21"/>
        <v>0.26470588235294118</v>
      </c>
      <c r="AS46" s="38">
        <f>+'[1]FA Report'!$C$52</f>
        <v>0.3</v>
      </c>
      <c r="AT46" s="24">
        <f t="shared" si="22"/>
        <v>-7.9411764705882348E-2</v>
      </c>
      <c r="AU46" s="38">
        <f t="shared" si="23"/>
        <v>0.14441855344757995</v>
      </c>
      <c r="AV46" s="24">
        <v>0.13749999999999998</v>
      </c>
      <c r="AW46">
        <f t="shared" si="25"/>
        <v>0</v>
      </c>
    </row>
    <row r="47" spans="1:49" x14ac:dyDescent="0.35">
      <c r="A47" s="23">
        <v>43595</v>
      </c>
      <c r="B47">
        <v>338</v>
      </c>
      <c r="C47">
        <v>332</v>
      </c>
      <c r="D47">
        <v>6</v>
      </c>
      <c r="E47">
        <v>262</v>
      </c>
      <c r="F47">
        <v>76</v>
      </c>
      <c r="G47">
        <v>11.578313253012311</v>
      </c>
      <c r="H47">
        <v>4.7633136094674553</v>
      </c>
      <c r="I47">
        <v>54</v>
      </c>
      <c r="J47">
        <v>20</v>
      </c>
      <c r="K47">
        <v>0</v>
      </c>
      <c r="L47">
        <v>0</v>
      </c>
      <c r="M47">
        <v>0</v>
      </c>
      <c r="N47">
        <v>178</v>
      </c>
      <c r="O47">
        <v>89</v>
      </c>
      <c r="P47">
        <v>289</v>
      </c>
      <c r="Q47">
        <v>197</v>
      </c>
      <c r="R47">
        <v>228</v>
      </c>
      <c r="S47">
        <v>162</v>
      </c>
      <c r="T47">
        <v>148</v>
      </c>
      <c r="U47">
        <v>37</v>
      </c>
      <c r="V47">
        <v>34</v>
      </c>
      <c r="W47">
        <v>23</v>
      </c>
      <c r="X47">
        <v>23</v>
      </c>
      <c r="Y47">
        <v>21</v>
      </c>
      <c r="Z47">
        <v>16</v>
      </c>
      <c r="AA47">
        <v>2</v>
      </c>
      <c r="AB47">
        <v>3</v>
      </c>
      <c r="AC47">
        <v>299</v>
      </c>
      <c r="AD47">
        <v>0.32709075592772052</v>
      </c>
      <c r="AE47">
        <f t="shared" si="13"/>
        <v>19</v>
      </c>
      <c r="AF47" s="24">
        <f t="shared" si="24"/>
        <v>0.86403508771929827</v>
      </c>
      <c r="AG47" s="38">
        <f>+'[1]FA Report'!$D$42</f>
        <v>0.14285714285714288</v>
      </c>
      <c r="AH47" s="24">
        <f t="shared" si="14"/>
        <v>0.12343358395989977</v>
      </c>
      <c r="AI47" s="24">
        <f t="shared" si="15"/>
        <v>0.64912280701754388</v>
      </c>
      <c r="AJ47" s="38">
        <f>+'[1]FA Report'!$D$48</f>
        <v>7.1428571428571438E-2</v>
      </c>
      <c r="AK47" s="24">
        <f t="shared" si="16"/>
        <v>4.6365914786967423E-2</v>
      </c>
      <c r="AL47" s="24">
        <f t="shared" si="17"/>
        <v>7.0175438596491224E-2</v>
      </c>
      <c r="AM47" s="38">
        <f>+'[1]FA Report'!$C$55</f>
        <v>0.4</v>
      </c>
      <c r="AN47" s="24">
        <f t="shared" si="18"/>
        <v>2.8070175438596492E-2</v>
      </c>
      <c r="AO47" s="24">
        <f t="shared" si="19"/>
        <v>0.14912280701754385</v>
      </c>
      <c r="AP47" s="38">
        <f>+'[1]FA Report'!$D$58</f>
        <v>0.2142857142857143</v>
      </c>
      <c r="AQ47" s="24">
        <f t="shared" si="20"/>
        <v>3.1954887218045111E-2</v>
      </c>
      <c r="AR47" s="24">
        <f t="shared" si="21"/>
        <v>0.26331360946745563</v>
      </c>
      <c r="AS47" s="38">
        <f>+'[1]FA Report'!$C$52</f>
        <v>0.3</v>
      </c>
      <c r="AT47" s="24">
        <f t="shared" si="22"/>
        <v>-7.8994082840236693E-2</v>
      </c>
      <c r="AU47" s="38">
        <f t="shared" si="23"/>
        <v>0.15083047856327214</v>
      </c>
      <c r="AV47" s="24">
        <v>0.13749999999999998</v>
      </c>
      <c r="AW47">
        <f t="shared" si="25"/>
        <v>0</v>
      </c>
    </row>
    <row r="48" spans="1:49" x14ac:dyDescent="0.35">
      <c r="A48" s="23">
        <v>43596</v>
      </c>
      <c r="AE48">
        <f t="shared" si="13"/>
        <v>19</v>
      </c>
      <c r="AF48" s="24" t="str">
        <f t="shared" si="24"/>
        <v/>
      </c>
      <c r="AG48" s="38">
        <f>+'[1]FA Report'!$D$42</f>
        <v>0.14285714285714288</v>
      </c>
      <c r="AH48" s="24" t="str">
        <f t="shared" si="14"/>
        <v/>
      </c>
      <c r="AI48" s="24" t="str">
        <f t="shared" si="15"/>
        <v/>
      </c>
      <c r="AJ48" s="38">
        <f>+'[1]FA Report'!$D$48</f>
        <v>7.1428571428571438E-2</v>
      </c>
      <c r="AK48" s="24" t="str">
        <f t="shared" si="16"/>
        <v/>
      </c>
      <c r="AL48" s="24" t="str">
        <f t="shared" si="17"/>
        <v/>
      </c>
      <c r="AM48" s="38">
        <f>+'[1]FA Report'!$C$55</f>
        <v>0.4</v>
      </c>
      <c r="AN48" s="24" t="str">
        <f t="shared" si="18"/>
        <v/>
      </c>
      <c r="AO48" s="24" t="str">
        <f t="shared" si="19"/>
        <v/>
      </c>
      <c r="AP48" s="38">
        <f>+'[1]FA Report'!$D$58</f>
        <v>0.2142857142857143</v>
      </c>
      <c r="AQ48" s="24" t="str">
        <f t="shared" si="20"/>
        <v/>
      </c>
      <c r="AR48" s="24" t="str">
        <f t="shared" si="21"/>
        <v/>
      </c>
      <c r="AS48" s="38">
        <f>+'[1]FA Report'!$C$52</f>
        <v>0.3</v>
      </c>
      <c r="AT48" s="24" t="str">
        <f t="shared" si="22"/>
        <v/>
      </c>
      <c r="AU48" s="38" t="str">
        <f t="shared" si="23"/>
        <v/>
      </c>
      <c r="AV48" s="24">
        <v>0.13749999999999998</v>
      </c>
      <c r="AW48">
        <f t="shared" si="25"/>
        <v>0</v>
      </c>
    </row>
    <row r="49" spans="1:49" x14ac:dyDescent="0.35">
      <c r="A49" s="23">
        <v>43597</v>
      </c>
      <c r="AE49">
        <f t="shared" si="13"/>
        <v>20</v>
      </c>
      <c r="AF49" s="24" t="str">
        <f t="shared" si="24"/>
        <v/>
      </c>
      <c r="AG49" s="38">
        <f>+'[1]FA Report'!$D$42</f>
        <v>0.14285714285714288</v>
      </c>
      <c r="AH49" s="24" t="str">
        <f t="shared" si="14"/>
        <v/>
      </c>
      <c r="AI49" s="24" t="str">
        <f t="shared" si="15"/>
        <v/>
      </c>
      <c r="AJ49" s="38">
        <f>+'[1]FA Report'!$D$48</f>
        <v>7.1428571428571438E-2</v>
      </c>
      <c r="AK49" s="24" t="str">
        <f t="shared" si="16"/>
        <v/>
      </c>
      <c r="AL49" s="24" t="str">
        <f t="shared" si="17"/>
        <v/>
      </c>
      <c r="AM49" s="38">
        <f>+'[1]FA Report'!$C$55</f>
        <v>0.4</v>
      </c>
      <c r="AN49" s="24" t="str">
        <f t="shared" si="18"/>
        <v/>
      </c>
      <c r="AO49" s="24" t="str">
        <f t="shared" si="19"/>
        <v/>
      </c>
      <c r="AP49" s="38">
        <f>+'[1]FA Report'!$D$58</f>
        <v>0.2142857142857143</v>
      </c>
      <c r="AQ49" s="24" t="str">
        <f t="shared" si="20"/>
        <v/>
      </c>
      <c r="AR49" s="24" t="str">
        <f t="shared" si="21"/>
        <v/>
      </c>
      <c r="AS49" s="38">
        <f>+'[1]FA Report'!$C$52</f>
        <v>0.3</v>
      </c>
      <c r="AT49" s="24" t="str">
        <f t="shared" si="22"/>
        <v/>
      </c>
      <c r="AU49" s="38" t="str">
        <f t="shared" si="23"/>
        <v/>
      </c>
      <c r="AV49" s="24">
        <v>0.15999999999999998</v>
      </c>
      <c r="AW49">
        <f t="shared" si="25"/>
        <v>1</v>
      </c>
    </row>
    <row r="50" spans="1:49" x14ac:dyDescent="0.35">
      <c r="A50" s="23">
        <v>43598</v>
      </c>
      <c r="B50">
        <v>333</v>
      </c>
      <c r="C50">
        <v>322</v>
      </c>
      <c r="D50">
        <v>11</v>
      </c>
      <c r="E50">
        <v>256</v>
      </c>
      <c r="F50">
        <v>77</v>
      </c>
      <c r="G50">
        <v>12.894409937885939</v>
      </c>
      <c r="H50">
        <v>4.8258258258258255</v>
      </c>
      <c r="I50">
        <v>6</v>
      </c>
      <c r="J50">
        <v>4</v>
      </c>
      <c r="K50">
        <v>24</v>
      </c>
      <c r="L50">
        <v>15</v>
      </c>
      <c r="M50">
        <v>0</v>
      </c>
      <c r="N50">
        <v>177</v>
      </c>
      <c r="O50">
        <v>88</v>
      </c>
      <c r="P50">
        <v>281</v>
      </c>
      <c r="Q50">
        <v>196</v>
      </c>
      <c r="R50">
        <v>228</v>
      </c>
      <c r="S50">
        <v>162</v>
      </c>
      <c r="T50">
        <v>148</v>
      </c>
      <c r="U50">
        <v>40</v>
      </c>
      <c r="V50">
        <v>39</v>
      </c>
      <c r="W50">
        <v>27</v>
      </c>
      <c r="X50">
        <v>27</v>
      </c>
      <c r="Y50">
        <v>23</v>
      </c>
      <c r="Z50">
        <v>16</v>
      </c>
      <c r="AA50">
        <v>2</v>
      </c>
      <c r="AB50">
        <v>4</v>
      </c>
      <c r="AC50">
        <v>291</v>
      </c>
      <c r="AD50">
        <v>0.34297981669474775</v>
      </c>
      <c r="AE50">
        <f t="shared" si="13"/>
        <v>20</v>
      </c>
      <c r="AF50" s="24">
        <f t="shared" si="24"/>
        <v>0.85964912280701755</v>
      </c>
      <c r="AG50" s="38">
        <f>+'[1]FA Report'!$D$42</f>
        <v>0.14285714285714288</v>
      </c>
      <c r="AH50" s="24">
        <f t="shared" si="14"/>
        <v>0.12280701754385967</v>
      </c>
      <c r="AI50" s="24">
        <f t="shared" si="15"/>
        <v>0.64912280701754388</v>
      </c>
      <c r="AJ50" s="38">
        <f>+'[1]FA Report'!$D$48</f>
        <v>7.1428571428571438E-2</v>
      </c>
      <c r="AK50" s="24">
        <f t="shared" si="16"/>
        <v>4.6365914786967423E-2</v>
      </c>
      <c r="AL50" s="24">
        <f t="shared" si="17"/>
        <v>7.0175438596491224E-2</v>
      </c>
      <c r="AM50" s="38">
        <f>+'[1]FA Report'!$C$55</f>
        <v>0.4</v>
      </c>
      <c r="AN50" s="24">
        <f t="shared" si="18"/>
        <v>2.8070175438596492E-2</v>
      </c>
      <c r="AO50" s="24">
        <f t="shared" si="19"/>
        <v>0.17105263157894737</v>
      </c>
      <c r="AP50" s="38">
        <f>+'[1]FA Report'!$D$58</f>
        <v>0.2142857142857143</v>
      </c>
      <c r="AQ50" s="24">
        <f t="shared" si="20"/>
        <v>3.665413533834587E-2</v>
      </c>
      <c r="AR50" s="24">
        <f t="shared" si="21"/>
        <v>0.26426426426426425</v>
      </c>
      <c r="AS50" s="38">
        <f>+'[1]FA Report'!$C$52</f>
        <v>0.3</v>
      </c>
      <c r="AT50" s="24">
        <f t="shared" si="22"/>
        <v>-7.9279279279279274E-2</v>
      </c>
      <c r="AU50" s="38">
        <f t="shared" si="23"/>
        <v>0.15461796382849016</v>
      </c>
      <c r="AV50" s="24">
        <v>0.15999999999999998</v>
      </c>
      <c r="AW50">
        <f t="shared" si="25"/>
        <v>0</v>
      </c>
    </row>
    <row r="51" spans="1:49" x14ac:dyDescent="0.35">
      <c r="A51" s="23">
        <v>43599</v>
      </c>
      <c r="B51">
        <v>333</v>
      </c>
      <c r="C51">
        <v>322</v>
      </c>
      <c r="D51">
        <v>11</v>
      </c>
      <c r="E51">
        <v>256</v>
      </c>
      <c r="F51">
        <v>77</v>
      </c>
      <c r="G51">
        <v>13.894409937885939</v>
      </c>
      <c r="H51">
        <v>4.8258258258258255</v>
      </c>
      <c r="I51">
        <v>24</v>
      </c>
      <c r="J51">
        <v>15</v>
      </c>
      <c r="K51">
        <v>0</v>
      </c>
      <c r="L51">
        <v>0</v>
      </c>
      <c r="M51">
        <v>0</v>
      </c>
      <c r="N51">
        <v>177</v>
      </c>
      <c r="O51">
        <v>88</v>
      </c>
      <c r="P51">
        <v>281</v>
      </c>
      <c r="Q51">
        <v>196</v>
      </c>
      <c r="R51">
        <v>228</v>
      </c>
      <c r="S51">
        <v>162</v>
      </c>
      <c r="T51">
        <v>148</v>
      </c>
      <c r="U51">
        <v>40</v>
      </c>
      <c r="V51">
        <v>39</v>
      </c>
      <c r="W51">
        <v>27</v>
      </c>
      <c r="X51">
        <v>27</v>
      </c>
      <c r="Y51">
        <v>23</v>
      </c>
      <c r="Z51">
        <v>16</v>
      </c>
      <c r="AA51">
        <v>2</v>
      </c>
      <c r="AB51">
        <v>4</v>
      </c>
      <c r="AC51">
        <v>291</v>
      </c>
      <c r="AD51">
        <v>0.34297981669474775</v>
      </c>
      <c r="AE51">
        <f t="shared" si="13"/>
        <v>20</v>
      </c>
      <c r="AF51" s="24">
        <f t="shared" si="24"/>
        <v>0.85964912280701755</v>
      </c>
      <c r="AG51" s="38">
        <f>+'[1]FA Report'!$D$42</f>
        <v>0.14285714285714288</v>
      </c>
      <c r="AH51" s="24">
        <f t="shared" si="14"/>
        <v>0.12280701754385967</v>
      </c>
      <c r="AI51" s="24">
        <f t="shared" si="15"/>
        <v>0.64912280701754388</v>
      </c>
      <c r="AJ51" s="38">
        <f>+'[1]FA Report'!$D$48</f>
        <v>7.1428571428571438E-2</v>
      </c>
      <c r="AK51" s="24">
        <f t="shared" si="16"/>
        <v>4.6365914786967423E-2</v>
      </c>
      <c r="AL51" s="24">
        <f t="shared" si="17"/>
        <v>7.0175438596491224E-2</v>
      </c>
      <c r="AM51" s="38">
        <f>+'[1]FA Report'!$C$55</f>
        <v>0.4</v>
      </c>
      <c r="AN51" s="24">
        <f t="shared" si="18"/>
        <v>2.8070175438596492E-2</v>
      </c>
      <c r="AO51" s="24">
        <f t="shared" si="19"/>
        <v>0.17105263157894737</v>
      </c>
      <c r="AP51" s="38">
        <f>+'[1]FA Report'!$D$58</f>
        <v>0.2142857142857143</v>
      </c>
      <c r="AQ51" s="24">
        <f t="shared" si="20"/>
        <v>3.665413533834587E-2</v>
      </c>
      <c r="AR51" s="24">
        <f t="shared" si="21"/>
        <v>0.26426426426426425</v>
      </c>
      <c r="AS51" s="38">
        <f>+'[1]FA Report'!$C$52</f>
        <v>0.3</v>
      </c>
      <c r="AT51" s="24">
        <f t="shared" si="22"/>
        <v>-7.9279279279279274E-2</v>
      </c>
      <c r="AU51" s="38">
        <f t="shared" si="23"/>
        <v>0.15461796382849016</v>
      </c>
      <c r="AV51" s="24">
        <v>0.15999999999999998</v>
      </c>
      <c r="AW51">
        <f t="shared" si="25"/>
        <v>0</v>
      </c>
    </row>
    <row r="52" spans="1:49" x14ac:dyDescent="0.35">
      <c r="A52" s="23">
        <v>43600</v>
      </c>
      <c r="B52">
        <v>330</v>
      </c>
      <c r="C52">
        <v>320</v>
      </c>
      <c r="D52">
        <v>10</v>
      </c>
      <c r="E52">
        <v>255</v>
      </c>
      <c r="F52">
        <v>75</v>
      </c>
      <c r="G52">
        <v>13.115624999998545</v>
      </c>
      <c r="H52">
        <v>4.836363636363636</v>
      </c>
      <c r="I52">
        <v>36</v>
      </c>
      <c r="J52">
        <v>20</v>
      </c>
      <c r="K52">
        <v>1</v>
      </c>
      <c r="L52">
        <v>0</v>
      </c>
      <c r="M52">
        <v>0</v>
      </c>
      <c r="N52">
        <v>177</v>
      </c>
      <c r="O52">
        <v>88</v>
      </c>
      <c r="P52">
        <v>282</v>
      </c>
      <c r="Q52">
        <v>197</v>
      </c>
      <c r="R52">
        <v>228</v>
      </c>
      <c r="S52">
        <v>164</v>
      </c>
      <c r="T52">
        <v>149</v>
      </c>
      <c r="U52">
        <v>44</v>
      </c>
      <c r="V52">
        <v>43</v>
      </c>
      <c r="W52">
        <v>29</v>
      </c>
      <c r="X52">
        <v>29</v>
      </c>
      <c r="Y52">
        <v>25</v>
      </c>
      <c r="Z52">
        <v>17</v>
      </c>
      <c r="AA52">
        <v>2</v>
      </c>
      <c r="AB52">
        <v>5</v>
      </c>
      <c r="AC52">
        <v>292</v>
      </c>
      <c r="AD52">
        <v>0.35191252294752789</v>
      </c>
      <c r="AE52">
        <f t="shared" si="13"/>
        <v>20</v>
      </c>
      <c r="AF52" s="24">
        <f t="shared" si="24"/>
        <v>0.86403508771929827</v>
      </c>
      <c r="AG52" s="38">
        <f>+'[1]FA Report'!$D$42</f>
        <v>0.14285714285714288</v>
      </c>
      <c r="AH52" s="24">
        <f t="shared" si="14"/>
        <v>0.12343358395989977</v>
      </c>
      <c r="AI52" s="24">
        <f t="shared" si="15"/>
        <v>0.65350877192982459</v>
      </c>
      <c r="AJ52" s="38">
        <f>+'[1]FA Report'!$D$48</f>
        <v>7.1428571428571438E-2</v>
      </c>
      <c r="AK52" s="24">
        <f t="shared" si="16"/>
        <v>4.667919799498748E-2</v>
      </c>
      <c r="AL52" s="24">
        <f t="shared" si="17"/>
        <v>7.4561403508771926E-2</v>
      </c>
      <c r="AM52" s="38">
        <f>+'[1]FA Report'!$C$55</f>
        <v>0.4</v>
      </c>
      <c r="AN52" s="24">
        <f t="shared" si="18"/>
        <v>2.9824561403508771E-2</v>
      </c>
      <c r="AO52" s="24">
        <f t="shared" si="19"/>
        <v>0.18859649122807018</v>
      </c>
      <c r="AP52" s="38">
        <f>+'[1]FA Report'!$D$58</f>
        <v>0.2142857142857143</v>
      </c>
      <c r="AQ52" s="24">
        <f t="shared" si="20"/>
        <v>4.0413533834586471E-2</v>
      </c>
      <c r="AR52" s="24">
        <f t="shared" si="21"/>
        <v>0.26666666666666666</v>
      </c>
      <c r="AS52" s="38">
        <f>+'[1]FA Report'!$C$52</f>
        <v>0.3</v>
      </c>
      <c r="AT52" s="24">
        <f t="shared" si="22"/>
        <v>-0.08</v>
      </c>
      <c r="AU52" s="38">
        <f t="shared" si="23"/>
        <v>0.16035087719298247</v>
      </c>
      <c r="AV52" s="24">
        <v>0.15999999999999998</v>
      </c>
      <c r="AW52">
        <f t="shared" si="25"/>
        <v>0</v>
      </c>
    </row>
    <row r="53" spans="1:49" x14ac:dyDescent="0.35">
      <c r="A53" s="23">
        <v>43601</v>
      </c>
      <c r="B53">
        <v>330</v>
      </c>
      <c r="C53">
        <v>323</v>
      </c>
      <c r="D53">
        <v>7</v>
      </c>
      <c r="E53">
        <v>256</v>
      </c>
      <c r="F53">
        <v>74</v>
      </c>
      <c r="G53">
        <v>12.597523219810682</v>
      </c>
      <c r="H53">
        <v>4.836363636363636</v>
      </c>
      <c r="I53">
        <v>28</v>
      </c>
      <c r="J53">
        <v>13</v>
      </c>
      <c r="K53">
        <v>0</v>
      </c>
      <c r="L53">
        <v>0</v>
      </c>
      <c r="M53">
        <v>0</v>
      </c>
      <c r="N53">
        <v>176</v>
      </c>
      <c r="O53">
        <v>88</v>
      </c>
      <c r="P53">
        <v>279</v>
      </c>
      <c r="Q53">
        <v>198</v>
      </c>
      <c r="R53">
        <v>229</v>
      </c>
      <c r="S53">
        <v>166</v>
      </c>
      <c r="T53">
        <v>150</v>
      </c>
      <c r="U53">
        <v>47</v>
      </c>
      <c r="V53">
        <v>44</v>
      </c>
      <c r="W53">
        <v>29</v>
      </c>
      <c r="X53">
        <v>29</v>
      </c>
      <c r="Y53">
        <v>26</v>
      </c>
      <c r="Z53">
        <v>17</v>
      </c>
      <c r="AA53">
        <v>2</v>
      </c>
      <c r="AB53">
        <v>5</v>
      </c>
      <c r="AC53">
        <v>291</v>
      </c>
      <c r="AD53">
        <v>0.3552469611819779</v>
      </c>
      <c r="AE53">
        <f t="shared" si="13"/>
        <v>20</v>
      </c>
      <c r="AF53" s="24">
        <f t="shared" si="24"/>
        <v>0.86462882096069871</v>
      </c>
      <c r="AG53" s="38">
        <f>+'[1]FA Report'!$D$42</f>
        <v>0.14285714285714288</v>
      </c>
      <c r="AH53" s="24">
        <f t="shared" si="14"/>
        <v>0.12351840299438555</v>
      </c>
      <c r="AI53" s="24">
        <f t="shared" si="15"/>
        <v>0.65502183406113534</v>
      </c>
      <c r="AJ53" s="38">
        <f>+'[1]FA Report'!$D$48</f>
        <v>7.1428571428571438E-2</v>
      </c>
      <c r="AK53" s="24">
        <f t="shared" si="16"/>
        <v>4.6787273861509673E-2</v>
      </c>
      <c r="AL53" s="24">
        <f t="shared" si="17"/>
        <v>7.4235807860262015E-2</v>
      </c>
      <c r="AM53" s="38">
        <f>+'[1]FA Report'!$C$55</f>
        <v>0.4</v>
      </c>
      <c r="AN53" s="24">
        <f t="shared" si="18"/>
        <v>2.9694323144104806E-2</v>
      </c>
      <c r="AO53" s="24">
        <f t="shared" si="19"/>
        <v>0.19213973799126638</v>
      </c>
      <c r="AP53" s="38">
        <f>+'[1]FA Report'!$D$58</f>
        <v>0.2142857142857143</v>
      </c>
      <c r="AQ53" s="24">
        <f t="shared" si="20"/>
        <v>4.1172800998128513E-2</v>
      </c>
      <c r="AR53" s="24">
        <f t="shared" si="21"/>
        <v>0.26666666666666666</v>
      </c>
      <c r="AS53" s="38">
        <f>+'[1]FA Report'!$C$52</f>
        <v>0.3</v>
      </c>
      <c r="AT53" s="24">
        <f t="shared" si="22"/>
        <v>-0.08</v>
      </c>
      <c r="AU53" s="38">
        <f t="shared" si="23"/>
        <v>0.16117280099812853</v>
      </c>
      <c r="AV53" s="24">
        <v>0.15999999999999998</v>
      </c>
      <c r="AW53">
        <f t="shared" si="25"/>
        <v>0</v>
      </c>
    </row>
    <row r="54" spans="1:49" x14ac:dyDescent="0.35">
      <c r="A54" s="23">
        <v>43602</v>
      </c>
      <c r="B54">
        <v>298</v>
      </c>
      <c r="C54">
        <v>291</v>
      </c>
      <c r="D54">
        <v>7</v>
      </c>
      <c r="E54">
        <v>243</v>
      </c>
      <c r="F54">
        <v>55</v>
      </c>
      <c r="G54">
        <v>12.419243986252695</v>
      </c>
      <c r="H54">
        <v>4.9161073825503356</v>
      </c>
      <c r="I54">
        <v>13</v>
      </c>
      <c r="J54">
        <v>6</v>
      </c>
      <c r="K54">
        <v>0</v>
      </c>
      <c r="L54">
        <v>0</v>
      </c>
      <c r="M54">
        <v>0</v>
      </c>
      <c r="N54">
        <v>161</v>
      </c>
      <c r="O54">
        <v>79</v>
      </c>
      <c r="P54">
        <v>252</v>
      </c>
      <c r="Q54">
        <v>194</v>
      </c>
      <c r="R54">
        <v>219</v>
      </c>
      <c r="S54">
        <v>161</v>
      </c>
      <c r="T54">
        <v>148</v>
      </c>
      <c r="U54">
        <v>49</v>
      </c>
      <c r="V54">
        <v>47</v>
      </c>
      <c r="W54">
        <v>33</v>
      </c>
      <c r="X54">
        <v>33</v>
      </c>
      <c r="Y54">
        <v>29</v>
      </c>
      <c r="Z54">
        <v>19</v>
      </c>
      <c r="AA54">
        <v>2</v>
      </c>
      <c r="AB54">
        <v>6</v>
      </c>
      <c r="AC54">
        <v>263</v>
      </c>
      <c r="AD54">
        <v>0.38963025623448366</v>
      </c>
      <c r="AE54">
        <f t="shared" si="13"/>
        <v>20</v>
      </c>
      <c r="AF54" s="24">
        <f t="shared" si="24"/>
        <v>0.88584474885844744</v>
      </c>
      <c r="AG54" s="38">
        <f>+'[1]FA Report'!$D$42</f>
        <v>0.14285714285714288</v>
      </c>
      <c r="AH54" s="24">
        <f t="shared" si="14"/>
        <v>0.12654924983692109</v>
      </c>
      <c r="AI54" s="24">
        <f t="shared" si="15"/>
        <v>0.67579908675799083</v>
      </c>
      <c r="AJ54" s="38">
        <f>+'[1]FA Report'!$D$48</f>
        <v>7.1428571428571438E-2</v>
      </c>
      <c r="AK54" s="24">
        <f t="shared" si="16"/>
        <v>4.8271363339856495E-2</v>
      </c>
      <c r="AL54" s="24">
        <f t="shared" si="17"/>
        <v>8.6757990867579904E-2</v>
      </c>
      <c r="AM54" s="38">
        <f>+'[1]FA Report'!$C$55</f>
        <v>0.4</v>
      </c>
      <c r="AN54" s="24">
        <f t="shared" si="18"/>
        <v>3.4703196347031964E-2</v>
      </c>
      <c r="AO54" s="24">
        <f t="shared" si="19"/>
        <v>0.21461187214611871</v>
      </c>
      <c r="AP54" s="38">
        <f>+'[1]FA Report'!$D$58</f>
        <v>0.2142857142857143</v>
      </c>
      <c r="AQ54" s="24">
        <f t="shared" si="20"/>
        <v>4.5988258317025438E-2</v>
      </c>
      <c r="AR54" s="24">
        <f t="shared" si="21"/>
        <v>0.2651006711409396</v>
      </c>
      <c r="AS54" s="38">
        <f>+'[1]FA Report'!$C$52</f>
        <v>0.3</v>
      </c>
      <c r="AT54" s="24">
        <f t="shared" si="22"/>
        <v>-7.9530201342281878E-2</v>
      </c>
      <c r="AU54" s="38">
        <f t="shared" si="23"/>
        <v>0.17598186649855313</v>
      </c>
      <c r="AV54" s="24">
        <v>0.15999999999999998</v>
      </c>
      <c r="AW54">
        <f t="shared" si="25"/>
        <v>0</v>
      </c>
    </row>
    <row r="55" spans="1:49" x14ac:dyDescent="0.35">
      <c r="A55" s="23">
        <v>43603</v>
      </c>
      <c r="AE55">
        <f t="shared" si="13"/>
        <v>20</v>
      </c>
      <c r="AF55" s="24" t="str">
        <f t="shared" si="24"/>
        <v/>
      </c>
      <c r="AG55" s="38">
        <f>+'[1]FA Report'!$D$42</f>
        <v>0.14285714285714288</v>
      </c>
      <c r="AH55" s="24" t="str">
        <f t="shared" si="14"/>
        <v/>
      </c>
      <c r="AI55" s="24" t="str">
        <f t="shared" si="15"/>
        <v/>
      </c>
      <c r="AJ55" s="38">
        <f>+'[1]FA Report'!$D$48</f>
        <v>7.1428571428571438E-2</v>
      </c>
      <c r="AK55" s="24" t="str">
        <f t="shared" si="16"/>
        <v/>
      </c>
      <c r="AL55" s="24" t="str">
        <f t="shared" si="17"/>
        <v/>
      </c>
      <c r="AM55" s="38">
        <f>+'[1]FA Report'!$C$55</f>
        <v>0.4</v>
      </c>
      <c r="AN55" s="24" t="str">
        <f t="shared" si="18"/>
        <v/>
      </c>
      <c r="AO55" s="24" t="str">
        <f t="shared" si="19"/>
        <v/>
      </c>
      <c r="AP55" s="38">
        <f>+'[1]FA Report'!$D$58</f>
        <v>0.2142857142857143</v>
      </c>
      <c r="AQ55" s="24" t="str">
        <f t="shared" si="20"/>
        <v/>
      </c>
      <c r="AR55" s="24" t="str">
        <f t="shared" si="21"/>
        <v/>
      </c>
      <c r="AS55" s="38">
        <f>+'[1]FA Report'!$C$52</f>
        <v>0.3</v>
      </c>
      <c r="AT55" s="24" t="str">
        <f t="shared" si="22"/>
        <v/>
      </c>
      <c r="AU55" s="38" t="str">
        <f t="shared" si="23"/>
        <v/>
      </c>
      <c r="AV55" s="24">
        <v>0.15999999999999998</v>
      </c>
      <c r="AW55">
        <f t="shared" si="25"/>
        <v>0</v>
      </c>
    </row>
    <row r="56" spans="1:49" x14ac:dyDescent="0.35">
      <c r="A56" s="23">
        <v>43604</v>
      </c>
      <c r="AE56">
        <f t="shared" si="13"/>
        <v>21</v>
      </c>
      <c r="AF56" s="24" t="str">
        <f t="shared" si="24"/>
        <v/>
      </c>
      <c r="AG56" s="38">
        <f>+'[1]FA Report'!$D$42</f>
        <v>0.14285714285714288</v>
      </c>
      <c r="AH56" s="24" t="str">
        <f t="shared" si="14"/>
        <v/>
      </c>
      <c r="AI56" s="24" t="str">
        <f t="shared" si="15"/>
        <v/>
      </c>
      <c r="AJ56" s="38">
        <f>+'[1]FA Report'!$D$48</f>
        <v>7.1428571428571438E-2</v>
      </c>
      <c r="AK56" s="24" t="str">
        <f t="shared" si="16"/>
        <v/>
      </c>
      <c r="AL56" s="24" t="str">
        <f t="shared" si="17"/>
        <v/>
      </c>
      <c r="AM56" s="38">
        <f>+'[1]FA Report'!$C$55</f>
        <v>0.4</v>
      </c>
      <c r="AN56" s="24" t="str">
        <f t="shared" si="18"/>
        <v/>
      </c>
      <c r="AO56" s="24" t="str">
        <f t="shared" si="19"/>
        <v/>
      </c>
      <c r="AP56" s="38">
        <f>+'[1]FA Report'!$D$58</f>
        <v>0.2142857142857143</v>
      </c>
      <c r="AQ56" s="24" t="str">
        <f t="shared" si="20"/>
        <v/>
      </c>
      <c r="AR56" s="24" t="str">
        <f t="shared" si="21"/>
        <v/>
      </c>
      <c r="AS56" s="38">
        <f>+'[1]FA Report'!$C$52</f>
        <v>0.3</v>
      </c>
      <c r="AT56" s="24" t="str">
        <f t="shared" si="22"/>
        <v/>
      </c>
      <c r="AU56" s="38" t="str">
        <f t="shared" si="23"/>
        <v/>
      </c>
      <c r="AV56" s="24">
        <v>0.18249999999999997</v>
      </c>
      <c r="AW56">
        <f t="shared" si="25"/>
        <v>1</v>
      </c>
    </row>
    <row r="57" spans="1:49" x14ac:dyDescent="0.35">
      <c r="A57" s="23">
        <v>43605</v>
      </c>
      <c r="AE57">
        <f t="shared" si="13"/>
        <v>21</v>
      </c>
      <c r="AF57" s="24" t="str">
        <f t="shared" si="24"/>
        <v/>
      </c>
      <c r="AG57" s="38">
        <f>+'[1]FA Report'!$D$42</f>
        <v>0.14285714285714288</v>
      </c>
      <c r="AH57" s="24" t="str">
        <f t="shared" si="14"/>
        <v/>
      </c>
      <c r="AI57" s="24" t="str">
        <f t="shared" si="15"/>
        <v/>
      </c>
      <c r="AJ57" s="38">
        <f>+'[1]FA Report'!$D$48</f>
        <v>7.1428571428571438E-2</v>
      </c>
      <c r="AK57" s="24" t="str">
        <f t="shared" si="16"/>
        <v/>
      </c>
      <c r="AL57" s="24" t="str">
        <f t="shared" si="17"/>
        <v/>
      </c>
      <c r="AM57" s="38">
        <f>+'[1]FA Report'!$C$55</f>
        <v>0.4</v>
      </c>
      <c r="AN57" s="24" t="str">
        <f t="shared" si="18"/>
        <v/>
      </c>
      <c r="AO57" s="24" t="str">
        <f t="shared" si="19"/>
        <v/>
      </c>
      <c r="AP57" s="38">
        <f>+'[1]FA Report'!$D$58</f>
        <v>0.2142857142857143</v>
      </c>
      <c r="AQ57" s="24" t="str">
        <f t="shared" si="20"/>
        <v/>
      </c>
      <c r="AR57" s="24" t="str">
        <f t="shared" si="21"/>
        <v/>
      </c>
      <c r="AS57" s="38">
        <f>+'[1]FA Report'!$C$52</f>
        <v>0.3</v>
      </c>
      <c r="AT57" s="24" t="str">
        <f t="shared" si="22"/>
        <v/>
      </c>
      <c r="AU57" s="38" t="str">
        <f t="shared" si="23"/>
        <v/>
      </c>
      <c r="AV57" s="24">
        <v>0.18249999999999997</v>
      </c>
      <c r="AW57">
        <f t="shared" si="25"/>
        <v>0</v>
      </c>
    </row>
    <row r="58" spans="1:49" x14ac:dyDescent="0.35">
      <c r="A58" s="23">
        <v>43606</v>
      </c>
      <c r="AE58">
        <f t="shared" si="13"/>
        <v>21</v>
      </c>
      <c r="AF58" s="24" t="str">
        <f t="shared" si="24"/>
        <v/>
      </c>
      <c r="AG58" s="38">
        <f>+'[1]FA Report'!$D$42</f>
        <v>0.14285714285714288</v>
      </c>
      <c r="AH58" s="24" t="str">
        <f t="shared" si="14"/>
        <v/>
      </c>
      <c r="AI58" s="24" t="str">
        <f t="shared" si="15"/>
        <v/>
      </c>
      <c r="AJ58" s="38">
        <f>+'[1]FA Report'!$D$48</f>
        <v>7.1428571428571438E-2</v>
      </c>
      <c r="AK58" s="24" t="str">
        <f t="shared" si="16"/>
        <v/>
      </c>
      <c r="AL58" s="24" t="str">
        <f t="shared" si="17"/>
        <v/>
      </c>
      <c r="AM58" s="38">
        <f>+'[1]FA Report'!$C$55</f>
        <v>0.4</v>
      </c>
      <c r="AN58" s="24" t="str">
        <f t="shared" si="18"/>
        <v/>
      </c>
      <c r="AO58" s="24" t="str">
        <f t="shared" si="19"/>
        <v/>
      </c>
      <c r="AP58" s="38">
        <f>+'[1]FA Report'!$D$58</f>
        <v>0.2142857142857143</v>
      </c>
      <c r="AQ58" s="24" t="str">
        <f t="shared" si="20"/>
        <v/>
      </c>
      <c r="AR58" s="24" t="str">
        <f t="shared" si="21"/>
        <v/>
      </c>
      <c r="AS58" s="38">
        <f>+'[1]FA Report'!$C$52</f>
        <v>0.3</v>
      </c>
      <c r="AT58" s="24" t="str">
        <f t="shared" si="22"/>
        <v/>
      </c>
      <c r="AU58" s="38" t="str">
        <f t="shared" si="23"/>
        <v/>
      </c>
      <c r="AV58" s="24">
        <v>0.18249999999999997</v>
      </c>
      <c r="AW58">
        <f t="shared" si="25"/>
        <v>0</v>
      </c>
    </row>
    <row r="59" spans="1:49" x14ac:dyDescent="0.35">
      <c r="A59" s="23">
        <v>43607</v>
      </c>
      <c r="AE59">
        <f t="shared" si="13"/>
        <v>21</v>
      </c>
      <c r="AF59" s="24" t="str">
        <f t="shared" si="24"/>
        <v/>
      </c>
      <c r="AG59" s="38">
        <f>+'[1]FA Report'!$D$42</f>
        <v>0.14285714285714288</v>
      </c>
      <c r="AH59" s="24" t="str">
        <f t="shared" si="14"/>
        <v/>
      </c>
      <c r="AI59" s="24" t="str">
        <f t="shared" si="15"/>
        <v/>
      </c>
      <c r="AJ59" s="38">
        <f>+'[1]FA Report'!$D$48</f>
        <v>7.1428571428571438E-2</v>
      </c>
      <c r="AK59" s="24" t="str">
        <f t="shared" si="16"/>
        <v/>
      </c>
      <c r="AL59" s="24" t="str">
        <f t="shared" si="17"/>
        <v/>
      </c>
      <c r="AM59" s="38">
        <f>+'[1]FA Report'!$C$55</f>
        <v>0.4</v>
      </c>
      <c r="AN59" s="24" t="str">
        <f t="shared" si="18"/>
        <v/>
      </c>
      <c r="AO59" s="24" t="str">
        <f t="shared" si="19"/>
        <v/>
      </c>
      <c r="AP59" s="38">
        <f>+'[1]FA Report'!$D$58</f>
        <v>0.2142857142857143</v>
      </c>
      <c r="AQ59" s="24" t="str">
        <f t="shared" si="20"/>
        <v/>
      </c>
      <c r="AR59" s="24" t="str">
        <f t="shared" si="21"/>
        <v/>
      </c>
      <c r="AS59" s="38">
        <f>+'[1]FA Report'!$C$52</f>
        <v>0.3</v>
      </c>
      <c r="AT59" s="24" t="str">
        <f t="shared" si="22"/>
        <v/>
      </c>
      <c r="AU59" s="38" t="str">
        <f t="shared" si="23"/>
        <v/>
      </c>
      <c r="AV59" s="24">
        <v>0.18249999999999997</v>
      </c>
      <c r="AW59">
        <f t="shared" si="25"/>
        <v>0</v>
      </c>
    </row>
    <row r="60" spans="1:49" x14ac:dyDescent="0.35">
      <c r="A60" s="23">
        <v>43608</v>
      </c>
      <c r="B60">
        <v>253</v>
      </c>
      <c r="C60">
        <v>249</v>
      </c>
      <c r="D60">
        <v>4</v>
      </c>
      <c r="E60">
        <v>229</v>
      </c>
      <c r="F60">
        <v>24</v>
      </c>
      <c r="G60">
        <v>8.2289156626502518</v>
      </c>
      <c r="H60">
        <v>4.9130434782608692</v>
      </c>
      <c r="I60">
        <v>34</v>
      </c>
      <c r="J60">
        <v>16</v>
      </c>
      <c r="K60">
        <v>0</v>
      </c>
      <c r="L60">
        <v>0</v>
      </c>
      <c r="M60">
        <v>0</v>
      </c>
      <c r="N60">
        <v>148</v>
      </c>
      <c r="O60">
        <v>66</v>
      </c>
      <c r="P60">
        <v>216</v>
      </c>
      <c r="Q60">
        <v>184</v>
      </c>
      <c r="R60">
        <v>207</v>
      </c>
      <c r="S60">
        <v>168</v>
      </c>
      <c r="T60">
        <v>155</v>
      </c>
      <c r="U60">
        <v>60</v>
      </c>
      <c r="V60">
        <v>57</v>
      </c>
      <c r="W60">
        <v>40</v>
      </c>
      <c r="X60">
        <v>40</v>
      </c>
      <c r="Y60">
        <v>37</v>
      </c>
      <c r="Z60">
        <v>23</v>
      </c>
      <c r="AA60">
        <v>2</v>
      </c>
      <c r="AB60">
        <v>8</v>
      </c>
      <c r="AC60">
        <v>227</v>
      </c>
      <c r="AD60">
        <v>0.47335624255459502</v>
      </c>
      <c r="AE60">
        <f t="shared" si="13"/>
        <v>21</v>
      </c>
      <c r="AF60" s="24">
        <f t="shared" si="24"/>
        <v>0.88888888888888884</v>
      </c>
      <c r="AG60" s="38">
        <f>+'[1]FA Report'!$D$42</f>
        <v>0.14285714285714288</v>
      </c>
      <c r="AH60" s="24">
        <f t="shared" si="14"/>
        <v>0.126984126984127</v>
      </c>
      <c r="AI60" s="24">
        <f t="shared" si="15"/>
        <v>0.74879227053140096</v>
      </c>
      <c r="AJ60" s="38">
        <f>+'[1]FA Report'!$D$48</f>
        <v>7.1428571428571438E-2</v>
      </c>
      <c r="AK60" s="24">
        <f t="shared" si="16"/>
        <v>5.3485162180814359E-2</v>
      </c>
      <c r="AL60" s="24">
        <f t="shared" si="17"/>
        <v>0.1111111111111111</v>
      </c>
      <c r="AM60" s="38">
        <f>+'[1]FA Report'!$C$55</f>
        <v>0.4</v>
      </c>
      <c r="AN60" s="24">
        <f t="shared" si="18"/>
        <v>4.4444444444444446E-2</v>
      </c>
      <c r="AO60" s="24">
        <f t="shared" si="19"/>
        <v>0.27536231884057971</v>
      </c>
      <c r="AP60" s="38">
        <f>+'[1]FA Report'!$D$58</f>
        <v>0.2142857142857143</v>
      </c>
      <c r="AQ60" s="24">
        <f t="shared" si="20"/>
        <v>5.9006211180124231E-2</v>
      </c>
      <c r="AR60" s="24">
        <f t="shared" si="21"/>
        <v>0.2608695652173913</v>
      </c>
      <c r="AS60" s="38">
        <f>+'[1]FA Report'!$C$52</f>
        <v>0.3</v>
      </c>
      <c r="AT60" s="24">
        <f t="shared" si="22"/>
        <v>-7.8260869565217384E-2</v>
      </c>
      <c r="AU60" s="38">
        <f t="shared" si="23"/>
        <v>0.20565907522429266</v>
      </c>
      <c r="AV60" s="24">
        <v>0.18249999999999997</v>
      </c>
      <c r="AW60">
        <f t="shared" si="25"/>
        <v>0</v>
      </c>
    </row>
    <row r="61" spans="1:49" x14ac:dyDescent="0.35">
      <c r="A61" s="23">
        <v>43609</v>
      </c>
      <c r="AE61">
        <f t="shared" si="13"/>
        <v>21</v>
      </c>
      <c r="AF61" s="24" t="str">
        <f t="shared" si="24"/>
        <v/>
      </c>
      <c r="AG61" s="38">
        <f>+'[1]FA Report'!$D$42</f>
        <v>0.14285714285714288</v>
      </c>
      <c r="AH61" s="24" t="str">
        <f t="shared" si="14"/>
        <v/>
      </c>
      <c r="AI61" s="24" t="str">
        <f t="shared" si="15"/>
        <v/>
      </c>
      <c r="AJ61" s="38">
        <f>+'[1]FA Report'!$D$48</f>
        <v>7.1428571428571438E-2</v>
      </c>
      <c r="AK61" s="24" t="str">
        <f t="shared" si="16"/>
        <v/>
      </c>
      <c r="AL61" s="24" t="str">
        <f t="shared" si="17"/>
        <v/>
      </c>
      <c r="AM61" s="38">
        <f>+'[1]FA Report'!$C$55</f>
        <v>0.4</v>
      </c>
      <c r="AN61" s="24" t="str">
        <f t="shared" si="18"/>
        <v/>
      </c>
      <c r="AO61" s="24" t="str">
        <f t="shared" si="19"/>
        <v/>
      </c>
      <c r="AP61" s="38">
        <f>+'[1]FA Report'!$D$58</f>
        <v>0.2142857142857143</v>
      </c>
      <c r="AQ61" s="24" t="str">
        <f t="shared" si="20"/>
        <v/>
      </c>
      <c r="AR61" s="24" t="str">
        <f t="shared" si="21"/>
        <v/>
      </c>
      <c r="AS61" s="38">
        <f>+'[1]FA Report'!$C$52</f>
        <v>0.3</v>
      </c>
      <c r="AT61" s="24" t="str">
        <f t="shared" si="22"/>
        <v/>
      </c>
      <c r="AU61" s="38" t="str">
        <f t="shared" si="23"/>
        <v/>
      </c>
      <c r="AV61" s="24">
        <v>0.18249999999999997</v>
      </c>
      <c r="AW61">
        <f t="shared" si="25"/>
        <v>0</v>
      </c>
    </row>
    <row r="62" spans="1:49" x14ac:dyDescent="0.35">
      <c r="A62" s="23">
        <v>43610</v>
      </c>
      <c r="AE62">
        <f t="shared" si="13"/>
        <v>21</v>
      </c>
      <c r="AF62" s="24" t="str">
        <f t="shared" si="24"/>
        <v/>
      </c>
      <c r="AG62" s="38">
        <f>+'[1]FA Report'!$D$42</f>
        <v>0.14285714285714288</v>
      </c>
      <c r="AH62" s="24" t="str">
        <f t="shared" si="14"/>
        <v/>
      </c>
      <c r="AI62" s="24" t="str">
        <f t="shared" si="15"/>
        <v/>
      </c>
      <c r="AJ62" s="38">
        <f>+'[1]FA Report'!$D$48</f>
        <v>7.1428571428571438E-2</v>
      </c>
      <c r="AK62" s="24" t="str">
        <f t="shared" si="16"/>
        <v/>
      </c>
      <c r="AL62" s="24" t="str">
        <f t="shared" si="17"/>
        <v/>
      </c>
      <c r="AM62" s="38">
        <f>+'[1]FA Report'!$C$55</f>
        <v>0.4</v>
      </c>
      <c r="AN62" s="24" t="str">
        <f t="shared" si="18"/>
        <v/>
      </c>
      <c r="AO62" s="24" t="str">
        <f t="shared" si="19"/>
        <v/>
      </c>
      <c r="AP62" s="38">
        <f>+'[1]FA Report'!$D$58</f>
        <v>0.2142857142857143</v>
      </c>
      <c r="AQ62" s="24" t="str">
        <f t="shared" si="20"/>
        <v/>
      </c>
      <c r="AR62" s="24" t="str">
        <f t="shared" si="21"/>
        <v/>
      </c>
      <c r="AS62" s="38">
        <f>+'[1]FA Report'!$C$52</f>
        <v>0.3</v>
      </c>
      <c r="AT62" s="24" t="str">
        <f t="shared" si="22"/>
        <v/>
      </c>
      <c r="AU62" s="38" t="str">
        <f t="shared" si="23"/>
        <v/>
      </c>
      <c r="AV62" s="24">
        <v>0.18249999999999997</v>
      </c>
      <c r="AW62">
        <f t="shared" si="25"/>
        <v>0</v>
      </c>
    </row>
    <row r="63" spans="1:49" x14ac:dyDescent="0.35">
      <c r="A63" s="23">
        <v>43611</v>
      </c>
      <c r="AE63">
        <f t="shared" si="13"/>
        <v>22</v>
      </c>
      <c r="AF63" s="24" t="str">
        <f t="shared" si="24"/>
        <v/>
      </c>
      <c r="AG63" s="38">
        <f>+'[1]FA Report'!$D$42</f>
        <v>0.14285714285714288</v>
      </c>
      <c r="AH63" s="24" t="str">
        <f t="shared" si="14"/>
        <v/>
      </c>
      <c r="AI63" s="24" t="str">
        <f t="shared" si="15"/>
        <v/>
      </c>
      <c r="AJ63" s="38">
        <f>+'[1]FA Report'!$D$48</f>
        <v>7.1428571428571438E-2</v>
      </c>
      <c r="AK63" s="24" t="str">
        <f t="shared" si="16"/>
        <v/>
      </c>
      <c r="AL63" s="24" t="str">
        <f t="shared" si="17"/>
        <v/>
      </c>
      <c r="AM63" s="38">
        <f>+'[1]FA Report'!$C$55</f>
        <v>0.4</v>
      </c>
      <c r="AN63" s="24" t="str">
        <f t="shared" si="18"/>
        <v/>
      </c>
      <c r="AO63" s="24" t="str">
        <f t="shared" si="19"/>
        <v/>
      </c>
      <c r="AP63" s="38">
        <f>+'[1]FA Report'!$D$58</f>
        <v>0.2142857142857143</v>
      </c>
      <c r="AQ63" s="24" t="str">
        <f t="shared" si="20"/>
        <v/>
      </c>
      <c r="AR63" s="24" t="str">
        <f t="shared" si="21"/>
        <v/>
      </c>
      <c r="AS63" s="38">
        <f>+'[1]FA Report'!$C$52</f>
        <v>0.3</v>
      </c>
      <c r="AT63" s="24" t="str">
        <f t="shared" si="22"/>
        <v/>
      </c>
      <c r="AU63" s="38" t="str">
        <f t="shared" si="23"/>
        <v/>
      </c>
      <c r="AV63" s="24">
        <v>0.20499999999999996</v>
      </c>
      <c r="AW63">
        <f t="shared" si="25"/>
        <v>1</v>
      </c>
    </row>
    <row r="64" spans="1:49" x14ac:dyDescent="0.35">
      <c r="A64" s="23">
        <v>43612</v>
      </c>
      <c r="AE64">
        <f t="shared" si="13"/>
        <v>22</v>
      </c>
      <c r="AF64" s="24" t="str">
        <f t="shared" si="24"/>
        <v/>
      </c>
      <c r="AG64" s="38">
        <f>+'[1]FA Report'!$D$42</f>
        <v>0.14285714285714288</v>
      </c>
      <c r="AH64" s="24" t="str">
        <f t="shared" si="14"/>
        <v/>
      </c>
      <c r="AI64" s="24" t="str">
        <f t="shared" si="15"/>
        <v/>
      </c>
      <c r="AJ64" s="38">
        <f>+'[1]FA Report'!$D$48</f>
        <v>7.1428571428571438E-2</v>
      </c>
      <c r="AK64" s="24" t="str">
        <f t="shared" si="16"/>
        <v/>
      </c>
      <c r="AL64" s="24" t="str">
        <f t="shared" si="17"/>
        <v/>
      </c>
      <c r="AM64" s="38">
        <f>+'[1]FA Report'!$C$55</f>
        <v>0.4</v>
      </c>
      <c r="AN64" s="24" t="str">
        <f t="shared" si="18"/>
        <v/>
      </c>
      <c r="AO64" s="24" t="str">
        <f t="shared" si="19"/>
        <v/>
      </c>
      <c r="AP64" s="38">
        <f>+'[1]FA Report'!$D$58</f>
        <v>0.2142857142857143</v>
      </c>
      <c r="AQ64" s="24" t="str">
        <f t="shared" si="20"/>
        <v/>
      </c>
      <c r="AR64" s="24" t="str">
        <f t="shared" si="21"/>
        <v/>
      </c>
      <c r="AS64" s="38">
        <f>+'[1]FA Report'!$C$52</f>
        <v>0.3</v>
      </c>
      <c r="AT64" s="24" t="str">
        <f t="shared" si="22"/>
        <v/>
      </c>
      <c r="AU64" s="38" t="str">
        <f t="shared" si="23"/>
        <v/>
      </c>
      <c r="AV64" s="24">
        <v>0.20499999999999996</v>
      </c>
      <c r="AW64">
        <f t="shared" si="25"/>
        <v>0</v>
      </c>
    </row>
    <row r="65" spans="1:49" x14ac:dyDescent="0.35">
      <c r="A65" s="23">
        <v>43613</v>
      </c>
      <c r="B65">
        <v>253</v>
      </c>
      <c r="C65">
        <v>249</v>
      </c>
      <c r="D65">
        <v>4</v>
      </c>
      <c r="E65">
        <v>229</v>
      </c>
      <c r="F65">
        <v>24</v>
      </c>
      <c r="G65">
        <v>13.228915662650252</v>
      </c>
      <c r="H65">
        <v>4.9130434782608692</v>
      </c>
      <c r="I65">
        <v>0</v>
      </c>
      <c r="J65">
        <v>0</v>
      </c>
      <c r="K65">
        <v>0</v>
      </c>
      <c r="L65">
        <v>0</v>
      </c>
      <c r="M65">
        <v>0</v>
      </c>
      <c r="N65">
        <v>148</v>
      </c>
      <c r="O65">
        <v>66</v>
      </c>
      <c r="P65">
        <v>216</v>
      </c>
      <c r="Q65">
        <v>184</v>
      </c>
      <c r="R65">
        <v>207</v>
      </c>
      <c r="S65">
        <v>168</v>
      </c>
      <c r="T65">
        <v>155</v>
      </c>
      <c r="U65">
        <v>60</v>
      </c>
      <c r="V65">
        <v>57</v>
      </c>
      <c r="W65">
        <v>40</v>
      </c>
      <c r="X65">
        <v>40</v>
      </c>
      <c r="Y65">
        <v>37</v>
      </c>
      <c r="Z65">
        <v>23</v>
      </c>
      <c r="AA65">
        <v>2</v>
      </c>
      <c r="AB65">
        <v>8</v>
      </c>
      <c r="AC65">
        <v>227</v>
      </c>
      <c r="AD65">
        <v>0.47335624255459502</v>
      </c>
      <c r="AE65">
        <f t="shared" si="13"/>
        <v>22</v>
      </c>
      <c r="AF65" s="24">
        <f t="shared" si="24"/>
        <v>0.88888888888888884</v>
      </c>
      <c r="AG65" s="38">
        <f>+'[1]FA Report'!$D$42</f>
        <v>0.14285714285714288</v>
      </c>
      <c r="AH65" s="24">
        <f t="shared" si="14"/>
        <v>0.126984126984127</v>
      </c>
      <c r="AI65" s="24">
        <f t="shared" si="15"/>
        <v>0.74879227053140096</v>
      </c>
      <c r="AJ65" s="38">
        <f>+'[1]FA Report'!$D$48</f>
        <v>7.1428571428571438E-2</v>
      </c>
      <c r="AK65" s="24">
        <f t="shared" si="16"/>
        <v>5.3485162180814359E-2</v>
      </c>
      <c r="AL65" s="24">
        <f t="shared" si="17"/>
        <v>0.1111111111111111</v>
      </c>
      <c r="AM65" s="38">
        <f>+'[1]FA Report'!$C$55</f>
        <v>0.4</v>
      </c>
      <c r="AN65" s="24">
        <f t="shared" si="18"/>
        <v>4.4444444444444446E-2</v>
      </c>
      <c r="AO65" s="24">
        <f t="shared" si="19"/>
        <v>0.27536231884057971</v>
      </c>
      <c r="AP65" s="38">
        <f>+'[1]FA Report'!$D$58</f>
        <v>0.2142857142857143</v>
      </c>
      <c r="AQ65" s="24">
        <f t="shared" si="20"/>
        <v>5.9006211180124231E-2</v>
      </c>
      <c r="AR65" s="24">
        <f t="shared" si="21"/>
        <v>0.2608695652173913</v>
      </c>
      <c r="AS65" s="38">
        <f>+'[1]FA Report'!$C$52</f>
        <v>0.3</v>
      </c>
      <c r="AT65" s="24">
        <f t="shared" si="22"/>
        <v>-7.8260869565217384E-2</v>
      </c>
      <c r="AU65" s="38">
        <f t="shared" si="23"/>
        <v>0.20565907522429266</v>
      </c>
      <c r="AV65" s="24">
        <v>0.20499999999999996</v>
      </c>
      <c r="AW65">
        <f t="shared" si="25"/>
        <v>0</v>
      </c>
    </row>
    <row r="66" spans="1:49" x14ac:dyDescent="0.35">
      <c r="A66" s="23">
        <v>43614</v>
      </c>
      <c r="B66">
        <v>250</v>
      </c>
      <c r="C66">
        <v>249</v>
      </c>
      <c r="D66">
        <v>1</v>
      </c>
      <c r="E66">
        <v>229</v>
      </c>
      <c r="F66">
        <v>21</v>
      </c>
      <c r="G66">
        <v>11.116465863451594</v>
      </c>
      <c r="H66">
        <v>4.9039999999999999</v>
      </c>
      <c r="I66">
        <v>0</v>
      </c>
      <c r="J66">
        <v>0</v>
      </c>
      <c r="K66">
        <v>1</v>
      </c>
      <c r="L66">
        <v>1</v>
      </c>
      <c r="M66">
        <v>0</v>
      </c>
      <c r="N66">
        <v>146</v>
      </c>
      <c r="O66">
        <v>66</v>
      </c>
      <c r="P66">
        <v>216</v>
      </c>
      <c r="Q66">
        <v>185</v>
      </c>
      <c r="R66">
        <v>209</v>
      </c>
      <c r="S66">
        <v>170</v>
      </c>
      <c r="T66">
        <v>159</v>
      </c>
      <c r="U66">
        <v>67</v>
      </c>
      <c r="V66">
        <v>65</v>
      </c>
      <c r="W66">
        <v>46</v>
      </c>
      <c r="X66">
        <v>46</v>
      </c>
      <c r="Y66">
        <v>45</v>
      </c>
      <c r="Z66">
        <v>27</v>
      </c>
      <c r="AA66">
        <v>4</v>
      </c>
      <c r="AB66">
        <v>8</v>
      </c>
      <c r="AC66">
        <v>228</v>
      </c>
      <c r="AD66">
        <v>0.49779874279585579</v>
      </c>
      <c r="AE66">
        <f t="shared" ref="AE66:AE97" si="26">WEEKNUM(A66)</f>
        <v>22</v>
      </c>
      <c r="AF66" s="24">
        <f t="shared" si="24"/>
        <v>0.88516746411483249</v>
      </c>
      <c r="AG66" s="38">
        <f>+'[1]FA Report'!$D$42</f>
        <v>0.14285714285714288</v>
      </c>
      <c r="AH66" s="24">
        <f t="shared" ref="AH66:AH97" si="27">IFERROR(+AF66*AG66,"")</f>
        <v>0.12645249487354751</v>
      </c>
      <c r="AI66" s="24">
        <f t="shared" ref="AI66:AI97" si="28">IFERROR(T66/$R66,"")</f>
        <v>0.76076555023923442</v>
      </c>
      <c r="AJ66" s="38">
        <f>+'[1]FA Report'!$D$48</f>
        <v>7.1428571428571438E-2</v>
      </c>
      <c r="AK66" s="24">
        <f t="shared" ref="AK66:AK97" si="29">IFERROR(+AI66*AJ66,"")</f>
        <v>5.4340396445659613E-2</v>
      </c>
      <c r="AL66" s="24">
        <f t="shared" ref="AL66:AL97" si="30">IFERROR(+Z66/R66,"")</f>
        <v>0.12918660287081341</v>
      </c>
      <c r="AM66" s="38">
        <f>+'[1]FA Report'!$C$55</f>
        <v>0.4</v>
      </c>
      <c r="AN66" s="24">
        <f t="shared" ref="AN66:AN97" si="31">IFERROR(+AL66*AM66,"")</f>
        <v>5.1674641148325366E-2</v>
      </c>
      <c r="AO66" s="24">
        <f t="shared" ref="AO66:AO97" si="32">IFERROR(V66/$R66,"")</f>
        <v>0.31100478468899523</v>
      </c>
      <c r="AP66" s="38">
        <f>+'[1]FA Report'!$D$58</f>
        <v>0.2142857142857143</v>
      </c>
      <c r="AQ66" s="24">
        <f t="shared" ref="AQ66:AQ97" si="33">IFERROR(+AO66*AP66,"")</f>
        <v>6.664388243335613E-2</v>
      </c>
      <c r="AR66" s="24">
        <f t="shared" ref="AR66:AR97" si="34">IFERROR(O66/$B66,"")</f>
        <v>0.26400000000000001</v>
      </c>
      <c r="AS66" s="38">
        <f>+'[1]FA Report'!$C$52</f>
        <v>0.3</v>
      </c>
      <c r="AT66" s="24">
        <f t="shared" ref="AT66:AT97" si="35">IFERROR(-AR66*AS66,"")</f>
        <v>-7.9200000000000007E-2</v>
      </c>
      <c r="AU66" s="38">
        <f t="shared" ref="AU66:AU97" si="36">IFERROR(+AH66+AK66+AN66+AQ66+AT66,"")</f>
        <v>0.21991141490088861</v>
      </c>
      <c r="AV66" s="24">
        <v>0.20499999999999996</v>
      </c>
      <c r="AW66">
        <f t="shared" si="25"/>
        <v>0</v>
      </c>
    </row>
    <row r="67" spans="1:49" x14ac:dyDescent="0.35">
      <c r="A67" s="23">
        <v>43615</v>
      </c>
      <c r="B67">
        <v>254</v>
      </c>
      <c r="C67">
        <v>247</v>
      </c>
      <c r="D67">
        <v>7</v>
      </c>
      <c r="E67">
        <v>227</v>
      </c>
      <c r="F67">
        <v>27</v>
      </c>
      <c r="G67">
        <v>12.485829959514376</v>
      </c>
      <c r="H67">
        <v>4.9803149606299213</v>
      </c>
      <c r="I67">
        <v>24</v>
      </c>
      <c r="J67">
        <v>11</v>
      </c>
      <c r="K67">
        <v>0</v>
      </c>
      <c r="L67">
        <v>0</v>
      </c>
      <c r="M67">
        <v>0</v>
      </c>
      <c r="N67">
        <v>148</v>
      </c>
      <c r="O67">
        <v>68</v>
      </c>
      <c r="P67">
        <v>214</v>
      </c>
      <c r="Q67">
        <v>183</v>
      </c>
      <c r="R67">
        <v>207</v>
      </c>
      <c r="S67">
        <v>170</v>
      </c>
      <c r="T67">
        <v>159</v>
      </c>
      <c r="U67">
        <v>68</v>
      </c>
      <c r="V67">
        <v>65</v>
      </c>
      <c r="W67">
        <v>51</v>
      </c>
      <c r="X67">
        <v>51</v>
      </c>
      <c r="Y67">
        <v>50</v>
      </c>
      <c r="Z67">
        <v>28</v>
      </c>
      <c r="AA67">
        <v>4</v>
      </c>
      <c r="AB67">
        <v>8</v>
      </c>
      <c r="AC67">
        <v>226</v>
      </c>
      <c r="AD67">
        <v>0.50923776222506867</v>
      </c>
      <c r="AE67">
        <f t="shared" si="26"/>
        <v>22</v>
      </c>
      <c r="AF67" s="24">
        <f t="shared" ref="AF67:AF98" si="37">IFERROR(Q67/R67,"")</f>
        <v>0.88405797101449279</v>
      </c>
      <c r="AG67" s="38">
        <f>+'[1]FA Report'!$D$42</f>
        <v>0.14285714285714288</v>
      </c>
      <c r="AH67" s="24">
        <f t="shared" si="27"/>
        <v>0.12629399585921328</v>
      </c>
      <c r="AI67" s="24">
        <f t="shared" si="28"/>
        <v>0.76811594202898548</v>
      </c>
      <c r="AJ67" s="38">
        <f>+'[1]FA Report'!$D$48</f>
        <v>7.1428571428571438E-2</v>
      </c>
      <c r="AK67" s="24">
        <f t="shared" si="29"/>
        <v>5.4865424430641831E-2</v>
      </c>
      <c r="AL67" s="24">
        <f t="shared" si="30"/>
        <v>0.13526570048309178</v>
      </c>
      <c r="AM67" s="38">
        <f>+'[1]FA Report'!$C$55</f>
        <v>0.4</v>
      </c>
      <c r="AN67" s="24">
        <f t="shared" si="31"/>
        <v>5.4106280193236711E-2</v>
      </c>
      <c r="AO67" s="24">
        <f t="shared" si="32"/>
        <v>0.3140096618357488</v>
      </c>
      <c r="AP67" s="38">
        <f>+'[1]FA Report'!$D$58</f>
        <v>0.2142857142857143</v>
      </c>
      <c r="AQ67" s="24">
        <f t="shared" si="33"/>
        <v>6.7287784679089038E-2</v>
      </c>
      <c r="AR67" s="24">
        <f t="shared" si="34"/>
        <v>0.26771653543307089</v>
      </c>
      <c r="AS67" s="38">
        <f>+'[1]FA Report'!$C$52</f>
        <v>0.3</v>
      </c>
      <c r="AT67" s="24">
        <f t="shared" si="35"/>
        <v>-8.0314960629921259E-2</v>
      </c>
      <c r="AU67" s="38">
        <f t="shared" si="36"/>
        <v>0.22223852453225956</v>
      </c>
      <c r="AV67" s="24">
        <v>0.20499999999999996</v>
      </c>
      <c r="AW67">
        <f t="shared" si="25"/>
        <v>0</v>
      </c>
    </row>
    <row r="68" spans="1:49" x14ac:dyDescent="0.35">
      <c r="A68" s="23">
        <v>43616</v>
      </c>
      <c r="AE68">
        <f t="shared" si="26"/>
        <v>22</v>
      </c>
      <c r="AF68" s="24" t="str">
        <f t="shared" si="37"/>
        <v/>
      </c>
      <c r="AG68" s="38">
        <f>+'[1]FA Report'!$D$42</f>
        <v>0.14285714285714288</v>
      </c>
      <c r="AH68" s="24" t="str">
        <f t="shared" si="27"/>
        <v/>
      </c>
      <c r="AI68" s="24" t="str">
        <f t="shared" si="28"/>
        <v/>
      </c>
      <c r="AJ68" s="38">
        <f>+'[1]FA Report'!$D$48</f>
        <v>7.1428571428571438E-2</v>
      </c>
      <c r="AK68" s="24" t="str">
        <f t="shared" si="29"/>
        <v/>
      </c>
      <c r="AL68" s="24" t="str">
        <f t="shared" si="30"/>
        <v/>
      </c>
      <c r="AM68" s="38">
        <f>+'[1]FA Report'!$C$55</f>
        <v>0.4</v>
      </c>
      <c r="AN68" s="24" t="str">
        <f t="shared" si="31"/>
        <v/>
      </c>
      <c r="AO68" s="24" t="str">
        <f t="shared" si="32"/>
        <v/>
      </c>
      <c r="AP68" s="38">
        <f>+'[1]FA Report'!$D$58</f>
        <v>0.2142857142857143</v>
      </c>
      <c r="AQ68" s="24" t="str">
        <f t="shared" si="33"/>
        <v/>
      </c>
      <c r="AR68" s="24" t="str">
        <f t="shared" si="34"/>
        <v/>
      </c>
      <c r="AS68" s="38">
        <f>+'[1]FA Report'!$C$52</f>
        <v>0.3</v>
      </c>
      <c r="AT68" s="24" t="str">
        <f t="shared" si="35"/>
        <v/>
      </c>
      <c r="AU68" s="38" t="str">
        <f t="shared" si="36"/>
        <v/>
      </c>
      <c r="AV68" s="24">
        <v>0.20499999999999996</v>
      </c>
      <c r="AW68">
        <f t="shared" si="25"/>
        <v>0</v>
      </c>
    </row>
    <row r="69" spans="1:49" x14ac:dyDescent="0.35">
      <c r="A69" s="23">
        <v>43617</v>
      </c>
      <c r="AE69">
        <f t="shared" si="26"/>
        <v>22</v>
      </c>
      <c r="AF69" s="24" t="str">
        <f t="shared" si="37"/>
        <v/>
      </c>
      <c r="AG69" s="38">
        <f>+'[1]FA Report'!$D$42</f>
        <v>0.14285714285714288</v>
      </c>
      <c r="AH69" s="24" t="str">
        <f t="shared" si="27"/>
        <v/>
      </c>
      <c r="AI69" s="24" t="str">
        <f t="shared" si="28"/>
        <v/>
      </c>
      <c r="AJ69" s="38">
        <f>+'[1]FA Report'!$D$48</f>
        <v>7.1428571428571438E-2</v>
      </c>
      <c r="AK69" s="24" t="str">
        <f t="shared" si="29"/>
        <v/>
      </c>
      <c r="AL69" s="24" t="str">
        <f t="shared" si="30"/>
        <v/>
      </c>
      <c r="AM69" s="38">
        <f>+'[1]FA Report'!$C$55</f>
        <v>0.4</v>
      </c>
      <c r="AN69" s="24" t="str">
        <f t="shared" si="31"/>
        <v/>
      </c>
      <c r="AO69" s="24" t="str">
        <f t="shared" si="32"/>
        <v/>
      </c>
      <c r="AP69" s="38">
        <f>+'[1]FA Report'!$D$58</f>
        <v>0.2142857142857143</v>
      </c>
      <c r="AQ69" s="24" t="str">
        <f t="shared" si="33"/>
        <v/>
      </c>
      <c r="AR69" s="24" t="str">
        <f t="shared" si="34"/>
        <v/>
      </c>
      <c r="AS69" s="38">
        <f>+'[1]FA Report'!$C$52</f>
        <v>0.3</v>
      </c>
      <c r="AT69" s="24" t="str">
        <f t="shared" si="35"/>
        <v/>
      </c>
      <c r="AU69" s="38" t="str">
        <f t="shared" si="36"/>
        <v/>
      </c>
      <c r="AV69" s="24">
        <v>0.20499999999999996</v>
      </c>
      <c r="AW69">
        <f t="shared" si="25"/>
        <v>0</v>
      </c>
    </row>
    <row r="70" spans="1:49" x14ac:dyDescent="0.35">
      <c r="A70" s="23">
        <v>43618</v>
      </c>
      <c r="AE70">
        <f t="shared" si="26"/>
        <v>23</v>
      </c>
      <c r="AF70" s="24" t="str">
        <f t="shared" si="37"/>
        <v/>
      </c>
      <c r="AG70" s="38">
        <f>+'[1]FA Report'!$D$42</f>
        <v>0.14285714285714288</v>
      </c>
      <c r="AH70" s="24" t="str">
        <f t="shared" si="27"/>
        <v/>
      </c>
      <c r="AI70" s="24" t="str">
        <f t="shared" si="28"/>
        <v/>
      </c>
      <c r="AJ70" s="38">
        <f>+'[1]FA Report'!$D$48</f>
        <v>7.1428571428571438E-2</v>
      </c>
      <c r="AK70" s="24" t="str">
        <f t="shared" si="29"/>
        <v/>
      </c>
      <c r="AL70" s="24" t="str">
        <f t="shared" si="30"/>
        <v/>
      </c>
      <c r="AM70" s="38">
        <f>+'[1]FA Report'!$C$55</f>
        <v>0.4</v>
      </c>
      <c r="AN70" s="24" t="str">
        <f t="shared" si="31"/>
        <v/>
      </c>
      <c r="AO70" s="24" t="str">
        <f t="shared" si="32"/>
        <v/>
      </c>
      <c r="AP70" s="38">
        <f>+'[1]FA Report'!$D$58</f>
        <v>0.2142857142857143</v>
      </c>
      <c r="AQ70" s="24" t="str">
        <f t="shared" si="33"/>
        <v/>
      </c>
      <c r="AR70" s="24" t="str">
        <f t="shared" si="34"/>
        <v/>
      </c>
      <c r="AS70" s="38">
        <f>+'[1]FA Report'!$C$52</f>
        <v>0.3</v>
      </c>
      <c r="AT70" s="24" t="str">
        <f t="shared" si="35"/>
        <v/>
      </c>
      <c r="AU70" s="38" t="str">
        <f t="shared" si="36"/>
        <v/>
      </c>
      <c r="AV70" s="24">
        <v>0.22749999999999995</v>
      </c>
      <c r="AW70">
        <f t="shared" si="25"/>
        <v>1</v>
      </c>
    </row>
    <row r="71" spans="1:49" x14ac:dyDescent="0.35">
      <c r="A71" s="23">
        <v>43619</v>
      </c>
      <c r="B71">
        <v>251</v>
      </c>
      <c r="C71">
        <v>245</v>
      </c>
      <c r="D71">
        <v>6</v>
      </c>
      <c r="E71">
        <v>228</v>
      </c>
      <c r="F71">
        <v>23</v>
      </c>
      <c r="G71">
        <v>15.995918367349077</v>
      </c>
      <c r="H71">
        <v>4.9840637450199203</v>
      </c>
      <c r="I71">
        <v>6</v>
      </c>
      <c r="J71">
        <v>5</v>
      </c>
      <c r="K71">
        <v>0</v>
      </c>
      <c r="L71">
        <v>0</v>
      </c>
      <c r="M71">
        <v>0</v>
      </c>
      <c r="N71">
        <v>147</v>
      </c>
      <c r="O71">
        <v>68</v>
      </c>
      <c r="P71">
        <v>214</v>
      </c>
      <c r="Q71">
        <v>186</v>
      </c>
      <c r="R71">
        <v>207</v>
      </c>
      <c r="S71">
        <v>170</v>
      </c>
      <c r="T71">
        <v>159</v>
      </c>
      <c r="U71">
        <v>71</v>
      </c>
      <c r="V71">
        <v>69</v>
      </c>
      <c r="W71">
        <v>51</v>
      </c>
      <c r="X71">
        <v>51</v>
      </c>
      <c r="Y71">
        <v>50</v>
      </c>
      <c r="Z71">
        <v>28</v>
      </c>
      <c r="AA71">
        <v>4</v>
      </c>
      <c r="AB71">
        <v>9</v>
      </c>
      <c r="AC71">
        <v>226</v>
      </c>
      <c r="AD71">
        <v>0.51859462954653768</v>
      </c>
      <c r="AE71">
        <f t="shared" si="26"/>
        <v>23</v>
      </c>
      <c r="AF71" s="24">
        <f t="shared" si="37"/>
        <v>0.89855072463768115</v>
      </c>
      <c r="AG71" s="38">
        <f>+'[1]FA Report'!$D$42</f>
        <v>0.14285714285714288</v>
      </c>
      <c r="AH71" s="24">
        <f t="shared" si="27"/>
        <v>0.12836438923395446</v>
      </c>
      <c r="AI71" s="24">
        <f t="shared" si="28"/>
        <v>0.76811594202898548</v>
      </c>
      <c r="AJ71" s="38">
        <f>+'[1]FA Report'!$D$48</f>
        <v>7.1428571428571438E-2</v>
      </c>
      <c r="AK71" s="24">
        <f t="shared" si="29"/>
        <v>5.4865424430641831E-2</v>
      </c>
      <c r="AL71" s="24">
        <f t="shared" si="30"/>
        <v>0.13526570048309178</v>
      </c>
      <c r="AM71" s="38">
        <f>+'[1]FA Report'!$C$55</f>
        <v>0.4</v>
      </c>
      <c r="AN71" s="24">
        <f t="shared" si="31"/>
        <v>5.4106280193236711E-2</v>
      </c>
      <c r="AO71" s="24">
        <f t="shared" si="32"/>
        <v>0.33333333333333331</v>
      </c>
      <c r="AP71" s="38">
        <f>+'[1]FA Report'!$D$58</f>
        <v>0.2142857142857143</v>
      </c>
      <c r="AQ71" s="24">
        <f t="shared" si="33"/>
        <v>7.1428571428571425E-2</v>
      </c>
      <c r="AR71" s="24">
        <f t="shared" si="34"/>
        <v>0.27091633466135456</v>
      </c>
      <c r="AS71" s="38">
        <f>+'[1]FA Report'!$C$52</f>
        <v>0.3</v>
      </c>
      <c r="AT71" s="24">
        <f t="shared" si="35"/>
        <v>-8.1274900398406361E-2</v>
      </c>
      <c r="AU71" s="38">
        <f t="shared" si="36"/>
        <v>0.2274897648879981</v>
      </c>
      <c r="AV71" s="24">
        <v>0.22749999999999995</v>
      </c>
      <c r="AW71">
        <f t="shared" ref="AW71:AW102" si="38">+AE71-AE70</f>
        <v>0</v>
      </c>
    </row>
    <row r="72" spans="1:49" x14ac:dyDescent="0.35">
      <c r="A72" s="23">
        <v>43620</v>
      </c>
      <c r="B72">
        <v>246</v>
      </c>
      <c r="C72">
        <v>240</v>
      </c>
      <c r="D72">
        <v>6</v>
      </c>
      <c r="E72">
        <v>226</v>
      </c>
      <c r="F72">
        <v>20</v>
      </c>
      <c r="G72">
        <v>14.116666666668607</v>
      </c>
      <c r="H72">
        <v>4.9227642276422765</v>
      </c>
      <c r="I72">
        <v>22</v>
      </c>
      <c r="J72">
        <v>13</v>
      </c>
      <c r="K72">
        <v>0</v>
      </c>
      <c r="L72">
        <v>0</v>
      </c>
      <c r="M72">
        <v>0</v>
      </c>
      <c r="N72">
        <v>144</v>
      </c>
      <c r="O72">
        <v>69</v>
      </c>
      <c r="P72">
        <v>210</v>
      </c>
      <c r="Q72">
        <v>183</v>
      </c>
      <c r="R72">
        <v>208</v>
      </c>
      <c r="S72">
        <v>174</v>
      </c>
      <c r="T72">
        <v>163</v>
      </c>
      <c r="U72">
        <v>73</v>
      </c>
      <c r="V72">
        <v>74</v>
      </c>
      <c r="W72">
        <v>52</v>
      </c>
      <c r="X72">
        <v>52</v>
      </c>
      <c r="Y72">
        <v>51</v>
      </c>
      <c r="Z72">
        <v>31</v>
      </c>
      <c r="AA72">
        <v>4</v>
      </c>
      <c r="AB72">
        <v>11</v>
      </c>
      <c r="AC72">
        <v>227</v>
      </c>
      <c r="AD72">
        <v>0.52291268565558713</v>
      </c>
      <c r="AE72">
        <f t="shared" si="26"/>
        <v>23</v>
      </c>
      <c r="AF72" s="24">
        <f t="shared" si="37"/>
        <v>0.87980769230769229</v>
      </c>
      <c r="AG72" s="38">
        <f>+'[1]FA Report'!$D$42</f>
        <v>0.14285714285714288</v>
      </c>
      <c r="AH72" s="24">
        <f t="shared" si="27"/>
        <v>0.12568681318681321</v>
      </c>
      <c r="AI72" s="24">
        <f t="shared" si="28"/>
        <v>0.78365384615384615</v>
      </c>
      <c r="AJ72" s="38">
        <f>+'[1]FA Report'!$D$48</f>
        <v>7.1428571428571438E-2</v>
      </c>
      <c r="AK72" s="24">
        <f t="shared" si="29"/>
        <v>5.5975274725274735E-2</v>
      </c>
      <c r="AL72" s="24">
        <f t="shared" si="30"/>
        <v>0.14903846153846154</v>
      </c>
      <c r="AM72" s="38">
        <f>+'[1]FA Report'!$C$55</f>
        <v>0.4</v>
      </c>
      <c r="AN72" s="24">
        <f t="shared" si="31"/>
        <v>5.9615384615384619E-2</v>
      </c>
      <c r="AO72" s="24">
        <f t="shared" si="32"/>
        <v>0.35576923076923078</v>
      </c>
      <c r="AP72" s="38">
        <f>+'[1]FA Report'!$D$58</f>
        <v>0.2142857142857143</v>
      </c>
      <c r="AQ72" s="24">
        <f t="shared" si="33"/>
        <v>7.6236263736263743E-2</v>
      </c>
      <c r="AR72" s="24">
        <f t="shared" si="34"/>
        <v>0.28048780487804881</v>
      </c>
      <c r="AS72" s="38">
        <f>+'[1]FA Report'!$C$52</f>
        <v>0.3</v>
      </c>
      <c r="AT72" s="24">
        <f t="shared" si="35"/>
        <v>-8.4146341463414639E-2</v>
      </c>
      <c r="AU72" s="38">
        <f t="shared" si="36"/>
        <v>0.23336739480032165</v>
      </c>
      <c r="AV72" s="24">
        <v>0.22749999999999995</v>
      </c>
      <c r="AW72">
        <f t="shared" si="38"/>
        <v>0</v>
      </c>
    </row>
    <row r="73" spans="1:49" x14ac:dyDescent="0.35">
      <c r="A73" s="23">
        <v>43621</v>
      </c>
      <c r="B73">
        <v>242</v>
      </c>
      <c r="C73">
        <v>242</v>
      </c>
      <c r="D73">
        <v>0</v>
      </c>
      <c r="E73">
        <v>226</v>
      </c>
      <c r="F73">
        <v>16</v>
      </c>
      <c r="G73">
        <v>12.51239669421193</v>
      </c>
      <c r="H73">
        <v>4.9338842975206614</v>
      </c>
      <c r="I73">
        <v>40</v>
      </c>
      <c r="J73">
        <v>19</v>
      </c>
      <c r="K73">
        <v>0</v>
      </c>
      <c r="L73">
        <v>0</v>
      </c>
      <c r="M73">
        <v>0</v>
      </c>
      <c r="N73">
        <v>140</v>
      </c>
      <c r="O73">
        <v>68</v>
      </c>
      <c r="P73">
        <v>208</v>
      </c>
      <c r="Q73">
        <v>181</v>
      </c>
      <c r="R73">
        <v>207</v>
      </c>
      <c r="S73">
        <v>174</v>
      </c>
      <c r="T73">
        <v>164</v>
      </c>
      <c r="U73">
        <v>74</v>
      </c>
      <c r="V73">
        <v>76</v>
      </c>
      <c r="W73">
        <v>54</v>
      </c>
      <c r="X73">
        <v>54</v>
      </c>
      <c r="Y73">
        <v>52</v>
      </c>
      <c r="Z73">
        <v>31</v>
      </c>
      <c r="AA73">
        <v>4</v>
      </c>
      <c r="AB73">
        <v>11</v>
      </c>
      <c r="AC73">
        <v>226</v>
      </c>
      <c r="AD73">
        <v>0.52567482181676495</v>
      </c>
      <c r="AE73">
        <f t="shared" si="26"/>
        <v>23</v>
      </c>
      <c r="AF73" s="24">
        <f t="shared" si="37"/>
        <v>0.87439613526570048</v>
      </c>
      <c r="AG73" s="38">
        <f>+'[1]FA Report'!$D$42</f>
        <v>0.14285714285714288</v>
      </c>
      <c r="AH73" s="24">
        <f t="shared" si="27"/>
        <v>0.1249137336093858</v>
      </c>
      <c r="AI73" s="24">
        <f t="shared" si="28"/>
        <v>0.79227053140096615</v>
      </c>
      <c r="AJ73" s="38">
        <f>+'[1]FA Report'!$D$48</f>
        <v>7.1428571428571438E-2</v>
      </c>
      <c r="AK73" s="24">
        <f t="shared" si="29"/>
        <v>5.6590752242926159E-2</v>
      </c>
      <c r="AL73" s="24">
        <f t="shared" si="30"/>
        <v>0.14975845410628019</v>
      </c>
      <c r="AM73" s="38">
        <f>+'[1]FA Report'!$C$55</f>
        <v>0.4</v>
      </c>
      <c r="AN73" s="24">
        <f t="shared" si="31"/>
        <v>5.9903381642512077E-2</v>
      </c>
      <c r="AO73" s="24">
        <f t="shared" si="32"/>
        <v>0.3671497584541063</v>
      </c>
      <c r="AP73" s="38">
        <f>+'[1]FA Report'!$D$58</f>
        <v>0.2142857142857143</v>
      </c>
      <c r="AQ73" s="24">
        <f t="shared" si="33"/>
        <v>7.8674948240165646E-2</v>
      </c>
      <c r="AR73" s="24">
        <f t="shared" si="34"/>
        <v>0.28099173553719009</v>
      </c>
      <c r="AS73" s="38">
        <f>+'[1]FA Report'!$C$52</f>
        <v>0.3</v>
      </c>
      <c r="AT73" s="24">
        <f t="shared" si="35"/>
        <v>-8.4297520661157019E-2</v>
      </c>
      <c r="AU73" s="38">
        <f t="shared" si="36"/>
        <v>0.23578529507383267</v>
      </c>
      <c r="AV73" s="24">
        <v>0.22749999999999995</v>
      </c>
      <c r="AW73">
        <f t="shared" si="38"/>
        <v>0</v>
      </c>
    </row>
    <row r="74" spans="1:49" x14ac:dyDescent="0.35">
      <c r="A74" s="23">
        <v>43622</v>
      </c>
      <c r="AE74">
        <f t="shared" si="26"/>
        <v>23</v>
      </c>
      <c r="AF74" s="24" t="str">
        <f t="shared" si="37"/>
        <v/>
      </c>
      <c r="AG74" s="38">
        <f>+'[1]FA Report'!$D$42</f>
        <v>0.14285714285714288</v>
      </c>
      <c r="AH74" s="24" t="str">
        <f t="shared" si="27"/>
        <v/>
      </c>
      <c r="AI74" s="24" t="str">
        <f t="shared" si="28"/>
        <v/>
      </c>
      <c r="AJ74" s="38">
        <f>+'[1]FA Report'!$D$48</f>
        <v>7.1428571428571438E-2</v>
      </c>
      <c r="AK74" s="24" t="str">
        <f t="shared" si="29"/>
        <v/>
      </c>
      <c r="AL74" s="24" t="str">
        <f t="shared" si="30"/>
        <v/>
      </c>
      <c r="AM74" s="38">
        <f>+'[1]FA Report'!$C$55</f>
        <v>0.4</v>
      </c>
      <c r="AN74" s="24" t="str">
        <f t="shared" si="31"/>
        <v/>
      </c>
      <c r="AO74" s="24" t="str">
        <f t="shared" si="32"/>
        <v/>
      </c>
      <c r="AP74" s="38">
        <f>+'[1]FA Report'!$D$58</f>
        <v>0.2142857142857143</v>
      </c>
      <c r="AQ74" s="24" t="str">
        <f t="shared" si="33"/>
        <v/>
      </c>
      <c r="AR74" s="24" t="str">
        <f t="shared" si="34"/>
        <v/>
      </c>
      <c r="AS74" s="38">
        <f>+'[1]FA Report'!$C$52</f>
        <v>0.3</v>
      </c>
      <c r="AT74" s="24" t="str">
        <f t="shared" si="35"/>
        <v/>
      </c>
      <c r="AU74" s="38" t="str">
        <f t="shared" si="36"/>
        <v/>
      </c>
      <c r="AV74" s="24">
        <v>0.22749999999999995</v>
      </c>
      <c r="AW74">
        <f t="shared" si="38"/>
        <v>0</v>
      </c>
    </row>
    <row r="75" spans="1:49" x14ac:dyDescent="0.35">
      <c r="A75" s="23">
        <v>43623</v>
      </c>
      <c r="B75">
        <v>239</v>
      </c>
      <c r="C75">
        <v>239</v>
      </c>
      <c r="D75">
        <v>0</v>
      </c>
      <c r="E75">
        <v>225</v>
      </c>
      <c r="F75">
        <v>14</v>
      </c>
      <c r="G75">
        <v>31.10460251045879</v>
      </c>
      <c r="H75">
        <v>4.9246861924686192</v>
      </c>
      <c r="I75">
        <v>28</v>
      </c>
      <c r="J75">
        <v>18</v>
      </c>
      <c r="K75">
        <v>0</v>
      </c>
      <c r="L75">
        <v>0</v>
      </c>
      <c r="M75">
        <v>0</v>
      </c>
      <c r="N75">
        <v>140</v>
      </c>
      <c r="O75">
        <v>70</v>
      </c>
      <c r="P75">
        <v>206</v>
      </c>
      <c r="Q75">
        <v>180</v>
      </c>
      <c r="R75">
        <v>204</v>
      </c>
      <c r="S75">
        <v>174</v>
      </c>
      <c r="T75">
        <v>166</v>
      </c>
      <c r="U75">
        <v>82</v>
      </c>
      <c r="V75">
        <v>81</v>
      </c>
      <c r="W75">
        <v>59</v>
      </c>
      <c r="X75">
        <v>59</v>
      </c>
      <c r="Y75">
        <v>55</v>
      </c>
      <c r="Z75">
        <v>34</v>
      </c>
      <c r="AA75">
        <v>4</v>
      </c>
      <c r="AB75">
        <v>11</v>
      </c>
      <c r="AC75">
        <v>223</v>
      </c>
      <c r="AD75">
        <v>0.54909631217215205</v>
      </c>
      <c r="AE75">
        <f t="shared" si="26"/>
        <v>23</v>
      </c>
      <c r="AF75" s="24">
        <f t="shared" si="37"/>
        <v>0.88235294117647056</v>
      </c>
      <c r="AG75" s="38">
        <f>+'[1]FA Report'!$D$42</f>
        <v>0.14285714285714288</v>
      </c>
      <c r="AH75" s="24">
        <f t="shared" si="27"/>
        <v>0.12605042016806725</v>
      </c>
      <c r="AI75" s="24">
        <f t="shared" si="28"/>
        <v>0.81372549019607843</v>
      </c>
      <c r="AJ75" s="38">
        <f>+'[1]FA Report'!$D$48</f>
        <v>7.1428571428571438E-2</v>
      </c>
      <c r="AK75" s="24">
        <f t="shared" si="29"/>
        <v>5.8123249299719897E-2</v>
      </c>
      <c r="AL75" s="24">
        <f t="shared" si="30"/>
        <v>0.16666666666666666</v>
      </c>
      <c r="AM75" s="38">
        <f>+'[1]FA Report'!$C$55</f>
        <v>0.4</v>
      </c>
      <c r="AN75" s="24">
        <f t="shared" si="31"/>
        <v>6.6666666666666666E-2</v>
      </c>
      <c r="AO75" s="24">
        <f t="shared" si="32"/>
        <v>0.39705882352941174</v>
      </c>
      <c r="AP75" s="38">
        <f>+'[1]FA Report'!$D$58</f>
        <v>0.2142857142857143</v>
      </c>
      <c r="AQ75" s="24">
        <f t="shared" si="33"/>
        <v>8.5084033613445381E-2</v>
      </c>
      <c r="AR75" s="24">
        <f t="shared" si="34"/>
        <v>0.29288702928870292</v>
      </c>
      <c r="AS75" s="38">
        <f>+'[1]FA Report'!$C$52</f>
        <v>0.3</v>
      </c>
      <c r="AT75" s="24">
        <f t="shared" si="35"/>
        <v>-8.7866108786610872E-2</v>
      </c>
      <c r="AU75" s="38">
        <f t="shared" si="36"/>
        <v>0.2480582609612883</v>
      </c>
      <c r="AV75" s="24">
        <v>0.22749999999999995</v>
      </c>
      <c r="AW75">
        <f t="shared" si="38"/>
        <v>0</v>
      </c>
    </row>
    <row r="76" spans="1:49" x14ac:dyDescent="0.35">
      <c r="A76" s="23">
        <v>43624</v>
      </c>
      <c r="AE76">
        <f t="shared" si="26"/>
        <v>23</v>
      </c>
      <c r="AF76" s="24" t="str">
        <f t="shared" si="37"/>
        <v/>
      </c>
      <c r="AG76" s="38">
        <f>+'[1]FA Report'!$D$42</f>
        <v>0.14285714285714288</v>
      </c>
      <c r="AH76" s="24" t="str">
        <f t="shared" si="27"/>
        <v/>
      </c>
      <c r="AI76" s="24" t="str">
        <f t="shared" si="28"/>
        <v/>
      </c>
      <c r="AJ76" s="38">
        <f>+'[1]FA Report'!$D$48</f>
        <v>7.1428571428571438E-2</v>
      </c>
      <c r="AK76" s="24" t="str">
        <f t="shared" si="29"/>
        <v/>
      </c>
      <c r="AL76" s="24" t="str">
        <f t="shared" si="30"/>
        <v/>
      </c>
      <c r="AM76" s="38">
        <f>+'[1]FA Report'!$C$55</f>
        <v>0.4</v>
      </c>
      <c r="AN76" s="24" t="str">
        <f t="shared" si="31"/>
        <v/>
      </c>
      <c r="AO76" s="24" t="str">
        <f t="shared" si="32"/>
        <v/>
      </c>
      <c r="AP76" s="38">
        <f>+'[1]FA Report'!$D$58</f>
        <v>0.2142857142857143</v>
      </c>
      <c r="AQ76" s="24" t="str">
        <f t="shared" si="33"/>
        <v/>
      </c>
      <c r="AR76" s="24" t="str">
        <f t="shared" si="34"/>
        <v/>
      </c>
      <c r="AS76" s="38">
        <f>+'[1]FA Report'!$C$52</f>
        <v>0.3</v>
      </c>
      <c r="AT76" s="24" t="str">
        <f t="shared" si="35"/>
        <v/>
      </c>
      <c r="AU76" s="38" t="str">
        <f t="shared" si="36"/>
        <v/>
      </c>
      <c r="AV76" s="24">
        <v>0.22749999999999995</v>
      </c>
      <c r="AW76">
        <f t="shared" si="38"/>
        <v>0</v>
      </c>
    </row>
    <row r="77" spans="1:49" x14ac:dyDescent="0.35">
      <c r="A77" s="23">
        <v>43625</v>
      </c>
      <c r="AE77">
        <f t="shared" si="26"/>
        <v>24</v>
      </c>
      <c r="AF77" s="24" t="str">
        <f t="shared" si="37"/>
        <v/>
      </c>
      <c r="AG77" s="38">
        <f>+'[1]FA Report'!$D$42</f>
        <v>0.14285714285714288</v>
      </c>
      <c r="AH77" s="24" t="str">
        <f t="shared" si="27"/>
        <v/>
      </c>
      <c r="AI77" s="24" t="str">
        <f t="shared" si="28"/>
        <v/>
      </c>
      <c r="AJ77" s="38">
        <f>+'[1]FA Report'!$D$48</f>
        <v>7.1428571428571438E-2</v>
      </c>
      <c r="AK77" s="24" t="str">
        <f t="shared" si="29"/>
        <v/>
      </c>
      <c r="AL77" s="24" t="str">
        <f t="shared" si="30"/>
        <v/>
      </c>
      <c r="AM77" s="38">
        <f>+'[1]FA Report'!$C$55</f>
        <v>0.4</v>
      </c>
      <c r="AN77" s="24" t="str">
        <f t="shared" si="31"/>
        <v/>
      </c>
      <c r="AO77" s="24" t="str">
        <f t="shared" si="32"/>
        <v/>
      </c>
      <c r="AP77" s="38">
        <f>+'[1]FA Report'!$D$58</f>
        <v>0.2142857142857143</v>
      </c>
      <c r="AQ77" s="24" t="str">
        <f t="shared" si="33"/>
        <v/>
      </c>
      <c r="AR77" s="24" t="str">
        <f t="shared" si="34"/>
        <v/>
      </c>
      <c r="AS77" s="38">
        <f>+'[1]FA Report'!$C$52</f>
        <v>0.3</v>
      </c>
      <c r="AT77" s="24" t="str">
        <f t="shared" si="35"/>
        <v/>
      </c>
      <c r="AU77" s="38" t="str">
        <f t="shared" si="36"/>
        <v/>
      </c>
      <c r="AV77" s="24">
        <v>0.24999999999999994</v>
      </c>
      <c r="AW77">
        <f t="shared" si="38"/>
        <v>1</v>
      </c>
    </row>
    <row r="78" spans="1:49" x14ac:dyDescent="0.35">
      <c r="A78" s="23">
        <v>43626</v>
      </c>
      <c r="B78">
        <v>238</v>
      </c>
      <c r="C78">
        <v>238</v>
      </c>
      <c r="D78">
        <v>0</v>
      </c>
      <c r="E78">
        <v>224</v>
      </c>
      <c r="F78">
        <v>14</v>
      </c>
      <c r="G78">
        <v>34.0084033613457</v>
      </c>
      <c r="H78">
        <v>4.8888888888888893</v>
      </c>
      <c r="I78">
        <v>6</v>
      </c>
      <c r="J78">
        <v>3</v>
      </c>
      <c r="K78">
        <v>0</v>
      </c>
      <c r="L78">
        <v>0</v>
      </c>
      <c r="M78">
        <v>0</v>
      </c>
      <c r="N78">
        <v>138</v>
      </c>
      <c r="O78">
        <v>70</v>
      </c>
      <c r="P78">
        <v>206</v>
      </c>
      <c r="Q78">
        <v>180</v>
      </c>
      <c r="R78">
        <v>205</v>
      </c>
      <c r="S78">
        <v>175</v>
      </c>
      <c r="T78">
        <v>168</v>
      </c>
      <c r="U78">
        <v>84</v>
      </c>
      <c r="V78">
        <v>82</v>
      </c>
      <c r="W78">
        <v>62</v>
      </c>
      <c r="X78">
        <v>62</v>
      </c>
      <c r="Y78">
        <v>59</v>
      </c>
      <c r="Z78">
        <v>37</v>
      </c>
      <c r="AA78">
        <v>4</v>
      </c>
      <c r="AB78">
        <v>11</v>
      </c>
      <c r="AC78">
        <v>224</v>
      </c>
      <c r="AD78">
        <v>0.55544671980934512</v>
      </c>
      <c r="AE78">
        <f t="shared" si="26"/>
        <v>24</v>
      </c>
      <c r="AF78" s="24">
        <f t="shared" si="37"/>
        <v>0.87804878048780488</v>
      </c>
      <c r="AG78" s="38">
        <f>+'[1]FA Report'!$D$42</f>
        <v>0.14285714285714288</v>
      </c>
      <c r="AH78" s="24">
        <f t="shared" si="27"/>
        <v>0.12543554006968644</v>
      </c>
      <c r="AI78" s="24">
        <f t="shared" si="28"/>
        <v>0.81951219512195117</v>
      </c>
      <c r="AJ78" s="38">
        <f>+'[1]FA Report'!$D$48</f>
        <v>7.1428571428571438E-2</v>
      </c>
      <c r="AK78" s="24">
        <f t="shared" si="29"/>
        <v>5.8536585365853662E-2</v>
      </c>
      <c r="AL78" s="24">
        <f t="shared" si="30"/>
        <v>0.18048780487804877</v>
      </c>
      <c r="AM78" s="38">
        <f>+'[1]FA Report'!$C$55</f>
        <v>0.4</v>
      </c>
      <c r="AN78" s="24">
        <f t="shared" si="31"/>
        <v>7.2195121951219507E-2</v>
      </c>
      <c r="AO78" s="24">
        <f t="shared" si="32"/>
        <v>0.4</v>
      </c>
      <c r="AP78" s="38">
        <f>+'[1]FA Report'!$D$58</f>
        <v>0.2142857142857143</v>
      </c>
      <c r="AQ78" s="24">
        <f t="shared" si="33"/>
        <v>8.5714285714285729E-2</v>
      </c>
      <c r="AR78" s="24">
        <f t="shared" si="34"/>
        <v>0.29411764705882354</v>
      </c>
      <c r="AS78" s="38">
        <f>+'[1]FA Report'!$C$52</f>
        <v>0.3</v>
      </c>
      <c r="AT78" s="24">
        <f t="shared" si="35"/>
        <v>-8.8235294117647065E-2</v>
      </c>
      <c r="AU78" s="38">
        <f t="shared" si="36"/>
        <v>0.25364623898339828</v>
      </c>
      <c r="AV78" s="24">
        <v>0.24999999999999994</v>
      </c>
      <c r="AW78">
        <f t="shared" si="38"/>
        <v>0</v>
      </c>
    </row>
    <row r="79" spans="1:49" x14ac:dyDescent="0.35">
      <c r="A79" s="23">
        <v>43627</v>
      </c>
      <c r="B79">
        <v>236</v>
      </c>
      <c r="C79">
        <v>235</v>
      </c>
      <c r="D79">
        <v>1</v>
      </c>
      <c r="E79">
        <v>222</v>
      </c>
      <c r="F79">
        <v>14</v>
      </c>
      <c r="G79">
        <v>13.280851063827868</v>
      </c>
      <c r="H79">
        <v>4.9194915254237293</v>
      </c>
      <c r="I79">
        <v>24</v>
      </c>
      <c r="J79">
        <v>10</v>
      </c>
      <c r="K79">
        <v>0</v>
      </c>
      <c r="L79">
        <v>0</v>
      </c>
      <c r="M79">
        <v>0</v>
      </c>
      <c r="N79">
        <v>138</v>
      </c>
      <c r="O79">
        <v>70</v>
      </c>
      <c r="P79">
        <v>205</v>
      </c>
      <c r="Q79">
        <v>181</v>
      </c>
      <c r="R79">
        <v>204</v>
      </c>
      <c r="S79">
        <v>179</v>
      </c>
      <c r="T79">
        <v>170</v>
      </c>
      <c r="U79">
        <v>88</v>
      </c>
      <c r="V79">
        <v>87</v>
      </c>
      <c r="W79">
        <v>65</v>
      </c>
      <c r="X79">
        <v>65</v>
      </c>
      <c r="Y79">
        <v>62</v>
      </c>
      <c r="Z79">
        <v>41</v>
      </c>
      <c r="AA79">
        <v>5</v>
      </c>
      <c r="AB79">
        <v>11</v>
      </c>
      <c r="AC79">
        <v>222</v>
      </c>
      <c r="AD79">
        <v>0.57354191388549958</v>
      </c>
      <c r="AE79">
        <f t="shared" si="26"/>
        <v>24</v>
      </c>
      <c r="AF79" s="24">
        <f t="shared" si="37"/>
        <v>0.88725490196078427</v>
      </c>
      <c r="AG79" s="38">
        <f>+'[1]FA Report'!$D$42</f>
        <v>0.14285714285714288</v>
      </c>
      <c r="AH79" s="24">
        <f t="shared" si="27"/>
        <v>0.12675070028011207</v>
      </c>
      <c r="AI79" s="24">
        <f t="shared" si="28"/>
        <v>0.83333333333333337</v>
      </c>
      <c r="AJ79" s="38">
        <f>+'[1]FA Report'!$D$48</f>
        <v>7.1428571428571438E-2</v>
      </c>
      <c r="AK79" s="24">
        <f t="shared" si="29"/>
        <v>5.9523809523809534E-2</v>
      </c>
      <c r="AL79" s="24">
        <f t="shared" si="30"/>
        <v>0.20098039215686275</v>
      </c>
      <c r="AM79" s="38">
        <f>+'[1]FA Report'!$C$55</f>
        <v>0.4</v>
      </c>
      <c r="AN79" s="24">
        <f t="shared" si="31"/>
        <v>8.0392156862745104E-2</v>
      </c>
      <c r="AO79" s="24">
        <f t="shared" si="32"/>
        <v>0.4264705882352941</v>
      </c>
      <c r="AP79" s="38">
        <f>+'[1]FA Report'!$D$58</f>
        <v>0.2142857142857143</v>
      </c>
      <c r="AQ79" s="24">
        <f t="shared" si="33"/>
        <v>9.1386554621848748E-2</v>
      </c>
      <c r="AR79" s="24">
        <f t="shared" si="34"/>
        <v>0.29661016949152541</v>
      </c>
      <c r="AS79" s="38">
        <f>+'[1]FA Report'!$C$52</f>
        <v>0.3</v>
      </c>
      <c r="AT79" s="24">
        <f t="shared" si="35"/>
        <v>-8.8983050847457626E-2</v>
      </c>
      <c r="AU79" s="38">
        <f t="shared" si="36"/>
        <v>0.26907017044105785</v>
      </c>
      <c r="AV79" s="24">
        <v>0.24999999999999994</v>
      </c>
      <c r="AW79">
        <f t="shared" si="38"/>
        <v>0</v>
      </c>
    </row>
    <row r="80" spans="1:49" x14ac:dyDescent="0.35">
      <c r="A80" s="23">
        <v>43628</v>
      </c>
      <c r="B80">
        <v>232</v>
      </c>
      <c r="C80">
        <v>231</v>
      </c>
      <c r="D80">
        <v>1</v>
      </c>
      <c r="E80">
        <v>220</v>
      </c>
      <c r="F80">
        <v>12</v>
      </c>
      <c r="G80">
        <v>12.549783549780841</v>
      </c>
      <c r="H80">
        <v>4.9094827586206895</v>
      </c>
      <c r="I80">
        <v>31</v>
      </c>
      <c r="J80">
        <v>20</v>
      </c>
      <c r="K80">
        <v>0</v>
      </c>
      <c r="L80">
        <v>0</v>
      </c>
      <c r="M80">
        <v>0</v>
      </c>
      <c r="N80">
        <v>137</v>
      </c>
      <c r="O80">
        <v>68</v>
      </c>
      <c r="P80">
        <v>204</v>
      </c>
      <c r="Q80">
        <v>185</v>
      </c>
      <c r="R80">
        <v>203</v>
      </c>
      <c r="S80">
        <v>178</v>
      </c>
      <c r="T80">
        <v>169</v>
      </c>
      <c r="U80">
        <v>90</v>
      </c>
      <c r="V80">
        <v>89</v>
      </c>
      <c r="W80">
        <v>67</v>
      </c>
      <c r="X80">
        <v>67</v>
      </c>
      <c r="Y80">
        <v>63</v>
      </c>
      <c r="Z80">
        <v>41</v>
      </c>
      <c r="AA80">
        <v>5</v>
      </c>
      <c r="AB80">
        <v>11</v>
      </c>
      <c r="AC80">
        <v>219</v>
      </c>
      <c r="AD80">
        <v>0.58925925693992154</v>
      </c>
      <c r="AE80">
        <f t="shared" si="26"/>
        <v>24</v>
      </c>
      <c r="AF80" s="24">
        <f t="shared" si="37"/>
        <v>0.91133004926108374</v>
      </c>
      <c r="AG80" s="38">
        <f>+'[1]FA Report'!$D$42</f>
        <v>0.14285714285714288</v>
      </c>
      <c r="AH80" s="24">
        <f t="shared" si="27"/>
        <v>0.13019000703729769</v>
      </c>
      <c r="AI80" s="24">
        <f t="shared" si="28"/>
        <v>0.83251231527093594</v>
      </c>
      <c r="AJ80" s="38">
        <f>+'[1]FA Report'!$D$48</f>
        <v>7.1428571428571438E-2</v>
      </c>
      <c r="AK80" s="24">
        <f t="shared" si="29"/>
        <v>5.9465165376495432E-2</v>
      </c>
      <c r="AL80" s="24">
        <f t="shared" si="30"/>
        <v>0.2019704433497537</v>
      </c>
      <c r="AM80" s="38">
        <f>+'[1]FA Report'!$C$55</f>
        <v>0.4</v>
      </c>
      <c r="AN80" s="24">
        <f t="shared" si="31"/>
        <v>8.0788177339901485E-2</v>
      </c>
      <c r="AO80" s="24">
        <f t="shared" si="32"/>
        <v>0.43842364532019706</v>
      </c>
      <c r="AP80" s="38">
        <f>+'[1]FA Report'!$D$58</f>
        <v>0.2142857142857143</v>
      </c>
      <c r="AQ80" s="24">
        <f t="shared" si="33"/>
        <v>9.3947923997185087E-2</v>
      </c>
      <c r="AR80" s="24">
        <f t="shared" si="34"/>
        <v>0.29310344827586204</v>
      </c>
      <c r="AS80" s="38">
        <f>+'[1]FA Report'!$C$52</f>
        <v>0.3</v>
      </c>
      <c r="AT80" s="24">
        <f t="shared" si="35"/>
        <v>-8.7931034482758616E-2</v>
      </c>
      <c r="AU80" s="38">
        <f t="shared" si="36"/>
        <v>0.27646023926812108</v>
      </c>
      <c r="AV80" s="24">
        <v>0.24999999999999994</v>
      </c>
      <c r="AW80">
        <f t="shared" si="38"/>
        <v>0</v>
      </c>
    </row>
    <row r="81" spans="1:49" x14ac:dyDescent="0.35">
      <c r="A81" s="23">
        <v>43629</v>
      </c>
      <c r="B81">
        <v>229</v>
      </c>
      <c r="C81">
        <v>226</v>
      </c>
      <c r="D81">
        <v>3</v>
      </c>
      <c r="E81">
        <v>218</v>
      </c>
      <c r="F81">
        <v>11</v>
      </c>
      <c r="G81">
        <v>13.101769911503652</v>
      </c>
      <c r="H81">
        <v>4.9432314410480354</v>
      </c>
      <c r="I81">
        <v>15</v>
      </c>
      <c r="J81">
        <v>14</v>
      </c>
      <c r="K81">
        <v>0</v>
      </c>
      <c r="L81">
        <v>0</v>
      </c>
      <c r="M81">
        <v>0</v>
      </c>
      <c r="N81">
        <v>138</v>
      </c>
      <c r="O81">
        <v>67</v>
      </c>
      <c r="P81">
        <v>202</v>
      </c>
      <c r="Q81">
        <v>184</v>
      </c>
      <c r="R81">
        <v>202</v>
      </c>
      <c r="S81">
        <v>179</v>
      </c>
      <c r="T81">
        <v>171</v>
      </c>
      <c r="U81">
        <v>94</v>
      </c>
      <c r="V81">
        <v>94</v>
      </c>
      <c r="W81">
        <v>73</v>
      </c>
      <c r="X81">
        <v>73</v>
      </c>
      <c r="Y81">
        <v>67</v>
      </c>
      <c r="Z81">
        <v>43</v>
      </c>
      <c r="AA81">
        <v>5</v>
      </c>
      <c r="AB81">
        <v>13</v>
      </c>
      <c r="AC81">
        <v>217</v>
      </c>
      <c r="AD81">
        <v>0.61097827810836136</v>
      </c>
      <c r="AE81">
        <f t="shared" si="26"/>
        <v>24</v>
      </c>
      <c r="AF81" s="24">
        <f t="shared" si="37"/>
        <v>0.91089108910891092</v>
      </c>
      <c r="AG81" s="38">
        <f>+'[1]FA Report'!$D$42</f>
        <v>0.14285714285714288</v>
      </c>
      <c r="AH81" s="24">
        <f t="shared" si="27"/>
        <v>0.13012729844413015</v>
      </c>
      <c r="AI81" s="24">
        <f t="shared" si="28"/>
        <v>0.84653465346534651</v>
      </c>
      <c r="AJ81" s="38">
        <f>+'[1]FA Report'!$D$48</f>
        <v>7.1428571428571438E-2</v>
      </c>
      <c r="AK81" s="24">
        <f t="shared" si="29"/>
        <v>6.0466760961810473E-2</v>
      </c>
      <c r="AL81" s="24">
        <f t="shared" si="30"/>
        <v>0.21287128712871287</v>
      </c>
      <c r="AM81" s="38">
        <f>+'[1]FA Report'!$C$55</f>
        <v>0.4</v>
      </c>
      <c r="AN81" s="24">
        <f t="shared" si="31"/>
        <v>8.5148514851485155E-2</v>
      </c>
      <c r="AO81" s="24">
        <f t="shared" si="32"/>
        <v>0.46534653465346537</v>
      </c>
      <c r="AP81" s="38">
        <f>+'[1]FA Report'!$D$58</f>
        <v>0.2142857142857143</v>
      </c>
      <c r="AQ81" s="24">
        <f t="shared" si="33"/>
        <v>9.9717114568599732E-2</v>
      </c>
      <c r="AR81" s="24">
        <f t="shared" si="34"/>
        <v>0.29257641921397382</v>
      </c>
      <c r="AS81" s="38">
        <f>+'[1]FA Report'!$C$52</f>
        <v>0.3</v>
      </c>
      <c r="AT81" s="24">
        <f t="shared" si="35"/>
        <v>-8.7772925764192142E-2</v>
      </c>
      <c r="AU81" s="38">
        <f t="shared" si="36"/>
        <v>0.28768676306183333</v>
      </c>
      <c r="AV81" s="24">
        <v>0.24999999999999994</v>
      </c>
      <c r="AW81">
        <f t="shared" si="38"/>
        <v>0</v>
      </c>
    </row>
    <row r="82" spans="1:49" x14ac:dyDescent="0.35">
      <c r="A82" s="23">
        <v>43630</v>
      </c>
      <c r="AE82">
        <f t="shared" si="26"/>
        <v>24</v>
      </c>
      <c r="AF82" s="24" t="str">
        <f t="shared" si="37"/>
        <v/>
      </c>
      <c r="AG82" s="38">
        <f>+'[1]FA Report'!$D$42</f>
        <v>0.14285714285714288</v>
      </c>
      <c r="AH82" s="24" t="str">
        <f t="shared" si="27"/>
        <v/>
      </c>
      <c r="AI82" s="24" t="str">
        <f t="shared" si="28"/>
        <v/>
      </c>
      <c r="AJ82" s="38">
        <f>+'[1]FA Report'!$D$48</f>
        <v>7.1428571428571438E-2</v>
      </c>
      <c r="AK82" s="24" t="str">
        <f t="shared" si="29"/>
        <v/>
      </c>
      <c r="AL82" s="24" t="str">
        <f t="shared" si="30"/>
        <v/>
      </c>
      <c r="AM82" s="38">
        <f>+'[1]FA Report'!$C$55</f>
        <v>0.4</v>
      </c>
      <c r="AN82" s="24" t="str">
        <f t="shared" si="31"/>
        <v/>
      </c>
      <c r="AO82" s="24" t="str">
        <f t="shared" si="32"/>
        <v/>
      </c>
      <c r="AP82" s="38">
        <f>+'[1]FA Report'!$D$58</f>
        <v>0.2142857142857143</v>
      </c>
      <c r="AQ82" s="24" t="str">
        <f t="shared" si="33"/>
        <v/>
      </c>
      <c r="AR82" s="24" t="str">
        <f t="shared" si="34"/>
        <v/>
      </c>
      <c r="AS82" s="38">
        <f>+'[1]FA Report'!$C$52</f>
        <v>0.3</v>
      </c>
      <c r="AT82" s="24" t="str">
        <f t="shared" si="35"/>
        <v/>
      </c>
      <c r="AU82" s="38" t="str">
        <f t="shared" si="36"/>
        <v/>
      </c>
      <c r="AV82" s="24">
        <v>0.24999999999999994</v>
      </c>
      <c r="AW82">
        <f t="shared" si="38"/>
        <v>0</v>
      </c>
    </row>
    <row r="83" spans="1:49" x14ac:dyDescent="0.35">
      <c r="A83" s="23">
        <v>43631</v>
      </c>
      <c r="AE83">
        <f t="shared" si="26"/>
        <v>24</v>
      </c>
      <c r="AF83" s="24" t="str">
        <f t="shared" si="37"/>
        <v/>
      </c>
      <c r="AG83" s="38">
        <f>+'[1]FA Report'!$D$42</f>
        <v>0.14285714285714288</v>
      </c>
      <c r="AH83" s="24" t="str">
        <f t="shared" si="27"/>
        <v/>
      </c>
      <c r="AI83" s="24" t="str">
        <f t="shared" si="28"/>
        <v/>
      </c>
      <c r="AJ83" s="38">
        <f>+'[1]FA Report'!$D$48</f>
        <v>7.1428571428571438E-2</v>
      </c>
      <c r="AK83" s="24" t="str">
        <f t="shared" si="29"/>
        <v/>
      </c>
      <c r="AL83" s="24" t="str">
        <f t="shared" si="30"/>
        <v/>
      </c>
      <c r="AM83" s="38">
        <f>+'[1]FA Report'!$C$55</f>
        <v>0.4</v>
      </c>
      <c r="AN83" s="24" t="str">
        <f t="shared" si="31"/>
        <v/>
      </c>
      <c r="AO83" s="24" t="str">
        <f t="shared" si="32"/>
        <v/>
      </c>
      <c r="AP83" s="38">
        <f>+'[1]FA Report'!$D$58</f>
        <v>0.2142857142857143</v>
      </c>
      <c r="AQ83" s="24" t="str">
        <f t="shared" si="33"/>
        <v/>
      </c>
      <c r="AR83" s="24" t="str">
        <f t="shared" si="34"/>
        <v/>
      </c>
      <c r="AS83" s="38">
        <f>+'[1]FA Report'!$C$52</f>
        <v>0.3</v>
      </c>
      <c r="AT83" s="24" t="str">
        <f t="shared" si="35"/>
        <v/>
      </c>
      <c r="AU83" s="38" t="str">
        <f t="shared" si="36"/>
        <v/>
      </c>
      <c r="AV83" s="24">
        <v>0.24999999999999994</v>
      </c>
      <c r="AW83">
        <f t="shared" si="38"/>
        <v>0</v>
      </c>
    </row>
    <row r="84" spans="1:49" x14ac:dyDescent="0.35">
      <c r="A84" s="23">
        <v>43632</v>
      </c>
      <c r="AE84">
        <f t="shared" si="26"/>
        <v>25</v>
      </c>
      <c r="AF84" s="24" t="str">
        <f t="shared" si="37"/>
        <v/>
      </c>
      <c r="AG84" s="38">
        <f>+'[1]FA Report'!$D$42</f>
        <v>0.14285714285714288</v>
      </c>
      <c r="AH84" s="24" t="str">
        <f t="shared" si="27"/>
        <v/>
      </c>
      <c r="AI84" s="24" t="str">
        <f t="shared" si="28"/>
        <v/>
      </c>
      <c r="AJ84" s="38">
        <f>+'[1]FA Report'!$D$48</f>
        <v>7.1428571428571438E-2</v>
      </c>
      <c r="AK84" s="24" t="str">
        <f t="shared" si="29"/>
        <v/>
      </c>
      <c r="AL84" s="24" t="str">
        <f t="shared" si="30"/>
        <v/>
      </c>
      <c r="AM84" s="38">
        <f>+'[1]FA Report'!$C$55</f>
        <v>0.4</v>
      </c>
      <c r="AN84" s="24" t="str">
        <f t="shared" si="31"/>
        <v/>
      </c>
      <c r="AO84" s="24" t="str">
        <f t="shared" si="32"/>
        <v/>
      </c>
      <c r="AP84" s="38">
        <f>+'[1]FA Report'!$D$58</f>
        <v>0.2142857142857143</v>
      </c>
      <c r="AQ84" s="24" t="str">
        <f t="shared" si="33"/>
        <v/>
      </c>
      <c r="AR84" s="24" t="str">
        <f t="shared" si="34"/>
        <v/>
      </c>
      <c r="AS84" s="38">
        <f>+'[1]FA Report'!$C$52</f>
        <v>0.3</v>
      </c>
      <c r="AT84" s="24" t="str">
        <f t="shared" si="35"/>
        <v/>
      </c>
      <c r="AU84" s="38" t="str">
        <f t="shared" si="36"/>
        <v/>
      </c>
      <c r="AV84" s="24">
        <v>0.27249999999999996</v>
      </c>
      <c r="AW84">
        <f t="shared" si="38"/>
        <v>1</v>
      </c>
    </row>
    <row r="85" spans="1:49" x14ac:dyDescent="0.35">
      <c r="A85" s="23">
        <v>43633</v>
      </c>
      <c r="B85">
        <v>230</v>
      </c>
      <c r="C85">
        <v>227</v>
      </c>
      <c r="D85">
        <v>3</v>
      </c>
      <c r="E85">
        <v>219</v>
      </c>
      <c r="F85">
        <v>11</v>
      </c>
      <c r="G85">
        <v>20.696035242290236</v>
      </c>
      <c r="H85">
        <v>4.9434782608695649</v>
      </c>
      <c r="I85">
        <v>12</v>
      </c>
      <c r="J85">
        <v>5</v>
      </c>
      <c r="K85">
        <v>0</v>
      </c>
      <c r="L85">
        <v>0</v>
      </c>
      <c r="M85">
        <v>0</v>
      </c>
      <c r="N85">
        <v>138</v>
      </c>
      <c r="O85">
        <v>67</v>
      </c>
      <c r="P85">
        <v>205</v>
      </c>
      <c r="Q85">
        <v>186</v>
      </c>
      <c r="R85">
        <v>204</v>
      </c>
      <c r="S85">
        <v>181</v>
      </c>
      <c r="T85">
        <v>174</v>
      </c>
      <c r="U85">
        <v>98</v>
      </c>
      <c r="V85">
        <v>97</v>
      </c>
      <c r="W85">
        <v>77</v>
      </c>
      <c r="X85">
        <v>77</v>
      </c>
      <c r="Y85">
        <v>70</v>
      </c>
      <c r="Z85">
        <v>47</v>
      </c>
      <c r="AA85">
        <v>5</v>
      </c>
      <c r="AB85">
        <v>14</v>
      </c>
      <c r="AC85">
        <v>218</v>
      </c>
      <c r="AD85">
        <v>0.62441322959546841</v>
      </c>
      <c r="AE85">
        <f t="shared" si="26"/>
        <v>25</v>
      </c>
      <c r="AF85" s="24">
        <f t="shared" si="37"/>
        <v>0.91176470588235292</v>
      </c>
      <c r="AG85" s="38">
        <f>+'[1]FA Report'!$D$42</f>
        <v>0.14285714285714288</v>
      </c>
      <c r="AH85" s="24">
        <f t="shared" si="27"/>
        <v>0.13025210084033614</v>
      </c>
      <c r="AI85" s="24">
        <f t="shared" si="28"/>
        <v>0.8529411764705882</v>
      </c>
      <c r="AJ85" s="38">
        <f>+'[1]FA Report'!$D$48</f>
        <v>7.1428571428571438E-2</v>
      </c>
      <c r="AK85" s="24">
        <f t="shared" si="29"/>
        <v>6.0924369747899165E-2</v>
      </c>
      <c r="AL85" s="24">
        <f t="shared" si="30"/>
        <v>0.23039215686274508</v>
      </c>
      <c r="AM85" s="38">
        <f>+'[1]FA Report'!$C$55</f>
        <v>0.4</v>
      </c>
      <c r="AN85" s="24">
        <f t="shared" si="31"/>
        <v>9.2156862745098045E-2</v>
      </c>
      <c r="AO85" s="24">
        <f t="shared" si="32"/>
        <v>0.47549019607843135</v>
      </c>
      <c r="AP85" s="38">
        <f>+'[1]FA Report'!$D$58</f>
        <v>0.2142857142857143</v>
      </c>
      <c r="AQ85" s="24">
        <f t="shared" si="33"/>
        <v>0.10189075630252101</v>
      </c>
      <c r="AR85" s="24">
        <f t="shared" si="34"/>
        <v>0.29130434782608694</v>
      </c>
      <c r="AS85" s="38">
        <f>+'[1]FA Report'!$C$52</f>
        <v>0.3</v>
      </c>
      <c r="AT85" s="24">
        <f t="shared" si="35"/>
        <v>-8.7391304347826076E-2</v>
      </c>
      <c r="AU85" s="38">
        <f t="shared" si="36"/>
        <v>0.29783278528802826</v>
      </c>
      <c r="AV85" s="24">
        <v>0.27249999999999996</v>
      </c>
      <c r="AW85">
        <f t="shared" si="38"/>
        <v>0</v>
      </c>
    </row>
    <row r="86" spans="1:49" x14ac:dyDescent="0.35">
      <c r="A86" s="23">
        <v>43634</v>
      </c>
      <c r="B86">
        <v>230</v>
      </c>
      <c r="C86">
        <v>226</v>
      </c>
      <c r="D86">
        <v>4</v>
      </c>
      <c r="E86">
        <v>218</v>
      </c>
      <c r="F86">
        <v>12</v>
      </c>
      <c r="G86">
        <v>20.707964601766434</v>
      </c>
      <c r="H86">
        <v>4.8304347826086955</v>
      </c>
      <c r="I86">
        <v>18</v>
      </c>
      <c r="J86">
        <v>11</v>
      </c>
      <c r="K86">
        <v>0</v>
      </c>
      <c r="L86">
        <v>0</v>
      </c>
      <c r="M86">
        <v>0</v>
      </c>
      <c r="N86">
        <v>137</v>
      </c>
      <c r="O86">
        <v>65</v>
      </c>
      <c r="P86">
        <v>205</v>
      </c>
      <c r="Q86">
        <v>187</v>
      </c>
      <c r="R86">
        <v>204</v>
      </c>
      <c r="S86">
        <v>182</v>
      </c>
      <c r="T86">
        <v>176</v>
      </c>
      <c r="U86">
        <v>102</v>
      </c>
      <c r="V86">
        <v>100</v>
      </c>
      <c r="W86">
        <v>77</v>
      </c>
      <c r="X86">
        <v>77</v>
      </c>
      <c r="Y86">
        <v>71</v>
      </c>
      <c r="Z86">
        <v>48</v>
      </c>
      <c r="AA86">
        <v>5</v>
      </c>
      <c r="AB86">
        <v>15</v>
      </c>
      <c r="AC86">
        <v>217</v>
      </c>
      <c r="AD86">
        <v>0.63484067248201825</v>
      </c>
      <c r="AE86">
        <f t="shared" si="26"/>
        <v>25</v>
      </c>
      <c r="AF86" s="24">
        <f t="shared" si="37"/>
        <v>0.91666666666666663</v>
      </c>
      <c r="AG86" s="38">
        <f>+'[1]FA Report'!$D$42</f>
        <v>0.14285714285714288</v>
      </c>
      <c r="AH86" s="24">
        <f t="shared" si="27"/>
        <v>0.13095238095238096</v>
      </c>
      <c r="AI86" s="24">
        <f t="shared" si="28"/>
        <v>0.86274509803921573</v>
      </c>
      <c r="AJ86" s="38">
        <f>+'[1]FA Report'!$D$48</f>
        <v>7.1428571428571438E-2</v>
      </c>
      <c r="AK86" s="24">
        <f t="shared" si="29"/>
        <v>6.1624649859943988E-2</v>
      </c>
      <c r="AL86" s="24">
        <f t="shared" si="30"/>
        <v>0.23529411764705882</v>
      </c>
      <c r="AM86" s="38">
        <f>+'[1]FA Report'!$C$55</f>
        <v>0.4</v>
      </c>
      <c r="AN86" s="24">
        <f t="shared" si="31"/>
        <v>9.4117647058823528E-2</v>
      </c>
      <c r="AO86" s="24">
        <f t="shared" si="32"/>
        <v>0.49019607843137253</v>
      </c>
      <c r="AP86" s="38">
        <f>+'[1]FA Report'!$D$58</f>
        <v>0.2142857142857143</v>
      </c>
      <c r="AQ86" s="24">
        <f t="shared" si="33"/>
        <v>0.10504201680672269</v>
      </c>
      <c r="AR86" s="24">
        <f t="shared" si="34"/>
        <v>0.28260869565217389</v>
      </c>
      <c r="AS86" s="38">
        <f>+'[1]FA Report'!$C$52</f>
        <v>0.3</v>
      </c>
      <c r="AT86" s="24">
        <f t="shared" si="35"/>
        <v>-8.478260869565217E-2</v>
      </c>
      <c r="AU86" s="38">
        <f t="shared" si="36"/>
        <v>0.30695408598221896</v>
      </c>
      <c r="AV86" s="24">
        <v>0.27249999999999996</v>
      </c>
      <c r="AW86">
        <f t="shared" si="38"/>
        <v>0</v>
      </c>
    </row>
    <row r="87" spans="1:49" x14ac:dyDescent="0.35">
      <c r="A87" s="23">
        <v>43635</v>
      </c>
      <c r="B87">
        <v>230</v>
      </c>
      <c r="C87">
        <v>227</v>
      </c>
      <c r="D87">
        <v>3</v>
      </c>
      <c r="E87">
        <v>219</v>
      </c>
      <c r="F87">
        <v>11</v>
      </c>
      <c r="G87">
        <v>20.845814977976261</v>
      </c>
      <c r="H87">
        <v>4.8304347826086955</v>
      </c>
      <c r="I87">
        <v>19</v>
      </c>
      <c r="J87">
        <v>15</v>
      </c>
      <c r="K87">
        <v>0</v>
      </c>
      <c r="L87">
        <v>0</v>
      </c>
      <c r="M87">
        <v>0</v>
      </c>
      <c r="N87">
        <v>138</v>
      </c>
      <c r="O87">
        <v>65</v>
      </c>
      <c r="P87">
        <v>207</v>
      </c>
      <c r="Q87">
        <v>189</v>
      </c>
      <c r="R87">
        <v>205</v>
      </c>
      <c r="S87">
        <v>184</v>
      </c>
      <c r="T87">
        <v>177</v>
      </c>
      <c r="U87">
        <v>102</v>
      </c>
      <c r="V87">
        <v>100</v>
      </c>
      <c r="W87">
        <v>78</v>
      </c>
      <c r="X87">
        <v>78</v>
      </c>
      <c r="Y87">
        <v>74</v>
      </c>
      <c r="Z87">
        <v>49</v>
      </c>
      <c r="AA87">
        <v>5</v>
      </c>
      <c r="AB87">
        <v>16</v>
      </c>
      <c r="AC87">
        <v>218</v>
      </c>
      <c r="AD87">
        <v>0.64083531004419525</v>
      </c>
      <c r="AE87">
        <f t="shared" si="26"/>
        <v>25</v>
      </c>
      <c r="AF87" s="24">
        <f t="shared" si="37"/>
        <v>0.92195121951219516</v>
      </c>
      <c r="AG87" s="38">
        <f>+'[1]FA Report'!$D$42</f>
        <v>0.14285714285714288</v>
      </c>
      <c r="AH87" s="24">
        <f t="shared" si="27"/>
        <v>0.13170731707317077</v>
      </c>
      <c r="AI87" s="24">
        <f t="shared" si="28"/>
        <v>0.86341463414634145</v>
      </c>
      <c r="AJ87" s="38">
        <f>+'[1]FA Report'!$D$48</f>
        <v>7.1428571428571438E-2</v>
      </c>
      <c r="AK87" s="24">
        <f t="shared" si="29"/>
        <v>6.1672473867595827E-2</v>
      </c>
      <c r="AL87" s="24">
        <f t="shared" si="30"/>
        <v>0.23902439024390243</v>
      </c>
      <c r="AM87" s="38">
        <f>+'[1]FA Report'!$C$55</f>
        <v>0.4</v>
      </c>
      <c r="AN87" s="24">
        <f t="shared" si="31"/>
        <v>9.5609756097560977E-2</v>
      </c>
      <c r="AO87" s="24">
        <f t="shared" si="32"/>
        <v>0.48780487804878048</v>
      </c>
      <c r="AP87" s="38">
        <f>+'[1]FA Report'!$D$58</f>
        <v>0.2142857142857143</v>
      </c>
      <c r="AQ87" s="24">
        <f t="shared" si="33"/>
        <v>0.10452961672473868</v>
      </c>
      <c r="AR87" s="24">
        <f t="shared" si="34"/>
        <v>0.28260869565217389</v>
      </c>
      <c r="AS87" s="38">
        <f>+'[1]FA Report'!$C$52</f>
        <v>0.3</v>
      </c>
      <c r="AT87" s="24">
        <f t="shared" si="35"/>
        <v>-8.478260869565217E-2</v>
      </c>
      <c r="AU87" s="38">
        <f t="shared" si="36"/>
        <v>0.3087365550674141</v>
      </c>
      <c r="AV87" s="24">
        <v>0.27249999999999996</v>
      </c>
      <c r="AW87">
        <f t="shared" si="38"/>
        <v>0</v>
      </c>
    </row>
    <row r="88" spans="1:49" x14ac:dyDescent="0.35">
      <c r="A88" s="23">
        <v>43636</v>
      </c>
      <c r="AE88">
        <f t="shared" si="26"/>
        <v>25</v>
      </c>
      <c r="AF88" s="24" t="str">
        <f t="shared" si="37"/>
        <v/>
      </c>
      <c r="AG88" s="38">
        <f>+'[1]FA Report'!$D$42</f>
        <v>0.14285714285714288</v>
      </c>
      <c r="AH88" s="24" t="str">
        <f t="shared" si="27"/>
        <v/>
      </c>
      <c r="AI88" s="24" t="str">
        <f t="shared" si="28"/>
        <v/>
      </c>
      <c r="AJ88" s="38">
        <f>+'[1]FA Report'!$D$48</f>
        <v>7.1428571428571438E-2</v>
      </c>
      <c r="AK88" s="24" t="str">
        <f t="shared" si="29"/>
        <v/>
      </c>
      <c r="AL88" s="24" t="str">
        <f t="shared" si="30"/>
        <v/>
      </c>
      <c r="AM88" s="38">
        <f>+'[1]FA Report'!$C$55</f>
        <v>0.4</v>
      </c>
      <c r="AN88" s="24" t="str">
        <f t="shared" si="31"/>
        <v/>
      </c>
      <c r="AO88" s="24" t="str">
        <f t="shared" si="32"/>
        <v/>
      </c>
      <c r="AP88" s="38">
        <f>+'[1]FA Report'!$D$58</f>
        <v>0.2142857142857143</v>
      </c>
      <c r="AQ88" s="24" t="str">
        <f t="shared" si="33"/>
        <v/>
      </c>
      <c r="AR88" s="24" t="str">
        <f t="shared" si="34"/>
        <v/>
      </c>
      <c r="AS88" s="38">
        <f>+'[1]FA Report'!$C$52</f>
        <v>0.3</v>
      </c>
      <c r="AT88" s="24" t="str">
        <f t="shared" si="35"/>
        <v/>
      </c>
      <c r="AU88" s="38" t="str">
        <f t="shared" si="36"/>
        <v/>
      </c>
      <c r="AV88" s="24">
        <v>0.27249999999999996</v>
      </c>
      <c r="AW88">
        <f t="shared" si="38"/>
        <v>0</v>
      </c>
    </row>
    <row r="89" spans="1:49" x14ac:dyDescent="0.35">
      <c r="A89" s="23">
        <v>43637</v>
      </c>
      <c r="B89">
        <v>230</v>
      </c>
      <c r="C89">
        <v>227</v>
      </c>
      <c r="D89">
        <v>3</v>
      </c>
      <c r="E89">
        <v>219</v>
      </c>
      <c r="F89">
        <v>11</v>
      </c>
      <c r="G89">
        <v>20.061674008808041</v>
      </c>
      <c r="H89">
        <v>4.8384279475982535</v>
      </c>
      <c r="I89">
        <v>42</v>
      </c>
      <c r="J89">
        <v>6</v>
      </c>
      <c r="K89">
        <v>0</v>
      </c>
      <c r="L89">
        <v>0</v>
      </c>
      <c r="M89">
        <v>0</v>
      </c>
      <c r="N89">
        <v>141</v>
      </c>
      <c r="O89">
        <v>66</v>
      </c>
      <c r="P89">
        <v>208</v>
      </c>
      <c r="Q89">
        <v>191</v>
      </c>
      <c r="R89">
        <v>205</v>
      </c>
      <c r="S89">
        <v>185</v>
      </c>
      <c r="T89">
        <v>178</v>
      </c>
      <c r="U89">
        <v>106</v>
      </c>
      <c r="V89">
        <v>106</v>
      </c>
      <c r="W89">
        <v>85</v>
      </c>
      <c r="X89">
        <v>85</v>
      </c>
      <c r="Y89">
        <v>82</v>
      </c>
      <c r="Z89">
        <v>55</v>
      </c>
      <c r="AA89">
        <v>6</v>
      </c>
      <c r="AB89">
        <v>16</v>
      </c>
      <c r="AC89">
        <v>218</v>
      </c>
      <c r="AD89">
        <v>0.66185801234480712</v>
      </c>
      <c r="AE89">
        <f t="shared" si="26"/>
        <v>25</v>
      </c>
      <c r="AF89" s="24">
        <f t="shared" si="37"/>
        <v>0.93170731707317078</v>
      </c>
      <c r="AG89" s="38">
        <f>+'[1]FA Report'!$D$42</f>
        <v>0.14285714285714288</v>
      </c>
      <c r="AH89" s="24">
        <f t="shared" si="27"/>
        <v>0.13310104529616729</v>
      </c>
      <c r="AI89" s="24">
        <f t="shared" si="28"/>
        <v>0.86829268292682926</v>
      </c>
      <c r="AJ89" s="38">
        <f>+'[1]FA Report'!$D$48</f>
        <v>7.1428571428571438E-2</v>
      </c>
      <c r="AK89" s="24">
        <f t="shared" si="29"/>
        <v>6.2020905923344957E-2</v>
      </c>
      <c r="AL89" s="24">
        <f t="shared" si="30"/>
        <v>0.26829268292682928</v>
      </c>
      <c r="AM89" s="38">
        <f>+'[1]FA Report'!$C$55</f>
        <v>0.4</v>
      </c>
      <c r="AN89" s="24">
        <f t="shared" si="31"/>
        <v>0.10731707317073172</v>
      </c>
      <c r="AO89" s="24">
        <f t="shared" si="32"/>
        <v>0.51707317073170733</v>
      </c>
      <c r="AP89" s="38">
        <f>+'[1]FA Report'!$D$58</f>
        <v>0.2142857142857143</v>
      </c>
      <c r="AQ89" s="24">
        <f t="shared" si="33"/>
        <v>0.11080139372822301</v>
      </c>
      <c r="AR89" s="24">
        <f t="shared" si="34"/>
        <v>0.28695652173913044</v>
      </c>
      <c r="AS89" s="38">
        <f>+'[1]FA Report'!$C$52</f>
        <v>0.3</v>
      </c>
      <c r="AT89" s="24">
        <f t="shared" si="35"/>
        <v>-8.608695652173913E-2</v>
      </c>
      <c r="AU89" s="38">
        <f t="shared" si="36"/>
        <v>0.32715346159672781</v>
      </c>
      <c r="AV89" s="24">
        <v>0.27249999999999996</v>
      </c>
      <c r="AW89">
        <f t="shared" si="38"/>
        <v>0</v>
      </c>
    </row>
    <row r="90" spans="1:49" x14ac:dyDescent="0.35">
      <c r="A90" s="23">
        <v>43638</v>
      </c>
      <c r="AE90">
        <f t="shared" si="26"/>
        <v>25</v>
      </c>
      <c r="AF90" s="24" t="str">
        <f t="shared" si="37"/>
        <v/>
      </c>
      <c r="AG90" s="38">
        <f>+'[1]FA Report'!$D$42</f>
        <v>0.14285714285714288</v>
      </c>
      <c r="AH90" s="24" t="str">
        <f t="shared" si="27"/>
        <v/>
      </c>
      <c r="AI90" s="24" t="str">
        <f t="shared" si="28"/>
        <v/>
      </c>
      <c r="AJ90" s="38">
        <f>+'[1]FA Report'!$D$48</f>
        <v>7.1428571428571438E-2</v>
      </c>
      <c r="AK90" s="24" t="str">
        <f t="shared" si="29"/>
        <v/>
      </c>
      <c r="AL90" s="24" t="str">
        <f t="shared" si="30"/>
        <v/>
      </c>
      <c r="AM90" s="38">
        <f>+'[1]FA Report'!$C$55</f>
        <v>0.4</v>
      </c>
      <c r="AN90" s="24" t="str">
        <f t="shared" si="31"/>
        <v/>
      </c>
      <c r="AO90" s="24" t="str">
        <f t="shared" si="32"/>
        <v/>
      </c>
      <c r="AP90" s="38">
        <f>+'[1]FA Report'!$D$58</f>
        <v>0.2142857142857143</v>
      </c>
      <c r="AQ90" s="24" t="str">
        <f t="shared" si="33"/>
        <v/>
      </c>
      <c r="AR90" s="24" t="str">
        <f t="shared" si="34"/>
        <v/>
      </c>
      <c r="AS90" s="38">
        <f>+'[1]FA Report'!$C$52</f>
        <v>0.3</v>
      </c>
      <c r="AT90" s="24" t="str">
        <f t="shared" si="35"/>
        <v/>
      </c>
      <c r="AU90" s="38" t="str">
        <f t="shared" si="36"/>
        <v/>
      </c>
      <c r="AV90" s="24">
        <v>0.27249999999999996</v>
      </c>
      <c r="AW90">
        <f t="shared" si="38"/>
        <v>0</v>
      </c>
    </row>
    <row r="91" spans="1:49" x14ac:dyDescent="0.35">
      <c r="A91" s="23">
        <v>43639</v>
      </c>
      <c r="AE91">
        <f t="shared" si="26"/>
        <v>26</v>
      </c>
      <c r="AF91" s="24" t="str">
        <f t="shared" si="37"/>
        <v/>
      </c>
      <c r="AG91" s="38">
        <f>+'[1]FA Report'!$D$42</f>
        <v>0.14285714285714288</v>
      </c>
      <c r="AH91" s="24" t="str">
        <f t="shared" si="27"/>
        <v/>
      </c>
      <c r="AI91" s="24" t="str">
        <f t="shared" si="28"/>
        <v/>
      </c>
      <c r="AJ91" s="38">
        <f>+'[1]FA Report'!$D$48</f>
        <v>7.1428571428571438E-2</v>
      </c>
      <c r="AK91" s="24" t="str">
        <f t="shared" si="29"/>
        <v/>
      </c>
      <c r="AL91" s="24" t="str">
        <f t="shared" si="30"/>
        <v/>
      </c>
      <c r="AM91" s="38">
        <f>+'[1]FA Report'!$C$55</f>
        <v>0.4</v>
      </c>
      <c r="AN91" s="24" t="str">
        <f t="shared" si="31"/>
        <v/>
      </c>
      <c r="AO91" s="24" t="str">
        <f t="shared" si="32"/>
        <v/>
      </c>
      <c r="AP91" s="38">
        <f>+'[1]FA Report'!$D$58</f>
        <v>0.2142857142857143</v>
      </c>
      <c r="AQ91" s="24" t="str">
        <f t="shared" si="33"/>
        <v/>
      </c>
      <c r="AR91" s="24" t="str">
        <f t="shared" si="34"/>
        <v/>
      </c>
      <c r="AS91" s="38">
        <f>+'[1]FA Report'!$C$52</f>
        <v>0.3</v>
      </c>
      <c r="AT91" s="24" t="str">
        <f t="shared" si="35"/>
        <v/>
      </c>
      <c r="AU91" s="38" t="str">
        <f t="shared" si="36"/>
        <v/>
      </c>
      <c r="AV91" s="24">
        <v>0.29499999999999998</v>
      </c>
      <c r="AW91">
        <f t="shared" si="38"/>
        <v>1</v>
      </c>
    </row>
    <row r="92" spans="1:49" x14ac:dyDescent="0.35">
      <c r="A92" s="23">
        <v>43640</v>
      </c>
      <c r="AE92">
        <f t="shared" si="26"/>
        <v>26</v>
      </c>
      <c r="AF92" s="24" t="str">
        <f t="shared" si="37"/>
        <v/>
      </c>
      <c r="AG92" s="38">
        <f>+'[1]FA Report'!$D$42</f>
        <v>0.14285714285714288</v>
      </c>
      <c r="AH92" s="24" t="str">
        <f t="shared" si="27"/>
        <v/>
      </c>
      <c r="AI92" s="24" t="str">
        <f t="shared" si="28"/>
        <v/>
      </c>
      <c r="AJ92" s="38">
        <f>+'[1]FA Report'!$D$48</f>
        <v>7.1428571428571438E-2</v>
      </c>
      <c r="AK92" s="24" t="str">
        <f t="shared" si="29"/>
        <v/>
      </c>
      <c r="AL92" s="24" t="str">
        <f t="shared" si="30"/>
        <v/>
      </c>
      <c r="AM92" s="38">
        <f>+'[1]FA Report'!$C$55</f>
        <v>0.4</v>
      </c>
      <c r="AN92" s="24" t="str">
        <f t="shared" si="31"/>
        <v/>
      </c>
      <c r="AO92" s="24" t="str">
        <f t="shared" si="32"/>
        <v/>
      </c>
      <c r="AP92" s="38">
        <f>+'[1]FA Report'!$D$58</f>
        <v>0.2142857142857143</v>
      </c>
      <c r="AQ92" s="24" t="str">
        <f t="shared" si="33"/>
        <v/>
      </c>
      <c r="AR92" s="24" t="str">
        <f t="shared" si="34"/>
        <v/>
      </c>
      <c r="AS92" s="38">
        <f>+'[1]FA Report'!$C$52</f>
        <v>0.3</v>
      </c>
      <c r="AT92" s="24" t="str">
        <f t="shared" si="35"/>
        <v/>
      </c>
      <c r="AU92" s="38" t="str">
        <f t="shared" si="36"/>
        <v/>
      </c>
      <c r="AV92" s="24">
        <v>0.29499999999999998</v>
      </c>
      <c r="AW92">
        <f t="shared" si="38"/>
        <v>0</v>
      </c>
    </row>
    <row r="93" spans="1:49" x14ac:dyDescent="0.35">
      <c r="A93" s="23">
        <v>43641</v>
      </c>
      <c r="AE93">
        <f t="shared" si="26"/>
        <v>26</v>
      </c>
      <c r="AF93" s="24" t="str">
        <f t="shared" si="37"/>
        <v/>
      </c>
      <c r="AG93" s="38">
        <f>+'[1]FA Report'!$D$42</f>
        <v>0.14285714285714288</v>
      </c>
      <c r="AH93" s="24" t="str">
        <f t="shared" si="27"/>
        <v/>
      </c>
      <c r="AI93" s="24" t="str">
        <f t="shared" si="28"/>
        <v/>
      </c>
      <c r="AJ93" s="38">
        <f>+'[1]FA Report'!$D$48</f>
        <v>7.1428571428571438E-2</v>
      </c>
      <c r="AK93" s="24" t="str">
        <f t="shared" si="29"/>
        <v/>
      </c>
      <c r="AL93" s="24" t="str">
        <f t="shared" si="30"/>
        <v/>
      </c>
      <c r="AM93" s="38">
        <f>+'[1]FA Report'!$C$55</f>
        <v>0.4</v>
      </c>
      <c r="AN93" s="24" t="str">
        <f t="shared" si="31"/>
        <v/>
      </c>
      <c r="AO93" s="24" t="str">
        <f t="shared" si="32"/>
        <v/>
      </c>
      <c r="AP93" s="38">
        <f>+'[1]FA Report'!$D$58</f>
        <v>0.2142857142857143</v>
      </c>
      <c r="AQ93" s="24" t="str">
        <f t="shared" si="33"/>
        <v/>
      </c>
      <c r="AR93" s="24" t="str">
        <f t="shared" si="34"/>
        <v/>
      </c>
      <c r="AS93" s="38">
        <f>+'[1]FA Report'!$C$52</f>
        <v>0.3</v>
      </c>
      <c r="AT93" s="24" t="str">
        <f t="shared" si="35"/>
        <v/>
      </c>
      <c r="AU93" s="38" t="str">
        <f t="shared" si="36"/>
        <v/>
      </c>
      <c r="AV93" s="24">
        <v>0.29499999999999998</v>
      </c>
      <c r="AW93">
        <f t="shared" si="38"/>
        <v>0</v>
      </c>
    </row>
    <row r="94" spans="1:49" x14ac:dyDescent="0.35">
      <c r="A94" s="23">
        <v>43642</v>
      </c>
      <c r="B94">
        <v>235</v>
      </c>
      <c r="C94">
        <v>231</v>
      </c>
      <c r="D94">
        <v>4</v>
      </c>
      <c r="E94">
        <v>223</v>
      </c>
      <c r="F94">
        <v>12</v>
      </c>
      <c r="G94">
        <v>20.653679653682048</v>
      </c>
      <c r="H94">
        <v>4.8931623931623935</v>
      </c>
      <c r="I94">
        <v>49</v>
      </c>
      <c r="J94">
        <v>24</v>
      </c>
      <c r="K94">
        <v>0</v>
      </c>
      <c r="L94">
        <v>0</v>
      </c>
      <c r="M94">
        <v>0</v>
      </c>
      <c r="N94">
        <v>144</v>
      </c>
      <c r="O94">
        <v>67</v>
      </c>
      <c r="P94">
        <v>209</v>
      </c>
      <c r="Q94">
        <v>193</v>
      </c>
      <c r="R94">
        <v>205</v>
      </c>
      <c r="S94">
        <v>188</v>
      </c>
      <c r="T94">
        <v>182</v>
      </c>
      <c r="U94">
        <v>115</v>
      </c>
      <c r="V94">
        <v>110</v>
      </c>
      <c r="W94">
        <v>88</v>
      </c>
      <c r="X94">
        <v>88</v>
      </c>
      <c r="Y94">
        <v>85</v>
      </c>
      <c r="Z94">
        <v>59</v>
      </c>
      <c r="AA94">
        <v>8</v>
      </c>
      <c r="AB94">
        <v>19</v>
      </c>
      <c r="AC94">
        <v>218</v>
      </c>
      <c r="AD94">
        <v>0.68441250381538954</v>
      </c>
      <c r="AE94">
        <f t="shared" si="26"/>
        <v>26</v>
      </c>
      <c r="AF94" s="24">
        <f t="shared" si="37"/>
        <v>0.94146341463414629</v>
      </c>
      <c r="AG94" s="38">
        <f>+'[1]FA Report'!$D$42</f>
        <v>0.14285714285714288</v>
      </c>
      <c r="AH94" s="24">
        <f t="shared" si="27"/>
        <v>0.13449477351916378</v>
      </c>
      <c r="AI94" s="24">
        <f t="shared" si="28"/>
        <v>0.8878048780487805</v>
      </c>
      <c r="AJ94" s="38">
        <f>+'[1]FA Report'!$D$48</f>
        <v>7.1428571428571438E-2</v>
      </c>
      <c r="AK94" s="24">
        <f t="shared" si="29"/>
        <v>6.3414634146341478E-2</v>
      </c>
      <c r="AL94" s="24">
        <f t="shared" si="30"/>
        <v>0.28780487804878047</v>
      </c>
      <c r="AM94" s="38">
        <f>+'[1]FA Report'!$C$55</f>
        <v>0.4</v>
      </c>
      <c r="AN94" s="24">
        <f t="shared" si="31"/>
        <v>0.11512195121951219</v>
      </c>
      <c r="AO94" s="24">
        <f t="shared" si="32"/>
        <v>0.53658536585365857</v>
      </c>
      <c r="AP94" s="38">
        <f>+'[1]FA Report'!$D$58</f>
        <v>0.2142857142857143</v>
      </c>
      <c r="AQ94" s="24">
        <f t="shared" si="33"/>
        <v>0.11498257839721256</v>
      </c>
      <c r="AR94" s="24">
        <f t="shared" si="34"/>
        <v>0.28510638297872343</v>
      </c>
      <c r="AS94" s="38">
        <f>+'[1]FA Report'!$C$52</f>
        <v>0.3</v>
      </c>
      <c r="AT94" s="24">
        <f t="shared" si="35"/>
        <v>-8.5531914893617028E-2</v>
      </c>
      <c r="AU94" s="38">
        <f t="shared" si="36"/>
        <v>0.34248202238861292</v>
      </c>
      <c r="AV94" s="24">
        <v>0.29499999999999998</v>
      </c>
      <c r="AW94">
        <f t="shared" si="38"/>
        <v>0</v>
      </c>
    </row>
    <row r="95" spans="1:49" x14ac:dyDescent="0.35">
      <c r="A95" s="23">
        <v>43643</v>
      </c>
      <c r="B95">
        <v>235</v>
      </c>
      <c r="C95">
        <v>231</v>
      </c>
      <c r="D95">
        <v>4</v>
      </c>
      <c r="E95">
        <v>223</v>
      </c>
      <c r="F95">
        <v>12</v>
      </c>
      <c r="G95">
        <v>20.186147186148446</v>
      </c>
      <c r="H95">
        <v>4.8931623931623935</v>
      </c>
      <c r="I95">
        <v>24</v>
      </c>
      <c r="J95">
        <v>17</v>
      </c>
      <c r="K95">
        <v>0</v>
      </c>
      <c r="L95">
        <v>0</v>
      </c>
      <c r="M95">
        <v>0</v>
      </c>
      <c r="N95">
        <v>144</v>
      </c>
      <c r="O95">
        <v>67</v>
      </c>
      <c r="P95">
        <v>209</v>
      </c>
      <c r="Q95">
        <v>193</v>
      </c>
      <c r="R95">
        <v>206</v>
      </c>
      <c r="S95">
        <v>188</v>
      </c>
      <c r="T95">
        <v>182</v>
      </c>
      <c r="U95">
        <v>118</v>
      </c>
      <c r="V95">
        <v>114</v>
      </c>
      <c r="W95">
        <v>90</v>
      </c>
      <c r="X95">
        <v>90</v>
      </c>
      <c r="Y95">
        <v>86</v>
      </c>
      <c r="Z95">
        <v>60</v>
      </c>
      <c r="AA95">
        <v>8</v>
      </c>
      <c r="AB95">
        <v>20</v>
      </c>
      <c r="AC95">
        <v>218</v>
      </c>
      <c r="AD95">
        <v>0.69461430507223643</v>
      </c>
      <c r="AE95">
        <f t="shared" si="26"/>
        <v>26</v>
      </c>
      <c r="AF95" s="24">
        <f t="shared" si="37"/>
        <v>0.93689320388349517</v>
      </c>
      <c r="AG95" s="38">
        <f>+'[1]FA Report'!$D$42</f>
        <v>0.14285714285714288</v>
      </c>
      <c r="AH95" s="24">
        <f t="shared" si="27"/>
        <v>0.13384188626907076</v>
      </c>
      <c r="AI95" s="24">
        <f t="shared" si="28"/>
        <v>0.88349514563106801</v>
      </c>
      <c r="AJ95" s="38">
        <f>+'[1]FA Report'!$D$48</f>
        <v>7.1428571428571438E-2</v>
      </c>
      <c r="AK95" s="24">
        <f t="shared" si="29"/>
        <v>6.3106796116504868E-2</v>
      </c>
      <c r="AL95" s="24">
        <f t="shared" si="30"/>
        <v>0.29126213592233008</v>
      </c>
      <c r="AM95" s="38">
        <f>+'[1]FA Report'!$C$55</f>
        <v>0.4</v>
      </c>
      <c r="AN95" s="24">
        <f t="shared" si="31"/>
        <v>0.11650485436893204</v>
      </c>
      <c r="AO95" s="24">
        <f t="shared" si="32"/>
        <v>0.55339805825242716</v>
      </c>
      <c r="AP95" s="38">
        <f>+'[1]FA Report'!$D$58</f>
        <v>0.2142857142857143</v>
      </c>
      <c r="AQ95" s="24">
        <f t="shared" si="33"/>
        <v>0.11858529819694869</v>
      </c>
      <c r="AR95" s="24">
        <f t="shared" si="34"/>
        <v>0.28510638297872343</v>
      </c>
      <c r="AS95" s="38">
        <f>+'[1]FA Report'!$C$52</f>
        <v>0.3</v>
      </c>
      <c r="AT95" s="24">
        <f t="shared" si="35"/>
        <v>-8.5531914893617028E-2</v>
      </c>
      <c r="AU95" s="38">
        <f t="shared" si="36"/>
        <v>0.34650692005783934</v>
      </c>
      <c r="AV95" s="24">
        <v>0.29499999999999998</v>
      </c>
      <c r="AW95">
        <f t="shared" si="38"/>
        <v>0</v>
      </c>
    </row>
    <row r="96" spans="1:49" x14ac:dyDescent="0.35">
      <c r="A96" s="23">
        <v>43644</v>
      </c>
      <c r="B96">
        <v>235</v>
      </c>
      <c r="C96">
        <v>231</v>
      </c>
      <c r="D96">
        <v>4</v>
      </c>
      <c r="E96">
        <v>223</v>
      </c>
      <c r="F96">
        <v>12</v>
      </c>
      <c r="G96">
        <v>20.238095238091773</v>
      </c>
      <c r="H96">
        <v>4.8931623931623935</v>
      </c>
      <c r="I96">
        <v>15</v>
      </c>
      <c r="J96">
        <v>7</v>
      </c>
      <c r="K96">
        <v>0</v>
      </c>
      <c r="L96">
        <v>0</v>
      </c>
      <c r="M96">
        <v>0</v>
      </c>
      <c r="N96">
        <v>144</v>
      </c>
      <c r="O96">
        <v>67</v>
      </c>
      <c r="P96">
        <v>209</v>
      </c>
      <c r="Q96">
        <v>193</v>
      </c>
      <c r="R96">
        <v>207</v>
      </c>
      <c r="S96">
        <v>189</v>
      </c>
      <c r="T96">
        <v>182</v>
      </c>
      <c r="U96">
        <v>120</v>
      </c>
      <c r="V96">
        <v>116</v>
      </c>
      <c r="W96">
        <v>92</v>
      </c>
      <c r="X96">
        <v>92</v>
      </c>
      <c r="Y96">
        <v>87</v>
      </c>
      <c r="Z96">
        <v>62</v>
      </c>
      <c r="AA96">
        <v>8</v>
      </c>
      <c r="AB96">
        <v>20</v>
      </c>
      <c r="AC96">
        <v>219</v>
      </c>
      <c r="AD96">
        <v>0.6961607392193192</v>
      </c>
      <c r="AE96">
        <f t="shared" si="26"/>
        <v>26</v>
      </c>
      <c r="AF96" s="24">
        <f t="shared" si="37"/>
        <v>0.93236714975845414</v>
      </c>
      <c r="AG96" s="38">
        <f>+'[1]FA Report'!$D$42</f>
        <v>0.14285714285714288</v>
      </c>
      <c r="AH96" s="24">
        <f t="shared" si="27"/>
        <v>0.13319530710835062</v>
      </c>
      <c r="AI96" s="24">
        <f t="shared" si="28"/>
        <v>0.87922705314009664</v>
      </c>
      <c r="AJ96" s="38">
        <f>+'[1]FA Report'!$D$48</f>
        <v>7.1428571428571438E-2</v>
      </c>
      <c r="AK96" s="24">
        <f t="shared" si="29"/>
        <v>6.2801932367149774E-2</v>
      </c>
      <c r="AL96" s="24">
        <f t="shared" si="30"/>
        <v>0.29951690821256038</v>
      </c>
      <c r="AM96" s="38">
        <f>+'[1]FA Report'!$C$55</f>
        <v>0.4</v>
      </c>
      <c r="AN96" s="24">
        <f t="shared" si="31"/>
        <v>0.11980676328502415</v>
      </c>
      <c r="AO96" s="24">
        <f t="shared" si="32"/>
        <v>0.56038647342995174</v>
      </c>
      <c r="AP96" s="38">
        <f>+'[1]FA Report'!$D$58</f>
        <v>0.2142857142857143</v>
      </c>
      <c r="AQ96" s="24">
        <f t="shared" si="33"/>
        <v>0.12008281573498966</v>
      </c>
      <c r="AR96" s="24">
        <f t="shared" si="34"/>
        <v>0.28510638297872343</v>
      </c>
      <c r="AS96" s="38">
        <f>+'[1]FA Report'!$C$52</f>
        <v>0.3</v>
      </c>
      <c r="AT96" s="24">
        <f t="shared" si="35"/>
        <v>-8.5531914893617028E-2</v>
      </c>
      <c r="AU96" s="38">
        <f t="shared" si="36"/>
        <v>0.35035490360189725</v>
      </c>
      <c r="AV96" s="24">
        <v>0.29499999999999998</v>
      </c>
      <c r="AW96">
        <f t="shared" si="38"/>
        <v>0</v>
      </c>
    </row>
    <row r="97" spans="1:49" x14ac:dyDescent="0.35">
      <c r="A97" s="23">
        <v>43645</v>
      </c>
      <c r="AE97">
        <f t="shared" si="26"/>
        <v>26</v>
      </c>
      <c r="AF97" s="24" t="str">
        <f t="shared" si="37"/>
        <v/>
      </c>
      <c r="AG97" s="38">
        <f>+'[1]FA Report'!$D$42</f>
        <v>0.14285714285714288</v>
      </c>
      <c r="AH97" s="24" t="str">
        <f t="shared" si="27"/>
        <v/>
      </c>
      <c r="AI97" s="24" t="str">
        <f t="shared" si="28"/>
        <v/>
      </c>
      <c r="AJ97" s="38">
        <f>+'[1]FA Report'!$D$48</f>
        <v>7.1428571428571438E-2</v>
      </c>
      <c r="AK97" s="24" t="str">
        <f t="shared" si="29"/>
        <v/>
      </c>
      <c r="AL97" s="24" t="str">
        <f t="shared" si="30"/>
        <v/>
      </c>
      <c r="AM97" s="38">
        <f>+'[1]FA Report'!$C$55</f>
        <v>0.4</v>
      </c>
      <c r="AN97" s="24" t="str">
        <f t="shared" si="31"/>
        <v/>
      </c>
      <c r="AO97" s="24" t="str">
        <f t="shared" si="32"/>
        <v/>
      </c>
      <c r="AP97" s="38">
        <f>+'[1]FA Report'!$D$58</f>
        <v>0.2142857142857143</v>
      </c>
      <c r="AQ97" s="24" t="str">
        <f t="shared" si="33"/>
        <v/>
      </c>
      <c r="AR97" s="24" t="str">
        <f t="shared" si="34"/>
        <v/>
      </c>
      <c r="AS97" s="38">
        <f>+'[1]FA Report'!$C$52</f>
        <v>0.3</v>
      </c>
      <c r="AT97" s="24" t="str">
        <f t="shared" si="35"/>
        <v/>
      </c>
      <c r="AU97" s="38" t="str">
        <f t="shared" si="36"/>
        <v/>
      </c>
      <c r="AV97" s="24">
        <v>0.29499999999999998</v>
      </c>
      <c r="AW97">
        <f t="shared" si="38"/>
        <v>0</v>
      </c>
    </row>
    <row r="98" spans="1:49" x14ac:dyDescent="0.35">
      <c r="A98" s="23">
        <v>43646</v>
      </c>
      <c r="AE98">
        <f t="shared" ref="AE98:AE129" si="39">WEEKNUM(A98)</f>
        <v>27</v>
      </c>
      <c r="AF98" s="24" t="str">
        <f t="shared" si="37"/>
        <v/>
      </c>
      <c r="AG98" s="38">
        <f>+'[1]FA Report'!$D$42</f>
        <v>0.14285714285714288</v>
      </c>
      <c r="AH98" s="24" t="str">
        <f t="shared" ref="AH98:AH129" si="40">IFERROR(+AF98*AG98,"")</f>
        <v/>
      </c>
      <c r="AI98" s="24" t="str">
        <f t="shared" ref="AI98:AI129" si="41">IFERROR(T98/$R98,"")</f>
        <v/>
      </c>
      <c r="AJ98" s="38">
        <f>+'[1]FA Report'!$D$48</f>
        <v>7.1428571428571438E-2</v>
      </c>
      <c r="AK98" s="24" t="str">
        <f t="shared" ref="AK98:AK129" si="42">IFERROR(+AI98*AJ98,"")</f>
        <v/>
      </c>
      <c r="AL98" s="24" t="str">
        <f t="shared" ref="AL98:AL129" si="43">IFERROR(+Z98/R98,"")</f>
        <v/>
      </c>
      <c r="AM98" s="38">
        <f>+'[1]FA Report'!$C$55</f>
        <v>0.4</v>
      </c>
      <c r="AN98" s="24" t="str">
        <f t="shared" ref="AN98:AN129" si="44">IFERROR(+AL98*AM98,"")</f>
        <v/>
      </c>
      <c r="AO98" s="24" t="str">
        <f t="shared" ref="AO98:AO129" si="45">IFERROR(V98/$R98,"")</f>
        <v/>
      </c>
      <c r="AP98" s="38">
        <f>+'[1]FA Report'!$D$58</f>
        <v>0.2142857142857143</v>
      </c>
      <c r="AQ98" s="24" t="str">
        <f t="shared" ref="AQ98:AQ129" si="46">IFERROR(+AO98*AP98,"")</f>
        <v/>
      </c>
      <c r="AR98" s="24" t="str">
        <f t="shared" ref="AR98:AR129" si="47">IFERROR(O98/$B98,"")</f>
        <v/>
      </c>
      <c r="AS98" s="38">
        <f>+'[1]FA Report'!$C$52</f>
        <v>0.3</v>
      </c>
      <c r="AT98" s="24" t="str">
        <f t="shared" ref="AT98:AT129" si="48">IFERROR(-AR98*AS98,"")</f>
        <v/>
      </c>
      <c r="AU98" s="38" t="str">
        <f t="shared" ref="AU98:AU129" si="49">IFERROR(+AH98+AK98+AN98+AQ98+AT98,"")</f>
        <v/>
      </c>
      <c r="AV98" s="24">
        <v>0.3175</v>
      </c>
      <c r="AW98">
        <f t="shared" si="38"/>
        <v>1</v>
      </c>
    </row>
    <row r="99" spans="1:49" x14ac:dyDescent="0.35">
      <c r="A99" s="23">
        <v>43647</v>
      </c>
      <c r="B99">
        <v>235</v>
      </c>
      <c r="C99">
        <v>231</v>
      </c>
      <c r="D99">
        <v>4</v>
      </c>
      <c r="E99">
        <v>223</v>
      </c>
      <c r="F99">
        <v>12</v>
      </c>
      <c r="G99">
        <v>23.034632034628885</v>
      </c>
      <c r="H99">
        <v>4.8931623931623935</v>
      </c>
      <c r="I99">
        <v>3</v>
      </c>
      <c r="J99">
        <v>3</v>
      </c>
      <c r="K99">
        <v>0</v>
      </c>
      <c r="L99">
        <v>0</v>
      </c>
      <c r="M99">
        <v>0</v>
      </c>
      <c r="N99">
        <v>144</v>
      </c>
      <c r="O99">
        <v>67</v>
      </c>
      <c r="P99">
        <v>211</v>
      </c>
      <c r="Q99">
        <v>196</v>
      </c>
      <c r="R99">
        <v>207</v>
      </c>
      <c r="S99">
        <v>189</v>
      </c>
      <c r="T99">
        <v>182</v>
      </c>
      <c r="U99">
        <v>121</v>
      </c>
      <c r="V99">
        <v>118</v>
      </c>
      <c r="W99">
        <v>93</v>
      </c>
      <c r="X99">
        <v>93</v>
      </c>
      <c r="Y99">
        <v>88</v>
      </c>
      <c r="Z99">
        <v>62</v>
      </c>
      <c r="AA99">
        <v>8</v>
      </c>
      <c r="AB99">
        <v>20</v>
      </c>
      <c r="AC99">
        <v>219</v>
      </c>
      <c r="AD99">
        <v>0.70186494749202066</v>
      </c>
      <c r="AE99">
        <f t="shared" si="39"/>
        <v>27</v>
      </c>
      <c r="AF99" s="24">
        <f t="shared" ref="AF99:AF130" si="50">IFERROR(Q99/R99,"")</f>
        <v>0.9468599033816425</v>
      </c>
      <c r="AG99" s="38">
        <f>+'[1]FA Report'!$D$42</f>
        <v>0.14285714285714288</v>
      </c>
      <c r="AH99" s="24">
        <f t="shared" si="40"/>
        <v>0.13526570048309181</v>
      </c>
      <c r="AI99" s="24">
        <f t="shared" si="41"/>
        <v>0.87922705314009664</v>
      </c>
      <c r="AJ99" s="38">
        <f>+'[1]FA Report'!$D$48</f>
        <v>7.1428571428571438E-2</v>
      </c>
      <c r="AK99" s="24">
        <f t="shared" si="42"/>
        <v>6.2801932367149774E-2</v>
      </c>
      <c r="AL99" s="24">
        <f t="shared" si="43"/>
        <v>0.29951690821256038</v>
      </c>
      <c r="AM99" s="38">
        <f>+'[1]FA Report'!$C$55</f>
        <v>0.4</v>
      </c>
      <c r="AN99" s="24">
        <f t="shared" si="44"/>
        <v>0.11980676328502415</v>
      </c>
      <c r="AO99" s="24">
        <f t="shared" si="45"/>
        <v>0.57004830917874394</v>
      </c>
      <c r="AP99" s="38">
        <f>+'[1]FA Report'!$D$58</f>
        <v>0.2142857142857143</v>
      </c>
      <c r="AQ99" s="24">
        <f t="shared" si="46"/>
        <v>0.12215320910973085</v>
      </c>
      <c r="AR99" s="24">
        <f t="shared" si="47"/>
        <v>0.28510638297872343</v>
      </c>
      <c r="AS99" s="38">
        <f>+'[1]FA Report'!$C$52</f>
        <v>0.3</v>
      </c>
      <c r="AT99" s="24">
        <f t="shared" si="48"/>
        <v>-8.5531914893617028E-2</v>
      </c>
      <c r="AU99" s="38">
        <f t="shared" si="49"/>
        <v>0.35449569035137962</v>
      </c>
      <c r="AV99" s="24">
        <v>0.3175</v>
      </c>
      <c r="AW99">
        <f t="shared" si="38"/>
        <v>0</v>
      </c>
    </row>
    <row r="100" spans="1:49" x14ac:dyDescent="0.35">
      <c r="A100" s="23">
        <v>43648</v>
      </c>
      <c r="B100">
        <v>236</v>
      </c>
      <c r="C100">
        <v>231</v>
      </c>
      <c r="D100">
        <v>5</v>
      </c>
      <c r="E100">
        <v>223</v>
      </c>
      <c r="F100">
        <v>13</v>
      </c>
      <c r="G100">
        <v>23.580086580084753</v>
      </c>
      <c r="H100">
        <v>4.9184549356223179</v>
      </c>
      <c r="I100">
        <v>15</v>
      </c>
      <c r="J100">
        <v>13</v>
      </c>
      <c r="K100">
        <v>0</v>
      </c>
      <c r="L100">
        <v>0</v>
      </c>
      <c r="M100">
        <v>0</v>
      </c>
      <c r="N100">
        <v>145</v>
      </c>
      <c r="O100">
        <v>67</v>
      </c>
      <c r="P100">
        <v>211</v>
      </c>
      <c r="Q100">
        <v>196</v>
      </c>
      <c r="R100">
        <v>210</v>
      </c>
      <c r="S100">
        <v>193</v>
      </c>
      <c r="T100">
        <v>187</v>
      </c>
      <c r="U100">
        <v>123</v>
      </c>
      <c r="V100">
        <v>121</v>
      </c>
      <c r="W100">
        <v>97</v>
      </c>
      <c r="X100">
        <v>97</v>
      </c>
      <c r="Y100">
        <v>89</v>
      </c>
      <c r="Z100">
        <v>63</v>
      </c>
      <c r="AA100">
        <v>8</v>
      </c>
      <c r="AB100">
        <v>21</v>
      </c>
      <c r="AC100">
        <v>222</v>
      </c>
      <c r="AD100">
        <v>0.70713909979120637</v>
      </c>
      <c r="AE100">
        <f t="shared" si="39"/>
        <v>27</v>
      </c>
      <c r="AF100" s="24">
        <f t="shared" si="50"/>
        <v>0.93333333333333335</v>
      </c>
      <c r="AG100" s="38">
        <f>+'[1]FA Report'!$D$42</f>
        <v>0.14285714285714288</v>
      </c>
      <c r="AH100" s="24">
        <f t="shared" si="40"/>
        <v>0.13333333333333336</v>
      </c>
      <c r="AI100" s="24">
        <f t="shared" si="41"/>
        <v>0.89047619047619042</v>
      </c>
      <c r="AJ100" s="38">
        <f>+'[1]FA Report'!$D$48</f>
        <v>7.1428571428571438E-2</v>
      </c>
      <c r="AK100" s="24">
        <f t="shared" si="42"/>
        <v>6.3605442176870752E-2</v>
      </c>
      <c r="AL100" s="24">
        <f t="shared" si="43"/>
        <v>0.3</v>
      </c>
      <c r="AM100" s="38">
        <f>+'[1]FA Report'!$C$55</f>
        <v>0.4</v>
      </c>
      <c r="AN100" s="24">
        <f t="shared" si="44"/>
        <v>0.12</v>
      </c>
      <c r="AO100" s="24">
        <f t="shared" si="45"/>
        <v>0.57619047619047614</v>
      </c>
      <c r="AP100" s="38">
        <f>+'[1]FA Report'!$D$58</f>
        <v>0.2142857142857143</v>
      </c>
      <c r="AQ100" s="24">
        <f t="shared" si="46"/>
        <v>0.12346938775510204</v>
      </c>
      <c r="AR100" s="24">
        <f t="shared" si="47"/>
        <v>0.28389830508474578</v>
      </c>
      <c r="AS100" s="38">
        <f>+'[1]FA Report'!$C$52</f>
        <v>0.3</v>
      </c>
      <c r="AT100" s="24">
        <f t="shared" si="48"/>
        <v>-8.5169491525423732E-2</v>
      </c>
      <c r="AU100" s="38">
        <f t="shared" si="49"/>
        <v>0.35523867173988238</v>
      </c>
      <c r="AV100" s="24">
        <v>0.3175</v>
      </c>
      <c r="AW100">
        <f t="shared" si="38"/>
        <v>0</v>
      </c>
    </row>
    <row r="101" spans="1:49" x14ac:dyDescent="0.35">
      <c r="A101" s="23">
        <v>43649</v>
      </c>
      <c r="B101">
        <v>231</v>
      </c>
      <c r="C101">
        <v>229</v>
      </c>
      <c r="D101">
        <v>2</v>
      </c>
      <c r="E101">
        <v>219</v>
      </c>
      <c r="F101">
        <v>12</v>
      </c>
      <c r="G101">
        <v>23.672489082971879</v>
      </c>
      <c r="H101">
        <v>4.9385964912280702</v>
      </c>
      <c r="I101">
        <v>20</v>
      </c>
      <c r="J101">
        <v>9</v>
      </c>
      <c r="K101">
        <v>0</v>
      </c>
      <c r="L101">
        <v>0</v>
      </c>
      <c r="M101">
        <v>0</v>
      </c>
      <c r="N101">
        <v>144</v>
      </c>
      <c r="O101">
        <v>67</v>
      </c>
      <c r="P101">
        <v>209</v>
      </c>
      <c r="Q101">
        <v>195</v>
      </c>
      <c r="R101">
        <v>207</v>
      </c>
      <c r="S101">
        <v>190</v>
      </c>
      <c r="T101">
        <v>184</v>
      </c>
      <c r="U101">
        <v>122</v>
      </c>
      <c r="V101">
        <v>121</v>
      </c>
      <c r="W101">
        <v>100</v>
      </c>
      <c r="X101">
        <v>100</v>
      </c>
      <c r="Y101">
        <v>92</v>
      </c>
      <c r="Z101">
        <v>68</v>
      </c>
      <c r="AA101">
        <v>8</v>
      </c>
      <c r="AB101">
        <v>21</v>
      </c>
      <c r="AC101">
        <v>220</v>
      </c>
      <c r="AD101">
        <v>0.71441264500495705</v>
      </c>
      <c r="AE101">
        <f t="shared" si="39"/>
        <v>27</v>
      </c>
      <c r="AF101" s="24">
        <f t="shared" si="50"/>
        <v>0.94202898550724634</v>
      </c>
      <c r="AG101" s="38">
        <f>+'[1]FA Report'!$D$42</f>
        <v>0.14285714285714288</v>
      </c>
      <c r="AH101" s="24">
        <f t="shared" si="40"/>
        <v>0.13457556935817808</v>
      </c>
      <c r="AI101" s="24">
        <f t="shared" si="41"/>
        <v>0.88888888888888884</v>
      </c>
      <c r="AJ101" s="38">
        <f>+'[1]FA Report'!$D$48</f>
        <v>7.1428571428571438E-2</v>
      </c>
      <c r="AK101" s="24">
        <f t="shared" si="42"/>
        <v>6.3492063492063502E-2</v>
      </c>
      <c r="AL101" s="24">
        <f t="shared" si="43"/>
        <v>0.32850241545893721</v>
      </c>
      <c r="AM101" s="38">
        <f>+'[1]FA Report'!$C$55</f>
        <v>0.4</v>
      </c>
      <c r="AN101" s="24">
        <f t="shared" si="44"/>
        <v>0.13140096618357489</v>
      </c>
      <c r="AO101" s="24">
        <f t="shared" si="45"/>
        <v>0.58454106280193241</v>
      </c>
      <c r="AP101" s="38">
        <f>+'[1]FA Report'!$D$58</f>
        <v>0.2142857142857143</v>
      </c>
      <c r="AQ101" s="24">
        <f t="shared" si="46"/>
        <v>0.12525879917184266</v>
      </c>
      <c r="AR101" s="24">
        <f t="shared" si="47"/>
        <v>0.29004329004329005</v>
      </c>
      <c r="AS101" s="38">
        <f>+'[1]FA Report'!$C$52</f>
        <v>0.3</v>
      </c>
      <c r="AT101" s="24">
        <f t="shared" si="48"/>
        <v>-8.7012987012987014E-2</v>
      </c>
      <c r="AU101" s="38">
        <f t="shared" si="49"/>
        <v>0.36771441119267212</v>
      </c>
      <c r="AV101" s="24">
        <v>0.3175</v>
      </c>
      <c r="AW101">
        <f t="shared" si="38"/>
        <v>0</v>
      </c>
    </row>
    <row r="102" spans="1:49" x14ac:dyDescent="0.35">
      <c r="A102" s="23">
        <v>43650</v>
      </c>
      <c r="AE102">
        <f t="shared" si="39"/>
        <v>27</v>
      </c>
      <c r="AF102" s="24" t="str">
        <f t="shared" si="50"/>
        <v/>
      </c>
      <c r="AG102" s="38">
        <f>+'[1]FA Report'!$D$42</f>
        <v>0.14285714285714288</v>
      </c>
      <c r="AH102" s="24" t="str">
        <f t="shared" si="40"/>
        <v/>
      </c>
      <c r="AI102" s="24" t="str">
        <f t="shared" si="41"/>
        <v/>
      </c>
      <c r="AJ102" s="38">
        <f>+'[1]FA Report'!$D$48</f>
        <v>7.1428571428571438E-2</v>
      </c>
      <c r="AK102" s="24" t="str">
        <f t="shared" si="42"/>
        <v/>
      </c>
      <c r="AL102" s="24" t="str">
        <f t="shared" si="43"/>
        <v/>
      </c>
      <c r="AM102" s="38">
        <f>+'[1]FA Report'!$C$55</f>
        <v>0.4</v>
      </c>
      <c r="AN102" s="24" t="str">
        <f t="shared" si="44"/>
        <v/>
      </c>
      <c r="AO102" s="24" t="str">
        <f t="shared" si="45"/>
        <v/>
      </c>
      <c r="AP102" s="38">
        <f>+'[1]FA Report'!$D$58</f>
        <v>0.2142857142857143</v>
      </c>
      <c r="AQ102" s="24" t="str">
        <f t="shared" si="46"/>
        <v/>
      </c>
      <c r="AR102" s="24" t="str">
        <f t="shared" si="47"/>
        <v/>
      </c>
      <c r="AS102" s="38">
        <f>+'[1]FA Report'!$C$52</f>
        <v>0.3</v>
      </c>
      <c r="AT102" s="24" t="str">
        <f t="shared" si="48"/>
        <v/>
      </c>
      <c r="AU102" s="38" t="str">
        <f t="shared" si="49"/>
        <v/>
      </c>
      <c r="AV102" s="24">
        <v>0.3175</v>
      </c>
      <c r="AW102">
        <f t="shared" si="38"/>
        <v>0</v>
      </c>
    </row>
    <row r="103" spans="1:49" x14ac:dyDescent="0.35">
      <c r="A103" s="23">
        <v>43651</v>
      </c>
      <c r="AE103">
        <f t="shared" si="39"/>
        <v>27</v>
      </c>
      <c r="AF103" s="24" t="str">
        <f t="shared" si="50"/>
        <v/>
      </c>
      <c r="AG103" s="38">
        <f>+'[1]FA Report'!$D$42</f>
        <v>0.14285714285714288</v>
      </c>
      <c r="AH103" s="24" t="str">
        <f t="shared" si="40"/>
        <v/>
      </c>
      <c r="AI103" s="24" t="str">
        <f t="shared" si="41"/>
        <v/>
      </c>
      <c r="AJ103" s="38">
        <f>+'[1]FA Report'!$D$48</f>
        <v>7.1428571428571438E-2</v>
      </c>
      <c r="AK103" s="24" t="str">
        <f t="shared" si="42"/>
        <v/>
      </c>
      <c r="AL103" s="24" t="str">
        <f t="shared" si="43"/>
        <v/>
      </c>
      <c r="AM103" s="38">
        <f>+'[1]FA Report'!$C$55</f>
        <v>0.4</v>
      </c>
      <c r="AN103" s="24" t="str">
        <f t="shared" si="44"/>
        <v/>
      </c>
      <c r="AO103" s="24" t="str">
        <f t="shared" si="45"/>
        <v/>
      </c>
      <c r="AP103" s="38">
        <f>+'[1]FA Report'!$D$58</f>
        <v>0.2142857142857143</v>
      </c>
      <c r="AQ103" s="24" t="str">
        <f t="shared" si="46"/>
        <v/>
      </c>
      <c r="AR103" s="24" t="str">
        <f t="shared" si="47"/>
        <v/>
      </c>
      <c r="AS103" s="38">
        <f>+'[1]FA Report'!$C$52</f>
        <v>0.3</v>
      </c>
      <c r="AT103" s="24" t="str">
        <f t="shared" si="48"/>
        <v/>
      </c>
      <c r="AU103" s="38" t="str">
        <f t="shared" si="49"/>
        <v/>
      </c>
      <c r="AV103" s="24">
        <v>0.3175</v>
      </c>
      <c r="AW103">
        <f t="shared" ref="AW103:AW134" si="51">+AE103-AE102</f>
        <v>0</v>
      </c>
    </row>
    <row r="104" spans="1:49" x14ac:dyDescent="0.35">
      <c r="A104" s="23">
        <v>43652</v>
      </c>
      <c r="AE104">
        <f t="shared" si="39"/>
        <v>27</v>
      </c>
      <c r="AF104" s="24" t="str">
        <f t="shared" si="50"/>
        <v/>
      </c>
      <c r="AG104" s="38">
        <f>+'[1]FA Report'!$D$42</f>
        <v>0.14285714285714288</v>
      </c>
      <c r="AH104" s="24" t="str">
        <f t="shared" si="40"/>
        <v/>
      </c>
      <c r="AI104" s="24" t="str">
        <f t="shared" si="41"/>
        <v/>
      </c>
      <c r="AJ104" s="38">
        <f>+'[1]FA Report'!$D$48</f>
        <v>7.1428571428571438E-2</v>
      </c>
      <c r="AK104" s="24" t="str">
        <f t="shared" si="42"/>
        <v/>
      </c>
      <c r="AL104" s="24" t="str">
        <f t="shared" si="43"/>
        <v/>
      </c>
      <c r="AM104" s="38">
        <f>+'[1]FA Report'!$C$55</f>
        <v>0.4</v>
      </c>
      <c r="AN104" s="24" t="str">
        <f t="shared" si="44"/>
        <v/>
      </c>
      <c r="AO104" s="24" t="str">
        <f t="shared" si="45"/>
        <v/>
      </c>
      <c r="AP104" s="38">
        <f>+'[1]FA Report'!$D$58</f>
        <v>0.2142857142857143</v>
      </c>
      <c r="AQ104" s="24" t="str">
        <f t="shared" si="46"/>
        <v/>
      </c>
      <c r="AR104" s="24" t="str">
        <f t="shared" si="47"/>
        <v/>
      </c>
      <c r="AS104" s="38">
        <f>+'[1]FA Report'!$C$52</f>
        <v>0.3</v>
      </c>
      <c r="AT104" s="24" t="str">
        <f t="shared" si="48"/>
        <v/>
      </c>
      <c r="AU104" s="38" t="str">
        <f t="shared" si="49"/>
        <v/>
      </c>
      <c r="AV104" s="24">
        <v>0.3175</v>
      </c>
      <c r="AW104">
        <f t="shared" si="51"/>
        <v>0</v>
      </c>
    </row>
    <row r="105" spans="1:49" x14ac:dyDescent="0.35">
      <c r="A105" s="23">
        <v>43653</v>
      </c>
      <c r="AE105">
        <f t="shared" si="39"/>
        <v>28</v>
      </c>
      <c r="AF105" s="24" t="str">
        <f t="shared" si="50"/>
        <v/>
      </c>
      <c r="AG105" s="38">
        <f>+'[1]FA Report'!$D$42</f>
        <v>0.14285714285714288</v>
      </c>
      <c r="AH105" s="24" t="str">
        <f t="shared" si="40"/>
        <v/>
      </c>
      <c r="AI105" s="24" t="str">
        <f t="shared" si="41"/>
        <v/>
      </c>
      <c r="AJ105" s="38">
        <f>+'[1]FA Report'!$D$48</f>
        <v>7.1428571428571438E-2</v>
      </c>
      <c r="AK105" s="24" t="str">
        <f t="shared" si="42"/>
        <v/>
      </c>
      <c r="AL105" s="24" t="str">
        <f t="shared" si="43"/>
        <v/>
      </c>
      <c r="AM105" s="38">
        <f>+'[1]FA Report'!$C$55</f>
        <v>0.4</v>
      </c>
      <c r="AN105" s="24" t="str">
        <f t="shared" si="44"/>
        <v/>
      </c>
      <c r="AO105" s="24" t="str">
        <f t="shared" si="45"/>
        <v/>
      </c>
      <c r="AP105" s="38">
        <f>+'[1]FA Report'!$D$58</f>
        <v>0.2142857142857143</v>
      </c>
      <c r="AQ105" s="24" t="str">
        <f t="shared" si="46"/>
        <v/>
      </c>
      <c r="AR105" s="24" t="str">
        <f t="shared" si="47"/>
        <v/>
      </c>
      <c r="AS105" s="38">
        <f>+'[1]FA Report'!$C$52</f>
        <v>0.3</v>
      </c>
      <c r="AT105" s="24" t="str">
        <f t="shared" si="48"/>
        <v/>
      </c>
      <c r="AU105" s="38" t="str">
        <f t="shared" si="49"/>
        <v/>
      </c>
      <c r="AV105" s="24">
        <v>0.34</v>
      </c>
      <c r="AW105">
        <f t="shared" si="51"/>
        <v>1</v>
      </c>
    </row>
    <row r="106" spans="1:49" x14ac:dyDescent="0.35">
      <c r="A106" s="23">
        <v>43654</v>
      </c>
      <c r="AE106">
        <f t="shared" si="39"/>
        <v>28</v>
      </c>
      <c r="AF106" s="24" t="str">
        <f t="shared" si="50"/>
        <v/>
      </c>
      <c r="AG106" s="38">
        <f>+'[1]FA Report'!$D$42</f>
        <v>0.14285714285714288</v>
      </c>
      <c r="AH106" s="24" t="str">
        <f t="shared" si="40"/>
        <v/>
      </c>
      <c r="AI106" s="24" t="str">
        <f t="shared" si="41"/>
        <v/>
      </c>
      <c r="AJ106" s="38">
        <f>+'[1]FA Report'!$D$48</f>
        <v>7.1428571428571438E-2</v>
      </c>
      <c r="AK106" s="24" t="str">
        <f t="shared" si="42"/>
        <v/>
      </c>
      <c r="AL106" s="24" t="str">
        <f t="shared" si="43"/>
        <v/>
      </c>
      <c r="AM106" s="38">
        <f>+'[1]FA Report'!$C$55</f>
        <v>0.4</v>
      </c>
      <c r="AN106" s="24" t="str">
        <f t="shared" si="44"/>
        <v/>
      </c>
      <c r="AO106" s="24" t="str">
        <f t="shared" si="45"/>
        <v/>
      </c>
      <c r="AP106" s="38">
        <f>+'[1]FA Report'!$D$58</f>
        <v>0.2142857142857143</v>
      </c>
      <c r="AQ106" s="24" t="str">
        <f t="shared" si="46"/>
        <v/>
      </c>
      <c r="AR106" s="24" t="str">
        <f t="shared" si="47"/>
        <v/>
      </c>
      <c r="AS106" s="38">
        <f>+'[1]FA Report'!$C$52</f>
        <v>0.3</v>
      </c>
      <c r="AT106" s="24" t="str">
        <f t="shared" si="48"/>
        <v/>
      </c>
      <c r="AU106" s="38" t="str">
        <f t="shared" si="49"/>
        <v/>
      </c>
      <c r="AV106" s="24">
        <v>0.34</v>
      </c>
      <c r="AW106">
        <f t="shared" si="51"/>
        <v>0</v>
      </c>
    </row>
    <row r="107" spans="1:49" x14ac:dyDescent="0.35">
      <c r="A107" s="23">
        <v>43655</v>
      </c>
      <c r="AE107">
        <f t="shared" si="39"/>
        <v>28</v>
      </c>
      <c r="AF107" s="24" t="str">
        <f t="shared" si="50"/>
        <v/>
      </c>
      <c r="AG107" s="38">
        <f>+'[1]FA Report'!$D$42</f>
        <v>0.14285714285714288</v>
      </c>
      <c r="AH107" s="24" t="str">
        <f t="shared" si="40"/>
        <v/>
      </c>
      <c r="AI107" s="24" t="str">
        <f t="shared" si="41"/>
        <v/>
      </c>
      <c r="AJ107" s="38">
        <f>+'[1]FA Report'!$D$48</f>
        <v>7.1428571428571438E-2</v>
      </c>
      <c r="AK107" s="24" t="str">
        <f t="shared" si="42"/>
        <v/>
      </c>
      <c r="AL107" s="24" t="str">
        <f t="shared" si="43"/>
        <v/>
      </c>
      <c r="AM107" s="38">
        <f>+'[1]FA Report'!$C$55</f>
        <v>0.4</v>
      </c>
      <c r="AN107" s="24" t="str">
        <f t="shared" si="44"/>
        <v/>
      </c>
      <c r="AO107" s="24" t="str">
        <f t="shared" si="45"/>
        <v/>
      </c>
      <c r="AP107" s="38">
        <f>+'[1]FA Report'!$D$58</f>
        <v>0.2142857142857143</v>
      </c>
      <c r="AQ107" s="24" t="str">
        <f t="shared" si="46"/>
        <v/>
      </c>
      <c r="AR107" s="24" t="str">
        <f t="shared" si="47"/>
        <v/>
      </c>
      <c r="AS107" s="38">
        <f>+'[1]FA Report'!$C$52</f>
        <v>0.3</v>
      </c>
      <c r="AT107" s="24" t="str">
        <f t="shared" si="48"/>
        <v/>
      </c>
      <c r="AU107" s="38" t="str">
        <f t="shared" si="49"/>
        <v/>
      </c>
      <c r="AV107" s="24">
        <v>0.34</v>
      </c>
      <c r="AW107">
        <f t="shared" si="51"/>
        <v>0</v>
      </c>
    </row>
    <row r="108" spans="1:49" x14ac:dyDescent="0.35">
      <c r="A108" s="23">
        <v>43656</v>
      </c>
      <c r="AE108">
        <f t="shared" si="39"/>
        <v>28</v>
      </c>
      <c r="AF108" s="24" t="str">
        <f t="shared" si="50"/>
        <v/>
      </c>
      <c r="AG108" s="38">
        <f>+'[1]FA Report'!$D$42</f>
        <v>0.14285714285714288</v>
      </c>
      <c r="AH108" s="24" t="str">
        <f t="shared" si="40"/>
        <v/>
      </c>
      <c r="AI108" s="24" t="str">
        <f t="shared" si="41"/>
        <v/>
      </c>
      <c r="AJ108" s="38">
        <f>+'[1]FA Report'!$D$48</f>
        <v>7.1428571428571438E-2</v>
      </c>
      <c r="AK108" s="24" t="str">
        <f t="shared" si="42"/>
        <v/>
      </c>
      <c r="AL108" s="24" t="str">
        <f t="shared" si="43"/>
        <v/>
      </c>
      <c r="AM108" s="38">
        <f>+'[1]FA Report'!$C$55</f>
        <v>0.4</v>
      </c>
      <c r="AN108" s="24" t="str">
        <f t="shared" si="44"/>
        <v/>
      </c>
      <c r="AO108" s="24" t="str">
        <f t="shared" si="45"/>
        <v/>
      </c>
      <c r="AP108" s="38">
        <f>+'[1]FA Report'!$D$58</f>
        <v>0.2142857142857143</v>
      </c>
      <c r="AQ108" s="24" t="str">
        <f t="shared" si="46"/>
        <v/>
      </c>
      <c r="AR108" s="24" t="str">
        <f t="shared" si="47"/>
        <v/>
      </c>
      <c r="AS108" s="38">
        <f>+'[1]FA Report'!$C$52</f>
        <v>0.3</v>
      </c>
      <c r="AT108" s="24" t="str">
        <f t="shared" si="48"/>
        <v/>
      </c>
      <c r="AU108" s="38" t="str">
        <f t="shared" si="49"/>
        <v/>
      </c>
      <c r="AV108" s="24">
        <v>0.34</v>
      </c>
      <c r="AW108">
        <f t="shared" si="51"/>
        <v>0</v>
      </c>
    </row>
    <row r="109" spans="1:49" x14ac:dyDescent="0.35">
      <c r="A109" s="23">
        <v>43657</v>
      </c>
      <c r="AE109">
        <f t="shared" si="39"/>
        <v>28</v>
      </c>
      <c r="AF109" s="24" t="str">
        <f t="shared" si="50"/>
        <v/>
      </c>
      <c r="AG109" s="38">
        <f>+'[1]FA Report'!$D$42</f>
        <v>0.14285714285714288</v>
      </c>
      <c r="AH109" s="24" t="str">
        <f t="shared" si="40"/>
        <v/>
      </c>
      <c r="AI109" s="24" t="str">
        <f t="shared" si="41"/>
        <v/>
      </c>
      <c r="AJ109" s="38">
        <f>+'[1]FA Report'!$D$48</f>
        <v>7.1428571428571438E-2</v>
      </c>
      <c r="AK109" s="24" t="str">
        <f t="shared" si="42"/>
        <v/>
      </c>
      <c r="AL109" s="24" t="str">
        <f t="shared" si="43"/>
        <v/>
      </c>
      <c r="AM109" s="38">
        <f>+'[1]FA Report'!$C$55</f>
        <v>0.4</v>
      </c>
      <c r="AN109" s="24" t="str">
        <f t="shared" si="44"/>
        <v/>
      </c>
      <c r="AO109" s="24" t="str">
        <f t="shared" si="45"/>
        <v/>
      </c>
      <c r="AP109" s="38">
        <f>+'[1]FA Report'!$D$58</f>
        <v>0.2142857142857143</v>
      </c>
      <c r="AQ109" s="24" t="str">
        <f t="shared" si="46"/>
        <v/>
      </c>
      <c r="AR109" s="24" t="str">
        <f t="shared" si="47"/>
        <v/>
      </c>
      <c r="AS109" s="38">
        <f>+'[1]FA Report'!$C$52</f>
        <v>0.3</v>
      </c>
      <c r="AT109" s="24" t="str">
        <f t="shared" si="48"/>
        <v/>
      </c>
      <c r="AU109" s="38" t="str">
        <f t="shared" si="49"/>
        <v/>
      </c>
      <c r="AV109" s="24">
        <v>0.34</v>
      </c>
      <c r="AW109">
        <f t="shared" si="51"/>
        <v>0</v>
      </c>
    </row>
    <row r="110" spans="1:49" x14ac:dyDescent="0.35">
      <c r="A110" s="23">
        <v>43658</v>
      </c>
      <c r="AE110">
        <f t="shared" si="39"/>
        <v>28</v>
      </c>
      <c r="AF110" s="24" t="str">
        <f t="shared" si="50"/>
        <v/>
      </c>
      <c r="AG110" s="38">
        <f>+'[1]FA Report'!$D$42</f>
        <v>0.14285714285714288</v>
      </c>
      <c r="AH110" s="24" t="str">
        <f t="shared" si="40"/>
        <v/>
      </c>
      <c r="AI110" s="24" t="str">
        <f t="shared" si="41"/>
        <v/>
      </c>
      <c r="AJ110" s="38">
        <f>+'[1]FA Report'!$D$48</f>
        <v>7.1428571428571438E-2</v>
      </c>
      <c r="AK110" s="24" t="str">
        <f t="shared" si="42"/>
        <v/>
      </c>
      <c r="AL110" s="24" t="str">
        <f t="shared" si="43"/>
        <v/>
      </c>
      <c r="AM110" s="38">
        <f>+'[1]FA Report'!$C$55</f>
        <v>0.4</v>
      </c>
      <c r="AN110" s="24" t="str">
        <f t="shared" si="44"/>
        <v/>
      </c>
      <c r="AO110" s="24" t="str">
        <f t="shared" si="45"/>
        <v/>
      </c>
      <c r="AP110" s="38">
        <f>+'[1]FA Report'!$D$58</f>
        <v>0.2142857142857143</v>
      </c>
      <c r="AQ110" s="24" t="str">
        <f t="shared" si="46"/>
        <v/>
      </c>
      <c r="AR110" s="24" t="str">
        <f t="shared" si="47"/>
        <v/>
      </c>
      <c r="AS110" s="38">
        <f>+'[1]FA Report'!$C$52</f>
        <v>0.3</v>
      </c>
      <c r="AT110" s="24" t="str">
        <f t="shared" si="48"/>
        <v/>
      </c>
      <c r="AU110" s="38" t="str">
        <f t="shared" si="49"/>
        <v/>
      </c>
      <c r="AV110" s="24">
        <v>0.34</v>
      </c>
      <c r="AW110">
        <f t="shared" si="51"/>
        <v>0</v>
      </c>
    </row>
    <row r="111" spans="1:49" x14ac:dyDescent="0.35">
      <c r="A111" s="23">
        <v>43659</v>
      </c>
      <c r="AE111">
        <f t="shared" si="39"/>
        <v>28</v>
      </c>
      <c r="AF111" s="24" t="str">
        <f t="shared" si="50"/>
        <v/>
      </c>
      <c r="AG111" s="38">
        <f>+'[1]FA Report'!$D$42</f>
        <v>0.14285714285714288</v>
      </c>
      <c r="AH111" s="24" t="str">
        <f t="shared" si="40"/>
        <v/>
      </c>
      <c r="AI111" s="24" t="str">
        <f t="shared" si="41"/>
        <v/>
      </c>
      <c r="AJ111" s="38">
        <f>+'[1]FA Report'!$D$48</f>
        <v>7.1428571428571438E-2</v>
      </c>
      <c r="AK111" s="24" t="str">
        <f t="shared" si="42"/>
        <v/>
      </c>
      <c r="AL111" s="24" t="str">
        <f t="shared" si="43"/>
        <v/>
      </c>
      <c r="AM111" s="38">
        <f>+'[1]FA Report'!$C$55</f>
        <v>0.4</v>
      </c>
      <c r="AN111" s="24" t="str">
        <f t="shared" si="44"/>
        <v/>
      </c>
      <c r="AO111" s="24" t="str">
        <f t="shared" si="45"/>
        <v/>
      </c>
      <c r="AP111" s="38">
        <f>+'[1]FA Report'!$D$58</f>
        <v>0.2142857142857143</v>
      </c>
      <c r="AQ111" s="24" t="str">
        <f t="shared" si="46"/>
        <v/>
      </c>
      <c r="AR111" s="24" t="str">
        <f t="shared" si="47"/>
        <v/>
      </c>
      <c r="AS111" s="38">
        <f>+'[1]FA Report'!$C$52</f>
        <v>0.3</v>
      </c>
      <c r="AT111" s="24" t="str">
        <f t="shared" si="48"/>
        <v/>
      </c>
      <c r="AU111" s="38" t="str">
        <f t="shared" si="49"/>
        <v/>
      </c>
      <c r="AV111" s="24">
        <v>0.34</v>
      </c>
      <c r="AW111">
        <f t="shared" si="51"/>
        <v>0</v>
      </c>
    </row>
    <row r="112" spans="1:49" x14ac:dyDescent="0.35">
      <c r="A112" s="23">
        <v>43660</v>
      </c>
      <c r="AE112">
        <f t="shared" si="39"/>
        <v>29</v>
      </c>
      <c r="AF112" s="24" t="str">
        <f t="shared" si="50"/>
        <v/>
      </c>
      <c r="AG112" s="38">
        <f>+'[1]FA Report'!$D$42</f>
        <v>0.14285714285714288</v>
      </c>
      <c r="AH112" s="24" t="str">
        <f t="shared" si="40"/>
        <v/>
      </c>
      <c r="AI112" s="24" t="str">
        <f t="shared" si="41"/>
        <v/>
      </c>
      <c r="AJ112" s="38">
        <f>+'[1]FA Report'!$D$48</f>
        <v>7.1428571428571438E-2</v>
      </c>
      <c r="AK112" s="24" t="str">
        <f t="shared" si="42"/>
        <v/>
      </c>
      <c r="AL112" s="24" t="str">
        <f t="shared" si="43"/>
        <v/>
      </c>
      <c r="AM112" s="38">
        <f>+'[1]FA Report'!$C$55</f>
        <v>0.4</v>
      </c>
      <c r="AN112" s="24" t="str">
        <f t="shared" si="44"/>
        <v/>
      </c>
      <c r="AO112" s="24" t="str">
        <f t="shared" si="45"/>
        <v/>
      </c>
      <c r="AP112" s="38">
        <f>+'[1]FA Report'!$D$58</f>
        <v>0.2142857142857143</v>
      </c>
      <c r="AQ112" s="24" t="str">
        <f t="shared" si="46"/>
        <v/>
      </c>
      <c r="AR112" s="24" t="str">
        <f t="shared" si="47"/>
        <v/>
      </c>
      <c r="AS112" s="38">
        <f>+'[1]FA Report'!$C$52</f>
        <v>0.3</v>
      </c>
      <c r="AT112" s="24" t="str">
        <f t="shared" si="48"/>
        <v/>
      </c>
      <c r="AU112" s="38" t="str">
        <f t="shared" si="49"/>
        <v/>
      </c>
      <c r="AV112" s="24">
        <v>0.36250000000000004</v>
      </c>
      <c r="AW112">
        <f t="shared" si="51"/>
        <v>1</v>
      </c>
    </row>
    <row r="113" spans="1:49" x14ac:dyDescent="0.35">
      <c r="A113" s="23">
        <v>43661</v>
      </c>
      <c r="AE113">
        <f t="shared" si="39"/>
        <v>29</v>
      </c>
      <c r="AF113" s="24" t="str">
        <f t="shared" si="50"/>
        <v/>
      </c>
      <c r="AG113" s="38">
        <f>+'[1]FA Report'!$D$42</f>
        <v>0.14285714285714288</v>
      </c>
      <c r="AH113" s="24" t="str">
        <f t="shared" si="40"/>
        <v/>
      </c>
      <c r="AI113" s="24" t="str">
        <f t="shared" si="41"/>
        <v/>
      </c>
      <c r="AJ113" s="38">
        <f>+'[1]FA Report'!$D$48</f>
        <v>7.1428571428571438E-2</v>
      </c>
      <c r="AK113" s="24" t="str">
        <f t="shared" si="42"/>
        <v/>
      </c>
      <c r="AL113" s="24" t="str">
        <f t="shared" si="43"/>
        <v/>
      </c>
      <c r="AM113" s="38">
        <f>+'[1]FA Report'!$C$55</f>
        <v>0.4</v>
      </c>
      <c r="AN113" s="24" t="str">
        <f t="shared" si="44"/>
        <v/>
      </c>
      <c r="AO113" s="24" t="str">
        <f t="shared" si="45"/>
        <v/>
      </c>
      <c r="AP113" s="38">
        <f>+'[1]FA Report'!$D$58</f>
        <v>0.2142857142857143</v>
      </c>
      <c r="AQ113" s="24" t="str">
        <f t="shared" si="46"/>
        <v/>
      </c>
      <c r="AR113" s="24" t="str">
        <f t="shared" si="47"/>
        <v/>
      </c>
      <c r="AS113" s="38">
        <f>+'[1]FA Report'!$C$52</f>
        <v>0.3</v>
      </c>
      <c r="AT113" s="24" t="str">
        <f t="shared" si="48"/>
        <v/>
      </c>
      <c r="AU113" s="38" t="str">
        <f t="shared" si="49"/>
        <v/>
      </c>
      <c r="AV113" s="24">
        <v>0.36250000000000004</v>
      </c>
      <c r="AW113">
        <f t="shared" si="51"/>
        <v>0</v>
      </c>
    </row>
    <row r="114" spans="1:49" x14ac:dyDescent="0.35">
      <c r="A114" s="23">
        <v>43662</v>
      </c>
      <c r="B114">
        <v>223</v>
      </c>
      <c r="C114">
        <v>223</v>
      </c>
      <c r="D114">
        <v>0</v>
      </c>
      <c r="E114">
        <v>217</v>
      </c>
      <c r="F114">
        <v>6</v>
      </c>
      <c r="G114">
        <v>45.282511210760276</v>
      </c>
      <c r="H114">
        <v>4.8513513513513518</v>
      </c>
      <c r="I114">
        <v>16</v>
      </c>
      <c r="J114">
        <v>13</v>
      </c>
      <c r="K114">
        <v>0</v>
      </c>
      <c r="L114">
        <v>0</v>
      </c>
      <c r="M114">
        <v>0</v>
      </c>
      <c r="N114">
        <v>142</v>
      </c>
      <c r="O114">
        <v>67</v>
      </c>
      <c r="P114">
        <v>210</v>
      </c>
      <c r="Q114">
        <v>201</v>
      </c>
      <c r="R114">
        <v>206</v>
      </c>
      <c r="S114">
        <v>194</v>
      </c>
      <c r="T114">
        <v>191</v>
      </c>
      <c r="U114">
        <v>141</v>
      </c>
      <c r="V114">
        <v>140</v>
      </c>
      <c r="W114">
        <v>109</v>
      </c>
      <c r="X114">
        <v>110</v>
      </c>
      <c r="Y114">
        <v>105</v>
      </c>
      <c r="Z114">
        <v>78</v>
      </c>
      <c r="AA114">
        <v>11</v>
      </c>
      <c r="AB114">
        <v>25</v>
      </c>
      <c r="AC114">
        <v>216</v>
      </c>
      <c r="AD114">
        <v>0.79217446632005861</v>
      </c>
      <c r="AE114">
        <f t="shared" si="39"/>
        <v>29</v>
      </c>
      <c r="AF114" s="24">
        <f t="shared" si="50"/>
        <v>0.97572815533980584</v>
      </c>
      <c r="AG114" s="38">
        <f>+'[1]FA Report'!$D$42</f>
        <v>0.14285714285714288</v>
      </c>
      <c r="AH114" s="24">
        <f t="shared" si="40"/>
        <v>0.13938973647711514</v>
      </c>
      <c r="AI114" s="24">
        <f t="shared" si="41"/>
        <v>0.92718446601941751</v>
      </c>
      <c r="AJ114" s="38">
        <f>+'[1]FA Report'!$D$48</f>
        <v>7.1428571428571438E-2</v>
      </c>
      <c r="AK114" s="24">
        <f t="shared" si="42"/>
        <v>6.6227461858529832E-2</v>
      </c>
      <c r="AL114" s="24">
        <f t="shared" si="43"/>
        <v>0.37864077669902912</v>
      </c>
      <c r="AM114" s="38">
        <f>+'[1]FA Report'!$C$55</f>
        <v>0.4</v>
      </c>
      <c r="AN114" s="24">
        <f t="shared" si="44"/>
        <v>0.15145631067961166</v>
      </c>
      <c r="AO114" s="24">
        <f t="shared" si="45"/>
        <v>0.67961165048543692</v>
      </c>
      <c r="AP114" s="38">
        <f>+'[1]FA Report'!$D$58</f>
        <v>0.2142857142857143</v>
      </c>
      <c r="AQ114" s="24">
        <f t="shared" si="46"/>
        <v>0.14563106796116507</v>
      </c>
      <c r="AR114" s="24">
        <f t="shared" si="47"/>
        <v>0.30044843049327352</v>
      </c>
      <c r="AS114" s="38">
        <f>+'[1]FA Report'!$C$52</f>
        <v>0.3</v>
      </c>
      <c r="AT114" s="24">
        <f t="shared" si="48"/>
        <v>-9.0134529147982048E-2</v>
      </c>
      <c r="AU114" s="38">
        <f t="shared" si="49"/>
        <v>0.41257004782843965</v>
      </c>
      <c r="AV114" s="24">
        <v>0.36250000000000004</v>
      </c>
      <c r="AW114">
        <f t="shared" si="51"/>
        <v>0</v>
      </c>
    </row>
    <row r="115" spans="1:49" x14ac:dyDescent="0.35">
      <c r="A115" s="23">
        <v>43663</v>
      </c>
      <c r="AE115">
        <f t="shared" si="39"/>
        <v>29</v>
      </c>
      <c r="AF115" s="24" t="str">
        <f t="shared" si="50"/>
        <v/>
      </c>
      <c r="AG115" s="38">
        <f>+'[1]FA Report'!$D$42</f>
        <v>0.14285714285714288</v>
      </c>
      <c r="AH115" s="24" t="str">
        <f t="shared" si="40"/>
        <v/>
      </c>
      <c r="AI115" s="24" t="str">
        <f t="shared" si="41"/>
        <v/>
      </c>
      <c r="AJ115" s="38">
        <f>+'[1]FA Report'!$D$48</f>
        <v>7.1428571428571438E-2</v>
      </c>
      <c r="AK115" s="24" t="str">
        <f t="shared" si="42"/>
        <v/>
      </c>
      <c r="AL115" s="24" t="str">
        <f t="shared" si="43"/>
        <v/>
      </c>
      <c r="AM115" s="38">
        <f>+'[1]FA Report'!$C$55</f>
        <v>0.4</v>
      </c>
      <c r="AN115" s="24" t="str">
        <f t="shared" si="44"/>
        <v/>
      </c>
      <c r="AO115" s="24" t="str">
        <f t="shared" si="45"/>
        <v/>
      </c>
      <c r="AP115" s="38">
        <f>+'[1]FA Report'!$D$58</f>
        <v>0.2142857142857143</v>
      </c>
      <c r="AQ115" s="24" t="str">
        <f t="shared" si="46"/>
        <v/>
      </c>
      <c r="AR115" s="24" t="str">
        <f t="shared" si="47"/>
        <v/>
      </c>
      <c r="AS115" s="38">
        <f>+'[1]FA Report'!$C$52</f>
        <v>0.3</v>
      </c>
      <c r="AT115" s="24" t="str">
        <f t="shared" si="48"/>
        <v/>
      </c>
      <c r="AU115" s="38" t="str">
        <f t="shared" si="49"/>
        <v/>
      </c>
      <c r="AV115" s="24">
        <v>0.36250000000000004</v>
      </c>
      <c r="AW115">
        <f t="shared" si="51"/>
        <v>0</v>
      </c>
    </row>
    <row r="116" spans="1:49" x14ac:dyDescent="0.35">
      <c r="A116" s="23">
        <v>43664</v>
      </c>
      <c r="AE116">
        <f t="shared" si="39"/>
        <v>29</v>
      </c>
      <c r="AF116" s="24" t="str">
        <f t="shared" si="50"/>
        <v/>
      </c>
      <c r="AG116" s="38">
        <f>+'[1]FA Report'!$D$42</f>
        <v>0.14285714285714288</v>
      </c>
      <c r="AH116" s="24" t="str">
        <f t="shared" si="40"/>
        <v/>
      </c>
      <c r="AI116" s="24" t="str">
        <f t="shared" si="41"/>
        <v/>
      </c>
      <c r="AJ116" s="38">
        <f>+'[1]FA Report'!$D$48</f>
        <v>7.1428571428571438E-2</v>
      </c>
      <c r="AK116" s="24" t="str">
        <f t="shared" si="42"/>
        <v/>
      </c>
      <c r="AL116" s="24" t="str">
        <f t="shared" si="43"/>
        <v/>
      </c>
      <c r="AM116" s="38">
        <f>+'[1]FA Report'!$C$55</f>
        <v>0.4</v>
      </c>
      <c r="AN116" s="24" t="str">
        <f t="shared" si="44"/>
        <v/>
      </c>
      <c r="AO116" s="24" t="str">
        <f t="shared" si="45"/>
        <v/>
      </c>
      <c r="AP116" s="38">
        <f>+'[1]FA Report'!$D$58</f>
        <v>0.2142857142857143</v>
      </c>
      <c r="AQ116" s="24" t="str">
        <f t="shared" si="46"/>
        <v/>
      </c>
      <c r="AR116" s="24" t="str">
        <f t="shared" si="47"/>
        <v/>
      </c>
      <c r="AS116" s="38">
        <f>+'[1]FA Report'!$C$52</f>
        <v>0.3</v>
      </c>
      <c r="AT116" s="24" t="str">
        <f t="shared" si="48"/>
        <v/>
      </c>
      <c r="AU116" s="38" t="str">
        <f t="shared" si="49"/>
        <v/>
      </c>
      <c r="AV116" s="24">
        <v>0.36250000000000004</v>
      </c>
      <c r="AW116">
        <f t="shared" si="51"/>
        <v>0</v>
      </c>
    </row>
    <row r="117" spans="1:49" x14ac:dyDescent="0.35">
      <c r="A117" s="23">
        <v>43665</v>
      </c>
      <c r="B117">
        <v>223</v>
      </c>
      <c r="C117">
        <v>223</v>
      </c>
      <c r="D117">
        <v>0</v>
      </c>
      <c r="E117">
        <v>217</v>
      </c>
      <c r="F117">
        <v>6</v>
      </c>
      <c r="G117">
        <v>28.995515695067297</v>
      </c>
      <c r="H117">
        <v>4.833333333333333</v>
      </c>
      <c r="I117">
        <v>34</v>
      </c>
      <c r="J117">
        <v>19</v>
      </c>
      <c r="K117">
        <v>0</v>
      </c>
      <c r="L117">
        <v>0</v>
      </c>
      <c r="M117">
        <v>0</v>
      </c>
      <c r="N117">
        <v>144</v>
      </c>
      <c r="O117">
        <v>69</v>
      </c>
      <c r="P117">
        <v>211</v>
      </c>
      <c r="Q117">
        <v>204</v>
      </c>
      <c r="R117">
        <v>208</v>
      </c>
      <c r="S117">
        <v>196</v>
      </c>
      <c r="T117">
        <v>193</v>
      </c>
      <c r="U117">
        <v>149</v>
      </c>
      <c r="V117">
        <v>147</v>
      </c>
      <c r="W117">
        <v>113</v>
      </c>
      <c r="X117">
        <v>114</v>
      </c>
      <c r="Y117">
        <v>107</v>
      </c>
      <c r="Z117">
        <v>80</v>
      </c>
      <c r="AA117">
        <v>12</v>
      </c>
      <c r="AB117">
        <v>27</v>
      </c>
      <c r="AC117">
        <v>217</v>
      </c>
      <c r="AD117">
        <v>0.81052986868376431</v>
      </c>
      <c r="AE117">
        <f t="shared" si="39"/>
        <v>29</v>
      </c>
      <c r="AF117" s="24">
        <f t="shared" si="50"/>
        <v>0.98076923076923073</v>
      </c>
      <c r="AG117" s="38">
        <f>+'[1]FA Report'!$D$42</f>
        <v>0.14285714285714288</v>
      </c>
      <c r="AH117" s="24">
        <f t="shared" si="40"/>
        <v>0.14010989010989011</v>
      </c>
      <c r="AI117" s="24">
        <f t="shared" si="41"/>
        <v>0.92788461538461542</v>
      </c>
      <c r="AJ117" s="38">
        <f>+'[1]FA Report'!$D$48</f>
        <v>7.1428571428571438E-2</v>
      </c>
      <c r="AK117" s="24">
        <f t="shared" si="42"/>
        <v>6.6277472527472542E-2</v>
      </c>
      <c r="AL117" s="24">
        <f t="shared" si="43"/>
        <v>0.38461538461538464</v>
      </c>
      <c r="AM117" s="38">
        <f>+'[1]FA Report'!$C$55</f>
        <v>0.4</v>
      </c>
      <c r="AN117" s="24">
        <f t="shared" si="44"/>
        <v>0.15384615384615385</v>
      </c>
      <c r="AO117" s="24">
        <f t="shared" si="45"/>
        <v>0.70673076923076927</v>
      </c>
      <c r="AP117" s="38">
        <f>+'[1]FA Report'!$D$58</f>
        <v>0.2142857142857143</v>
      </c>
      <c r="AQ117" s="24">
        <f t="shared" si="46"/>
        <v>0.15144230769230771</v>
      </c>
      <c r="AR117" s="24">
        <f t="shared" si="47"/>
        <v>0.3094170403587444</v>
      </c>
      <c r="AS117" s="38">
        <f>+'[1]FA Report'!$C$52</f>
        <v>0.3</v>
      </c>
      <c r="AT117" s="24">
        <f t="shared" si="48"/>
        <v>-9.2825112107623314E-2</v>
      </c>
      <c r="AU117" s="38">
        <f t="shared" si="49"/>
        <v>0.4188507120682009</v>
      </c>
      <c r="AV117" s="24">
        <v>0.36250000000000004</v>
      </c>
      <c r="AW117">
        <f t="shared" si="51"/>
        <v>0</v>
      </c>
    </row>
    <row r="118" spans="1:49" x14ac:dyDescent="0.35">
      <c r="A118" s="23">
        <v>43666</v>
      </c>
      <c r="AE118">
        <f t="shared" si="39"/>
        <v>29</v>
      </c>
      <c r="AF118" s="24" t="str">
        <f t="shared" si="50"/>
        <v/>
      </c>
      <c r="AG118" s="38">
        <f>+'[1]FA Report'!$D$42</f>
        <v>0.14285714285714288</v>
      </c>
      <c r="AH118" s="24" t="str">
        <f t="shared" si="40"/>
        <v/>
      </c>
      <c r="AI118" s="24" t="str">
        <f t="shared" si="41"/>
        <v/>
      </c>
      <c r="AJ118" s="38">
        <f>+'[1]FA Report'!$D$48</f>
        <v>7.1428571428571438E-2</v>
      </c>
      <c r="AK118" s="24" t="str">
        <f t="shared" si="42"/>
        <v/>
      </c>
      <c r="AL118" s="24" t="str">
        <f t="shared" si="43"/>
        <v/>
      </c>
      <c r="AM118" s="38">
        <f>+'[1]FA Report'!$C$55</f>
        <v>0.4</v>
      </c>
      <c r="AN118" s="24" t="str">
        <f t="shared" si="44"/>
        <v/>
      </c>
      <c r="AO118" s="24" t="str">
        <f t="shared" si="45"/>
        <v/>
      </c>
      <c r="AP118" s="38">
        <f>+'[1]FA Report'!$D$58</f>
        <v>0.2142857142857143</v>
      </c>
      <c r="AQ118" s="24" t="str">
        <f t="shared" si="46"/>
        <v/>
      </c>
      <c r="AR118" s="24" t="str">
        <f t="shared" si="47"/>
        <v/>
      </c>
      <c r="AS118" s="38">
        <f>+'[1]FA Report'!$C$52</f>
        <v>0.3</v>
      </c>
      <c r="AT118" s="24" t="str">
        <f t="shared" si="48"/>
        <v/>
      </c>
      <c r="AU118" s="38" t="str">
        <f t="shared" si="49"/>
        <v/>
      </c>
      <c r="AV118" s="24">
        <v>0.36250000000000004</v>
      </c>
      <c r="AW118">
        <f t="shared" si="51"/>
        <v>0</v>
      </c>
    </row>
    <row r="119" spans="1:49" x14ac:dyDescent="0.35">
      <c r="A119" s="23">
        <v>43667</v>
      </c>
      <c r="AE119">
        <f t="shared" si="39"/>
        <v>30</v>
      </c>
      <c r="AF119" s="24" t="str">
        <f t="shared" si="50"/>
        <v/>
      </c>
      <c r="AG119" s="38">
        <f>+'[1]FA Report'!$D$42</f>
        <v>0.14285714285714288</v>
      </c>
      <c r="AH119" s="24" t="str">
        <f t="shared" si="40"/>
        <v/>
      </c>
      <c r="AI119" s="24" t="str">
        <f t="shared" si="41"/>
        <v/>
      </c>
      <c r="AJ119" s="38">
        <f>+'[1]FA Report'!$D$48</f>
        <v>7.1428571428571438E-2</v>
      </c>
      <c r="AK119" s="24" t="str">
        <f t="shared" si="42"/>
        <v/>
      </c>
      <c r="AL119" s="24" t="str">
        <f t="shared" si="43"/>
        <v/>
      </c>
      <c r="AM119" s="38">
        <f>+'[1]FA Report'!$C$55</f>
        <v>0.4</v>
      </c>
      <c r="AN119" s="24" t="str">
        <f t="shared" si="44"/>
        <v/>
      </c>
      <c r="AO119" s="24" t="str">
        <f t="shared" si="45"/>
        <v/>
      </c>
      <c r="AP119" s="38">
        <f>+'[1]FA Report'!$D$58</f>
        <v>0.2142857142857143</v>
      </c>
      <c r="AQ119" s="24" t="str">
        <f t="shared" si="46"/>
        <v/>
      </c>
      <c r="AR119" s="24" t="str">
        <f t="shared" si="47"/>
        <v/>
      </c>
      <c r="AS119" s="38">
        <f>+'[1]FA Report'!$C$52</f>
        <v>0.3</v>
      </c>
      <c r="AT119" s="24" t="str">
        <f t="shared" si="48"/>
        <v/>
      </c>
      <c r="AU119" s="38" t="str">
        <f t="shared" si="49"/>
        <v/>
      </c>
      <c r="AV119" s="24">
        <v>0.38500000000000006</v>
      </c>
      <c r="AW119">
        <f t="shared" si="51"/>
        <v>1</v>
      </c>
    </row>
    <row r="120" spans="1:49" x14ac:dyDescent="0.35">
      <c r="A120" s="23">
        <v>43668</v>
      </c>
      <c r="B120">
        <v>223</v>
      </c>
      <c r="C120">
        <v>223</v>
      </c>
      <c r="D120">
        <v>0</v>
      </c>
      <c r="E120">
        <v>217</v>
      </c>
      <c r="F120">
        <v>6</v>
      </c>
      <c r="G120">
        <v>31.995515695067297</v>
      </c>
      <c r="H120">
        <v>4.833333333333333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144</v>
      </c>
      <c r="O120">
        <v>69</v>
      </c>
      <c r="P120">
        <v>211</v>
      </c>
      <c r="Q120">
        <v>204</v>
      </c>
      <c r="R120">
        <v>208</v>
      </c>
      <c r="S120">
        <v>196</v>
      </c>
      <c r="T120">
        <v>193</v>
      </c>
      <c r="U120">
        <v>149</v>
      </c>
      <c r="V120">
        <v>147</v>
      </c>
      <c r="W120">
        <v>113</v>
      </c>
      <c r="X120">
        <v>114</v>
      </c>
      <c r="Y120">
        <v>107</v>
      </c>
      <c r="Z120">
        <v>80</v>
      </c>
      <c r="AA120">
        <v>12</v>
      </c>
      <c r="AB120">
        <v>27</v>
      </c>
      <c r="AC120">
        <v>217</v>
      </c>
      <c r="AD120">
        <v>0.81052986868376431</v>
      </c>
      <c r="AE120">
        <f t="shared" si="39"/>
        <v>30</v>
      </c>
      <c r="AF120" s="24">
        <f t="shared" si="50"/>
        <v>0.98076923076923073</v>
      </c>
      <c r="AG120" s="38">
        <f>+'[1]FA Report'!$D$42</f>
        <v>0.14285714285714288</v>
      </c>
      <c r="AH120" s="24">
        <f t="shared" si="40"/>
        <v>0.14010989010989011</v>
      </c>
      <c r="AI120" s="24">
        <f t="shared" si="41"/>
        <v>0.92788461538461542</v>
      </c>
      <c r="AJ120" s="38">
        <f>+'[1]FA Report'!$D$48</f>
        <v>7.1428571428571438E-2</v>
      </c>
      <c r="AK120" s="24">
        <f t="shared" si="42"/>
        <v>6.6277472527472542E-2</v>
      </c>
      <c r="AL120" s="24">
        <f t="shared" si="43"/>
        <v>0.38461538461538464</v>
      </c>
      <c r="AM120" s="38">
        <f>+'[1]FA Report'!$C$55</f>
        <v>0.4</v>
      </c>
      <c r="AN120" s="24">
        <f t="shared" si="44"/>
        <v>0.15384615384615385</v>
      </c>
      <c r="AO120" s="24">
        <f t="shared" si="45"/>
        <v>0.70673076923076927</v>
      </c>
      <c r="AP120" s="38">
        <f>+'[1]FA Report'!$D$58</f>
        <v>0.2142857142857143</v>
      </c>
      <c r="AQ120" s="24">
        <f t="shared" si="46"/>
        <v>0.15144230769230771</v>
      </c>
      <c r="AR120" s="24">
        <f t="shared" si="47"/>
        <v>0.3094170403587444</v>
      </c>
      <c r="AS120" s="38">
        <f>+'[1]FA Report'!$C$52</f>
        <v>0.3</v>
      </c>
      <c r="AT120" s="24">
        <f t="shared" si="48"/>
        <v>-9.2825112107623314E-2</v>
      </c>
      <c r="AU120" s="38">
        <f t="shared" si="49"/>
        <v>0.4188507120682009</v>
      </c>
      <c r="AV120" s="24">
        <v>0.38500000000000006</v>
      </c>
      <c r="AW120">
        <f t="shared" si="51"/>
        <v>0</v>
      </c>
    </row>
    <row r="121" spans="1:49" x14ac:dyDescent="0.35">
      <c r="A121" s="23">
        <v>43669</v>
      </c>
      <c r="B121">
        <v>221</v>
      </c>
      <c r="C121">
        <v>220</v>
      </c>
      <c r="D121">
        <v>1</v>
      </c>
      <c r="E121">
        <v>217</v>
      </c>
      <c r="F121">
        <v>4</v>
      </c>
      <c r="G121">
        <v>32.19999999999709</v>
      </c>
      <c r="H121">
        <v>4.7954545454545459</v>
      </c>
      <c r="I121">
        <v>27</v>
      </c>
      <c r="J121">
        <v>16</v>
      </c>
      <c r="K121">
        <v>0</v>
      </c>
      <c r="L121">
        <v>0</v>
      </c>
      <c r="M121">
        <v>0</v>
      </c>
      <c r="N121">
        <v>141</v>
      </c>
      <c r="O121">
        <v>65</v>
      </c>
      <c r="P121">
        <v>210</v>
      </c>
      <c r="Q121">
        <v>204</v>
      </c>
      <c r="R121">
        <v>208</v>
      </c>
      <c r="S121">
        <v>197</v>
      </c>
      <c r="T121">
        <v>194</v>
      </c>
      <c r="U121">
        <v>156</v>
      </c>
      <c r="V121">
        <v>152</v>
      </c>
      <c r="W121">
        <v>115</v>
      </c>
      <c r="X121">
        <v>116</v>
      </c>
      <c r="Y121">
        <v>107</v>
      </c>
      <c r="Z121">
        <v>81</v>
      </c>
      <c r="AA121">
        <v>12</v>
      </c>
      <c r="AB121">
        <v>29</v>
      </c>
      <c r="AC121">
        <v>215</v>
      </c>
      <c r="AD121">
        <v>0.8322282613747084</v>
      </c>
      <c r="AE121">
        <f t="shared" si="39"/>
        <v>30</v>
      </c>
      <c r="AF121" s="24">
        <f t="shared" si="50"/>
        <v>0.98076923076923073</v>
      </c>
      <c r="AG121" s="38">
        <f>+'[1]FA Report'!$D$42</f>
        <v>0.14285714285714288</v>
      </c>
      <c r="AH121" s="24">
        <f t="shared" si="40"/>
        <v>0.14010989010989011</v>
      </c>
      <c r="AI121" s="24">
        <f t="shared" si="41"/>
        <v>0.93269230769230771</v>
      </c>
      <c r="AJ121" s="38">
        <f>+'[1]FA Report'!$D$48</f>
        <v>7.1428571428571438E-2</v>
      </c>
      <c r="AK121" s="24">
        <f t="shared" si="42"/>
        <v>6.6620879120879134E-2</v>
      </c>
      <c r="AL121" s="24">
        <f t="shared" si="43"/>
        <v>0.38942307692307693</v>
      </c>
      <c r="AM121" s="38">
        <f>+'[1]FA Report'!$C$55</f>
        <v>0.4</v>
      </c>
      <c r="AN121" s="24">
        <f t="shared" si="44"/>
        <v>0.15576923076923077</v>
      </c>
      <c r="AO121" s="24">
        <f t="shared" si="45"/>
        <v>0.73076923076923073</v>
      </c>
      <c r="AP121" s="38">
        <f>+'[1]FA Report'!$D$58</f>
        <v>0.2142857142857143</v>
      </c>
      <c r="AQ121" s="24">
        <f t="shared" si="46"/>
        <v>0.15659340659340659</v>
      </c>
      <c r="AR121" s="24">
        <f t="shared" si="47"/>
        <v>0.29411764705882354</v>
      </c>
      <c r="AS121" s="38">
        <f>+'[1]FA Report'!$C$52</f>
        <v>0.3</v>
      </c>
      <c r="AT121" s="24">
        <f t="shared" si="48"/>
        <v>-8.8235294117647065E-2</v>
      </c>
      <c r="AU121" s="38">
        <f t="shared" si="49"/>
        <v>0.43085811247575956</v>
      </c>
      <c r="AV121" s="24">
        <v>0.38500000000000006</v>
      </c>
      <c r="AW121">
        <f t="shared" si="51"/>
        <v>0</v>
      </c>
    </row>
    <row r="122" spans="1:49" x14ac:dyDescent="0.35">
      <c r="A122" s="23">
        <v>43670</v>
      </c>
      <c r="AE122">
        <f t="shared" si="39"/>
        <v>30</v>
      </c>
      <c r="AF122" s="24" t="str">
        <f t="shared" si="50"/>
        <v/>
      </c>
      <c r="AG122" s="38">
        <f>+'[1]FA Report'!$D$42</f>
        <v>0.14285714285714288</v>
      </c>
      <c r="AH122" s="24" t="str">
        <f t="shared" si="40"/>
        <v/>
      </c>
      <c r="AI122" s="24" t="str">
        <f t="shared" si="41"/>
        <v/>
      </c>
      <c r="AJ122" s="38">
        <f>+'[1]FA Report'!$D$48</f>
        <v>7.1428571428571438E-2</v>
      </c>
      <c r="AK122" s="24" t="str">
        <f t="shared" si="42"/>
        <v/>
      </c>
      <c r="AL122" s="24" t="str">
        <f t="shared" si="43"/>
        <v/>
      </c>
      <c r="AM122" s="38">
        <f>+'[1]FA Report'!$C$55</f>
        <v>0.4</v>
      </c>
      <c r="AN122" s="24" t="str">
        <f t="shared" si="44"/>
        <v/>
      </c>
      <c r="AO122" s="24" t="str">
        <f t="shared" si="45"/>
        <v/>
      </c>
      <c r="AP122" s="38">
        <f>+'[1]FA Report'!$D$58</f>
        <v>0.2142857142857143</v>
      </c>
      <c r="AQ122" s="24" t="str">
        <f t="shared" si="46"/>
        <v/>
      </c>
      <c r="AR122" s="24" t="str">
        <f t="shared" si="47"/>
        <v/>
      </c>
      <c r="AS122" s="38">
        <f>+'[1]FA Report'!$C$52</f>
        <v>0.3</v>
      </c>
      <c r="AT122" s="24" t="str">
        <f t="shared" si="48"/>
        <v/>
      </c>
      <c r="AU122" s="38" t="str">
        <f t="shared" si="49"/>
        <v/>
      </c>
      <c r="AV122" s="24">
        <v>0.38500000000000006</v>
      </c>
      <c r="AW122">
        <f t="shared" si="51"/>
        <v>0</v>
      </c>
    </row>
    <row r="123" spans="1:49" x14ac:dyDescent="0.35">
      <c r="A123" s="23">
        <v>43671</v>
      </c>
      <c r="AE123">
        <f t="shared" si="39"/>
        <v>30</v>
      </c>
      <c r="AF123" s="24" t="str">
        <f t="shared" si="50"/>
        <v/>
      </c>
      <c r="AG123" s="38">
        <f>+'[1]FA Report'!$D$42</f>
        <v>0.14285714285714288</v>
      </c>
      <c r="AH123" s="24" t="str">
        <f t="shared" si="40"/>
        <v/>
      </c>
      <c r="AI123" s="24" t="str">
        <f t="shared" si="41"/>
        <v/>
      </c>
      <c r="AJ123" s="38">
        <f>+'[1]FA Report'!$D$48</f>
        <v>7.1428571428571438E-2</v>
      </c>
      <c r="AK123" s="24" t="str">
        <f t="shared" si="42"/>
        <v/>
      </c>
      <c r="AL123" s="24" t="str">
        <f t="shared" si="43"/>
        <v/>
      </c>
      <c r="AM123" s="38">
        <f>+'[1]FA Report'!$C$55</f>
        <v>0.4</v>
      </c>
      <c r="AN123" s="24" t="str">
        <f t="shared" si="44"/>
        <v/>
      </c>
      <c r="AO123" s="24" t="str">
        <f t="shared" si="45"/>
        <v/>
      </c>
      <c r="AP123" s="38">
        <f>+'[1]FA Report'!$D$58</f>
        <v>0.2142857142857143</v>
      </c>
      <c r="AQ123" s="24" t="str">
        <f t="shared" si="46"/>
        <v/>
      </c>
      <c r="AR123" s="24" t="str">
        <f t="shared" si="47"/>
        <v/>
      </c>
      <c r="AS123" s="38">
        <f>+'[1]FA Report'!$C$52</f>
        <v>0.3</v>
      </c>
      <c r="AT123" s="24" t="str">
        <f t="shared" si="48"/>
        <v/>
      </c>
      <c r="AU123" s="38" t="str">
        <f t="shared" si="49"/>
        <v/>
      </c>
      <c r="AV123" s="24">
        <v>0.38500000000000006</v>
      </c>
      <c r="AW123">
        <f t="shared" si="51"/>
        <v>0</v>
      </c>
    </row>
    <row r="124" spans="1:49" x14ac:dyDescent="0.35">
      <c r="A124" s="23">
        <v>43672</v>
      </c>
      <c r="AE124">
        <f t="shared" si="39"/>
        <v>30</v>
      </c>
      <c r="AF124" s="24" t="str">
        <f t="shared" si="50"/>
        <v/>
      </c>
      <c r="AG124" s="38">
        <f>+'[1]FA Report'!$D$42</f>
        <v>0.14285714285714288</v>
      </c>
      <c r="AH124" s="24" t="str">
        <f t="shared" si="40"/>
        <v/>
      </c>
      <c r="AI124" s="24" t="str">
        <f t="shared" si="41"/>
        <v/>
      </c>
      <c r="AJ124" s="38">
        <f>+'[1]FA Report'!$D$48</f>
        <v>7.1428571428571438E-2</v>
      </c>
      <c r="AK124" s="24" t="str">
        <f t="shared" si="42"/>
        <v/>
      </c>
      <c r="AL124" s="24" t="str">
        <f t="shared" si="43"/>
        <v/>
      </c>
      <c r="AM124" s="38">
        <f>+'[1]FA Report'!$C$55</f>
        <v>0.4</v>
      </c>
      <c r="AN124" s="24" t="str">
        <f t="shared" si="44"/>
        <v/>
      </c>
      <c r="AO124" s="24" t="str">
        <f t="shared" si="45"/>
        <v/>
      </c>
      <c r="AP124" s="38">
        <f>+'[1]FA Report'!$D$58</f>
        <v>0.2142857142857143</v>
      </c>
      <c r="AQ124" s="24" t="str">
        <f t="shared" si="46"/>
        <v/>
      </c>
      <c r="AR124" s="24" t="str">
        <f t="shared" si="47"/>
        <v/>
      </c>
      <c r="AS124" s="38">
        <f>+'[1]FA Report'!$C$52</f>
        <v>0.3</v>
      </c>
      <c r="AT124" s="24" t="str">
        <f t="shared" si="48"/>
        <v/>
      </c>
      <c r="AU124" s="38" t="str">
        <f t="shared" si="49"/>
        <v/>
      </c>
      <c r="AV124" s="24">
        <v>0.38500000000000006</v>
      </c>
      <c r="AW124">
        <f t="shared" si="51"/>
        <v>0</v>
      </c>
    </row>
    <row r="125" spans="1:49" x14ac:dyDescent="0.35">
      <c r="A125" s="23">
        <v>43673</v>
      </c>
      <c r="AE125">
        <f t="shared" si="39"/>
        <v>30</v>
      </c>
      <c r="AF125" s="24" t="str">
        <f t="shared" si="50"/>
        <v/>
      </c>
      <c r="AG125" s="38">
        <f>+'[1]FA Report'!$D$42</f>
        <v>0.14285714285714288</v>
      </c>
      <c r="AH125" s="24" t="str">
        <f t="shared" si="40"/>
        <v/>
      </c>
      <c r="AI125" s="24" t="str">
        <f t="shared" si="41"/>
        <v/>
      </c>
      <c r="AJ125" s="38">
        <f>+'[1]FA Report'!$D$48</f>
        <v>7.1428571428571438E-2</v>
      </c>
      <c r="AK125" s="24" t="str">
        <f t="shared" si="42"/>
        <v/>
      </c>
      <c r="AL125" s="24" t="str">
        <f t="shared" si="43"/>
        <v/>
      </c>
      <c r="AM125" s="38">
        <f>+'[1]FA Report'!$C$55</f>
        <v>0.4</v>
      </c>
      <c r="AN125" s="24" t="str">
        <f t="shared" si="44"/>
        <v/>
      </c>
      <c r="AO125" s="24" t="str">
        <f t="shared" si="45"/>
        <v/>
      </c>
      <c r="AP125" s="38">
        <f>+'[1]FA Report'!$D$58</f>
        <v>0.2142857142857143</v>
      </c>
      <c r="AQ125" s="24" t="str">
        <f t="shared" si="46"/>
        <v/>
      </c>
      <c r="AR125" s="24" t="str">
        <f t="shared" si="47"/>
        <v/>
      </c>
      <c r="AS125" s="38">
        <f>+'[1]FA Report'!$C$52</f>
        <v>0.3</v>
      </c>
      <c r="AT125" s="24" t="str">
        <f t="shared" si="48"/>
        <v/>
      </c>
      <c r="AU125" s="38" t="str">
        <f t="shared" si="49"/>
        <v/>
      </c>
      <c r="AV125" s="24">
        <v>0.38500000000000006</v>
      </c>
      <c r="AW125">
        <f t="shared" si="51"/>
        <v>0</v>
      </c>
    </row>
    <row r="126" spans="1:49" x14ac:dyDescent="0.35">
      <c r="A126" s="23">
        <v>43674</v>
      </c>
      <c r="AE126">
        <f t="shared" si="39"/>
        <v>31</v>
      </c>
      <c r="AF126" s="24" t="str">
        <f t="shared" si="50"/>
        <v/>
      </c>
      <c r="AG126" s="38">
        <f>+'[1]FA Report'!$D$42</f>
        <v>0.14285714285714288</v>
      </c>
      <c r="AH126" s="24" t="str">
        <f t="shared" si="40"/>
        <v/>
      </c>
      <c r="AI126" s="24" t="str">
        <f t="shared" si="41"/>
        <v/>
      </c>
      <c r="AJ126" s="38">
        <f>+'[1]FA Report'!$D$48</f>
        <v>7.1428571428571438E-2</v>
      </c>
      <c r="AK126" s="24" t="str">
        <f t="shared" si="42"/>
        <v/>
      </c>
      <c r="AL126" s="24" t="str">
        <f t="shared" si="43"/>
        <v/>
      </c>
      <c r="AM126" s="38">
        <f>+'[1]FA Report'!$C$55</f>
        <v>0.4</v>
      </c>
      <c r="AN126" s="24" t="str">
        <f t="shared" si="44"/>
        <v/>
      </c>
      <c r="AO126" s="24" t="str">
        <f t="shared" si="45"/>
        <v/>
      </c>
      <c r="AP126" s="38">
        <f>+'[1]FA Report'!$D$58</f>
        <v>0.2142857142857143</v>
      </c>
      <c r="AQ126" s="24" t="str">
        <f t="shared" si="46"/>
        <v/>
      </c>
      <c r="AR126" s="24" t="str">
        <f t="shared" si="47"/>
        <v/>
      </c>
      <c r="AS126" s="38">
        <f>+'[1]FA Report'!$C$52</f>
        <v>0.3</v>
      </c>
      <c r="AT126" s="24" t="str">
        <f t="shared" si="48"/>
        <v/>
      </c>
      <c r="AU126" s="38" t="str">
        <f t="shared" si="49"/>
        <v/>
      </c>
      <c r="AV126" s="24">
        <v>0.40750000000000008</v>
      </c>
      <c r="AW126">
        <f t="shared" si="51"/>
        <v>1</v>
      </c>
    </row>
    <row r="127" spans="1:49" x14ac:dyDescent="0.35">
      <c r="A127" s="23">
        <v>43675</v>
      </c>
      <c r="AE127">
        <f t="shared" si="39"/>
        <v>31</v>
      </c>
      <c r="AF127" s="24" t="str">
        <f t="shared" si="50"/>
        <v/>
      </c>
      <c r="AG127" s="38">
        <f>+'[1]FA Report'!$D$42</f>
        <v>0.14285714285714288</v>
      </c>
      <c r="AH127" s="24" t="str">
        <f t="shared" si="40"/>
        <v/>
      </c>
      <c r="AI127" s="24" t="str">
        <f t="shared" si="41"/>
        <v/>
      </c>
      <c r="AJ127" s="38">
        <f>+'[1]FA Report'!$D$48</f>
        <v>7.1428571428571438E-2</v>
      </c>
      <c r="AK127" s="24" t="str">
        <f t="shared" si="42"/>
        <v/>
      </c>
      <c r="AL127" s="24" t="str">
        <f t="shared" si="43"/>
        <v/>
      </c>
      <c r="AM127" s="38">
        <f>+'[1]FA Report'!$C$55</f>
        <v>0.4</v>
      </c>
      <c r="AN127" s="24" t="str">
        <f t="shared" si="44"/>
        <v/>
      </c>
      <c r="AO127" s="24" t="str">
        <f t="shared" si="45"/>
        <v/>
      </c>
      <c r="AP127" s="38">
        <f>+'[1]FA Report'!$D$58</f>
        <v>0.2142857142857143</v>
      </c>
      <c r="AQ127" s="24" t="str">
        <f t="shared" si="46"/>
        <v/>
      </c>
      <c r="AR127" s="24" t="str">
        <f t="shared" si="47"/>
        <v/>
      </c>
      <c r="AS127" s="38">
        <f>+'[1]FA Report'!$C$52</f>
        <v>0.3</v>
      </c>
      <c r="AT127" s="24" t="str">
        <f t="shared" si="48"/>
        <v/>
      </c>
      <c r="AU127" s="38" t="str">
        <f t="shared" si="49"/>
        <v/>
      </c>
      <c r="AV127" s="24">
        <v>0.40750000000000008</v>
      </c>
      <c r="AW127">
        <f t="shared" si="51"/>
        <v>0</v>
      </c>
    </row>
    <row r="128" spans="1:49" x14ac:dyDescent="0.35">
      <c r="A128" s="23">
        <v>43676</v>
      </c>
      <c r="AE128">
        <f t="shared" si="39"/>
        <v>31</v>
      </c>
      <c r="AF128" s="24" t="str">
        <f t="shared" si="50"/>
        <v/>
      </c>
      <c r="AG128" s="38">
        <f>+'[1]FA Report'!$D$42</f>
        <v>0.14285714285714288</v>
      </c>
      <c r="AH128" s="24" t="str">
        <f t="shared" si="40"/>
        <v/>
      </c>
      <c r="AI128" s="24" t="str">
        <f t="shared" si="41"/>
        <v/>
      </c>
      <c r="AJ128" s="38">
        <f>+'[1]FA Report'!$D$48</f>
        <v>7.1428571428571438E-2</v>
      </c>
      <c r="AK128" s="24" t="str">
        <f t="shared" si="42"/>
        <v/>
      </c>
      <c r="AL128" s="24" t="str">
        <f t="shared" si="43"/>
        <v/>
      </c>
      <c r="AM128" s="38">
        <f>+'[1]FA Report'!$C$55</f>
        <v>0.4</v>
      </c>
      <c r="AN128" s="24" t="str">
        <f t="shared" si="44"/>
        <v/>
      </c>
      <c r="AO128" s="24" t="str">
        <f t="shared" si="45"/>
        <v/>
      </c>
      <c r="AP128" s="38">
        <f>+'[1]FA Report'!$D$58</f>
        <v>0.2142857142857143</v>
      </c>
      <c r="AQ128" s="24" t="str">
        <f t="shared" si="46"/>
        <v/>
      </c>
      <c r="AR128" s="24" t="str">
        <f t="shared" si="47"/>
        <v/>
      </c>
      <c r="AS128" s="38">
        <f>+'[1]FA Report'!$C$52</f>
        <v>0.3</v>
      </c>
      <c r="AT128" s="24" t="str">
        <f t="shared" si="48"/>
        <v/>
      </c>
      <c r="AU128" s="38" t="str">
        <f t="shared" si="49"/>
        <v/>
      </c>
      <c r="AV128" s="24">
        <v>0.40750000000000008</v>
      </c>
      <c r="AW128">
        <f t="shared" si="51"/>
        <v>0</v>
      </c>
    </row>
    <row r="129" spans="1:49" x14ac:dyDescent="0.35">
      <c r="A129" s="23">
        <v>43677</v>
      </c>
      <c r="AE129">
        <f t="shared" si="39"/>
        <v>31</v>
      </c>
      <c r="AF129" s="24" t="str">
        <f t="shared" si="50"/>
        <v/>
      </c>
      <c r="AG129" s="38">
        <f>+'[1]FA Report'!$D$42</f>
        <v>0.14285714285714288</v>
      </c>
      <c r="AH129" s="24" t="str">
        <f t="shared" si="40"/>
        <v/>
      </c>
      <c r="AI129" s="24" t="str">
        <f t="shared" si="41"/>
        <v/>
      </c>
      <c r="AJ129" s="38">
        <f>+'[1]FA Report'!$D$48</f>
        <v>7.1428571428571438E-2</v>
      </c>
      <c r="AK129" s="24" t="str">
        <f t="shared" si="42"/>
        <v/>
      </c>
      <c r="AL129" s="24" t="str">
        <f t="shared" si="43"/>
        <v/>
      </c>
      <c r="AM129" s="38">
        <f>+'[1]FA Report'!$C$55</f>
        <v>0.4</v>
      </c>
      <c r="AN129" s="24" t="str">
        <f t="shared" si="44"/>
        <v/>
      </c>
      <c r="AO129" s="24" t="str">
        <f t="shared" si="45"/>
        <v/>
      </c>
      <c r="AP129" s="38">
        <f>+'[1]FA Report'!$D$58</f>
        <v>0.2142857142857143</v>
      </c>
      <c r="AQ129" s="24" t="str">
        <f t="shared" si="46"/>
        <v/>
      </c>
      <c r="AR129" s="24" t="str">
        <f t="shared" si="47"/>
        <v/>
      </c>
      <c r="AS129" s="38">
        <f>+'[1]FA Report'!$C$52</f>
        <v>0.3</v>
      </c>
      <c r="AT129" s="24" t="str">
        <f t="shared" si="48"/>
        <v/>
      </c>
      <c r="AU129" s="38" t="str">
        <f t="shared" si="49"/>
        <v/>
      </c>
      <c r="AV129" s="24">
        <v>0.40750000000000008</v>
      </c>
      <c r="AW129">
        <f t="shared" si="51"/>
        <v>0</v>
      </c>
    </row>
    <row r="130" spans="1:49" x14ac:dyDescent="0.35">
      <c r="A130" s="23">
        <v>43678</v>
      </c>
      <c r="AE130">
        <f t="shared" ref="AE130:AE161" si="52">WEEKNUM(A130)</f>
        <v>31</v>
      </c>
      <c r="AF130" s="24" t="str">
        <f t="shared" si="50"/>
        <v/>
      </c>
      <c r="AG130" s="38">
        <f>+'[1]FA Report'!$D$42</f>
        <v>0.14285714285714288</v>
      </c>
      <c r="AH130" s="24" t="str">
        <f t="shared" ref="AH130:AH161" si="53">IFERROR(+AF130*AG130,"")</f>
        <v/>
      </c>
      <c r="AI130" s="24" t="str">
        <f t="shared" ref="AI130:AI161" si="54">IFERROR(T130/$R130,"")</f>
        <v/>
      </c>
      <c r="AJ130" s="38">
        <f>+'[1]FA Report'!$D$48</f>
        <v>7.1428571428571438E-2</v>
      </c>
      <c r="AK130" s="24" t="str">
        <f t="shared" ref="AK130:AK161" si="55">IFERROR(+AI130*AJ130,"")</f>
        <v/>
      </c>
      <c r="AL130" s="24" t="str">
        <f t="shared" ref="AL130:AL161" si="56">IFERROR(+Z130/R130,"")</f>
        <v/>
      </c>
      <c r="AM130" s="38">
        <f>+'[1]FA Report'!$C$55</f>
        <v>0.4</v>
      </c>
      <c r="AN130" s="24" t="str">
        <f t="shared" ref="AN130:AN161" si="57">IFERROR(+AL130*AM130,"")</f>
        <v/>
      </c>
      <c r="AO130" s="24" t="str">
        <f t="shared" ref="AO130:AO161" si="58">IFERROR(V130/$R130,"")</f>
        <v/>
      </c>
      <c r="AP130" s="38">
        <f>+'[1]FA Report'!$D$58</f>
        <v>0.2142857142857143</v>
      </c>
      <c r="AQ130" s="24" t="str">
        <f t="shared" ref="AQ130:AQ161" si="59">IFERROR(+AO130*AP130,"")</f>
        <v/>
      </c>
      <c r="AR130" s="24" t="str">
        <f t="shared" ref="AR130:AR161" si="60">IFERROR(O130/$B130,"")</f>
        <v/>
      </c>
      <c r="AS130" s="38">
        <f>+'[1]FA Report'!$C$52</f>
        <v>0.3</v>
      </c>
      <c r="AT130" s="24" t="str">
        <f t="shared" ref="AT130:AT161" si="61">IFERROR(-AR130*AS130,"")</f>
        <v/>
      </c>
      <c r="AU130" s="38" t="str">
        <f t="shared" ref="AU130:AU161" si="62">IFERROR(+AH130+AK130+AN130+AQ130+AT130,"")</f>
        <v/>
      </c>
      <c r="AV130" s="24">
        <v>0.40750000000000008</v>
      </c>
      <c r="AW130">
        <f t="shared" si="51"/>
        <v>0</v>
      </c>
    </row>
    <row r="131" spans="1:49" x14ac:dyDescent="0.35">
      <c r="A131" s="23">
        <v>43679</v>
      </c>
      <c r="AE131">
        <f t="shared" si="52"/>
        <v>31</v>
      </c>
      <c r="AF131" s="24" t="str">
        <f t="shared" ref="AF131:AF162" si="63">IFERROR(Q131/R131,"")</f>
        <v/>
      </c>
      <c r="AG131" s="38">
        <f>+'[1]FA Report'!$D$42</f>
        <v>0.14285714285714288</v>
      </c>
      <c r="AH131" s="24" t="str">
        <f t="shared" si="53"/>
        <v/>
      </c>
      <c r="AI131" s="24" t="str">
        <f t="shared" si="54"/>
        <v/>
      </c>
      <c r="AJ131" s="38">
        <f>+'[1]FA Report'!$D$48</f>
        <v>7.1428571428571438E-2</v>
      </c>
      <c r="AK131" s="24" t="str">
        <f t="shared" si="55"/>
        <v/>
      </c>
      <c r="AL131" s="24" t="str">
        <f t="shared" si="56"/>
        <v/>
      </c>
      <c r="AM131" s="38">
        <f>+'[1]FA Report'!$C$55</f>
        <v>0.4</v>
      </c>
      <c r="AN131" s="24" t="str">
        <f t="shared" si="57"/>
        <v/>
      </c>
      <c r="AO131" s="24" t="str">
        <f t="shared" si="58"/>
        <v/>
      </c>
      <c r="AP131" s="38">
        <f>+'[1]FA Report'!$D$58</f>
        <v>0.2142857142857143</v>
      </c>
      <c r="AQ131" s="24" t="str">
        <f t="shared" si="59"/>
        <v/>
      </c>
      <c r="AR131" s="24" t="str">
        <f t="shared" si="60"/>
        <v/>
      </c>
      <c r="AS131" s="38">
        <f>+'[1]FA Report'!$C$52</f>
        <v>0.3</v>
      </c>
      <c r="AT131" s="24" t="str">
        <f t="shared" si="61"/>
        <v/>
      </c>
      <c r="AU131" s="38" t="str">
        <f t="shared" si="62"/>
        <v/>
      </c>
      <c r="AV131" s="24">
        <v>0.40750000000000008</v>
      </c>
      <c r="AW131">
        <f t="shared" si="51"/>
        <v>0</v>
      </c>
    </row>
    <row r="132" spans="1:49" x14ac:dyDescent="0.35">
      <c r="A132" s="23">
        <v>43680</v>
      </c>
      <c r="AE132">
        <f t="shared" si="52"/>
        <v>31</v>
      </c>
      <c r="AF132" s="24" t="str">
        <f t="shared" si="63"/>
        <v/>
      </c>
      <c r="AG132" s="38">
        <f>+'[1]FA Report'!$D$42</f>
        <v>0.14285714285714288</v>
      </c>
      <c r="AH132" s="24" t="str">
        <f t="shared" si="53"/>
        <v/>
      </c>
      <c r="AI132" s="24" t="str">
        <f t="shared" si="54"/>
        <v/>
      </c>
      <c r="AJ132" s="38">
        <f>+'[1]FA Report'!$D$48</f>
        <v>7.1428571428571438E-2</v>
      </c>
      <c r="AK132" s="24" t="str">
        <f t="shared" si="55"/>
        <v/>
      </c>
      <c r="AL132" s="24" t="str">
        <f t="shared" si="56"/>
        <v/>
      </c>
      <c r="AM132" s="38">
        <f>+'[1]FA Report'!$C$55</f>
        <v>0.4</v>
      </c>
      <c r="AN132" s="24" t="str">
        <f t="shared" si="57"/>
        <v/>
      </c>
      <c r="AO132" s="24" t="str">
        <f t="shared" si="58"/>
        <v/>
      </c>
      <c r="AP132" s="38">
        <f>+'[1]FA Report'!$D$58</f>
        <v>0.2142857142857143</v>
      </c>
      <c r="AQ132" s="24" t="str">
        <f t="shared" si="59"/>
        <v/>
      </c>
      <c r="AR132" s="24" t="str">
        <f t="shared" si="60"/>
        <v/>
      </c>
      <c r="AS132" s="38">
        <f>+'[1]FA Report'!$C$52</f>
        <v>0.3</v>
      </c>
      <c r="AT132" s="24" t="str">
        <f t="shared" si="61"/>
        <v/>
      </c>
      <c r="AU132" s="38" t="str">
        <f t="shared" si="62"/>
        <v/>
      </c>
      <c r="AV132" s="24">
        <v>0.40750000000000008</v>
      </c>
      <c r="AW132">
        <f t="shared" si="51"/>
        <v>0</v>
      </c>
    </row>
    <row r="133" spans="1:49" x14ac:dyDescent="0.35">
      <c r="A133" s="23">
        <v>43681</v>
      </c>
      <c r="AE133">
        <f t="shared" si="52"/>
        <v>32</v>
      </c>
      <c r="AF133" s="24" t="str">
        <f t="shared" si="63"/>
        <v/>
      </c>
      <c r="AG133" s="38">
        <f>+'[1]FA Report'!$D$42</f>
        <v>0.14285714285714288</v>
      </c>
      <c r="AH133" s="24" t="str">
        <f t="shared" si="53"/>
        <v/>
      </c>
      <c r="AI133" s="24" t="str">
        <f t="shared" si="54"/>
        <v/>
      </c>
      <c r="AJ133" s="38">
        <f>+'[1]FA Report'!$D$48</f>
        <v>7.1428571428571438E-2</v>
      </c>
      <c r="AK133" s="24" t="str">
        <f t="shared" si="55"/>
        <v/>
      </c>
      <c r="AL133" s="24" t="str">
        <f t="shared" si="56"/>
        <v/>
      </c>
      <c r="AM133" s="38">
        <f>+'[1]FA Report'!$C$55</f>
        <v>0.4</v>
      </c>
      <c r="AN133" s="24" t="str">
        <f t="shared" si="57"/>
        <v/>
      </c>
      <c r="AO133" s="24" t="str">
        <f t="shared" si="58"/>
        <v/>
      </c>
      <c r="AP133" s="38">
        <f>+'[1]FA Report'!$D$58</f>
        <v>0.2142857142857143</v>
      </c>
      <c r="AQ133" s="24" t="str">
        <f t="shared" si="59"/>
        <v/>
      </c>
      <c r="AR133" s="24" t="str">
        <f t="shared" si="60"/>
        <v/>
      </c>
      <c r="AS133" s="38">
        <f>+'[1]FA Report'!$C$52</f>
        <v>0.3</v>
      </c>
      <c r="AT133" s="24" t="str">
        <f t="shared" si="61"/>
        <v/>
      </c>
      <c r="AU133" s="38" t="str">
        <f t="shared" si="62"/>
        <v/>
      </c>
      <c r="AV133" s="24">
        <v>0.46</v>
      </c>
      <c r="AW133">
        <f t="shared" si="51"/>
        <v>1</v>
      </c>
    </row>
    <row r="134" spans="1:49" x14ac:dyDescent="0.35">
      <c r="A134" s="23">
        <v>43682</v>
      </c>
      <c r="AE134">
        <f t="shared" si="52"/>
        <v>32</v>
      </c>
      <c r="AF134" s="24" t="str">
        <f t="shared" si="63"/>
        <v/>
      </c>
      <c r="AG134" s="38">
        <f>+'[1]FA Report'!$D$42</f>
        <v>0.14285714285714288</v>
      </c>
      <c r="AH134" s="24" t="str">
        <f t="shared" si="53"/>
        <v/>
      </c>
      <c r="AI134" s="24" t="str">
        <f t="shared" si="54"/>
        <v/>
      </c>
      <c r="AJ134" s="38">
        <f>+'[1]FA Report'!$D$48</f>
        <v>7.1428571428571438E-2</v>
      </c>
      <c r="AK134" s="24" t="str">
        <f t="shared" si="55"/>
        <v/>
      </c>
      <c r="AL134" s="24" t="str">
        <f t="shared" si="56"/>
        <v/>
      </c>
      <c r="AM134" s="38">
        <f>+'[1]FA Report'!$C$55</f>
        <v>0.4</v>
      </c>
      <c r="AN134" s="24" t="str">
        <f t="shared" si="57"/>
        <v/>
      </c>
      <c r="AO134" s="24" t="str">
        <f t="shared" si="58"/>
        <v/>
      </c>
      <c r="AP134" s="38">
        <f>+'[1]FA Report'!$D$58</f>
        <v>0.2142857142857143</v>
      </c>
      <c r="AQ134" s="24" t="str">
        <f t="shared" si="59"/>
        <v/>
      </c>
      <c r="AR134" s="24" t="str">
        <f t="shared" si="60"/>
        <v/>
      </c>
      <c r="AS134" s="38">
        <f>+'[1]FA Report'!$C$52</f>
        <v>0.3</v>
      </c>
      <c r="AT134" s="24" t="str">
        <f t="shared" si="61"/>
        <v/>
      </c>
      <c r="AU134" s="38" t="str">
        <f t="shared" si="62"/>
        <v/>
      </c>
      <c r="AV134" s="24">
        <v>0.46</v>
      </c>
      <c r="AW134">
        <f t="shared" si="51"/>
        <v>0</v>
      </c>
    </row>
    <row r="135" spans="1:49" x14ac:dyDescent="0.35">
      <c r="A135" s="23">
        <v>43683</v>
      </c>
      <c r="AE135">
        <f t="shared" si="52"/>
        <v>32</v>
      </c>
      <c r="AF135" s="24" t="str">
        <f t="shared" si="63"/>
        <v/>
      </c>
      <c r="AG135" s="38">
        <f>+'[1]FA Report'!$D$42</f>
        <v>0.14285714285714288</v>
      </c>
      <c r="AH135" s="24" t="str">
        <f t="shared" si="53"/>
        <v/>
      </c>
      <c r="AI135" s="24" t="str">
        <f t="shared" si="54"/>
        <v/>
      </c>
      <c r="AJ135" s="38">
        <f>+'[1]FA Report'!$D$48</f>
        <v>7.1428571428571438E-2</v>
      </c>
      <c r="AK135" s="24" t="str">
        <f t="shared" si="55"/>
        <v/>
      </c>
      <c r="AL135" s="24" t="str">
        <f t="shared" si="56"/>
        <v/>
      </c>
      <c r="AM135" s="38">
        <f>+'[1]FA Report'!$C$55</f>
        <v>0.4</v>
      </c>
      <c r="AN135" s="24" t="str">
        <f t="shared" si="57"/>
        <v/>
      </c>
      <c r="AO135" s="24" t="str">
        <f t="shared" si="58"/>
        <v/>
      </c>
      <c r="AP135" s="38">
        <f>+'[1]FA Report'!$D$58</f>
        <v>0.2142857142857143</v>
      </c>
      <c r="AQ135" s="24" t="str">
        <f t="shared" si="59"/>
        <v/>
      </c>
      <c r="AR135" s="24" t="str">
        <f t="shared" si="60"/>
        <v/>
      </c>
      <c r="AS135" s="38">
        <f>+'[1]FA Report'!$C$52</f>
        <v>0.3</v>
      </c>
      <c r="AT135" s="24" t="str">
        <f t="shared" si="61"/>
        <v/>
      </c>
      <c r="AU135" s="38" t="str">
        <f t="shared" si="62"/>
        <v/>
      </c>
      <c r="AV135" s="24">
        <v>0.46</v>
      </c>
      <c r="AW135">
        <f t="shared" ref="AW135:AW166" si="64">+AE135-AE134</f>
        <v>0</v>
      </c>
    </row>
    <row r="136" spans="1:49" x14ac:dyDescent="0.35">
      <c r="A136" s="23">
        <v>43684</v>
      </c>
      <c r="AE136">
        <f t="shared" si="52"/>
        <v>32</v>
      </c>
      <c r="AF136" s="24" t="str">
        <f t="shared" si="63"/>
        <v/>
      </c>
      <c r="AG136" s="38">
        <f>+'[1]FA Report'!$D$42</f>
        <v>0.14285714285714288</v>
      </c>
      <c r="AH136" s="24" t="str">
        <f t="shared" si="53"/>
        <v/>
      </c>
      <c r="AI136" s="24" t="str">
        <f t="shared" si="54"/>
        <v/>
      </c>
      <c r="AJ136" s="38">
        <f>+'[1]FA Report'!$D$48</f>
        <v>7.1428571428571438E-2</v>
      </c>
      <c r="AK136" s="24" t="str">
        <f t="shared" si="55"/>
        <v/>
      </c>
      <c r="AL136" s="24" t="str">
        <f t="shared" si="56"/>
        <v/>
      </c>
      <c r="AM136" s="38">
        <f>+'[1]FA Report'!$C$55</f>
        <v>0.4</v>
      </c>
      <c r="AN136" s="24" t="str">
        <f t="shared" si="57"/>
        <v/>
      </c>
      <c r="AO136" s="24" t="str">
        <f t="shared" si="58"/>
        <v/>
      </c>
      <c r="AP136" s="38">
        <f>+'[1]FA Report'!$D$58</f>
        <v>0.2142857142857143</v>
      </c>
      <c r="AQ136" s="24" t="str">
        <f t="shared" si="59"/>
        <v/>
      </c>
      <c r="AR136" s="24" t="str">
        <f t="shared" si="60"/>
        <v/>
      </c>
      <c r="AS136" s="38">
        <f>+'[1]FA Report'!$C$52</f>
        <v>0.3</v>
      </c>
      <c r="AT136" s="24" t="str">
        <f t="shared" si="61"/>
        <v/>
      </c>
      <c r="AU136" s="38" t="str">
        <f t="shared" si="62"/>
        <v/>
      </c>
      <c r="AV136" s="24">
        <v>0.46</v>
      </c>
      <c r="AW136">
        <f t="shared" si="64"/>
        <v>0</v>
      </c>
    </row>
    <row r="137" spans="1:49" x14ac:dyDescent="0.35">
      <c r="A137" s="23">
        <v>43685</v>
      </c>
      <c r="AE137">
        <f t="shared" si="52"/>
        <v>32</v>
      </c>
      <c r="AF137" s="24" t="str">
        <f t="shared" si="63"/>
        <v/>
      </c>
      <c r="AG137" s="38">
        <f>+'[1]FA Report'!$D$42</f>
        <v>0.14285714285714288</v>
      </c>
      <c r="AH137" s="24" t="str">
        <f t="shared" si="53"/>
        <v/>
      </c>
      <c r="AI137" s="24" t="str">
        <f t="shared" si="54"/>
        <v/>
      </c>
      <c r="AJ137" s="38">
        <f>+'[1]FA Report'!$D$48</f>
        <v>7.1428571428571438E-2</v>
      </c>
      <c r="AK137" s="24" t="str">
        <f t="shared" si="55"/>
        <v/>
      </c>
      <c r="AL137" s="24" t="str">
        <f t="shared" si="56"/>
        <v/>
      </c>
      <c r="AM137" s="38">
        <f>+'[1]FA Report'!$C$55</f>
        <v>0.4</v>
      </c>
      <c r="AN137" s="24" t="str">
        <f t="shared" si="57"/>
        <v/>
      </c>
      <c r="AO137" s="24" t="str">
        <f t="shared" si="58"/>
        <v/>
      </c>
      <c r="AP137" s="38">
        <f>+'[1]FA Report'!$D$58</f>
        <v>0.2142857142857143</v>
      </c>
      <c r="AQ137" s="24" t="str">
        <f t="shared" si="59"/>
        <v/>
      </c>
      <c r="AR137" s="24" t="str">
        <f t="shared" si="60"/>
        <v/>
      </c>
      <c r="AS137" s="38">
        <f>+'[1]FA Report'!$C$52</f>
        <v>0.3</v>
      </c>
      <c r="AT137" s="24" t="str">
        <f t="shared" si="61"/>
        <v/>
      </c>
      <c r="AU137" s="38" t="str">
        <f t="shared" si="62"/>
        <v/>
      </c>
      <c r="AV137" s="24">
        <v>0.46</v>
      </c>
      <c r="AW137">
        <f t="shared" si="64"/>
        <v>0</v>
      </c>
    </row>
    <row r="138" spans="1:49" x14ac:dyDescent="0.35">
      <c r="A138" s="23">
        <v>43686</v>
      </c>
      <c r="AE138">
        <f t="shared" si="52"/>
        <v>32</v>
      </c>
      <c r="AF138" s="24" t="str">
        <f t="shared" si="63"/>
        <v/>
      </c>
      <c r="AG138" s="38">
        <f>+'[1]FA Report'!$D$42</f>
        <v>0.14285714285714288</v>
      </c>
      <c r="AH138" s="24" t="str">
        <f t="shared" si="53"/>
        <v/>
      </c>
      <c r="AI138" s="24" t="str">
        <f t="shared" si="54"/>
        <v/>
      </c>
      <c r="AJ138" s="38">
        <f>+'[1]FA Report'!$D$48</f>
        <v>7.1428571428571438E-2</v>
      </c>
      <c r="AK138" s="24" t="str">
        <f t="shared" si="55"/>
        <v/>
      </c>
      <c r="AL138" s="24" t="str">
        <f t="shared" si="56"/>
        <v/>
      </c>
      <c r="AM138" s="38">
        <f>+'[1]FA Report'!$C$55</f>
        <v>0.4</v>
      </c>
      <c r="AN138" s="24" t="str">
        <f t="shared" si="57"/>
        <v/>
      </c>
      <c r="AO138" s="24" t="str">
        <f t="shared" si="58"/>
        <v/>
      </c>
      <c r="AP138" s="38">
        <f>+'[1]FA Report'!$D$58</f>
        <v>0.2142857142857143</v>
      </c>
      <c r="AQ138" s="24" t="str">
        <f t="shared" si="59"/>
        <v/>
      </c>
      <c r="AR138" s="24" t="str">
        <f t="shared" si="60"/>
        <v/>
      </c>
      <c r="AS138" s="38">
        <f>+'[1]FA Report'!$C$52</f>
        <v>0.3</v>
      </c>
      <c r="AT138" s="24" t="str">
        <f t="shared" si="61"/>
        <v/>
      </c>
      <c r="AU138" s="38" t="str">
        <f t="shared" si="62"/>
        <v/>
      </c>
      <c r="AV138" s="24">
        <v>0.46</v>
      </c>
      <c r="AW138">
        <f t="shared" si="64"/>
        <v>0</v>
      </c>
    </row>
    <row r="139" spans="1:49" x14ac:dyDescent="0.35">
      <c r="A139" s="23">
        <v>43687</v>
      </c>
      <c r="AE139">
        <f t="shared" si="52"/>
        <v>32</v>
      </c>
      <c r="AF139" s="24" t="str">
        <f t="shared" si="63"/>
        <v/>
      </c>
      <c r="AG139" s="38">
        <f>+'[1]FA Report'!$D$42</f>
        <v>0.14285714285714288</v>
      </c>
      <c r="AH139" s="24" t="str">
        <f t="shared" si="53"/>
        <v/>
      </c>
      <c r="AI139" s="24" t="str">
        <f t="shared" si="54"/>
        <v/>
      </c>
      <c r="AJ139" s="38">
        <f>+'[1]FA Report'!$D$48</f>
        <v>7.1428571428571438E-2</v>
      </c>
      <c r="AK139" s="24" t="str">
        <f t="shared" si="55"/>
        <v/>
      </c>
      <c r="AL139" s="24" t="str">
        <f t="shared" si="56"/>
        <v/>
      </c>
      <c r="AM139" s="38">
        <f>+'[1]FA Report'!$C$55</f>
        <v>0.4</v>
      </c>
      <c r="AN139" s="24" t="str">
        <f t="shared" si="57"/>
        <v/>
      </c>
      <c r="AO139" s="24" t="str">
        <f t="shared" si="58"/>
        <v/>
      </c>
      <c r="AP139" s="38">
        <f>+'[1]FA Report'!$D$58</f>
        <v>0.2142857142857143</v>
      </c>
      <c r="AQ139" s="24" t="str">
        <f t="shared" si="59"/>
        <v/>
      </c>
      <c r="AR139" s="24" t="str">
        <f t="shared" si="60"/>
        <v/>
      </c>
      <c r="AS139" s="38">
        <f>+'[1]FA Report'!$C$52</f>
        <v>0.3</v>
      </c>
      <c r="AT139" s="24" t="str">
        <f t="shared" si="61"/>
        <v/>
      </c>
      <c r="AU139" s="38" t="str">
        <f t="shared" si="62"/>
        <v/>
      </c>
      <c r="AV139" s="24">
        <v>0.46</v>
      </c>
      <c r="AW139">
        <f t="shared" si="64"/>
        <v>0</v>
      </c>
    </row>
    <row r="140" spans="1:49" x14ac:dyDescent="0.35">
      <c r="A140" s="23">
        <v>43688</v>
      </c>
      <c r="AE140">
        <f t="shared" si="52"/>
        <v>33</v>
      </c>
      <c r="AF140" s="24" t="str">
        <f t="shared" si="63"/>
        <v/>
      </c>
      <c r="AG140" s="38">
        <f>+'[1]FA Report'!$D$42</f>
        <v>0.14285714285714288</v>
      </c>
      <c r="AH140" s="24" t="str">
        <f t="shared" si="53"/>
        <v/>
      </c>
      <c r="AI140" s="24" t="str">
        <f t="shared" si="54"/>
        <v/>
      </c>
      <c r="AJ140" s="38">
        <f>+'[1]FA Report'!$D$48</f>
        <v>7.1428571428571438E-2</v>
      </c>
      <c r="AK140" s="24" t="str">
        <f t="shared" si="55"/>
        <v/>
      </c>
      <c r="AL140" s="24" t="str">
        <f t="shared" si="56"/>
        <v/>
      </c>
      <c r="AM140" s="38">
        <f>+'[1]FA Report'!$C$55</f>
        <v>0.4</v>
      </c>
      <c r="AN140" s="24" t="str">
        <f t="shared" si="57"/>
        <v/>
      </c>
      <c r="AO140" s="24" t="str">
        <f t="shared" si="58"/>
        <v/>
      </c>
      <c r="AP140" s="38">
        <f>+'[1]FA Report'!$D$58</f>
        <v>0.2142857142857143</v>
      </c>
      <c r="AQ140" s="24" t="str">
        <f t="shared" si="59"/>
        <v/>
      </c>
      <c r="AR140" s="24" t="str">
        <f t="shared" si="60"/>
        <v/>
      </c>
      <c r="AS140" s="38">
        <f>+'[1]FA Report'!$C$52</f>
        <v>0.3</v>
      </c>
      <c r="AT140" s="24" t="str">
        <f t="shared" si="61"/>
        <v/>
      </c>
      <c r="AU140" s="38" t="str">
        <f t="shared" si="62"/>
        <v/>
      </c>
      <c r="AV140" s="24">
        <v>0.52750000000000008</v>
      </c>
      <c r="AW140">
        <f t="shared" si="64"/>
        <v>1</v>
      </c>
    </row>
    <row r="141" spans="1:49" x14ac:dyDescent="0.35">
      <c r="A141" s="23">
        <v>43689</v>
      </c>
      <c r="AE141">
        <f t="shared" si="52"/>
        <v>33</v>
      </c>
      <c r="AF141" s="24" t="str">
        <f t="shared" si="63"/>
        <v/>
      </c>
      <c r="AG141" s="38">
        <f>+'[1]FA Report'!$D$42</f>
        <v>0.14285714285714288</v>
      </c>
      <c r="AH141" s="24" t="str">
        <f t="shared" si="53"/>
        <v/>
      </c>
      <c r="AI141" s="24" t="str">
        <f t="shared" si="54"/>
        <v/>
      </c>
      <c r="AJ141" s="38">
        <f>+'[1]FA Report'!$D$48</f>
        <v>7.1428571428571438E-2</v>
      </c>
      <c r="AK141" s="24" t="str">
        <f t="shared" si="55"/>
        <v/>
      </c>
      <c r="AL141" s="24" t="str">
        <f t="shared" si="56"/>
        <v/>
      </c>
      <c r="AM141" s="38">
        <f>+'[1]FA Report'!$C$55</f>
        <v>0.4</v>
      </c>
      <c r="AN141" s="24" t="str">
        <f t="shared" si="57"/>
        <v/>
      </c>
      <c r="AO141" s="24" t="str">
        <f t="shared" si="58"/>
        <v/>
      </c>
      <c r="AP141" s="38">
        <f>+'[1]FA Report'!$D$58</f>
        <v>0.2142857142857143</v>
      </c>
      <c r="AQ141" s="24" t="str">
        <f t="shared" si="59"/>
        <v/>
      </c>
      <c r="AR141" s="24" t="str">
        <f t="shared" si="60"/>
        <v/>
      </c>
      <c r="AS141" s="38">
        <f>+'[1]FA Report'!$C$52</f>
        <v>0.3</v>
      </c>
      <c r="AT141" s="24" t="str">
        <f t="shared" si="61"/>
        <v/>
      </c>
      <c r="AU141" s="38" t="str">
        <f t="shared" si="62"/>
        <v/>
      </c>
      <c r="AV141" s="24">
        <v>0.52750000000000008</v>
      </c>
      <c r="AW141">
        <f t="shared" si="64"/>
        <v>0</v>
      </c>
    </row>
    <row r="142" spans="1:49" x14ac:dyDescent="0.35">
      <c r="A142" s="23">
        <v>43690</v>
      </c>
      <c r="AE142">
        <f t="shared" si="52"/>
        <v>33</v>
      </c>
      <c r="AF142" s="24" t="str">
        <f t="shared" si="63"/>
        <v/>
      </c>
      <c r="AG142" s="38">
        <f>+'[1]FA Report'!$D$42</f>
        <v>0.14285714285714288</v>
      </c>
      <c r="AH142" s="24" t="str">
        <f t="shared" si="53"/>
        <v/>
      </c>
      <c r="AI142" s="24" t="str">
        <f t="shared" si="54"/>
        <v/>
      </c>
      <c r="AJ142" s="38">
        <f>+'[1]FA Report'!$D$48</f>
        <v>7.1428571428571438E-2</v>
      </c>
      <c r="AK142" s="24" t="str">
        <f t="shared" si="55"/>
        <v/>
      </c>
      <c r="AL142" s="24" t="str">
        <f t="shared" si="56"/>
        <v/>
      </c>
      <c r="AM142" s="38">
        <f>+'[1]FA Report'!$C$55</f>
        <v>0.4</v>
      </c>
      <c r="AN142" s="24" t="str">
        <f t="shared" si="57"/>
        <v/>
      </c>
      <c r="AO142" s="24" t="str">
        <f t="shared" si="58"/>
        <v/>
      </c>
      <c r="AP142" s="38">
        <f>+'[1]FA Report'!$D$58</f>
        <v>0.2142857142857143</v>
      </c>
      <c r="AQ142" s="24" t="str">
        <f t="shared" si="59"/>
        <v/>
      </c>
      <c r="AR142" s="24" t="str">
        <f t="shared" si="60"/>
        <v/>
      </c>
      <c r="AS142" s="38">
        <f>+'[1]FA Report'!$C$52</f>
        <v>0.3</v>
      </c>
      <c r="AT142" s="24" t="str">
        <f t="shared" si="61"/>
        <v/>
      </c>
      <c r="AU142" s="38" t="str">
        <f t="shared" si="62"/>
        <v/>
      </c>
      <c r="AV142" s="24">
        <v>0.52750000000000008</v>
      </c>
      <c r="AW142">
        <f t="shared" si="64"/>
        <v>0</v>
      </c>
    </row>
    <row r="143" spans="1:49" x14ac:dyDescent="0.35">
      <c r="A143" s="23">
        <v>43691</v>
      </c>
      <c r="AE143">
        <f t="shared" si="52"/>
        <v>33</v>
      </c>
      <c r="AF143" s="24" t="str">
        <f t="shared" si="63"/>
        <v/>
      </c>
      <c r="AG143" s="38">
        <f>+'[1]FA Report'!$D$42</f>
        <v>0.14285714285714288</v>
      </c>
      <c r="AH143" s="24" t="str">
        <f t="shared" si="53"/>
        <v/>
      </c>
      <c r="AI143" s="24" t="str">
        <f t="shared" si="54"/>
        <v/>
      </c>
      <c r="AJ143" s="38">
        <f>+'[1]FA Report'!$D$48</f>
        <v>7.1428571428571438E-2</v>
      </c>
      <c r="AK143" s="24" t="str">
        <f t="shared" si="55"/>
        <v/>
      </c>
      <c r="AL143" s="24" t="str">
        <f t="shared" si="56"/>
        <v/>
      </c>
      <c r="AM143" s="38">
        <f>+'[1]FA Report'!$C$55</f>
        <v>0.4</v>
      </c>
      <c r="AN143" s="24" t="str">
        <f t="shared" si="57"/>
        <v/>
      </c>
      <c r="AO143" s="24" t="str">
        <f t="shared" si="58"/>
        <v/>
      </c>
      <c r="AP143" s="38">
        <f>+'[1]FA Report'!$D$58</f>
        <v>0.2142857142857143</v>
      </c>
      <c r="AQ143" s="24" t="str">
        <f t="shared" si="59"/>
        <v/>
      </c>
      <c r="AR143" s="24" t="str">
        <f t="shared" si="60"/>
        <v/>
      </c>
      <c r="AS143" s="38">
        <f>+'[1]FA Report'!$C$52</f>
        <v>0.3</v>
      </c>
      <c r="AT143" s="24" t="str">
        <f t="shared" si="61"/>
        <v/>
      </c>
      <c r="AU143" s="38" t="str">
        <f t="shared" si="62"/>
        <v/>
      </c>
      <c r="AV143" s="24">
        <v>0.52750000000000008</v>
      </c>
      <c r="AW143">
        <f t="shared" si="64"/>
        <v>0</v>
      </c>
    </row>
    <row r="144" spans="1:49" x14ac:dyDescent="0.35">
      <c r="A144" s="23">
        <v>43692</v>
      </c>
      <c r="AE144">
        <f t="shared" si="52"/>
        <v>33</v>
      </c>
      <c r="AF144" s="24" t="str">
        <f t="shared" si="63"/>
        <v/>
      </c>
      <c r="AG144" s="38">
        <f>+'[1]FA Report'!$D$42</f>
        <v>0.14285714285714288</v>
      </c>
      <c r="AH144" s="24" t="str">
        <f t="shared" si="53"/>
        <v/>
      </c>
      <c r="AI144" s="24" t="str">
        <f t="shared" si="54"/>
        <v/>
      </c>
      <c r="AJ144" s="38">
        <f>+'[1]FA Report'!$D$48</f>
        <v>7.1428571428571438E-2</v>
      </c>
      <c r="AK144" s="24" t="str">
        <f t="shared" si="55"/>
        <v/>
      </c>
      <c r="AL144" s="24" t="str">
        <f t="shared" si="56"/>
        <v/>
      </c>
      <c r="AM144" s="38">
        <f>+'[1]FA Report'!$C$55</f>
        <v>0.4</v>
      </c>
      <c r="AN144" s="24" t="str">
        <f t="shared" si="57"/>
        <v/>
      </c>
      <c r="AO144" s="24" t="str">
        <f t="shared" si="58"/>
        <v/>
      </c>
      <c r="AP144" s="38">
        <f>+'[1]FA Report'!$D$58</f>
        <v>0.2142857142857143</v>
      </c>
      <c r="AQ144" s="24" t="str">
        <f t="shared" si="59"/>
        <v/>
      </c>
      <c r="AR144" s="24" t="str">
        <f t="shared" si="60"/>
        <v/>
      </c>
      <c r="AS144" s="38">
        <f>+'[1]FA Report'!$C$52</f>
        <v>0.3</v>
      </c>
      <c r="AT144" s="24" t="str">
        <f t="shared" si="61"/>
        <v/>
      </c>
      <c r="AU144" s="38" t="str">
        <f t="shared" si="62"/>
        <v/>
      </c>
      <c r="AV144" s="24">
        <v>0.52750000000000008</v>
      </c>
      <c r="AW144">
        <f t="shared" si="64"/>
        <v>0</v>
      </c>
    </row>
    <row r="145" spans="1:49" x14ac:dyDescent="0.35">
      <c r="A145" s="23">
        <v>43693</v>
      </c>
      <c r="AE145">
        <f t="shared" si="52"/>
        <v>33</v>
      </c>
      <c r="AF145" s="24" t="str">
        <f t="shared" si="63"/>
        <v/>
      </c>
      <c r="AG145" s="38">
        <f>+'[1]FA Report'!$D$42</f>
        <v>0.14285714285714288</v>
      </c>
      <c r="AH145" s="24" t="str">
        <f t="shared" si="53"/>
        <v/>
      </c>
      <c r="AI145" s="24" t="str">
        <f t="shared" si="54"/>
        <v/>
      </c>
      <c r="AJ145" s="38">
        <f>+'[1]FA Report'!$D$48</f>
        <v>7.1428571428571438E-2</v>
      </c>
      <c r="AK145" s="24" t="str">
        <f t="shared" si="55"/>
        <v/>
      </c>
      <c r="AL145" s="24" t="str">
        <f t="shared" si="56"/>
        <v/>
      </c>
      <c r="AM145" s="38">
        <f>+'[1]FA Report'!$C$55</f>
        <v>0.4</v>
      </c>
      <c r="AN145" s="24" t="str">
        <f t="shared" si="57"/>
        <v/>
      </c>
      <c r="AO145" s="24" t="str">
        <f t="shared" si="58"/>
        <v/>
      </c>
      <c r="AP145" s="38">
        <f>+'[1]FA Report'!$D$58</f>
        <v>0.2142857142857143</v>
      </c>
      <c r="AQ145" s="24" t="str">
        <f t="shared" si="59"/>
        <v/>
      </c>
      <c r="AR145" s="24" t="str">
        <f t="shared" si="60"/>
        <v/>
      </c>
      <c r="AS145" s="38">
        <f>+'[1]FA Report'!$C$52</f>
        <v>0.3</v>
      </c>
      <c r="AT145" s="24" t="str">
        <f t="shared" si="61"/>
        <v/>
      </c>
      <c r="AU145" s="38" t="str">
        <f t="shared" si="62"/>
        <v/>
      </c>
      <c r="AV145" s="24">
        <v>0.52750000000000008</v>
      </c>
      <c r="AW145">
        <f t="shared" si="64"/>
        <v>0</v>
      </c>
    </row>
    <row r="146" spans="1:49" x14ac:dyDescent="0.35">
      <c r="A146" s="23">
        <v>43694</v>
      </c>
      <c r="AE146">
        <f t="shared" si="52"/>
        <v>33</v>
      </c>
      <c r="AF146" s="24" t="str">
        <f t="shared" si="63"/>
        <v/>
      </c>
      <c r="AG146" s="38">
        <f>+'[1]FA Report'!$D$42</f>
        <v>0.14285714285714288</v>
      </c>
      <c r="AH146" s="24" t="str">
        <f t="shared" si="53"/>
        <v/>
      </c>
      <c r="AI146" s="24" t="str">
        <f t="shared" si="54"/>
        <v/>
      </c>
      <c r="AJ146" s="38">
        <f>+'[1]FA Report'!$D$48</f>
        <v>7.1428571428571438E-2</v>
      </c>
      <c r="AK146" s="24" t="str">
        <f t="shared" si="55"/>
        <v/>
      </c>
      <c r="AL146" s="24" t="str">
        <f t="shared" si="56"/>
        <v/>
      </c>
      <c r="AM146" s="38">
        <f>+'[1]FA Report'!$C$55</f>
        <v>0.4</v>
      </c>
      <c r="AN146" s="24" t="str">
        <f t="shared" si="57"/>
        <v/>
      </c>
      <c r="AO146" s="24" t="str">
        <f t="shared" si="58"/>
        <v/>
      </c>
      <c r="AP146" s="38">
        <f>+'[1]FA Report'!$D$58</f>
        <v>0.2142857142857143</v>
      </c>
      <c r="AQ146" s="24" t="str">
        <f t="shared" si="59"/>
        <v/>
      </c>
      <c r="AR146" s="24" t="str">
        <f t="shared" si="60"/>
        <v/>
      </c>
      <c r="AS146" s="38">
        <f>+'[1]FA Report'!$C$52</f>
        <v>0.3</v>
      </c>
      <c r="AT146" s="24" t="str">
        <f t="shared" si="61"/>
        <v/>
      </c>
      <c r="AU146" s="38" t="str">
        <f t="shared" si="62"/>
        <v/>
      </c>
      <c r="AV146" s="24">
        <v>0.52750000000000008</v>
      </c>
      <c r="AW146">
        <f t="shared" si="64"/>
        <v>0</v>
      </c>
    </row>
    <row r="147" spans="1:49" x14ac:dyDescent="0.35">
      <c r="A147" s="23">
        <v>43695</v>
      </c>
      <c r="AE147">
        <f t="shared" si="52"/>
        <v>34</v>
      </c>
      <c r="AF147" s="24" t="str">
        <f t="shared" si="63"/>
        <v/>
      </c>
      <c r="AG147" s="38">
        <f>+'[1]FA Report'!$D$42</f>
        <v>0.14285714285714288</v>
      </c>
      <c r="AH147" s="24" t="str">
        <f t="shared" si="53"/>
        <v/>
      </c>
      <c r="AI147" s="24" t="str">
        <f t="shared" si="54"/>
        <v/>
      </c>
      <c r="AJ147" s="38">
        <f>+'[1]FA Report'!$D$48</f>
        <v>7.1428571428571438E-2</v>
      </c>
      <c r="AK147" s="24" t="str">
        <f t="shared" si="55"/>
        <v/>
      </c>
      <c r="AL147" s="24" t="str">
        <f t="shared" si="56"/>
        <v/>
      </c>
      <c r="AM147" s="38">
        <f>+'[1]FA Report'!$C$55</f>
        <v>0.4</v>
      </c>
      <c r="AN147" s="24" t="str">
        <f t="shared" si="57"/>
        <v/>
      </c>
      <c r="AO147" s="24" t="str">
        <f t="shared" si="58"/>
        <v/>
      </c>
      <c r="AP147" s="38">
        <f>+'[1]FA Report'!$D$58</f>
        <v>0.2142857142857143</v>
      </c>
      <c r="AQ147" s="24" t="str">
        <f t="shared" si="59"/>
        <v/>
      </c>
      <c r="AR147" s="24" t="str">
        <f t="shared" si="60"/>
        <v/>
      </c>
      <c r="AS147" s="38">
        <f>+'[1]FA Report'!$C$52</f>
        <v>0.3</v>
      </c>
      <c r="AT147" s="24" t="str">
        <f t="shared" si="61"/>
        <v/>
      </c>
      <c r="AU147" s="38" t="str">
        <f t="shared" si="62"/>
        <v/>
      </c>
      <c r="AV147" s="24">
        <v>0.59500000000000008</v>
      </c>
      <c r="AW147">
        <f t="shared" si="64"/>
        <v>1</v>
      </c>
    </row>
    <row r="148" spans="1:49" x14ac:dyDescent="0.35">
      <c r="A148" s="23">
        <v>43696</v>
      </c>
      <c r="AE148">
        <f t="shared" si="52"/>
        <v>34</v>
      </c>
      <c r="AF148" s="24" t="str">
        <f t="shared" si="63"/>
        <v/>
      </c>
      <c r="AG148" s="38">
        <f>+'[1]FA Report'!$D$42</f>
        <v>0.14285714285714288</v>
      </c>
      <c r="AH148" s="24" t="str">
        <f t="shared" si="53"/>
        <v/>
      </c>
      <c r="AI148" s="24" t="str">
        <f t="shared" si="54"/>
        <v/>
      </c>
      <c r="AJ148" s="38">
        <f>+'[1]FA Report'!$D$48</f>
        <v>7.1428571428571438E-2</v>
      </c>
      <c r="AK148" s="24" t="str">
        <f t="shared" si="55"/>
        <v/>
      </c>
      <c r="AL148" s="24" t="str">
        <f t="shared" si="56"/>
        <v/>
      </c>
      <c r="AM148" s="38">
        <f>+'[1]FA Report'!$C$55</f>
        <v>0.4</v>
      </c>
      <c r="AN148" s="24" t="str">
        <f t="shared" si="57"/>
        <v/>
      </c>
      <c r="AO148" s="24" t="str">
        <f t="shared" si="58"/>
        <v/>
      </c>
      <c r="AP148" s="38">
        <f>+'[1]FA Report'!$D$58</f>
        <v>0.2142857142857143</v>
      </c>
      <c r="AQ148" s="24" t="str">
        <f t="shared" si="59"/>
        <v/>
      </c>
      <c r="AR148" s="24" t="str">
        <f t="shared" si="60"/>
        <v/>
      </c>
      <c r="AS148" s="38">
        <f>+'[1]FA Report'!$C$52</f>
        <v>0.3</v>
      </c>
      <c r="AT148" s="24" t="str">
        <f t="shared" si="61"/>
        <v/>
      </c>
      <c r="AU148" s="38" t="str">
        <f t="shared" si="62"/>
        <v/>
      </c>
      <c r="AV148" s="24">
        <v>0.59500000000000008</v>
      </c>
      <c r="AW148">
        <f t="shared" si="64"/>
        <v>0</v>
      </c>
    </row>
    <row r="149" spans="1:49" x14ac:dyDescent="0.35">
      <c r="A149" s="23">
        <v>43697</v>
      </c>
      <c r="AE149">
        <f t="shared" si="52"/>
        <v>34</v>
      </c>
      <c r="AF149" s="24" t="str">
        <f t="shared" si="63"/>
        <v/>
      </c>
      <c r="AG149" s="38">
        <f>+'[1]FA Report'!$D$42</f>
        <v>0.14285714285714288</v>
      </c>
      <c r="AH149" s="24" t="str">
        <f t="shared" si="53"/>
        <v/>
      </c>
      <c r="AI149" s="24" t="str">
        <f t="shared" si="54"/>
        <v/>
      </c>
      <c r="AJ149" s="38">
        <f>+'[1]FA Report'!$D$48</f>
        <v>7.1428571428571438E-2</v>
      </c>
      <c r="AK149" s="24" t="str">
        <f t="shared" si="55"/>
        <v/>
      </c>
      <c r="AL149" s="24" t="str">
        <f t="shared" si="56"/>
        <v/>
      </c>
      <c r="AM149" s="38">
        <f>+'[1]FA Report'!$C$55</f>
        <v>0.4</v>
      </c>
      <c r="AN149" s="24" t="str">
        <f t="shared" si="57"/>
        <v/>
      </c>
      <c r="AO149" s="24" t="str">
        <f t="shared" si="58"/>
        <v/>
      </c>
      <c r="AP149" s="38">
        <f>+'[1]FA Report'!$D$58</f>
        <v>0.2142857142857143</v>
      </c>
      <c r="AQ149" s="24" t="str">
        <f t="shared" si="59"/>
        <v/>
      </c>
      <c r="AR149" s="24" t="str">
        <f t="shared" si="60"/>
        <v/>
      </c>
      <c r="AS149" s="38">
        <f>+'[1]FA Report'!$C$52</f>
        <v>0.3</v>
      </c>
      <c r="AT149" s="24" t="str">
        <f t="shared" si="61"/>
        <v/>
      </c>
      <c r="AU149" s="38" t="str">
        <f t="shared" si="62"/>
        <v/>
      </c>
      <c r="AV149" s="24">
        <v>0.59500000000000008</v>
      </c>
      <c r="AW149">
        <f t="shared" si="64"/>
        <v>0</v>
      </c>
    </row>
    <row r="150" spans="1:49" x14ac:dyDescent="0.35">
      <c r="A150" s="23">
        <v>43698</v>
      </c>
      <c r="AE150">
        <f t="shared" si="52"/>
        <v>34</v>
      </c>
      <c r="AF150" s="24" t="str">
        <f t="shared" si="63"/>
        <v/>
      </c>
      <c r="AG150" s="38">
        <f>+'[1]FA Report'!$D$42</f>
        <v>0.14285714285714288</v>
      </c>
      <c r="AH150" s="24" t="str">
        <f t="shared" si="53"/>
        <v/>
      </c>
      <c r="AI150" s="24" t="str">
        <f t="shared" si="54"/>
        <v/>
      </c>
      <c r="AJ150" s="38">
        <f>+'[1]FA Report'!$D$48</f>
        <v>7.1428571428571438E-2</v>
      </c>
      <c r="AK150" s="24" t="str">
        <f t="shared" si="55"/>
        <v/>
      </c>
      <c r="AL150" s="24" t="str">
        <f t="shared" si="56"/>
        <v/>
      </c>
      <c r="AM150" s="38">
        <f>+'[1]FA Report'!$C$55</f>
        <v>0.4</v>
      </c>
      <c r="AN150" s="24" t="str">
        <f t="shared" si="57"/>
        <v/>
      </c>
      <c r="AO150" s="24" t="str">
        <f t="shared" si="58"/>
        <v/>
      </c>
      <c r="AP150" s="38">
        <f>+'[1]FA Report'!$D$58</f>
        <v>0.2142857142857143</v>
      </c>
      <c r="AQ150" s="24" t="str">
        <f t="shared" si="59"/>
        <v/>
      </c>
      <c r="AR150" s="24" t="str">
        <f t="shared" si="60"/>
        <v/>
      </c>
      <c r="AS150" s="38">
        <f>+'[1]FA Report'!$C$52</f>
        <v>0.3</v>
      </c>
      <c r="AT150" s="24" t="str">
        <f t="shared" si="61"/>
        <v/>
      </c>
      <c r="AU150" s="38" t="str">
        <f t="shared" si="62"/>
        <v/>
      </c>
      <c r="AV150" s="24">
        <v>0.59500000000000008</v>
      </c>
      <c r="AW150">
        <f t="shared" si="64"/>
        <v>0</v>
      </c>
    </row>
    <row r="151" spans="1:49" x14ac:dyDescent="0.35">
      <c r="A151" s="23">
        <v>43699</v>
      </c>
      <c r="AE151">
        <f t="shared" si="52"/>
        <v>34</v>
      </c>
      <c r="AF151" s="24" t="str">
        <f t="shared" si="63"/>
        <v/>
      </c>
      <c r="AG151" s="38">
        <f>+'[1]FA Report'!$D$42</f>
        <v>0.14285714285714288</v>
      </c>
      <c r="AH151" s="24" t="str">
        <f t="shared" si="53"/>
        <v/>
      </c>
      <c r="AI151" s="24" t="str">
        <f t="shared" si="54"/>
        <v/>
      </c>
      <c r="AJ151" s="38">
        <f>+'[1]FA Report'!$D$48</f>
        <v>7.1428571428571438E-2</v>
      </c>
      <c r="AK151" s="24" t="str">
        <f t="shared" si="55"/>
        <v/>
      </c>
      <c r="AL151" s="24" t="str">
        <f t="shared" si="56"/>
        <v/>
      </c>
      <c r="AM151" s="38">
        <f>+'[1]FA Report'!$C$55</f>
        <v>0.4</v>
      </c>
      <c r="AN151" s="24" t="str">
        <f t="shared" si="57"/>
        <v/>
      </c>
      <c r="AO151" s="24" t="str">
        <f t="shared" si="58"/>
        <v/>
      </c>
      <c r="AP151" s="38">
        <f>+'[1]FA Report'!$D$58</f>
        <v>0.2142857142857143</v>
      </c>
      <c r="AQ151" s="24" t="str">
        <f t="shared" si="59"/>
        <v/>
      </c>
      <c r="AR151" s="24" t="str">
        <f t="shared" si="60"/>
        <v/>
      </c>
      <c r="AS151" s="38">
        <f>+'[1]FA Report'!$C$52</f>
        <v>0.3</v>
      </c>
      <c r="AT151" s="24" t="str">
        <f t="shared" si="61"/>
        <v/>
      </c>
      <c r="AU151" s="38" t="str">
        <f t="shared" si="62"/>
        <v/>
      </c>
      <c r="AV151" s="24">
        <v>0.59500000000000008</v>
      </c>
      <c r="AW151">
        <f t="shared" si="64"/>
        <v>0</v>
      </c>
    </row>
    <row r="152" spans="1:49" x14ac:dyDescent="0.35">
      <c r="A152" s="23">
        <v>43700</v>
      </c>
      <c r="AE152">
        <f t="shared" si="52"/>
        <v>34</v>
      </c>
      <c r="AF152" s="24" t="str">
        <f t="shared" si="63"/>
        <v/>
      </c>
      <c r="AG152" s="38">
        <f>+'[1]FA Report'!$D$42</f>
        <v>0.14285714285714288</v>
      </c>
      <c r="AH152" s="24" t="str">
        <f t="shared" si="53"/>
        <v/>
      </c>
      <c r="AI152" s="24" t="str">
        <f t="shared" si="54"/>
        <v/>
      </c>
      <c r="AJ152" s="38">
        <f>+'[1]FA Report'!$D$48</f>
        <v>7.1428571428571438E-2</v>
      </c>
      <c r="AK152" s="24" t="str">
        <f t="shared" si="55"/>
        <v/>
      </c>
      <c r="AL152" s="24" t="str">
        <f t="shared" si="56"/>
        <v/>
      </c>
      <c r="AM152" s="38">
        <f>+'[1]FA Report'!$C$55</f>
        <v>0.4</v>
      </c>
      <c r="AN152" s="24" t="str">
        <f t="shared" si="57"/>
        <v/>
      </c>
      <c r="AO152" s="24" t="str">
        <f t="shared" si="58"/>
        <v/>
      </c>
      <c r="AP152" s="38">
        <f>+'[1]FA Report'!$D$58</f>
        <v>0.2142857142857143</v>
      </c>
      <c r="AQ152" s="24" t="str">
        <f t="shared" si="59"/>
        <v/>
      </c>
      <c r="AR152" s="24" t="str">
        <f t="shared" si="60"/>
        <v/>
      </c>
      <c r="AS152" s="38">
        <f>+'[1]FA Report'!$C$52</f>
        <v>0.3</v>
      </c>
      <c r="AT152" s="24" t="str">
        <f t="shared" si="61"/>
        <v/>
      </c>
      <c r="AU152" s="38" t="str">
        <f t="shared" si="62"/>
        <v/>
      </c>
      <c r="AV152" s="24">
        <v>0.59500000000000008</v>
      </c>
      <c r="AW152">
        <f t="shared" si="64"/>
        <v>0</v>
      </c>
    </row>
    <row r="153" spans="1:49" x14ac:dyDescent="0.35">
      <c r="A153" s="23">
        <v>43701</v>
      </c>
      <c r="AE153">
        <f t="shared" si="52"/>
        <v>34</v>
      </c>
      <c r="AF153" s="24" t="str">
        <f t="shared" si="63"/>
        <v/>
      </c>
      <c r="AG153" s="38">
        <f>+'[1]FA Report'!$D$42</f>
        <v>0.14285714285714288</v>
      </c>
      <c r="AH153" s="24" t="str">
        <f t="shared" si="53"/>
        <v/>
      </c>
      <c r="AI153" s="24" t="str">
        <f t="shared" si="54"/>
        <v/>
      </c>
      <c r="AJ153" s="38">
        <f>+'[1]FA Report'!$D$48</f>
        <v>7.1428571428571438E-2</v>
      </c>
      <c r="AK153" s="24" t="str">
        <f t="shared" si="55"/>
        <v/>
      </c>
      <c r="AL153" s="24" t="str">
        <f t="shared" si="56"/>
        <v/>
      </c>
      <c r="AM153" s="38">
        <f>+'[1]FA Report'!$C$55</f>
        <v>0.4</v>
      </c>
      <c r="AN153" s="24" t="str">
        <f t="shared" si="57"/>
        <v/>
      </c>
      <c r="AO153" s="24" t="str">
        <f t="shared" si="58"/>
        <v/>
      </c>
      <c r="AP153" s="38">
        <f>+'[1]FA Report'!$D$58</f>
        <v>0.2142857142857143</v>
      </c>
      <c r="AQ153" s="24" t="str">
        <f t="shared" si="59"/>
        <v/>
      </c>
      <c r="AR153" s="24" t="str">
        <f t="shared" si="60"/>
        <v/>
      </c>
      <c r="AS153" s="38">
        <f>+'[1]FA Report'!$C$52</f>
        <v>0.3</v>
      </c>
      <c r="AT153" s="24" t="str">
        <f t="shared" si="61"/>
        <v/>
      </c>
      <c r="AU153" s="38" t="str">
        <f t="shared" si="62"/>
        <v/>
      </c>
      <c r="AV153" s="24">
        <v>0.59500000000000008</v>
      </c>
      <c r="AW153">
        <f t="shared" si="64"/>
        <v>0</v>
      </c>
    </row>
    <row r="154" spans="1:49" x14ac:dyDescent="0.35">
      <c r="A154" s="23">
        <v>43702</v>
      </c>
      <c r="AE154">
        <f t="shared" si="52"/>
        <v>35</v>
      </c>
      <c r="AF154" s="24" t="str">
        <f t="shared" si="63"/>
        <v/>
      </c>
      <c r="AG154" s="38">
        <f>+'[1]FA Report'!$D$42</f>
        <v>0.14285714285714288</v>
      </c>
      <c r="AH154" s="24" t="str">
        <f t="shared" si="53"/>
        <v/>
      </c>
      <c r="AI154" s="24" t="str">
        <f t="shared" si="54"/>
        <v/>
      </c>
      <c r="AJ154" s="38">
        <f>+'[1]FA Report'!$D$48</f>
        <v>7.1428571428571438E-2</v>
      </c>
      <c r="AK154" s="24" t="str">
        <f t="shared" si="55"/>
        <v/>
      </c>
      <c r="AL154" s="24" t="str">
        <f t="shared" si="56"/>
        <v/>
      </c>
      <c r="AM154" s="38">
        <f>+'[1]FA Report'!$C$55</f>
        <v>0.4</v>
      </c>
      <c r="AN154" s="24" t="str">
        <f t="shared" si="57"/>
        <v/>
      </c>
      <c r="AO154" s="24" t="str">
        <f t="shared" si="58"/>
        <v/>
      </c>
      <c r="AP154" s="38">
        <f>+'[1]FA Report'!$D$58</f>
        <v>0.2142857142857143</v>
      </c>
      <c r="AQ154" s="24" t="str">
        <f t="shared" si="59"/>
        <v/>
      </c>
      <c r="AR154" s="24" t="str">
        <f t="shared" si="60"/>
        <v/>
      </c>
      <c r="AS154" s="38">
        <f>+'[1]FA Report'!$C$52</f>
        <v>0.3</v>
      </c>
      <c r="AT154" s="24" t="str">
        <f t="shared" si="61"/>
        <v/>
      </c>
      <c r="AU154" s="38" t="str">
        <f t="shared" si="62"/>
        <v/>
      </c>
      <c r="AV154" s="24">
        <v>0.66250000000000009</v>
      </c>
      <c r="AW154">
        <f t="shared" si="64"/>
        <v>1</v>
      </c>
    </row>
    <row r="155" spans="1:49" x14ac:dyDescent="0.35">
      <c r="A155" s="23">
        <v>43703</v>
      </c>
      <c r="AE155">
        <f t="shared" si="52"/>
        <v>35</v>
      </c>
      <c r="AF155" s="24" t="str">
        <f t="shared" si="63"/>
        <v/>
      </c>
      <c r="AG155" s="38">
        <f>+'[1]FA Report'!$D$42</f>
        <v>0.14285714285714288</v>
      </c>
      <c r="AH155" s="24" t="str">
        <f t="shared" si="53"/>
        <v/>
      </c>
      <c r="AI155" s="24" t="str">
        <f t="shared" si="54"/>
        <v/>
      </c>
      <c r="AJ155" s="38">
        <f>+'[1]FA Report'!$D$48</f>
        <v>7.1428571428571438E-2</v>
      </c>
      <c r="AK155" s="24" t="str">
        <f t="shared" si="55"/>
        <v/>
      </c>
      <c r="AL155" s="24" t="str">
        <f t="shared" si="56"/>
        <v/>
      </c>
      <c r="AM155" s="38">
        <f>+'[1]FA Report'!$C$55</f>
        <v>0.4</v>
      </c>
      <c r="AN155" s="24" t="str">
        <f t="shared" si="57"/>
        <v/>
      </c>
      <c r="AO155" s="24" t="str">
        <f t="shared" si="58"/>
        <v/>
      </c>
      <c r="AP155" s="38">
        <f>+'[1]FA Report'!$D$58</f>
        <v>0.2142857142857143</v>
      </c>
      <c r="AQ155" s="24" t="str">
        <f t="shared" si="59"/>
        <v/>
      </c>
      <c r="AR155" s="24" t="str">
        <f t="shared" si="60"/>
        <v/>
      </c>
      <c r="AS155" s="38">
        <f>+'[1]FA Report'!$C$52</f>
        <v>0.3</v>
      </c>
      <c r="AT155" s="24" t="str">
        <f t="shared" si="61"/>
        <v/>
      </c>
      <c r="AU155" s="38" t="str">
        <f t="shared" si="62"/>
        <v/>
      </c>
      <c r="AV155" s="24">
        <v>0.66250000000000009</v>
      </c>
      <c r="AW155">
        <f t="shared" si="64"/>
        <v>0</v>
      </c>
    </row>
    <row r="156" spans="1:49" x14ac:dyDescent="0.35">
      <c r="A156" s="23">
        <v>43704</v>
      </c>
      <c r="AE156">
        <f t="shared" si="52"/>
        <v>35</v>
      </c>
      <c r="AF156" s="24" t="str">
        <f t="shared" si="63"/>
        <v/>
      </c>
      <c r="AG156" s="38">
        <f>+'[1]FA Report'!$D$42</f>
        <v>0.14285714285714288</v>
      </c>
      <c r="AH156" s="24" t="str">
        <f t="shared" si="53"/>
        <v/>
      </c>
      <c r="AI156" s="24" t="str">
        <f t="shared" si="54"/>
        <v/>
      </c>
      <c r="AJ156" s="38">
        <f>+'[1]FA Report'!$D$48</f>
        <v>7.1428571428571438E-2</v>
      </c>
      <c r="AK156" s="24" t="str">
        <f t="shared" si="55"/>
        <v/>
      </c>
      <c r="AL156" s="24" t="str">
        <f t="shared" si="56"/>
        <v/>
      </c>
      <c r="AM156" s="38">
        <f>+'[1]FA Report'!$C$55</f>
        <v>0.4</v>
      </c>
      <c r="AN156" s="24" t="str">
        <f t="shared" si="57"/>
        <v/>
      </c>
      <c r="AO156" s="24" t="str">
        <f t="shared" si="58"/>
        <v/>
      </c>
      <c r="AP156" s="38">
        <f>+'[1]FA Report'!$D$58</f>
        <v>0.2142857142857143</v>
      </c>
      <c r="AQ156" s="24" t="str">
        <f t="shared" si="59"/>
        <v/>
      </c>
      <c r="AR156" s="24" t="str">
        <f t="shared" si="60"/>
        <v/>
      </c>
      <c r="AS156" s="38">
        <f>+'[1]FA Report'!$C$52</f>
        <v>0.3</v>
      </c>
      <c r="AT156" s="24" t="str">
        <f t="shared" si="61"/>
        <v/>
      </c>
      <c r="AU156" s="38" t="str">
        <f t="shared" si="62"/>
        <v/>
      </c>
      <c r="AV156" s="24">
        <v>0.66250000000000009</v>
      </c>
      <c r="AW156">
        <f t="shared" si="64"/>
        <v>0</v>
      </c>
    </row>
    <row r="157" spans="1:49" x14ac:dyDescent="0.35">
      <c r="A157" s="23">
        <v>43705</v>
      </c>
      <c r="AE157">
        <f t="shared" si="52"/>
        <v>35</v>
      </c>
      <c r="AF157" s="24" t="str">
        <f t="shared" si="63"/>
        <v/>
      </c>
      <c r="AG157" s="38">
        <f>+'[1]FA Report'!$D$42</f>
        <v>0.14285714285714288</v>
      </c>
      <c r="AH157" s="24" t="str">
        <f t="shared" si="53"/>
        <v/>
      </c>
      <c r="AI157" s="24" t="str">
        <f t="shared" si="54"/>
        <v/>
      </c>
      <c r="AJ157" s="38">
        <f>+'[1]FA Report'!$D$48</f>
        <v>7.1428571428571438E-2</v>
      </c>
      <c r="AK157" s="24" t="str">
        <f t="shared" si="55"/>
        <v/>
      </c>
      <c r="AL157" s="24" t="str">
        <f t="shared" si="56"/>
        <v/>
      </c>
      <c r="AM157" s="38">
        <f>+'[1]FA Report'!$C$55</f>
        <v>0.4</v>
      </c>
      <c r="AN157" s="24" t="str">
        <f t="shared" si="57"/>
        <v/>
      </c>
      <c r="AO157" s="24" t="str">
        <f t="shared" si="58"/>
        <v/>
      </c>
      <c r="AP157" s="38">
        <f>+'[1]FA Report'!$D$58</f>
        <v>0.2142857142857143</v>
      </c>
      <c r="AQ157" s="24" t="str">
        <f t="shared" si="59"/>
        <v/>
      </c>
      <c r="AR157" s="24" t="str">
        <f t="shared" si="60"/>
        <v/>
      </c>
      <c r="AS157" s="38">
        <f>+'[1]FA Report'!$C$52</f>
        <v>0.3</v>
      </c>
      <c r="AT157" s="24" t="str">
        <f t="shared" si="61"/>
        <v/>
      </c>
      <c r="AU157" s="38" t="str">
        <f t="shared" si="62"/>
        <v/>
      </c>
      <c r="AV157" s="24">
        <v>0.66250000000000009</v>
      </c>
      <c r="AW157">
        <f t="shared" si="64"/>
        <v>0</v>
      </c>
    </row>
    <row r="158" spans="1:49" x14ac:dyDescent="0.35">
      <c r="A158" s="23">
        <v>43706</v>
      </c>
      <c r="AE158">
        <f t="shared" si="52"/>
        <v>35</v>
      </c>
      <c r="AF158" s="24" t="str">
        <f t="shared" si="63"/>
        <v/>
      </c>
      <c r="AG158" s="38">
        <f>+'[1]FA Report'!$D$42</f>
        <v>0.14285714285714288</v>
      </c>
      <c r="AH158" s="24" t="str">
        <f t="shared" si="53"/>
        <v/>
      </c>
      <c r="AI158" s="24" t="str">
        <f t="shared" si="54"/>
        <v/>
      </c>
      <c r="AJ158" s="38">
        <f>+'[1]FA Report'!$D$48</f>
        <v>7.1428571428571438E-2</v>
      </c>
      <c r="AK158" s="24" t="str">
        <f t="shared" si="55"/>
        <v/>
      </c>
      <c r="AL158" s="24" t="str">
        <f t="shared" si="56"/>
        <v/>
      </c>
      <c r="AM158" s="38">
        <f>+'[1]FA Report'!$C$55</f>
        <v>0.4</v>
      </c>
      <c r="AN158" s="24" t="str">
        <f t="shared" si="57"/>
        <v/>
      </c>
      <c r="AO158" s="24" t="str">
        <f t="shared" si="58"/>
        <v/>
      </c>
      <c r="AP158" s="38">
        <f>+'[1]FA Report'!$D$58</f>
        <v>0.2142857142857143</v>
      </c>
      <c r="AQ158" s="24" t="str">
        <f t="shared" si="59"/>
        <v/>
      </c>
      <c r="AR158" s="24" t="str">
        <f t="shared" si="60"/>
        <v/>
      </c>
      <c r="AS158" s="38">
        <f>+'[1]FA Report'!$C$52</f>
        <v>0.3</v>
      </c>
      <c r="AT158" s="24" t="str">
        <f t="shared" si="61"/>
        <v/>
      </c>
      <c r="AU158" s="38" t="str">
        <f t="shared" si="62"/>
        <v/>
      </c>
      <c r="AV158" s="24">
        <v>0.66250000000000009</v>
      </c>
      <c r="AW158">
        <f t="shared" si="64"/>
        <v>0</v>
      </c>
    </row>
    <row r="159" spans="1:49" x14ac:dyDescent="0.35">
      <c r="A159" s="23">
        <v>43707</v>
      </c>
      <c r="AE159">
        <f t="shared" si="52"/>
        <v>35</v>
      </c>
      <c r="AF159" s="24" t="str">
        <f t="shared" si="63"/>
        <v/>
      </c>
      <c r="AG159" s="38">
        <f>+'[1]FA Report'!$D$42</f>
        <v>0.14285714285714288</v>
      </c>
      <c r="AH159" s="24" t="str">
        <f t="shared" si="53"/>
        <v/>
      </c>
      <c r="AI159" s="24" t="str">
        <f t="shared" si="54"/>
        <v/>
      </c>
      <c r="AJ159" s="38">
        <f>+'[1]FA Report'!$D$48</f>
        <v>7.1428571428571438E-2</v>
      </c>
      <c r="AK159" s="24" t="str">
        <f t="shared" si="55"/>
        <v/>
      </c>
      <c r="AL159" s="24" t="str">
        <f t="shared" si="56"/>
        <v/>
      </c>
      <c r="AM159" s="38">
        <f>+'[1]FA Report'!$C$55</f>
        <v>0.4</v>
      </c>
      <c r="AN159" s="24" t="str">
        <f t="shared" si="57"/>
        <v/>
      </c>
      <c r="AO159" s="24" t="str">
        <f t="shared" si="58"/>
        <v/>
      </c>
      <c r="AP159" s="38">
        <f>+'[1]FA Report'!$D$58</f>
        <v>0.2142857142857143</v>
      </c>
      <c r="AQ159" s="24" t="str">
        <f t="shared" si="59"/>
        <v/>
      </c>
      <c r="AR159" s="24" t="str">
        <f t="shared" si="60"/>
        <v/>
      </c>
      <c r="AS159" s="38">
        <f>+'[1]FA Report'!$C$52</f>
        <v>0.3</v>
      </c>
      <c r="AT159" s="24" t="str">
        <f t="shared" si="61"/>
        <v/>
      </c>
      <c r="AU159" s="38" t="str">
        <f t="shared" si="62"/>
        <v/>
      </c>
      <c r="AV159" s="24">
        <v>0.66250000000000009</v>
      </c>
      <c r="AW159">
        <f t="shared" si="64"/>
        <v>0</v>
      </c>
    </row>
    <row r="160" spans="1:49" x14ac:dyDescent="0.35">
      <c r="A160" s="23">
        <v>43708</v>
      </c>
      <c r="AE160">
        <f t="shared" si="52"/>
        <v>35</v>
      </c>
      <c r="AF160" s="24" t="str">
        <f t="shared" si="63"/>
        <v/>
      </c>
      <c r="AG160" s="38">
        <f>+'[1]FA Report'!$D$42</f>
        <v>0.14285714285714288</v>
      </c>
      <c r="AH160" s="24" t="str">
        <f t="shared" si="53"/>
        <v/>
      </c>
      <c r="AI160" s="24" t="str">
        <f t="shared" si="54"/>
        <v/>
      </c>
      <c r="AJ160" s="38">
        <f>+'[1]FA Report'!$D$48</f>
        <v>7.1428571428571438E-2</v>
      </c>
      <c r="AK160" s="24" t="str">
        <f t="shared" si="55"/>
        <v/>
      </c>
      <c r="AL160" s="24" t="str">
        <f t="shared" si="56"/>
        <v/>
      </c>
      <c r="AM160" s="38">
        <f>+'[1]FA Report'!$C$55</f>
        <v>0.4</v>
      </c>
      <c r="AN160" s="24" t="str">
        <f t="shared" si="57"/>
        <v/>
      </c>
      <c r="AO160" s="24" t="str">
        <f t="shared" si="58"/>
        <v/>
      </c>
      <c r="AP160" s="38">
        <f>+'[1]FA Report'!$D$58</f>
        <v>0.2142857142857143</v>
      </c>
      <c r="AQ160" s="24" t="str">
        <f t="shared" si="59"/>
        <v/>
      </c>
      <c r="AR160" s="24" t="str">
        <f t="shared" si="60"/>
        <v/>
      </c>
      <c r="AS160" s="38">
        <f>+'[1]FA Report'!$C$52</f>
        <v>0.3</v>
      </c>
      <c r="AT160" s="24" t="str">
        <f t="shared" si="61"/>
        <v/>
      </c>
      <c r="AU160" s="38" t="str">
        <f t="shared" si="62"/>
        <v/>
      </c>
      <c r="AV160" s="24">
        <v>0.66250000000000009</v>
      </c>
      <c r="AW160">
        <f t="shared" si="64"/>
        <v>0</v>
      </c>
    </row>
    <row r="161" spans="1:49" x14ac:dyDescent="0.35">
      <c r="A161" s="23">
        <v>43709</v>
      </c>
      <c r="AE161">
        <f t="shared" si="52"/>
        <v>36</v>
      </c>
      <c r="AF161" s="24" t="str">
        <f t="shared" si="63"/>
        <v/>
      </c>
      <c r="AG161" s="38">
        <f>+'[1]FA Report'!$D$42</f>
        <v>0.14285714285714288</v>
      </c>
      <c r="AH161" s="24" t="str">
        <f t="shared" si="53"/>
        <v/>
      </c>
      <c r="AI161" s="24" t="str">
        <f t="shared" si="54"/>
        <v/>
      </c>
      <c r="AJ161" s="38">
        <f>+'[1]FA Report'!$D$48</f>
        <v>7.1428571428571438E-2</v>
      </c>
      <c r="AK161" s="24" t="str">
        <f t="shared" si="55"/>
        <v/>
      </c>
      <c r="AL161" s="24" t="str">
        <f t="shared" si="56"/>
        <v/>
      </c>
      <c r="AM161" s="38">
        <f>+'[1]FA Report'!$C$55</f>
        <v>0.4</v>
      </c>
      <c r="AN161" s="24" t="str">
        <f t="shared" si="57"/>
        <v/>
      </c>
      <c r="AO161" s="24" t="str">
        <f t="shared" si="58"/>
        <v/>
      </c>
      <c r="AP161" s="38">
        <f>+'[1]FA Report'!$D$58</f>
        <v>0.2142857142857143</v>
      </c>
      <c r="AQ161" s="24" t="str">
        <f t="shared" si="59"/>
        <v/>
      </c>
      <c r="AR161" s="24" t="str">
        <f t="shared" si="60"/>
        <v/>
      </c>
      <c r="AS161" s="38">
        <f>+'[1]FA Report'!$C$52</f>
        <v>0.3</v>
      </c>
      <c r="AT161" s="24" t="str">
        <f t="shared" si="61"/>
        <v/>
      </c>
      <c r="AU161" s="38" t="str">
        <f t="shared" si="62"/>
        <v/>
      </c>
      <c r="AV161" s="24">
        <v>0.73000000000000009</v>
      </c>
      <c r="AW161">
        <f t="shared" si="64"/>
        <v>1</v>
      </c>
    </row>
    <row r="162" spans="1:49" x14ac:dyDescent="0.35">
      <c r="A162" s="23">
        <v>43710</v>
      </c>
      <c r="AE162">
        <f t="shared" ref="AE162:AE191" si="65">WEEKNUM(A162)</f>
        <v>36</v>
      </c>
      <c r="AF162" s="24" t="str">
        <f t="shared" si="63"/>
        <v/>
      </c>
      <c r="AG162" s="38">
        <f>+'[1]FA Report'!$D$42</f>
        <v>0.14285714285714288</v>
      </c>
      <c r="AH162" s="24" t="str">
        <f t="shared" ref="AH162:AH191" si="66">IFERROR(+AF162*AG162,"")</f>
        <v/>
      </c>
      <c r="AI162" s="24" t="str">
        <f t="shared" ref="AI162:AI191" si="67">IFERROR(T162/$R162,"")</f>
        <v/>
      </c>
      <c r="AJ162" s="38">
        <f>+'[1]FA Report'!$D$48</f>
        <v>7.1428571428571438E-2</v>
      </c>
      <c r="AK162" s="24" t="str">
        <f t="shared" ref="AK162:AK191" si="68">IFERROR(+AI162*AJ162,"")</f>
        <v/>
      </c>
      <c r="AL162" s="24" t="str">
        <f t="shared" ref="AL162:AL191" si="69">IFERROR(+Z162/R162,"")</f>
        <v/>
      </c>
      <c r="AM162" s="38">
        <f>+'[1]FA Report'!$C$55</f>
        <v>0.4</v>
      </c>
      <c r="AN162" s="24" t="str">
        <f t="shared" ref="AN162:AN191" si="70">IFERROR(+AL162*AM162,"")</f>
        <v/>
      </c>
      <c r="AO162" s="24" t="str">
        <f t="shared" ref="AO162:AO191" si="71">IFERROR(V162/$R162,"")</f>
        <v/>
      </c>
      <c r="AP162" s="38">
        <f>+'[1]FA Report'!$D$58</f>
        <v>0.2142857142857143</v>
      </c>
      <c r="AQ162" s="24" t="str">
        <f t="shared" ref="AQ162:AQ191" si="72">IFERROR(+AO162*AP162,"")</f>
        <v/>
      </c>
      <c r="AR162" s="24" t="str">
        <f t="shared" ref="AR162:AR191" si="73">IFERROR(O162/$B162,"")</f>
        <v/>
      </c>
      <c r="AS162" s="38">
        <f>+'[1]FA Report'!$C$52</f>
        <v>0.3</v>
      </c>
      <c r="AT162" s="24" t="str">
        <f t="shared" ref="AT162:AT191" si="74">IFERROR(-AR162*AS162,"")</f>
        <v/>
      </c>
      <c r="AU162" s="38" t="str">
        <f t="shared" ref="AU162:AU191" si="75">IFERROR(+AH162+AK162+AN162+AQ162+AT162,"")</f>
        <v/>
      </c>
      <c r="AV162" s="24">
        <v>0.73000000000000009</v>
      </c>
      <c r="AW162">
        <f t="shared" si="64"/>
        <v>0</v>
      </c>
    </row>
    <row r="163" spans="1:49" x14ac:dyDescent="0.35">
      <c r="A163" s="23">
        <v>43711</v>
      </c>
      <c r="AE163">
        <f t="shared" si="65"/>
        <v>36</v>
      </c>
      <c r="AF163" s="24" t="str">
        <f t="shared" ref="AF163:AF191" si="76">IFERROR(Q163/R163,"")</f>
        <v/>
      </c>
      <c r="AG163" s="38">
        <f>+'[1]FA Report'!$D$42</f>
        <v>0.14285714285714288</v>
      </c>
      <c r="AH163" s="24" t="str">
        <f t="shared" si="66"/>
        <v/>
      </c>
      <c r="AI163" s="24" t="str">
        <f t="shared" si="67"/>
        <v/>
      </c>
      <c r="AJ163" s="38">
        <f>+'[1]FA Report'!$D$48</f>
        <v>7.1428571428571438E-2</v>
      </c>
      <c r="AK163" s="24" t="str">
        <f t="shared" si="68"/>
        <v/>
      </c>
      <c r="AL163" s="24" t="str">
        <f t="shared" si="69"/>
        <v/>
      </c>
      <c r="AM163" s="38">
        <f>+'[1]FA Report'!$C$55</f>
        <v>0.4</v>
      </c>
      <c r="AN163" s="24" t="str">
        <f t="shared" si="70"/>
        <v/>
      </c>
      <c r="AO163" s="24" t="str">
        <f t="shared" si="71"/>
        <v/>
      </c>
      <c r="AP163" s="38">
        <f>+'[1]FA Report'!$D$58</f>
        <v>0.2142857142857143</v>
      </c>
      <c r="AQ163" s="24" t="str">
        <f t="shared" si="72"/>
        <v/>
      </c>
      <c r="AR163" s="24" t="str">
        <f t="shared" si="73"/>
        <v/>
      </c>
      <c r="AS163" s="38">
        <f>+'[1]FA Report'!$C$52</f>
        <v>0.3</v>
      </c>
      <c r="AT163" s="24" t="str">
        <f t="shared" si="74"/>
        <v/>
      </c>
      <c r="AU163" s="38" t="str">
        <f t="shared" si="75"/>
        <v/>
      </c>
      <c r="AV163" s="24">
        <v>0.73000000000000009</v>
      </c>
      <c r="AW163">
        <f t="shared" si="64"/>
        <v>0</v>
      </c>
    </row>
    <row r="164" spans="1:49" x14ac:dyDescent="0.35">
      <c r="A164" s="23">
        <v>43712</v>
      </c>
      <c r="AE164">
        <f t="shared" si="65"/>
        <v>36</v>
      </c>
      <c r="AF164" s="24" t="str">
        <f t="shared" si="76"/>
        <v/>
      </c>
      <c r="AG164" s="38">
        <f>+'[1]FA Report'!$D$42</f>
        <v>0.14285714285714288</v>
      </c>
      <c r="AH164" s="24" t="str">
        <f t="shared" si="66"/>
        <v/>
      </c>
      <c r="AI164" s="24" t="str">
        <f t="shared" si="67"/>
        <v/>
      </c>
      <c r="AJ164" s="38">
        <f>+'[1]FA Report'!$D$48</f>
        <v>7.1428571428571438E-2</v>
      </c>
      <c r="AK164" s="24" t="str">
        <f t="shared" si="68"/>
        <v/>
      </c>
      <c r="AL164" s="24" t="str">
        <f t="shared" si="69"/>
        <v/>
      </c>
      <c r="AM164" s="38">
        <f>+'[1]FA Report'!$C$55</f>
        <v>0.4</v>
      </c>
      <c r="AN164" s="24" t="str">
        <f t="shared" si="70"/>
        <v/>
      </c>
      <c r="AO164" s="24" t="str">
        <f t="shared" si="71"/>
        <v/>
      </c>
      <c r="AP164" s="38">
        <f>+'[1]FA Report'!$D$58</f>
        <v>0.2142857142857143</v>
      </c>
      <c r="AQ164" s="24" t="str">
        <f t="shared" si="72"/>
        <v/>
      </c>
      <c r="AR164" s="24" t="str">
        <f t="shared" si="73"/>
        <v/>
      </c>
      <c r="AS164" s="38">
        <f>+'[1]FA Report'!$C$52</f>
        <v>0.3</v>
      </c>
      <c r="AT164" s="24" t="str">
        <f t="shared" si="74"/>
        <v/>
      </c>
      <c r="AU164" s="38" t="str">
        <f t="shared" si="75"/>
        <v/>
      </c>
      <c r="AV164" s="24">
        <v>0.73000000000000009</v>
      </c>
      <c r="AW164">
        <f t="shared" si="64"/>
        <v>0</v>
      </c>
    </row>
    <row r="165" spans="1:49" x14ac:dyDescent="0.35">
      <c r="A165" s="23">
        <v>43713</v>
      </c>
      <c r="AE165">
        <f t="shared" si="65"/>
        <v>36</v>
      </c>
      <c r="AF165" s="24" t="str">
        <f t="shared" si="76"/>
        <v/>
      </c>
      <c r="AG165" s="38">
        <f>+'[1]FA Report'!$D$42</f>
        <v>0.14285714285714288</v>
      </c>
      <c r="AH165" s="24" t="str">
        <f t="shared" si="66"/>
        <v/>
      </c>
      <c r="AI165" s="24" t="str">
        <f t="shared" si="67"/>
        <v/>
      </c>
      <c r="AJ165" s="38">
        <f>+'[1]FA Report'!$D$48</f>
        <v>7.1428571428571438E-2</v>
      </c>
      <c r="AK165" s="24" t="str">
        <f t="shared" si="68"/>
        <v/>
      </c>
      <c r="AL165" s="24" t="str">
        <f t="shared" si="69"/>
        <v/>
      </c>
      <c r="AM165" s="38">
        <f>+'[1]FA Report'!$C$55</f>
        <v>0.4</v>
      </c>
      <c r="AN165" s="24" t="str">
        <f t="shared" si="70"/>
        <v/>
      </c>
      <c r="AO165" s="24" t="str">
        <f t="shared" si="71"/>
        <v/>
      </c>
      <c r="AP165" s="38">
        <f>+'[1]FA Report'!$D$58</f>
        <v>0.2142857142857143</v>
      </c>
      <c r="AQ165" s="24" t="str">
        <f t="shared" si="72"/>
        <v/>
      </c>
      <c r="AR165" s="24" t="str">
        <f t="shared" si="73"/>
        <v/>
      </c>
      <c r="AS165" s="38">
        <f>+'[1]FA Report'!$C$52</f>
        <v>0.3</v>
      </c>
      <c r="AT165" s="24" t="str">
        <f t="shared" si="74"/>
        <v/>
      </c>
      <c r="AU165" s="38" t="str">
        <f t="shared" si="75"/>
        <v/>
      </c>
      <c r="AV165" s="24">
        <v>0.73000000000000009</v>
      </c>
      <c r="AW165">
        <f t="shared" si="64"/>
        <v>0</v>
      </c>
    </row>
    <row r="166" spans="1:49" x14ac:dyDescent="0.35">
      <c r="A166" s="23">
        <v>43714</v>
      </c>
      <c r="AE166">
        <f t="shared" si="65"/>
        <v>36</v>
      </c>
      <c r="AF166" s="24" t="str">
        <f t="shared" si="76"/>
        <v/>
      </c>
      <c r="AG166" s="38">
        <f>+'[1]FA Report'!$D$42</f>
        <v>0.14285714285714288</v>
      </c>
      <c r="AH166" s="24" t="str">
        <f t="shared" si="66"/>
        <v/>
      </c>
      <c r="AI166" s="24" t="str">
        <f t="shared" si="67"/>
        <v/>
      </c>
      <c r="AJ166" s="38">
        <f>+'[1]FA Report'!$D$48</f>
        <v>7.1428571428571438E-2</v>
      </c>
      <c r="AK166" s="24" t="str">
        <f t="shared" si="68"/>
        <v/>
      </c>
      <c r="AL166" s="24" t="str">
        <f t="shared" si="69"/>
        <v/>
      </c>
      <c r="AM166" s="38">
        <f>+'[1]FA Report'!$C$55</f>
        <v>0.4</v>
      </c>
      <c r="AN166" s="24" t="str">
        <f t="shared" si="70"/>
        <v/>
      </c>
      <c r="AO166" s="24" t="str">
        <f t="shared" si="71"/>
        <v/>
      </c>
      <c r="AP166" s="38">
        <f>+'[1]FA Report'!$D$58</f>
        <v>0.2142857142857143</v>
      </c>
      <c r="AQ166" s="24" t="str">
        <f t="shared" si="72"/>
        <v/>
      </c>
      <c r="AR166" s="24" t="str">
        <f t="shared" si="73"/>
        <v/>
      </c>
      <c r="AS166" s="38">
        <f>+'[1]FA Report'!$C$52</f>
        <v>0.3</v>
      </c>
      <c r="AT166" s="24" t="str">
        <f t="shared" si="74"/>
        <v/>
      </c>
      <c r="AU166" s="38" t="str">
        <f t="shared" si="75"/>
        <v/>
      </c>
      <c r="AV166" s="24">
        <v>0.73000000000000009</v>
      </c>
      <c r="AW166">
        <f t="shared" si="64"/>
        <v>0</v>
      </c>
    </row>
    <row r="167" spans="1:49" x14ac:dyDescent="0.35">
      <c r="A167" s="23">
        <v>43715</v>
      </c>
      <c r="AE167">
        <f t="shared" si="65"/>
        <v>36</v>
      </c>
      <c r="AF167" s="24" t="str">
        <f t="shared" si="76"/>
        <v/>
      </c>
      <c r="AG167" s="38">
        <f>+'[1]FA Report'!$D$42</f>
        <v>0.14285714285714288</v>
      </c>
      <c r="AH167" s="24" t="str">
        <f t="shared" si="66"/>
        <v/>
      </c>
      <c r="AI167" s="24" t="str">
        <f t="shared" si="67"/>
        <v/>
      </c>
      <c r="AJ167" s="38">
        <f>+'[1]FA Report'!$D$48</f>
        <v>7.1428571428571438E-2</v>
      </c>
      <c r="AK167" s="24" t="str">
        <f t="shared" si="68"/>
        <v/>
      </c>
      <c r="AL167" s="24" t="str">
        <f t="shared" si="69"/>
        <v/>
      </c>
      <c r="AM167" s="38">
        <f>+'[1]FA Report'!$C$55</f>
        <v>0.4</v>
      </c>
      <c r="AN167" s="24" t="str">
        <f t="shared" si="70"/>
        <v/>
      </c>
      <c r="AO167" s="24" t="str">
        <f t="shared" si="71"/>
        <v/>
      </c>
      <c r="AP167" s="38">
        <f>+'[1]FA Report'!$D$58</f>
        <v>0.2142857142857143</v>
      </c>
      <c r="AQ167" s="24" t="str">
        <f t="shared" si="72"/>
        <v/>
      </c>
      <c r="AR167" s="24" t="str">
        <f t="shared" si="73"/>
        <v/>
      </c>
      <c r="AS167" s="38">
        <f>+'[1]FA Report'!$C$52</f>
        <v>0.3</v>
      </c>
      <c r="AT167" s="24" t="str">
        <f t="shared" si="74"/>
        <v/>
      </c>
      <c r="AU167" s="38" t="str">
        <f t="shared" si="75"/>
        <v/>
      </c>
      <c r="AV167" s="24">
        <v>0.73000000000000009</v>
      </c>
      <c r="AW167">
        <f t="shared" ref="AW167:AW191" si="77">+AE167-AE166</f>
        <v>0</v>
      </c>
    </row>
    <row r="168" spans="1:49" x14ac:dyDescent="0.35">
      <c r="A168" s="23">
        <v>43716</v>
      </c>
      <c r="AE168">
        <f t="shared" si="65"/>
        <v>37</v>
      </c>
      <c r="AF168" s="24" t="str">
        <f t="shared" si="76"/>
        <v/>
      </c>
      <c r="AG168" s="38">
        <f>+'[1]FA Report'!$D$42</f>
        <v>0.14285714285714288</v>
      </c>
      <c r="AH168" s="24" t="str">
        <f t="shared" si="66"/>
        <v/>
      </c>
      <c r="AI168" s="24" t="str">
        <f t="shared" si="67"/>
        <v/>
      </c>
      <c r="AJ168" s="38">
        <f>+'[1]FA Report'!$D$48</f>
        <v>7.1428571428571438E-2</v>
      </c>
      <c r="AK168" s="24" t="str">
        <f t="shared" si="68"/>
        <v/>
      </c>
      <c r="AL168" s="24" t="str">
        <f t="shared" si="69"/>
        <v/>
      </c>
      <c r="AM168" s="38">
        <f>+'[1]FA Report'!$C$55</f>
        <v>0.4</v>
      </c>
      <c r="AN168" s="24" t="str">
        <f t="shared" si="70"/>
        <v/>
      </c>
      <c r="AO168" s="24" t="str">
        <f t="shared" si="71"/>
        <v/>
      </c>
      <c r="AP168" s="38">
        <f>+'[1]FA Report'!$D$58</f>
        <v>0.2142857142857143</v>
      </c>
      <c r="AQ168" s="24" t="str">
        <f t="shared" si="72"/>
        <v/>
      </c>
      <c r="AR168" s="24" t="str">
        <f t="shared" si="73"/>
        <v/>
      </c>
      <c r="AS168" s="38">
        <f>+'[1]FA Report'!$C$52</f>
        <v>0.3</v>
      </c>
      <c r="AT168" s="24" t="str">
        <f t="shared" si="74"/>
        <v/>
      </c>
      <c r="AU168" s="38" t="str">
        <f t="shared" si="75"/>
        <v/>
      </c>
      <c r="AV168" s="24">
        <v>0.7975000000000001</v>
      </c>
      <c r="AW168">
        <f t="shared" si="77"/>
        <v>1</v>
      </c>
    </row>
    <row r="169" spans="1:49" x14ac:dyDescent="0.35">
      <c r="A169" s="23">
        <v>43717</v>
      </c>
      <c r="AE169">
        <f t="shared" si="65"/>
        <v>37</v>
      </c>
      <c r="AF169" s="24" t="str">
        <f t="shared" si="76"/>
        <v/>
      </c>
      <c r="AG169" s="38">
        <f>+'[1]FA Report'!$D$42</f>
        <v>0.14285714285714288</v>
      </c>
      <c r="AH169" s="24" t="str">
        <f t="shared" si="66"/>
        <v/>
      </c>
      <c r="AI169" s="24" t="str">
        <f t="shared" si="67"/>
        <v/>
      </c>
      <c r="AJ169" s="38">
        <f>+'[1]FA Report'!$D$48</f>
        <v>7.1428571428571438E-2</v>
      </c>
      <c r="AK169" s="24" t="str">
        <f t="shared" si="68"/>
        <v/>
      </c>
      <c r="AL169" s="24" t="str">
        <f t="shared" si="69"/>
        <v/>
      </c>
      <c r="AM169" s="38">
        <f>+'[1]FA Report'!$C$55</f>
        <v>0.4</v>
      </c>
      <c r="AN169" s="24" t="str">
        <f t="shared" si="70"/>
        <v/>
      </c>
      <c r="AO169" s="24" t="str">
        <f t="shared" si="71"/>
        <v/>
      </c>
      <c r="AP169" s="38">
        <f>+'[1]FA Report'!$D$58</f>
        <v>0.2142857142857143</v>
      </c>
      <c r="AQ169" s="24" t="str">
        <f t="shared" si="72"/>
        <v/>
      </c>
      <c r="AR169" s="24" t="str">
        <f t="shared" si="73"/>
        <v/>
      </c>
      <c r="AS169" s="38">
        <f>+'[1]FA Report'!$C$52</f>
        <v>0.3</v>
      </c>
      <c r="AT169" s="24" t="str">
        <f t="shared" si="74"/>
        <v/>
      </c>
      <c r="AU169" s="38" t="str">
        <f t="shared" si="75"/>
        <v/>
      </c>
      <c r="AV169" s="24">
        <v>0.7975000000000001</v>
      </c>
      <c r="AW169">
        <f t="shared" si="77"/>
        <v>0</v>
      </c>
    </row>
    <row r="170" spans="1:49" x14ac:dyDescent="0.35">
      <c r="A170" s="23">
        <v>43718</v>
      </c>
      <c r="AE170">
        <f t="shared" si="65"/>
        <v>37</v>
      </c>
      <c r="AF170" s="24" t="str">
        <f t="shared" si="76"/>
        <v/>
      </c>
      <c r="AG170" s="38">
        <f>+'[1]FA Report'!$D$42</f>
        <v>0.14285714285714288</v>
      </c>
      <c r="AH170" s="24" t="str">
        <f t="shared" si="66"/>
        <v/>
      </c>
      <c r="AI170" s="24" t="str">
        <f t="shared" si="67"/>
        <v/>
      </c>
      <c r="AJ170" s="38">
        <f>+'[1]FA Report'!$D$48</f>
        <v>7.1428571428571438E-2</v>
      </c>
      <c r="AK170" s="24" t="str">
        <f t="shared" si="68"/>
        <v/>
      </c>
      <c r="AL170" s="24" t="str">
        <f t="shared" si="69"/>
        <v/>
      </c>
      <c r="AM170" s="38">
        <f>+'[1]FA Report'!$C$55</f>
        <v>0.4</v>
      </c>
      <c r="AN170" s="24" t="str">
        <f t="shared" si="70"/>
        <v/>
      </c>
      <c r="AO170" s="24" t="str">
        <f t="shared" si="71"/>
        <v/>
      </c>
      <c r="AP170" s="38">
        <f>+'[1]FA Report'!$D$58</f>
        <v>0.2142857142857143</v>
      </c>
      <c r="AQ170" s="24" t="str">
        <f t="shared" si="72"/>
        <v/>
      </c>
      <c r="AR170" s="24" t="str">
        <f t="shared" si="73"/>
        <v/>
      </c>
      <c r="AS170" s="38">
        <f>+'[1]FA Report'!$C$52</f>
        <v>0.3</v>
      </c>
      <c r="AT170" s="24" t="str">
        <f t="shared" si="74"/>
        <v/>
      </c>
      <c r="AU170" s="38" t="str">
        <f t="shared" si="75"/>
        <v/>
      </c>
      <c r="AV170" s="24">
        <v>0.7975000000000001</v>
      </c>
      <c r="AW170">
        <f t="shared" si="77"/>
        <v>0</v>
      </c>
    </row>
    <row r="171" spans="1:49" x14ac:dyDescent="0.35">
      <c r="A171" s="23">
        <v>43719</v>
      </c>
      <c r="AE171">
        <f t="shared" si="65"/>
        <v>37</v>
      </c>
      <c r="AF171" s="24" t="str">
        <f t="shared" si="76"/>
        <v/>
      </c>
      <c r="AG171" s="38">
        <f>+'[1]FA Report'!$D$42</f>
        <v>0.14285714285714288</v>
      </c>
      <c r="AH171" s="24" t="str">
        <f t="shared" si="66"/>
        <v/>
      </c>
      <c r="AI171" s="24" t="str">
        <f t="shared" si="67"/>
        <v/>
      </c>
      <c r="AJ171" s="38">
        <f>+'[1]FA Report'!$D$48</f>
        <v>7.1428571428571438E-2</v>
      </c>
      <c r="AK171" s="24" t="str">
        <f t="shared" si="68"/>
        <v/>
      </c>
      <c r="AL171" s="24" t="str">
        <f t="shared" si="69"/>
        <v/>
      </c>
      <c r="AM171" s="38">
        <f>+'[1]FA Report'!$C$55</f>
        <v>0.4</v>
      </c>
      <c r="AN171" s="24" t="str">
        <f t="shared" si="70"/>
        <v/>
      </c>
      <c r="AO171" s="24" t="str">
        <f t="shared" si="71"/>
        <v/>
      </c>
      <c r="AP171" s="38">
        <f>+'[1]FA Report'!$D$58</f>
        <v>0.2142857142857143</v>
      </c>
      <c r="AQ171" s="24" t="str">
        <f t="shared" si="72"/>
        <v/>
      </c>
      <c r="AR171" s="24" t="str">
        <f t="shared" si="73"/>
        <v/>
      </c>
      <c r="AS171" s="38">
        <f>+'[1]FA Report'!$C$52</f>
        <v>0.3</v>
      </c>
      <c r="AT171" s="24" t="str">
        <f t="shared" si="74"/>
        <v/>
      </c>
      <c r="AU171" s="38" t="str">
        <f t="shared" si="75"/>
        <v/>
      </c>
      <c r="AV171" s="24">
        <v>0.7975000000000001</v>
      </c>
      <c r="AW171">
        <f t="shared" si="77"/>
        <v>0</v>
      </c>
    </row>
    <row r="172" spans="1:49" x14ac:dyDescent="0.35">
      <c r="A172" s="23">
        <v>43720</v>
      </c>
      <c r="AE172">
        <f t="shared" si="65"/>
        <v>37</v>
      </c>
      <c r="AF172" s="24" t="str">
        <f t="shared" si="76"/>
        <v/>
      </c>
      <c r="AG172" s="38">
        <f>+'[1]FA Report'!$D$42</f>
        <v>0.14285714285714288</v>
      </c>
      <c r="AH172" s="24" t="str">
        <f t="shared" si="66"/>
        <v/>
      </c>
      <c r="AI172" s="24" t="str">
        <f t="shared" si="67"/>
        <v/>
      </c>
      <c r="AJ172" s="38">
        <f>+'[1]FA Report'!$D$48</f>
        <v>7.1428571428571438E-2</v>
      </c>
      <c r="AK172" s="24" t="str">
        <f t="shared" si="68"/>
        <v/>
      </c>
      <c r="AL172" s="24" t="str">
        <f t="shared" si="69"/>
        <v/>
      </c>
      <c r="AM172" s="38">
        <f>+'[1]FA Report'!$C$55</f>
        <v>0.4</v>
      </c>
      <c r="AN172" s="24" t="str">
        <f t="shared" si="70"/>
        <v/>
      </c>
      <c r="AO172" s="24" t="str">
        <f t="shared" si="71"/>
        <v/>
      </c>
      <c r="AP172" s="38">
        <f>+'[1]FA Report'!$D$58</f>
        <v>0.2142857142857143</v>
      </c>
      <c r="AQ172" s="24" t="str">
        <f t="shared" si="72"/>
        <v/>
      </c>
      <c r="AR172" s="24" t="str">
        <f t="shared" si="73"/>
        <v/>
      </c>
      <c r="AS172" s="38">
        <f>+'[1]FA Report'!$C$52</f>
        <v>0.3</v>
      </c>
      <c r="AT172" s="24" t="str">
        <f t="shared" si="74"/>
        <v/>
      </c>
      <c r="AU172" s="38" t="str">
        <f t="shared" si="75"/>
        <v/>
      </c>
      <c r="AV172" s="24">
        <v>0.7975000000000001</v>
      </c>
      <c r="AW172">
        <f t="shared" si="77"/>
        <v>0</v>
      </c>
    </row>
    <row r="173" spans="1:49" x14ac:dyDescent="0.35">
      <c r="A173" s="23">
        <v>43721</v>
      </c>
      <c r="AE173">
        <f t="shared" si="65"/>
        <v>37</v>
      </c>
      <c r="AF173" s="24" t="str">
        <f t="shared" si="76"/>
        <v/>
      </c>
      <c r="AG173" s="38">
        <f>+'[1]FA Report'!$D$42</f>
        <v>0.14285714285714288</v>
      </c>
      <c r="AH173" s="24" t="str">
        <f t="shared" si="66"/>
        <v/>
      </c>
      <c r="AI173" s="24" t="str">
        <f t="shared" si="67"/>
        <v/>
      </c>
      <c r="AJ173" s="38">
        <f>+'[1]FA Report'!$D$48</f>
        <v>7.1428571428571438E-2</v>
      </c>
      <c r="AK173" s="24" t="str">
        <f t="shared" si="68"/>
        <v/>
      </c>
      <c r="AL173" s="24" t="str">
        <f t="shared" si="69"/>
        <v/>
      </c>
      <c r="AM173" s="38">
        <f>+'[1]FA Report'!$C$55</f>
        <v>0.4</v>
      </c>
      <c r="AN173" s="24" t="str">
        <f t="shared" si="70"/>
        <v/>
      </c>
      <c r="AO173" s="24" t="str">
        <f t="shared" si="71"/>
        <v/>
      </c>
      <c r="AP173" s="38">
        <f>+'[1]FA Report'!$D$58</f>
        <v>0.2142857142857143</v>
      </c>
      <c r="AQ173" s="24" t="str">
        <f t="shared" si="72"/>
        <v/>
      </c>
      <c r="AR173" s="24" t="str">
        <f t="shared" si="73"/>
        <v/>
      </c>
      <c r="AS173" s="38">
        <f>+'[1]FA Report'!$C$52</f>
        <v>0.3</v>
      </c>
      <c r="AT173" s="24" t="str">
        <f t="shared" si="74"/>
        <v/>
      </c>
      <c r="AU173" s="38" t="str">
        <f t="shared" si="75"/>
        <v/>
      </c>
      <c r="AV173" s="24">
        <v>0.7975000000000001</v>
      </c>
      <c r="AW173">
        <f t="shared" si="77"/>
        <v>0</v>
      </c>
    </row>
    <row r="174" spans="1:49" x14ac:dyDescent="0.35">
      <c r="A174" s="23">
        <v>43722</v>
      </c>
      <c r="AE174">
        <f t="shared" si="65"/>
        <v>37</v>
      </c>
      <c r="AF174" s="24" t="str">
        <f t="shared" si="76"/>
        <v/>
      </c>
      <c r="AG174" s="38">
        <f>+'[1]FA Report'!$D$42</f>
        <v>0.14285714285714288</v>
      </c>
      <c r="AH174" s="24" t="str">
        <f t="shared" si="66"/>
        <v/>
      </c>
      <c r="AI174" s="24" t="str">
        <f t="shared" si="67"/>
        <v/>
      </c>
      <c r="AJ174" s="38">
        <f>+'[1]FA Report'!$D$48</f>
        <v>7.1428571428571438E-2</v>
      </c>
      <c r="AK174" s="24" t="str">
        <f t="shared" si="68"/>
        <v/>
      </c>
      <c r="AL174" s="24" t="str">
        <f t="shared" si="69"/>
        <v/>
      </c>
      <c r="AM174" s="38">
        <f>+'[1]FA Report'!$C$55</f>
        <v>0.4</v>
      </c>
      <c r="AN174" s="24" t="str">
        <f t="shared" si="70"/>
        <v/>
      </c>
      <c r="AO174" s="24" t="str">
        <f t="shared" si="71"/>
        <v/>
      </c>
      <c r="AP174" s="38">
        <f>+'[1]FA Report'!$D$58</f>
        <v>0.2142857142857143</v>
      </c>
      <c r="AQ174" s="24" t="str">
        <f t="shared" si="72"/>
        <v/>
      </c>
      <c r="AR174" s="24" t="str">
        <f t="shared" si="73"/>
        <v/>
      </c>
      <c r="AS174" s="38">
        <f>+'[1]FA Report'!$C$52</f>
        <v>0.3</v>
      </c>
      <c r="AT174" s="24" t="str">
        <f t="shared" si="74"/>
        <v/>
      </c>
      <c r="AU174" s="38" t="str">
        <f t="shared" si="75"/>
        <v/>
      </c>
      <c r="AV174" s="24">
        <v>0.7975000000000001</v>
      </c>
      <c r="AW174">
        <f t="shared" si="77"/>
        <v>0</v>
      </c>
    </row>
    <row r="175" spans="1:49" x14ac:dyDescent="0.35">
      <c r="A175" s="23">
        <v>43723</v>
      </c>
      <c r="AE175">
        <f t="shared" si="65"/>
        <v>38</v>
      </c>
      <c r="AF175" s="24" t="str">
        <f t="shared" si="76"/>
        <v/>
      </c>
      <c r="AG175" s="38">
        <f>+'[1]FA Report'!$D$42</f>
        <v>0.14285714285714288</v>
      </c>
      <c r="AH175" s="24" t="str">
        <f t="shared" si="66"/>
        <v/>
      </c>
      <c r="AI175" s="24" t="str">
        <f t="shared" si="67"/>
        <v/>
      </c>
      <c r="AJ175" s="38">
        <f>+'[1]FA Report'!$D$48</f>
        <v>7.1428571428571438E-2</v>
      </c>
      <c r="AK175" s="24" t="str">
        <f t="shared" si="68"/>
        <v/>
      </c>
      <c r="AL175" s="24" t="str">
        <f t="shared" si="69"/>
        <v/>
      </c>
      <c r="AM175" s="38">
        <f>+'[1]FA Report'!$C$55</f>
        <v>0.4</v>
      </c>
      <c r="AN175" s="24" t="str">
        <f t="shared" si="70"/>
        <v/>
      </c>
      <c r="AO175" s="24" t="str">
        <f t="shared" si="71"/>
        <v/>
      </c>
      <c r="AP175" s="38">
        <f>+'[1]FA Report'!$D$58</f>
        <v>0.2142857142857143</v>
      </c>
      <c r="AQ175" s="24" t="str">
        <f t="shared" si="72"/>
        <v/>
      </c>
      <c r="AR175" s="24" t="str">
        <f t="shared" si="73"/>
        <v/>
      </c>
      <c r="AS175" s="38">
        <f>+'[1]FA Report'!$C$52</f>
        <v>0.3</v>
      </c>
      <c r="AT175" s="24" t="str">
        <f t="shared" si="74"/>
        <v/>
      </c>
      <c r="AU175" s="38" t="str">
        <f t="shared" si="75"/>
        <v/>
      </c>
      <c r="AV175" s="24">
        <v>0.8650000000000001</v>
      </c>
      <c r="AW175">
        <f t="shared" si="77"/>
        <v>1</v>
      </c>
    </row>
    <row r="176" spans="1:49" x14ac:dyDescent="0.35">
      <c r="A176" s="23">
        <v>43724</v>
      </c>
      <c r="AE176">
        <f t="shared" si="65"/>
        <v>38</v>
      </c>
      <c r="AF176" s="24" t="str">
        <f t="shared" si="76"/>
        <v/>
      </c>
      <c r="AG176" s="38">
        <f>+'[1]FA Report'!$D$42</f>
        <v>0.14285714285714288</v>
      </c>
      <c r="AH176" s="24" t="str">
        <f t="shared" si="66"/>
        <v/>
      </c>
      <c r="AI176" s="24" t="str">
        <f t="shared" si="67"/>
        <v/>
      </c>
      <c r="AJ176" s="38">
        <f>+'[1]FA Report'!$D$48</f>
        <v>7.1428571428571438E-2</v>
      </c>
      <c r="AK176" s="24" t="str">
        <f t="shared" si="68"/>
        <v/>
      </c>
      <c r="AL176" s="24" t="str">
        <f t="shared" si="69"/>
        <v/>
      </c>
      <c r="AM176" s="38">
        <f>+'[1]FA Report'!$C$55</f>
        <v>0.4</v>
      </c>
      <c r="AN176" s="24" t="str">
        <f t="shared" si="70"/>
        <v/>
      </c>
      <c r="AO176" s="24" t="str">
        <f t="shared" si="71"/>
        <v/>
      </c>
      <c r="AP176" s="38">
        <f>+'[1]FA Report'!$D$58</f>
        <v>0.2142857142857143</v>
      </c>
      <c r="AQ176" s="24" t="str">
        <f t="shared" si="72"/>
        <v/>
      </c>
      <c r="AR176" s="24" t="str">
        <f t="shared" si="73"/>
        <v/>
      </c>
      <c r="AS176" s="38">
        <f>+'[1]FA Report'!$C$52</f>
        <v>0.3</v>
      </c>
      <c r="AT176" s="24" t="str">
        <f t="shared" si="74"/>
        <v/>
      </c>
      <c r="AU176" s="38" t="str">
        <f t="shared" si="75"/>
        <v/>
      </c>
      <c r="AV176" s="24">
        <v>0.8650000000000001</v>
      </c>
      <c r="AW176">
        <f t="shared" si="77"/>
        <v>0</v>
      </c>
    </row>
    <row r="177" spans="1:49" x14ac:dyDescent="0.35">
      <c r="A177" s="23">
        <v>43725</v>
      </c>
      <c r="AE177">
        <f t="shared" si="65"/>
        <v>38</v>
      </c>
      <c r="AF177" s="24" t="str">
        <f t="shared" si="76"/>
        <v/>
      </c>
      <c r="AG177" s="38">
        <f>+'[1]FA Report'!$D$42</f>
        <v>0.14285714285714288</v>
      </c>
      <c r="AH177" s="24" t="str">
        <f t="shared" si="66"/>
        <v/>
      </c>
      <c r="AI177" s="24" t="str">
        <f t="shared" si="67"/>
        <v/>
      </c>
      <c r="AJ177" s="38">
        <f>+'[1]FA Report'!$D$48</f>
        <v>7.1428571428571438E-2</v>
      </c>
      <c r="AK177" s="24" t="str">
        <f t="shared" si="68"/>
        <v/>
      </c>
      <c r="AL177" s="24" t="str">
        <f t="shared" si="69"/>
        <v/>
      </c>
      <c r="AM177" s="38">
        <f>+'[1]FA Report'!$C$55</f>
        <v>0.4</v>
      </c>
      <c r="AN177" s="24" t="str">
        <f t="shared" si="70"/>
        <v/>
      </c>
      <c r="AO177" s="24" t="str">
        <f t="shared" si="71"/>
        <v/>
      </c>
      <c r="AP177" s="38">
        <f>+'[1]FA Report'!$D$58</f>
        <v>0.2142857142857143</v>
      </c>
      <c r="AQ177" s="24" t="str">
        <f t="shared" si="72"/>
        <v/>
      </c>
      <c r="AR177" s="24" t="str">
        <f t="shared" si="73"/>
        <v/>
      </c>
      <c r="AS177" s="38">
        <f>+'[1]FA Report'!$C$52</f>
        <v>0.3</v>
      </c>
      <c r="AT177" s="24" t="str">
        <f t="shared" si="74"/>
        <v/>
      </c>
      <c r="AU177" s="38" t="str">
        <f t="shared" si="75"/>
        <v/>
      </c>
      <c r="AV177" s="24">
        <v>0.8650000000000001</v>
      </c>
      <c r="AW177">
        <f t="shared" si="77"/>
        <v>0</v>
      </c>
    </row>
    <row r="178" spans="1:49" x14ac:dyDescent="0.35">
      <c r="A178" s="23">
        <v>43726</v>
      </c>
      <c r="AE178">
        <f t="shared" si="65"/>
        <v>38</v>
      </c>
      <c r="AF178" s="24" t="str">
        <f t="shared" si="76"/>
        <v/>
      </c>
      <c r="AG178" s="38">
        <f>+'[1]FA Report'!$D$42</f>
        <v>0.14285714285714288</v>
      </c>
      <c r="AH178" s="24" t="str">
        <f t="shared" si="66"/>
        <v/>
      </c>
      <c r="AI178" s="24" t="str">
        <f t="shared" si="67"/>
        <v/>
      </c>
      <c r="AJ178" s="38">
        <f>+'[1]FA Report'!$D$48</f>
        <v>7.1428571428571438E-2</v>
      </c>
      <c r="AK178" s="24" t="str">
        <f t="shared" si="68"/>
        <v/>
      </c>
      <c r="AL178" s="24" t="str">
        <f t="shared" si="69"/>
        <v/>
      </c>
      <c r="AM178" s="38">
        <f>+'[1]FA Report'!$C$55</f>
        <v>0.4</v>
      </c>
      <c r="AN178" s="24" t="str">
        <f t="shared" si="70"/>
        <v/>
      </c>
      <c r="AO178" s="24" t="str">
        <f t="shared" si="71"/>
        <v/>
      </c>
      <c r="AP178" s="38">
        <f>+'[1]FA Report'!$D$58</f>
        <v>0.2142857142857143</v>
      </c>
      <c r="AQ178" s="24" t="str">
        <f t="shared" si="72"/>
        <v/>
      </c>
      <c r="AR178" s="24" t="str">
        <f t="shared" si="73"/>
        <v/>
      </c>
      <c r="AS178" s="38">
        <f>+'[1]FA Report'!$C$52</f>
        <v>0.3</v>
      </c>
      <c r="AT178" s="24" t="str">
        <f t="shared" si="74"/>
        <v/>
      </c>
      <c r="AU178" s="38" t="str">
        <f t="shared" si="75"/>
        <v/>
      </c>
      <c r="AV178" s="24">
        <v>0.8650000000000001</v>
      </c>
      <c r="AW178">
        <f t="shared" si="77"/>
        <v>0</v>
      </c>
    </row>
    <row r="179" spans="1:49" x14ac:dyDescent="0.35">
      <c r="A179" s="23">
        <v>43727</v>
      </c>
      <c r="AE179">
        <f t="shared" si="65"/>
        <v>38</v>
      </c>
      <c r="AF179" s="24" t="str">
        <f t="shared" si="76"/>
        <v/>
      </c>
      <c r="AG179" s="38">
        <f>+'[1]FA Report'!$D$42</f>
        <v>0.14285714285714288</v>
      </c>
      <c r="AH179" s="24" t="str">
        <f t="shared" si="66"/>
        <v/>
      </c>
      <c r="AI179" s="24" t="str">
        <f t="shared" si="67"/>
        <v/>
      </c>
      <c r="AJ179" s="38">
        <f>+'[1]FA Report'!$D$48</f>
        <v>7.1428571428571438E-2</v>
      </c>
      <c r="AK179" s="24" t="str">
        <f t="shared" si="68"/>
        <v/>
      </c>
      <c r="AL179" s="24" t="str">
        <f t="shared" si="69"/>
        <v/>
      </c>
      <c r="AM179" s="38">
        <f>+'[1]FA Report'!$C$55</f>
        <v>0.4</v>
      </c>
      <c r="AN179" s="24" t="str">
        <f t="shared" si="70"/>
        <v/>
      </c>
      <c r="AO179" s="24" t="str">
        <f t="shared" si="71"/>
        <v/>
      </c>
      <c r="AP179" s="38">
        <f>+'[1]FA Report'!$D$58</f>
        <v>0.2142857142857143</v>
      </c>
      <c r="AQ179" s="24" t="str">
        <f t="shared" si="72"/>
        <v/>
      </c>
      <c r="AR179" s="24" t="str">
        <f t="shared" si="73"/>
        <v/>
      </c>
      <c r="AS179" s="38">
        <f>+'[1]FA Report'!$C$52</f>
        <v>0.3</v>
      </c>
      <c r="AT179" s="24" t="str">
        <f t="shared" si="74"/>
        <v/>
      </c>
      <c r="AU179" s="38" t="str">
        <f t="shared" si="75"/>
        <v/>
      </c>
      <c r="AV179" s="24">
        <v>0.8650000000000001</v>
      </c>
      <c r="AW179">
        <f t="shared" si="77"/>
        <v>0</v>
      </c>
    </row>
    <row r="180" spans="1:49" x14ac:dyDescent="0.35">
      <c r="A180" s="23">
        <v>43728</v>
      </c>
      <c r="AE180">
        <f t="shared" si="65"/>
        <v>38</v>
      </c>
      <c r="AF180" s="24" t="str">
        <f t="shared" si="76"/>
        <v/>
      </c>
      <c r="AG180" s="38">
        <f>+'[1]FA Report'!$D$42</f>
        <v>0.14285714285714288</v>
      </c>
      <c r="AH180" s="24" t="str">
        <f t="shared" si="66"/>
        <v/>
      </c>
      <c r="AI180" s="24" t="str">
        <f t="shared" si="67"/>
        <v/>
      </c>
      <c r="AJ180" s="38">
        <f>+'[1]FA Report'!$D$48</f>
        <v>7.1428571428571438E-2</v>
      </c>
      <c r="AK180" s="24" t="str">
        <f t="shared" si="68"/>
        <v/>
      </c>
      <c r="AL180" s="24" t="str">
        <f t="shared" si="69"/>
        <v/>
      </c>
      <c r="AM180" s="38">
        <f>+'[1]FA Report'!$C$55</f>
        <v>0.4</v>
      </c>
      <c r="AN180" s="24" t="str">
        <f t="shared" si="70"/>
        <v/>
      </c>
      <c r="AO180" s="24" t="str">
        <f t="shared" si="71"/>
        <v/>
      </c>
      <c r="AP180" s="38">
        <f>+'[1]FA Report'!$D$58</f>
        <v>0.2142857142857143</v>
      </c>
      <c r="AQ180" s="24" t="str">
        <f t="shared" si="72"/>
        <v/>
      </c>
      <c r="AR180" s="24" t="str">
        <f t="shared" si="73"/>
        <v/>
      </c>
      <c r="AS180" s="38">
        <f>+'[1]FA Report'!$C$52</f>
        <v>0.3</v>
      </c>
      <c r="AT180" s="24" t="str">
        <f t="shared" si="74"/>
        <v/>
      </c>
      <c r="AU180" s="38" t="str">
        <f t="shared" si="75"/>
        <v/>
      </c>
      <c r="AV180" s="24">
        <v>0.8650000000000001</v>
      </c>
      <c r="AW180">
        <f t="shared" si="77"/>
        <v>0</v>
      </c>
    </row>
    <row r="181" spans="1:49" x14ac:dyDescent="0.35">
      <c r="A181" s="23">
        <v>43729</v>
      </c>
      <c r="AE181">
        <f t="shared" si="65"/>
        <v>38</v>
      </c>
      <c r="AF181" s="24" t="str">
        <f t="shared" si="76"/>
        <v/>
      </c>
      <c r="AG181" s="38">
        <f>+'[1]FA Report'!$D$42</f>
        <v>0.14285714285714288</v>
      </c>
      <c r="AH181" s="24" t="str">
        <f t="shared" si="66"/>
        <v/>
      </c>
      <c r="AI181" s="24" t="str">
        <f t="shared" si="67"/>
        <v/>
      </c>
      <c r="AJ181" s="38">
        <f>+'[1]FA Report'!$D$48</f>
        <v>7.1428571428571438E-2</v>
      </c>
      <c r="AK181" s="24" t="str">
        <f t="shared" si="68"/>
        <v/>
      </c>
      <c r="AL181" s="24" t="str">
        <f t="shared" si="69"/>
        <v/>
      </c>
      <c r="AM181" s="38">
        <f>+'[1]FA Report'!$C$55</f>
        <v>0.4</v>
      </c>
      <c r="AN181" s="24" t="str">
        <f t="shared" si="70"/>
        <v/>
      </c>
      <c r="AO181" s="24" t="str">
        <f t="shared" si="71"/>
        <v/>
      </c>
      <c r="AP181" s="38">
        <f>+'[1]FA Report'!$D$58</f>
        <v>0.2142857142857143</v>
      </c>
      <c r="AQ181" s="24" t="str">
        <f t="shared" si="72"/>
        <v/>
      </c>
      <c r="AR181" s="24" t="str">
        <f t="shared" si="73"/>
        <v/>
      </c>
      <c r="AS181" s="38">
        <f>+'[1]FA Report'!$C$52</f>
        <v>0.3</v>
      </c>
      <c r="AT181" s="24" t="str">
        <f t="shared" si="74"/>
        <v/>
      </c>
      <c r="AU181" s="38" t="str">
        <f t="shared" si="75"/>
        <v/>
      </c>
      <c r="AV181" s="24">
        <v>0.8650000000000001</v>
      </c>
      <c r="AW181">
        <f t="shared" si="77"/>
        <v>0</v>
      </c>
    </row>
    <row r="182" spans="1:49" x14ac:dyDescent="0.35">
      <c r="A182" s="23">
        <v>43730</v>
      </c>
      <c r="AE182">
        <f t="shared" si="65"/>
        <v>39</v>
      </c>
      <c r="AF182" s="24" t="str">
        <f t="shared" si="76"/>
        <v/>
      </c>
      <c r="AG182" s="38">
        <f>+'[1]FA Report'!$D$42</f>
        <v>0.14285714285714288</v>
      </c>
      <c r="AH182" s="24" t="str">
        <f t="shared" si="66"/>
        <v/>
      </c>
      <c r="AI182" s="24" t="str">
        <f t="shared" si="67"/>
        <v/>
      </c>
      <c r="AJ182" s="38">
        <f>+'[1]FA Report'!$D$48</f>
        <v>7.1428571428571438E-2</v>
      </c>
      <c r="AK182" s="24" t="str">
        <f t="shared" si="68"/>
        <v/>
      </c>
      <c r="AL182" s="24" t="str">
        <f t="shared" si="69"/>
        <v/>
      </c>
      <c r="AM182" s="38">
        <f>+'[1]FA Report'!$C$55</f>
        <v>0.4</v>
      </c>
      <c r="AN182" s="24" t="str">
        <f t="shared" si="70"/>
        <v/>
      </c>
      <c r="AO182" s="24" t="str">
        <f t="shared" si="71"/>
        <v/>
      </c>
      <c r="AP182" s="38">
        <f>+'[1]FA Report'!$D$58</f>
        <v>0.2142857142857143</v>
      </c>
      <c r="AQ182" s="24" t="str">
        <f t="shared" si="72"/>
        <v/>
      </c>
      <c r="AR182" s="24" t="str">
        <f t="shared" si="73"/>
        <v/>
      </c>
      <c r="AS182" s="38">
        <f>+'[1]FA Report'!$C$52</f>
        <v>0.3</v>
      </c>
      <c r="AT182" s="24" t="str">
        <f t="shared" si="74"/>
        <v/>
      </c>
      <c r="AU182" s="38" t="str">
        <f t="shared" si="75"/>
        <v/>
      </c>
      <c r="AV182" s="24">
        <v>0.93250000000000011</v>
      </c>
      <c r="AW182">
        <f t="shared" si="77"/>
        <v>1</v>
      </c>
    </row>
    <row r="183" spans="1:49" x14ac:dyDescent="0.35">
      <c r="A183" s="23">
        <v>43731</v>
      </c>
      <c r="AE183">
        <f t="shared" si="65"/>
        <v>39</v>
      </c>
      <c r="AF183" s="24" t="str">
        <f t="shared" si="76"/>
        <v/>
      </c>
      <c r="AG183" s="38">
        <f>+'[1]FA Report'!$D$42</f>
        <v>0.14285714285714288</v>
      </c>
      <c r="AH183" s="24" t="str">
        <f t="shared" si="66"/>
        <v/>
      </c>
      <c r="AI183" s="24" t="str">
        <f t="shared" si="67"/>
        <v/>
      </c>
      <c r="AJ183" s="38">
        <f>+'[1]FA Report'!$D$48</f>
        <v>7.1428571428571438E-2</v>
      </c>
      <c r="AK183" s="24" t="str">
        <f t="shared" si="68"/>
        <v/>
      </c>
      <c r="AL183" s="24" t="str">
        <f t="shared" si="69"/>
        <v/>
      </c>
      <c r="AM183" s="38">
        <f>+'[1]FA Report'!$C$55</f>
        <v>0.4</v>
      </c>
      <c r="AN183" s="24" t="str">
        <f t="shared" si="70"/>
        <v/>
      </c>
      <c r="AO183" s="24" t="str">
        <f t="shared" si="71"/>
        <v/>
      </c>
      <c r="AP183" s="38">
        <f>+'[1]FA Report'!$D$58</f>
        <v>0.2142857142857143</v>
      </c>
      <c r="AQ183" s="24" t="str">
        <f t="shared" si="72"/>
        <v/>
      </c>
      <c r="AR183" s="24" t="str">
        <f t="shared" si="73"/>
        <v/>
      </c>
      <c r="AS183" s="38">
        <f>+'[1]FA Report'!$C$52</f>
        <v>0.3</v>
      </c>
      <c r="AT183" s="24" t="str">
        <f t="shared" si="74"/>
        <v/>
      </c>
      <c r="AU183" s="38" t="str">
        <f t="shared" si="75"/>
        <v/>
      </c>
      <c r="AV183" s="24">
        <v>0.93250000000000011</v>
      </c>
      <c r="AW183">
        <f t="shared" si="77"/>
        <v>0</v>
      </c>
    </row>
    <row r="184" spans="1:49" x14ac:dyDescent="0.35">
      <c r="A184" s="23">
        <v>43732</v>
      </c>
      <c r="AE184">
        <f t="shared" si="65"/>
        <v>39</v>
      </c>
      <c r="AF184" s="24" t="str">
        <f t="shared" si="76"/>
        <v/>
      </c>
      <c r="AG184" s="38">
        <f>+'[1]FA Report'!$D$42</f>
        <v>0.14285714285714288</v>
      </c>
      <c r="AH184" s="24" t="str">
        <f t="shared" si="66"/>
        <v/>
      </c>
      <c r="AI184" s="24" t="str">
        <f t="shared" si="67"/>
        <v/>
      </c>
      <c r="AJ184" s="38">
        <f>+'[1]FA Report'!$D$48</f>
        <v>7.1428571428571438E-2</v>
      </c>
      <c r="AK184" s="24" t="str">
        <f t="shared" si="68"/>
        <v/>
      </c>
      <c r="AL184" s="24" t="str">
        <f t="shared" si="69"/>
        <v/>
      </c>
      <c r="AM184" s="38">
        <f>+'[1]FA Report'!$C$55</f>
        <v>0.4</v>
      </c>
      <c r="AN184" s="24" t="str">
        <f t="shared" si="70"/>
        <v/>
      </c>
      <c r="AO184" s="24" t="str">
        <f t="shared" si="71"/>
        <v/>
      </c>
      <c r="AP184" s="38">
        <f>+'[1]FA Report'!$D$58</f>
        <v>0.2142857142857143</v>
      </c>
      <c r="AQ184" s="24" t="str">
        <f t="shared" si="72"/>
        <v/>
      </c>
      <c r="AR184" s="24" t="str">
        <f t="shared" si="73"/>
        <v/>
      </c>
      <c r="AS184" s="38">
        <f>+'[1]FA Report'!$C$52</f>
        <v>0.3</v>
      </c>
      <c r="AT184" s="24" t="str">
        <f t="shared" si="74"/>
        <v/>
      </c>
      <c r="AU184" s="38" t="str">
        <f t="shared" si="75"/>
        <v/>
      </c>
      <c r="AV184" s="24">
        <v>0.93250000000000011</v>
      </c>
      <c r="AW184">
        <f t="shared" si="77"/>
        <v>0</v>
      </c>
    </row>
    <row r="185" spans="1:49" x14ac:dyDescent="0.35">
      <c r="A185" s="23">
        <v>43733</v>
      </c>
      <c r="AE185">
        <f t="shared" si="65"/>
        <v>39</v>
      </c>
      <c r="AF185" s="24" t="str">
        <f t="shared" si="76"/>
        <v/>
      </c>
      <c r="AG185" s="38">
        <f>+'[1]FA Report'!$D$42</f>
        <v>0.14285714285714288</v>
      </c>
      <c r="AH185" s="24" t="str">
        <f t="shared" si="66"/>
        <v/>
      </c>
      <c r="AI185" s="24" t="str">
        <f t="shared" si="67"/>
        <v/>
      </c>
      <c r="AJ185" s="38">
        <f>+'[1]FA Report'!$D$48</f>
        <v>7.1428571428571438E-2</v>
      </c>
      <c r="AK185" s="24" t="str">
        <f t="shared" si="68"/>
        <v/>
      </c>
      <c r="AL185" s="24" t="str">
        <f t="shared" si="69"/>
        <v/>
      </c>
      <c r="AM185" s="38">
        <f>+'[1]FA Report'!$C$55</f>
        <v>0.4</v>
      </c>
      <c r="AN185" s="24" t="str">
        <f t="shared" si="70"/>
        <v/>
      </c>
      <c r="AO185" s="24" t="str">
        <f t="shared" si="71"/>
        <v/>
      </c>
      <c r="AP185" s="38">
        <f>+'[1]FA Report'!$D$58</f>
        <v>0.2142857142857143</v>
      </c>
      <c r="AQ185" s="24" t="str">
        <f t="shared" si="72"/>
        <v/>
      </c>
      <c r="AR185" s="24" t="str">
        <f t="shared" si="73"/>
        <v/>
      </c>
      <c r="AS185" s="38">
        <f>+'[1]FA Report'!$C$52</f>
        <v>0.3</v>
      </c>
      <c r="AT185" s="24" t="str">
        <f t="shared" si="74"/>
        <v/>
      </c>
      <c r="AU185" s="38" t="str">
        <f t="shared" si="75"/>
        <v/>
      </c>
      <c r="AV185" s="24">
        <v>0.93250000000000011</v>
      </c>
      <c r="AW185">
        <f t="shared" si="77"/>
        <v>0</v>
      </c>
    </row>
    <row r="186" spans="1:49" x14ac:dyDescent="0.35">
      <c r="A186" s="23">
        <v>43734</v>
      </c>
      <c r="AE186">
        <f t="shared" si="65"/>
        <v>39</v>
      </c>
      <c r="AF186" s="24" t="str">
        <f t="shared" si="76"/>
        <v/>
      </c>
      <c r="AG186" s="38">
        <f>+'[1]FA Report'!$D$42</f>
        <v>0.14285714285714288</v>
      </c>
      <c r="AH186" s="24" t="str">
        <f t="shared" si="66"/>
        <v/>
      </c>
      <c r="AI186" s="24" t="str">
        <f t="shared" si="67"/>
        <v/>
      </c>
      <c r="AJ186" s="38">
        <f>+'[1]FA Report'!$D$48</f>
        <v>7.1428571428571438E-2</v>
      </c>
      <c r="AK186" s="24" t="str">
        <f t="shared" si="68"/>
        <v/>
      </c>
      <c r="AL186" s="24" t="str">
        <f t="shared" si="69"/>
        <v/>
      </c>
      <c r="AM186" s="38">
        <f>+'[1]FA Report'!$C$55</f>
        <v>0.4</v>
      </c>
      <c r="AN186" s="24" t="str">
        <f t="shared" si="70"/>
        <v/>
      </c>
      <c r="AO186" s="24" t="str">
        <f t="shared" si="71"/>
        <v/>
      </c>
      <c r="AP186" s="38">
        <f>+'[1]FA Report'!$D$58</f>
        <v>0.2142857142857143</v>
      </c>
      <c r="AQ186" s="24" t="str">
        <f t="shared" si="72"/>
        <v/>
      </c>
      <c r="AR186" s="24" t="str">
        <f t="shared" si="73"/>
        <v/>
      </c>
      <c r="AS186" s="38">
        <f>+'[1]FA Report'!$C$52</f>
        <v>0.3</v>
      </c>
      <c r="AT186" s="24" t="str">
        <f t="shared" si="74"/>
        <v/>
      </c>
      <c r="AU186" s="38" t="str">
        <f t="shared" si="75"/>
        <v/>
      </c>
      <c r="AV186" s="24">
        <v>0.93250000000000011</v>
      </c>
      <c r="AW186">
        <f t="shared" si="77"/>
        <v>0</v>
      </c>
    </row>
    <row r="187" spans="1:49" x14ac:dyDescent="0.35">
      <c r="A187" s="23">
        <v>43735</v>
      </c>
      <c r="AE187">
        <f t="shared" si="65"/>
        <v>39</v>
      </c>
      <c r="AF187" s="24" t="str">
        <f t="shared" si="76"/>
        <v/>
      </c>
      <c r="AG187" s="38">
        <f>+'[1]FA Report'!$D$42</f>
        <v>0.14285714285714288</v>
      </c>
      <c r="AH187" s="24" t="str">
        <f t="shared" si="66"/>
        <v/>
      </c>
      <c r="AI187" s="24" t="str">
        <f t="shared" si="67"/>
        <v/>
      </c>
      <c r="AJ187" s="38">
        <f>+'[1]FA Report'!$D$48</f>
        <v>7.1428571428571438E-2</v>
      </c>
      <c r="AK187" s="24" t="str">
        <f t="shared" si="68"/>
        <v/>
      </c>
      <c r="AL187" s="24" t="str">
        <f t="shared" si="69"/>
        <v/>
      </c>
      <c r="AM187" s="38">
        <f>+'[1]FA Report'!$C$55</f>
        <v>0.4</v>
      </c>
      <c r="AN187" s="24" t="str">
        <f t="shared" si="70"/>
        <v/>
      </c>
      <c r="AO187" s="24" t="str">
        <f t="shared" si="71"/>
        <v/>
      </c>
      <c r="AP187" s="38">
        <f>+'[1]FA Report'!$D$58</f>
        <v>0.2142857142857143</v>
      </c>
      <c r="AQ187" s="24" t="str">
        <f t="shared" si="72"/>
        <v/>
      </c>
      <c r="AR187" s="24" t="str">
        <f t="shared" si="73"/>
        <v/>
      </c>
      <c r="AS187" s="38">
        <f>+'[1]FA Report'!$C$52</f>
        <v>0.3</v>
      </c>
      <c r="AT187" s="24" t="str">
        <f t="shared" si="74"/>
        <v/>
      </c>
      <c r="AU187" s="38" t="str">
        <f t="shared" si="75"/>
        <v/>
      </c>
      <c r="AV187" s="24">
        <v>0.93250000000000011</v>
      </c>
      <c r="AW187">
        <f t="shared" si="77"/>
        <v>0</v>
      </c>
    </row>
    <row r="188" spans="1:49" x14ac:dyDescent="0.35">
      <c r="A188" s="23">
        <v>43736</v>
      </c>
      <c r="AE188">
        <f t="shared" si="65"/>
        <v>39</v>
      </c>
      <c r="AF188" s="24" t="str">
        <f t="shared" si="76"/>
        <v/>
      </c>
      <c r="AG188" s="38">
        <f>+'[1]FA Report'!$D$42</f>
        <v>0.14285714285714288</v>
      </c>
      <c r="AH188" s="24" t="str">
        <f t="shared" si="66"/>
        <v/>
      </c>
      <c r="AI188" s="24" t="str">
        <f t="shared" si="67"/>
        <v/>
      </c>
      <c r="AJ188" s="38">
        <f>+'[1]FA Report'!$D$48</f>
        <v>7.1428571428571438E-2</v>
      </c>
      <c r="AK188" s="24" t="str">
        <f t="shared" si="68"/>
        <v/>
      </c>
      <c r="AL188" s="24" t="str">
        <f t="shared" si="69"/>
        <v/>
      </c>
      <c r="AM188" s="38">
        <f>+'[1]FA Report'!$C$55</f>
        <v>0.4</v>
      </c>
      <c r="AN188" s="24" t="str">
        <f t="shared" si="70"/>
        <v/>
      </c>
      <c r="AO188" s="24" t="str">
        <f t="shared" si="71"/>
        <v/>
      </c>
      <c r="AP188" s="38">
        <f>+'[1]FA Report'!$D$58</f>
        <v>0.2142857142857143</v>
      </c>
      <c r="AQ188" s="24" t="str">
        <f t="shared" si="72"/>
        <v/>
      </c>
      <c r="AR188" s="24" t="str">
        <f t="shared" si="73"/>
        <v/>
      </c>
      <c r="AS188" s="38">
        <f>+'[1]FA Report'!$C$52</f>
        <v>0.3</v>
      </c>
      <c r="AT188" s="24" t="str">
        <f t="shared" si="74"/>
        <v/>
      </c>
      <c r="AU188" s="38" t="str">
        <f t="shared" si="75"/>
        <v/>
      </c>
      <c r="AV188" s="24">
        <v>0.93250000000000011</v>
      </c>
      <c r="AW188">
        <f t="shared" si="77"/>
        <v>0</v>
      </c>
    </row>
    <row r="189" spans="1:49" x14ac:dyDescent="0.35">
      <c r="A189" s="23">
        <v>43737</v>
      </c>
      <c r="AE189">
        <f t="shared" si="65"/>
        <v>40</v>
      </c>
      <c r="AF189" s="24" t="str">
        <f t="shared" si="76"/>
        <v/>
      </c>
      <c r="AG189" s="38">
        <f>+'[1]FA Report'!$D$42</f>
        <v>0.14285714285714288</v>
      </c>
      <c r="AH189" s="24" t="str">
        <f t="shared" si="66"/>
        <v/>
      </c>
      <c r="AI189" s="24" t="str">
        <f t="shared" si="67"/>
        <v/>
      </c>
      <c r="AJ189" s="38">
        <f>+'[1]FA Report'!$D$48</f>
        <v>7.1428571428571438E-2</v>
      </c>
      <c r="AK189" s="24" t="str">
        <f t="shared" si="68"/>
        <v/>
      </c>
      <c r="AL189" s="24" t="str">
        <f t="shared" si="69"/>
        <v/>
      </c>
      <c r="AM189" s="38">
        <f>+'[1]FA Report'!$C$55</f>
        <v>0.4</v>
      </c>
      <c r="AN189" s="24" t="str">
        <f t="shared" si="70"/>
        <v/>
      </c>
      <c r="AO189" s="24" t="str">
        <f t="shared" si="71"/>
        <v/>
      </c>
      <c r="AP189" s="38">
        <f>+'[1]FA Report'!$D$58</f>
        <v>0.2142857142857143</v>
      </c>
      <c r="AQ189" s="24" t="str">
        <f t="shared" si="72"/>
        <v/>
      </c>
      <c r="AR189" s="24" t="str">
        <f t="shared" si="73"/>
        <v/>
      </c>
      <c r="AS189" s="38">
        <f>+'[1]FA Report'!$C$52</f>
        <v>0.3</v>
      </c>
      <c r="AT189" s="24" t="str">
        <f t="shared" si="74"/>
        <v/>
      </c>
      <c r="AU189" s="38" t="str">
        <f t="shared" si="75"/>
        <v/>
      </c>
      <c r="AV189" s="24">
        <v>1</v>
      </c>
      <c r="AW189">
        <f t="shared" si="77"/>
        <v>1</v>
      </c>
    </row>
    <row r="190" spans="1:49" x14ac:dyDescent="0.35">
      <c r="A190" s="23">
        <v>43738</v>
      </c>
      <c r="AE190">
        <f t="shared" si="65"/>
        <v>40</v>
      </c>
      <c r="AF190" s="24" t="str">
        <f t="shared" si="76"/>
        <v/>
      </c>
      <c r="AG190" s="38">
        <f>+'[1]FA Report'!$D$42</f>
        <v>0.14285714285714288</v>
      </c>
      <c r="AH190" s="24" t="str">
        <f t="shared" si="66"/>
        <v/>
      </c>
      <c r="AI190" s="24" t="str">
        <f t="shared" si="67"/>
        <v/>
      </c>
      <c r="AJ190" s="38">
        <f>+'[1]FA Report'!$D$48</f>
        <v>7.1428571428571438E-2</v>
      </c>
      <c r="AK190" s="24" t="str">
        <f t="shared" si="68"/>
        <v/>
      </c>
      <c r="AL190" s="24" t="str">
        <f t="shared" si="69"/>
        <v/>
      </c>
      <c r="AM190" s="38">
        <f>+'[1]FA Report'!$C$55</f>
        <v>0.4</v>
      </c>
      <c r="AN190" s="24" t="str">
        <f t="shared" si="70"/>
        <v/>
      </c>
      <c r="AO190" s="24" t="str">
        <f t="shared" si="71"/>
        <v/>
      </c>
      <c r="AP190" s="38">
        <f>+'[1]FA Report'!$D$58</f>
        <v>0.2142857142857143</v>
      </c>
      <c r="AQ190" s="24" t="str">
        <f t="shared" si="72"/>
        <v/>
      </c>
      <c r="AR190" s="24" t="str">
        <f t="shared" si="73"/>
        <v/>
      </c>
      <c r="AS190" s="38">
        <f>+'[1]FA Report'!$C$52</f>
        <v>0.3</v>
      </c>
      <c r="AT190" s="24" t="str">
        <f t="shared" si="74"/>
        <v/>
      </c>
      <c r="AU190" s="38" t="str">
        <f t="shared" si="75"/>
        <v/>
      </c>
      <c r="AV190" s="24">
        <v>1</v>
      </c>
      <c r="AW190">
        <f t="shared" si="77"/>
        <v>0</v>
      </c>
    </row>
    <row r="191" spans="1:49" x14ac:dyDescent="0.35">
      <c r="A191" s="23">
        <v>43739</v>
      </c>
      <c r="AE191">
        <f t="shared" si="65"/>
        <v>40</v>
      </c>
      <c r="AF191" s="24" t="str">
        <f t="shared" si="76"/>
        <v/>
      </c>
      <c r="AG191" s="38">
        <f>+'[1]FA Report'!$D$42</f>
        <v>0.14285714285714288</v>
      </c>
      <c r="AH191" s="24" t="str">
        <f t="shared" si="66"/>
        <v/>
      </c>
      <c r="AI191" s="24" t="str">
        <f t="shared" si="67"/>
        <v/>
      </c>
      <c r="AJ191" s="38">
        <f>+'[1]FA Report'!$D$48</f>
        <v>7.1428571428571438E-2</v>
      </c>
      <c r="AK191" s="24" t="str">
        <f t="shared" si="68"/>
        <v/>
      </c>
      <c r="AL191" s="24" t="str">
        <f t="shared" si="69"/>
        <v/>
      </c>
      <c r="AM191" s="38">
        <f>+'[1]FA Report'!$C$55</f>
        <v>0.4</v>
      </c>
      <c r="AN191" s="24" t="str">
        <f t="shared" si="70"/>
        <v/>
      </c>
      <c r="AO191" s="24" t="str">
        <f t="shared" si="71"/>
        <v/>
      </c>
      <c r="AP191" s="38">
        <f>+'[1]FA Report'!$D$58</f>
        <v>0.2142857142857143</v>
      </c>
      <c r="AQ191" s="24" t="str">
        <f t="shared" si="72"/>
        <v/>
      </c>
      <c r="AR191" s="24" t="str">
        <f t="shared" si="73"/>
        <v/>
      </c>
      <c r="AS191" s="38">
        <f>+'[1]FA Report'!$C$52</f>
        <v>0.3</v>
      </c>
      <c r="AT191" s="24" t="str">
        <f t="shared" si="74"/>
        <v/>
      </c>
      <c r="AU191" s="38" t="str">
        <f t="shared" si="75"/>
        <v/>
      </c>
      <c r="AV191" s="24">
        <v>1</v>
      </c>
      <c r="AW191">
        <f t="shared" si="77"/>
        <v>0</v>
      </c>
    </row>
    <row r="192" spans="1:49" x14ac:dyDescent="0.35">
      <c r="A192" s="23">
        <v>43740</v>
      </c>
    </row>
    <row r="193" spans="1:1" x14ac:dyDescent="0.35">
      <c r="A193" s="23">
        <v>43741</v>
      </c>
    </row>
    <row r="194" spans="1:1" x14ac:dyDescent="0.35">
      <c r="A194" s="23">
        <v>43742</v>
      </c>
    </row>
    <row r="195" spans="1:1" x14ac:dyDescent="0.35">
      <c r="A195" s="23">
        <v>43743</v>
      </c>
    </row>
    <row r="196" spans="1:1" x14ac:dyDescent="0.35">
      <c r="A196" s="23">
        <v>43744</v>
      </c>
    </row>
    <row r="197" spans="1:1" x14ac:dyDescent="0.35">
      <c r="A197" s="23">
        <v>43745</v>
      </c>
    </row>
    <row r="198" spans="1:1" x14ac:dyDescent="0.35">
      <c r="A198" s="23">
        <v>43746</v>
      </c>
    </row>
    <row r="199" spans="1:1" x14ac:dyDescent="0.35">
      <c r="A199" s="23">
        <v>43747</v>
      </c>
    </row>
    <row r="200" spans="1:1" x14ac:dyDescent="0.35">
      <c r="A200" s="23">
        <v>43748</v>
      </c>
    </row>
    <row r="201" spans="1:1" x14ac:dyDescent="0.35">
      <c r="A201" s="23">
        <v>43749</v>
      </c>
    </row>
    <row r="202" spans="1:1" x14ac:dyDescent="0.35">
      <c r="A202" s="23">
        <v>43750</v>
      </c>
    </row>
    <row r="203" spans="1:1" x14ac:dyDescent="0.35">
      <c r="A203" s="23">
        <v>43751</v>
      </c>
    </row>
    <row r="204" spans="1:1" x14ac:dyDescent="0.35">
      <c r="A204" s="23">
        <v>43752</v>
      </c>
    </row>
    <row r="205" spans="1:1" x14ac:dyDescent="0.35">
      <c r="A205" s="23">
        <v>43753</v>
      </c>
    </row>
    <row r="206" spans="1:1" x14ac:dyDescent="0.35">
      <c r="A206" s="23">
        <v>43754</v>
      </c>
    </row>
    <row r="207" spans="1:1" x14ac:dyDescent="0.35">
      <c r="A207" s="23">
        <v>43755</v>
      </c>
    </row>
    <row r="208" spans="1:1" x14ac:dyDescent="0.35">
      <c r="A208" s="23">
        <v>43756</v>
      </c>
    </row>
    <row r="209" spans="1:1" x14ac:dyDescent="0.35">
      <c r="A209" s="23">
        <v>43757</v>
      </c>
    </row>
    <row r="210" spans="1:1" x14ac:dyDescent="0.35">
      <c r="A210" s="23">
        <v>43758</v>
      </c>
    </row>
    <row r="211" spans="1:1" x14ac:dyDescent="0.35">
      <c r="A211" s="23">
        <v>43759</v>
      </c>
    </row>
    <row r="212" spans="1:1" x14ac:dyDescent="0.35">
      <c r="A212" s="23">
        <v>43760</v>
      </c>
    </row>
    <row r="213" spans="1:1" x14ac:dyDescent="0.35">
      <c r="A213" s="23">
        <v>43761</v>
      </c>
    </row>
    <row r="214" spans="1:1" x14ac:dyDescent="0.35">
      <c r="A214" s="23">
        <v>43762</v>
      </c>
    </row>
    <row r="215" spans="1:1" x14ac:dyDescent="0.35">
      <c r="A215" s="23">
        <v>43763</v>
      </c>
    </row>
    <row r="216" spans="1:1" x14ac:dyDescent="0.35">
      <c r="A216" s="23">
        <v>43764</v>
      </c>
    </row>
    <row r="217" spans="1:1" x14ac:dyDescent="0.35">
      <c r="A217" s="23">
        <v>43765</v>
      </c>
    </row>
    <row r="218" spans="1:1" x14ac:dyDescent="0.35">
      <c r="A218" s="23">
        <v>43766</v>
      </c>
    </row>
    <row r="219" spans="1:1" x14ac:dyDescent="0.35">
      <c r="A219" s="23">
        <v>43767</v>
      </c>
    </row>
    <row r="220" spans="1:1" x14ac:dyDescent="0.35">
      <c r="A220" s="23">
        <v>43768</v>
      </c>
    </row>
    <row r="221" spans="1:1" x14ac:dyDescent="0.35">
      <c r="A221" s="23">
        <v>43769</v>
      </c>
    </row>
    <row r="222" spans="1:1" x14ac:dyDescent="0.35">
      <c r="A222" s="23">
        <v>43770</v>
      </c>
    </row>
    <row r="223" spans="1:1" x14ac:dyDescent="0.35">
      <c r="A223" s="23">
        <v>43771</v>
      </c>
    </row>
    <row r="224" spans="1:1" x14ac:dyDescent="0.35">
      <c r="A224" s="23">
        <v>43772</v>
      </c>
    </row>
    <row r="225" spans="1:49" x14ac:dyDescent="0.35">
      <c r="A225" s="23">
        <v>43773</v>
      </c>
    </row>
    <row r="226" spans="1:49" x14ac:dyDescent="0.35">
      <c r="A226" s="23">
        <v>43774</v>
      </c>
      <c r="B226">
        <v>377</v>
      </c>
      <c r="C226">
        <v>5</v>
      </c>
      <c r="D226">
        <v>372</v>
      </c>
      <c r="E226">
        <v>5</v>
      </c>
      <c r="F226">
        <v>372</v>
      </c>
      <c r="G226">
        <v>20</v>
      </c>
      <c r="H226">
        <v>4.4297082228116711</v>
      </c>
      <c r="I226">
        <v>1</v>
      </c>
      <c r="J226">
        <v>1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8</v>
      </c>
      <c r="S226">
        <v>4</v>
      </c>
      <c r="T226">
        <v>4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18</v>
      </c>
      <c r="AD226">
        <v>6.2801932367149746E-2</v>
      </c>
      <c r="AE226">
        <f>WEEKNUM(A226)</f>
        <v>45</v>
      </c>
      <c r="AF226" s="24">
        <f>IFERROR(Q226/R226,"")</f>
        <v>0</v>
      </c>
      <c r="AG226" s="38">
        <f>+'[1]FA Report'!$D$42</f>
        <v>0.14285714285714288</v>
      </c>
      <c r="AH226" s="24">
        <f>IFERROR(+AF226*AG226,"")</f>
        <v>0</v>
      </c>
      <c r="AI226" s="24">
        <f>IFERROR(T226/$R226,"")</f>
        <v>0.5</v>
      </c>
      <c r="AJ226" s="38">
        <f>+'[1]FA Report'!$D$48</f>
        <v>7.1428571428571438E-2</v>
      </c>
      <c r="AK226" s="24">
        <f>IFERROR(+AI226*AJ226,"")</f>
        <v>3.5714285714285719E-2</v>
      </c>
      <c r="AL226" s="24">
        <f>IFERROR(+Z226/R226,"")</f>
        <v>0</v>
      </c>
      <c r="AM226" s="38">
        <f>+'[1]FA Report'!$C$55</f>
        <v>0.4</v>
      </c>
      <c r="AN226" s="24">
        <f>IFERROR(+AL226*AM226,"")</f>
        <v>0</v>
      </c>
      <c r="AO226" s="24">
        <f>IFERROR(V226/$R226,"")</f>
        <v>0</v>
      </c>
      <c r="AP226" s="38">
        <f>+'[1]FA Report'!$D$58</f>
        <v>0.2142857142857143</v>
      </c>
      <c r="AQ226" s="24">
        <f>IFERROR(+AO226*AP226,"")</f>
        <v>0</v>
      </c>
      <c r="AR226" s="24">
        <f>IFERROR(O226/$B226,"")</f>
        <v>0</v>
      </c>
      <c r="AS226" s="38">
        <f>+'[1]FA Report'!$C$52</f>
        <v>0.3</v>
      </c>
      <c r="AT226" s="24">
        <f>IFERROR(-AR226*AS226,"")</f>
        <v>0</v>
      </c>
      <c r="AU226" s="38">
        <f>IFERROR(+AH226+AK226+AN226+AQ226+AT226,"")</f>
        <v>3.5714285714285719E-2</v>
      </c>
      <c r="AV226" s="24">
        <v>1</v>
      </c>
      <c r="AW226">
        <f>+AE226-AE225</f>
        <v>45</v>
      </c>
    </row>
    <row r="227" spans="1:49" x14ac:dyDescent="0.35">
      <c r="A227" s="23">
        <v>43775</v>
      </c>
      <c r="B227">
        <v>377</v>
      </c>
      <c r="C227">
        <v>6</v>
      </c>
      <c r="D227">
        <v>371</v>
      </c>
      <c r="E227">
        <v>6</v>
      </c>
      <c r="F227">
        <v>371</v>
      </c>
      <c r="G227">
        <v>17.666666666664241</v>
      </c>
      <c r="H227">
        <v>4.4217506631299734</v>
      </c>
      <c r="I227">
        <v>1</v>
      </c>
      <c r="J227">
        <v>1</v>
      </c>
      <c r="K227">
        <v>0</v>
      </c>
      <c r="L227">
        <v>0</v>
      </c>
      <c r="M227">
        <v>0</v>
      </c>
      <c r="N227">
        <v>126</v>
      </c>
      <c r="O227">
        <v>36</v>
      </c>
      <c r="P227">
        <v>0</v>
      </c>
      <c r="Q227">
        <v>0</v>
      </c>
      <c r="R227">
        <v>12</v>
      </c>
      <c r="S227">
        <v>12</v>
      </c>
      <c r="T227">
        <v>14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40</v>
      </c>
      <c r="AD227">
        <v>8.7040481238261885E-2</v>
      </c>
    </row>
    <row r="228" spans="1:49" x14ac:dyDescent="0.35">
      <c r="A228" s="23">
        <v>43776</v>
      </c>
      <c r="B228">
        <v>377</v>
      </c>
      <c r="C228">
        <v>57</v>
      </c>
      <c r="D228">
        <v>320</v>
      </c>
      <c r="E228">
        <v>25</v>
      </c>
      <c r="F228">
        <v>352</v>
      </c>
      <c r="G228">
        <v>1.9824561403511325</v>
      </c>
      <c r="H228">
        <v>4.3793103448275863</v>
      </c>
      <c r="I228">
        <v>28</v>
      </c>
      <c r="J228">
        <v>8</v>
      </c>
      <c r="K228">
        <v>25</v>
      </c>
      <c r="L228">
        <v>12</v>
      </c>
      <c r="M228">
        <v>0</v>
      </c>
      <c r="N228">
        <v>157</v>
      </c>
      <c r="O228">
        <v>45</v>
      </c>
      <c r="P228">
        <v>0</v>
      </c>
      <c r="Q228">
        <v>2</v>
      </c>
      <c r="R228">
        <v>17</v>
      </c>
      <c r="S228">
        <v>15</v>
      </c>
      <c r="T228">
        <v>16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48</v>
      </c>
      <c r="AD228">
        <v>9.4514387324342378E-2</v>
      </c>
    </row>
    <row r="229" spans="1:49" x14ac:dyDescent="0.35">
      <c r="A229" s="23">
        <v>43777</v>
      </c>
      <c r="B229">
        <v>377</v>
      </c>
      <c r="C229">
        <v>64</v>
      </c>
      <c r="D229">
        <v>313</v>
      </c>
      <c r="E229">
        <v>29</v>
      </c>
      <c r="F229">
        <v>348</v>
      </c>
      <c r="G229">
        <v>2.765625</v>
      </c>
      <c r="H229">
        <v>4.3793103448275863</v>
      </c>
      <c r="I229">
        <v>32</v>
      </c>
      <c r="J229">
        <v>16</v>
      </c>
      <c r="K229">
        <v>0</v>
      </c>
      <c r="L229">
        <v>0</v>
      </c>
      <c r="M229">
        <v>0</v>
      </c>
      <c r="N229">
        <v>157</v>
      </c>
      <c r="O229">
        <v>45</v>
      </c>
      <c r="P229">
        <v>0</v>
      </c>
      <c r="Q229">
        <v>3</v>
      </c>
      <c r="R229">
        <v>17</v>
      </c>
      <c r="S229">
        <v>15</v>
      </c>
      <c r="T229">
        <v>16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48</v>
      </c>
      <c r="AD229">
        <v>9.7118553991009049E-2</v>
      </c>
    </row>
    <row r="230" spans="1:49" x14ac:dyDescent="0.35">
      <c r="A230" s="23">
        <v>43778</v>
      </c>
    </row>
    <row r="231" spans="1:49" x14ac:dyDescent="0.35">
      <c r="A231" s="23">
        <v>43779</v>
      </c>
    </row>
    <row r="232" spans="1:49" x14ac:dyDescent="0.35">
      <c r="A232" s="23">
        <v>43780</v>
      </c>
      <c r="B232">
        <v>411</v>
      </c>
      <c r="C232">
        <v>71</v>
      </c>
      <c r="D232">
        <v>340</v>
      </c>
      <c r="E232">
        <v>35</v>
      </c>
      <c r="F232">
        <v>376</v>
      </c>
      <c r="G232">
        <v>4.9859154929581564</v>
      </c>
      <c r="H232">
        <v>4.447688564476886</v>
      </c>
      <c r="I232">
        <v>0</v>
      </c>
      <c r="J232">
        <v>0</v>
      </c>
      <c r="K232">
        <v>10</v>
      </c>
      <c r="L232">
        <v>7</v>
      </c>
      <c r="M232">
        <v>0</v>
      </c>
      <c r="N232">
        <v>160</v>
      </c>
      <c r="O232">
        <v>46</v>
      </c>
      <c r="P232">
        <v>0</v>
      </c>
      <c r="Q232">
        <v>4</v>
      </c>
      <c r="R232">
        <v>20</v>
      </c>
      <c r="S232">
        <v>20</v>
      </c>
      <c r="T232">
        <v>19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59</v>
      </c>
      <c r="AD232">
        <v>9.8248819431067877E-2</v>
      </c>
    </row>
    <row r="233" spans="1:49" x14ac:dyDescent="0.35">
      <c r="A233" s="23">
        <v>43781</v>
      </c>
      <c r="B233">
        <v>411</v>
      </c>
      <c r="C233">
        <v>71</v>
      </c>
      <c r="D233">
        <v>340</v>
      </c>
      <c r="E233">
        <v>36</v>
      </c>
      <c r="F233">
        <v>375</v>
      </c>
      <c r="G233">
        <v>5.7887323943650699</v>
      </c>
      <c r="H233">
        <v>4.447688564476886</v>
      </c>
      <c r="I233">
        <v>13</v>
      </c>
      <c r="J233">
        <v>10</v>
      </c>
      <c r="K233">
        <v>0</v>
      </c>
      <c r="L233">
        <v>0</v>
      </c>
      <c r="M233">
        <v>0</v>
      </c>
      <c r="N233">
        <v>160</v>
      </c>
      <c r="O233">
        <v>46</v>
      </c>
      <c r="P233">
        <v>0</v>
      </c>
      <c r="Q233">
        <v>6</v>
      </c>
      <c r="R233">
        <v>22</v>
      </c>
      <c r="S233">
        <v>21</v>
      </c>
      <c r="T233">
        <v>21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61</v>
      </c>
      <c r="AD233">
        <v>0.10497681503732775</v>
      </c>
    </row>
    <row r="234" spans="1:49" x14ac:dyDescent="0.35">
      <c r="A234" s="23">
        <v>43782</v>
      </c>
      <c r="B234">
        <v>411</v>
      </c>
      <c r="C234">
        <v>92</v>
      </c>
      <c r="D234">
        <v>319</v>
      </c>
      <c r="E234">
        <v>42</v>
      </c>
      <c r="F234">
        <v>369</v>
      </c>
      <c r="G234">
        <v>5.1413043478241889</v>
      </c>
      <c r="H234">
        <v>4.447688564476886</v>
      </c>
      <c r="I234">
        <v>26</v>
      </c>
      <c r="J234">
        <v>10</v>
      </c>
      <c r="K234">
        <v>1</v>
      </c>
      <c r="L234">
        <v>1</v>
      </c>
      <c r="M234">
        <v>0</v>
      </c>
      <c r="N234">
        <v>160</v>
      </c>
      <c r="O234">
        <v>46</v>
      </c>
      <c r="P234">
        <v>0</v>
      </c>
      <c r="Q234">
        <v>10</v>
      </c>
      <c r="R234">
        <v>22</v>
      </c>
      <c r="S234">
        <v>22</v>
      </c>
      <c r="T234">
        <v>22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63</v>
      </c>
      <c r="AD234">
        <v>0.1136897033582481</v>
      </c>
    </row>
    <row r="235" spans="1:49" x14ac:dyDescent="0.35">
      <c r="A235" s="23">
        <v>43783</v>
      </c>
    </row>
    <row r="236" spans="1:49" x14ac:dyDescent="0.35">
      <c r="A236" s="23">
        <v>43784</v>
      </c>
    </row>
    <row r="237" spans="1:49" x14ac:dyDescent="0.35">
      <c r="A237" s="23">
        <v>43785</v>
      </c>
    </row>
    <row r="238" spans="1:49" x14ac:dyDescent="0.35">
      <c r="A238" s="23">
        <v>43786</v>
      </c>
    </row>
    <row r="239" spans="1:49" x14ac:dyDescent="0.35">
      <c r="A239" s="23">
        <v>43787</v>
      </c>
    </row>
    <row r="240" spans="1:49" x14ac:dyDescent="0.35">
      <c r="A240" s="23">
        <v>43788</v>
      </c>
    </row>
    <row r="241" spans="1:30" x14ac:dyDescent="0.35">
      <c r="A241" s="23">
        <v>43789</v>
      </c>
      <c r="B241">
        <v>438</v>
      </c>
      <c r="C241">
        <v>128</v>
      </c>
      <c r="D241">
        <v>310</v>
      </c>
      <c r="E241">
        <v>65</v>
      </c>
      <c r="F241">
        <v>373</v>
      </c>
      <c r="G241">
        <v>9.515625</v>
      </c>
      <c r="H241">
        <v>4.4954337899543377</v>
      </c>
      <c r="I241">
        <v>3</v>
      </c>
      <c r="J241">
        <v>3</v>
      </c>
      <c r="K241">
        <v>1</v>
      </c>
      <c r="L241">
        <v>1</v>
      </c>
      <c r="M241">
        <v>0</v>
      </c>
      <c r="N241">
        <v>157</v>
      </c>
      <c r="O241">
        <v>48</v>
      </c>
      <c r="P241">
        <v>0</v>
      </c>
      <c r="Q241">
        <v>20</v>
      </c>
      <c r="R241">
        <v>26</v>
      </c>
      <c r="S241">
        <v>24</v>
      </c>
      <c r="T241">
        <v>24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76</v>
      </c>
      <c r="AD241">
        <v>0.12033358919464048</v>
      </c>
    </row>
    <row r="242" spans="1:30" x14ac:dyDescent="0.35">
      <c r="A242" s="23">
        <v>43790</v>
      </c>
    </row>
    <row r="243" spans="1:30" x14ac:dyDescent="0.35">
      <c r="A243" s="23">
        <v>43791</v>
      </c>
    </row>
    <row r="244" spans="1:30" x14ac:dyDescent="0.35">
      <c r="A244" s="23">
        <v>43792</v>
      </c>
    </row>
    <row r="245" spans="1:30" x14ac:dyDescent="0.35">
      <c r="A245" s="23">
        <v>43793</v>
      </c>
    </row>
    <row r="246" spans="1:30" x14ac:dyDescent="0.35">
      <c r="A246" s="23">
        <v>43794</v>
      </c>
    </row>
    <row r="247" spans="1:30" x14ac:dyDescent="0.35">
      <c r="A247" s="23">
        <v>43795</v>
      </c>
      <c r="B247">
        <v>486</v>
      </c>
      <c r="C247">
        <v>144</v>
      </c>
      <c r="D247">
        <v>342</v>
      </c>
      <c r="E247">
        <v>75</v>
      </c>
      <c r="F247">
        <v>411</v>
      </c>
      <c r="G247">
        <v>13.5625</v>
      </c>
      <c r="H247">
        <v>4.4423868312757202</v>
      </c>
      <c r="I247">
        <v>17</v>
      </c>
      <c r="J247">
        <v>12</v>
      </c>
      <c r="K247">
        <v>0</v>
      </c>
      <c r="L247">
        <v>0</v>
      </c>
      <c r="M247">
        <v>0</v>
      </c>
      <c r="N247">
        <v>186</v>
      </c>
      <c r="O247">
        <v>58</v>
      </c>
      <c r="P247">
        <v>0</v>
      </c>
      <c r="Q247">
        <v>24</v>
      </c>
      <c r="R247">
        <v>31</v>
      </c>
      <c r="S247">
        <v>29</v>
      </c>
      <c r="T247">
        <v>30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86</v>
      </c>
      <c r="AD247">
        <v>0.12263710927579662</v>
      </c>
    </row>
    <row r="248" spans="1:30" x14ac:dyDescent="0.35">
      <c r="A248" s="23">
        <v>43796</v>
      </c>
      <c r="B248">
        <v>486</v>
      </c>
      <c r="C248">
        <v>156</v>
      </c>
      <c r="D248">
        <v>330</v>
      </c>
      <c r="E248">
        <v>82</v>
      </c>
      <c r="F248">
        <v>404</v>
      </c>
      <c r="G248">
        <v>13.506410256413801</v>
      </c>
      <c r="H248">
        <v>4.4423868312757202</v>
      </c>
      <c r="I248">
        <v>13</v>
      </c>
      <c r="J248">
        <v>8</v>
      </c>
      <c r="K248">
        <v>0</v>
      </c>
      <c r="L248">
        <v>0</v>
      </c>
      <c r="M248">
        <v>0</v>
      </c>
      <c r="N248">
        <v>186</v>
      </c>
      <c r="O248">
        <v>58</v>
      </c>
      <c r="P248">
        <v>0</v>
      </c>
      <c r="Q248">
        <v>27</v>
      </c>
      <c r="R248">
        <v>31</v>
      </c>
      <c r="S248">
        <v>30</v>
      </c>
      <c r="T248">
        <v>31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89</v>
      </c>
      <c r="AD248">
        <v>0.12486301148044303</v>
      </c>
    </row>
    <row r="249" spans="1:30" x14ac:dyDescent="0.35">
      <c r="A249" s="23">
        <v>43797</v>
      </c>
    </row>
    <row r="250" spans="1:30" x14ac:dyDescent="0.35">
      <c r="A250" s="23">
        <v>43798</v>
      </c>
    </row>
    <row r="251" spans="1:30" x14ac:dyDescent="0.35">
      <c r="A251" s="23">
        <v>43799</v>
      </c>
    </row>
    <row r="252" spans="1:30" x14ac:dyDescent="0.35">
      <c r="A252" s="23">
        <v>43800</v>
      </c>
    </row>
    <row r="253" spans="1:30" x14ac:dyDescent="0.35">
      <c r="A253" s="23">
        <v>43801</v>
      </c>
    </row>
    <row r="254" spans="1:30" x14ac:dyDescent="0.35">
      <c r="A254" s="23">
        <v>43802</v>
      </c>
    </row>
    <row r="255" spans="1:30" x14ac:dyDescent="0.35">
      <c r="A255" s="23">
        <v>43803</v>
      </c>
    </row>
    <row r="256" spans="1:30" x14ac:dyDescent="0.35">
      <c r="A256" s="23">
        <v>43804</v>
      </c>
    </row>
    <row r="257" spans="1:1" x14ac:dyDescent="0.35">
      <c r="A257" s="23">
        <v>43805</v>
      </c>
    </row>
    <row r="258" spans="1:1" x14ac:dyDescent="0.35">
      <c r="A258" s="23">
        <v>43806</v>
      </c>
    </row>
    <row r="259" spans="1:1" x14ac:dyDescent="0.35">
      <c r="A259" s="23">
        <v>43807</v>
      </c>
    </row>
    <row r="260" spans="1:1" x14ac:dyDescent="0.35">
      <c r="A260" s="23">
        <v>43808</v>
      </c>
    </row>
    <row r="261" spans="1:1" x14ac:dyDescent="0.35">
      <c r="A261" s="23">
        <v>43809</v>
      </c>
    </row>
    <row r="262" spans="1:1" x14ac:dyDescent="0.35">
      <c r="A262" s="23">
        <v>43810</v>
      </c>
    </row>
    <row r="263" spans="1:1" x14ac:dyDescent="0.35">
      <c r="A263" s="23">
        <v>43811</v>
      </c>
    </row>
    <row r="264" spans="1:1" x14ac:dyDescent="0.35">
      <c r="A264" s="23">
        <v>43812</v>
      </c>
    </row>
    <row r="265" spans="1:1" x14ac:dyDescent="0.35">
      <c r="A265" s="23">
        <v>43813</v>
      </c>
    </row>
    <row r="266" spans="1:1" x14ac:dyDescent="0.35">
      <c r="A266" s="23">
        <v>43814</v>
      </c>
    </row>
    <row r="267" spans="1:1" x14ac:dyDescent="0.35">
      <c r="A267" s="23">
        <v>43815</v>
      </c>
    </row>
    <row r="268" spans="1:1" x14ac:dyDescent="0.35">
      <c r="A268" s="23">
        <v>43816</v>
      </c>
    </row>
    <row r="269" spans="1:1" x14ac:dyDescent="0.35">
      <c r="A269" s="23">
        <v>43817</v>
      </c>
    </row>
    <row r="270" spans="1:1" x14ac:dyDescent="0.35">
      <c r="A270" s="23">
        <v>43818</v>
      </c>
    </row>
    <row r="271" spans="1:1" x14ac:dyDescent="0.35">
      <c r="A271" s="23">
        <v>43819</v>
      </c>
    </row>
    <row r="272" spans="1:1" x14ac:dyDescent="0.35">
      <c r="A272" s="23">
        <v>43820</v>
      </c>
    </row>
    <row r="273" spans="1:1" x14ac:dyDescent="0.35">
      <c r="A273" s="23">
        <v>43821</v>
      </c>
    </row>
    <row r="274" spans="1:1" x14ac:dyDescent="0.35">
      <c r="A274" s="23">
        <v>43822</v>
      </c>
    </row>
    <row r="275" spans="1:1" x14ac:dyDescent="0.35">
      <c r="A275" s="23">
        <v>43823</v>
      </c>
    </row>
    <row r="276" spans="1:1" x14ac:dyDescent="0.35">
      <c r="A276" s="23">
        <v>43824</v>
      </c>
    </row>
    <row r="277" spans="1:1" x14ac:dyDescent="0.35">
      <c r="A277" s="23">
        <v>43825</v>
      </c>
    </row>
    <row r="278" spans="1:1" x14ac:dyDescent="0.35">
      <c r="A278" s="23">
        <v>43826</v>
      </c>
    </row>
    <row r="279" spans="1:1" x14ac:dyDescent="0.35">
      <c r="A279" s="23">
        <v>43827</v>
      </c>
    </row>
    <row r="280" spans="1:1" x14ac:dyDescent="0.35">
      <c r="A280" s="23">
        <v>43828</v>
      </c>
    </row>
    <row r="281" spans="1:1" x14ac:dyDescent="0.35">
      <c r="A281" s="23">
        <v>43829</v>
      </c>
    </row>
    <row r="282" spans="1:1" x14ac:dyDescent="0.35">
      <c r="A282" s="23">
        <v>43830</v>
      </c>
    </row>
    <row r="283" spans="1:1" x14ac:dyDescent="0.35">
      <c r="A283" s="23">
        <v>43831</v>
      </c>
    </row>
    <row r="284" spans="1:1" x14ac:dyDescent="0.35">
      <c r="A284" s="23">
        <v>43832</v>
      </c>
    </row>
    <row r="285" spans="1:1" x14ac:dyDescent="0.35">
      <c r="A285" s="23">
        <v>43833</v>
      </c>
    </row>
    <row r="286" spans="1:1" x14ac:dyDescent="0.35">
      <c r="A286" s="23">
        <v>43834</v>
      </c>
    </row>
    <row r="287" spans="1:1" x14ac:dyDescent="0.35">
      <c r="A287" s="23">
        <v>43835</v>
      </c>
    </row>
    <row r="288" spans="1:1" x14ac:dyDescent="0.35">
      <c r="A288" s="23">
        <v>43836</v>
      </c>
    </row>
    <row r="289" spans="1:1" x14ac:dyDescent="0.35">
      <c r="A289" s="23">
        <v>43837</v>
      </c>
    </row>
    <row r="290" spans="1:1" x14ac:dyDescent="0.35">
      <c r="A290" s="23">
        <v>43838</v>
      </c>
    </row>
    <row r="291" spans="1:1" x14ac:dyDescent="0.35">
      <c r="A291" s="23">
        <v>43839</v>
      </c>
    </row>
    <row r="292" spans="1:1" x14ac:dyDescent="0.35">
      <c r="A292" s="23">
        <v>43840</v>
      </c>
    </row>
    <row r="293" spans="1:1" x14ac:dyDescent="0.35">
      <c r="A293" s="23">
        <v>43841</v>
      </c>
    </row>
    <row r="294" spans="1:1" x14ac:dyDescent="0.35">
      <c r="A294" s="23">
        <v>43842</v>
      </c>
    </row>
    <row r="295" spans="1:1" x14ac:dyDescent="0.35">
      <c r="A295" s="23">
        <v>43843</v>
      </c>
    </row>
    <row r="296" spans="1:1" x14ac:dyDescent="0.35">
      <c r="A296" s="23">
        <v>43844</v>
      </c>
    </row>
    <row r="297" spans="1:1" x14ac:dyDescent="0.35">
      <c r="A297" s="23">
        <v>43845</v>
      </c>
    </row>
    <row r="298" spans="1:1" x14ac:dyDescent="0.35">
      <c r="A298" s="23">
        <v>43846</v>
      </c>
    </row>
    <row r="299" spans="1:1" x14ac:dyDescent="0.35">
      <c r="A299" s="23">
        <v>43847</v>
      </c>
    </row>
    <row r="300" spans="1:1" x14ac:dyDescent="0.35">
      <c r="A300" s="23">
        <v>43848</v>
      </c>
    </row>
    <row r="301" spans="1:1" x14ac:dyDescent="0.35">
      <c r="A301" s="23">
        <v>43849</v>
      </c>
    </row>
    <row r="302" spans="1:1" x14ac:dyDescent="0.35">
      <c r="A302" s="23">
        <v>43850</v>
      </c>
    </row>
    <row r="303" spans="1:1" x14ac:dyDescent="0.35">
      <c r="A303" s="23">
        <v>43851</v>
      </c>
    </row>
    <row r="304" spans="1:1" x14ac:dyDescent="0.35">
      <c r="A304" s="23">
        <v>43852</v>
      </c>
    </row>
    <row r="305" spans="1:1" x14ac:dyDescent="0.35">
      <c r="A305" s="23">
        <v>43853</v>
      </c>
    </row>
    <row r="306" spans="1:1" x14ac:dyDescent="0.35">
      <c r="A306" s="23">
        <v>43854</v>
      </c>
    </row>
    <row r="307" spans="1:1" x14ac:dyDescent="0.35">
      <c r="A307" s="23">
        <v>43855</v>
      </c>
    </row>
    <row r="308" spans="1:1" x14ac:dyDescent="0.35">
      <c r="A308" s="23">
        <v>43856</v>
      </c>
    </row>
    <row r="309" spans="1:1" x14ac:dyDescent="0.35">
      <c r="A309" s="23">
        <v>43857</v>
      </c>
    </row>
    <row r="310" spans="1:1" x14ac:dyDescent="0.35">
      <c r="A310" s="23">
        <v>43858</v>
      </c>
    </row>
    <row r="311" spans="1:1" x14ac:dyDescent="0.35">
      <c r="A311" s="23">
        <v>43859</v>
      </c>
    </row>
    <row r="312" spans="1:1" x14ac:dyDescent="0.35">
      <c r="A312" s="23">
        <v>43860</v>
      </c>
    </row>
    <row r="313" spans="1:1" x14ac:dyDescent="0.35">
      <c r="A313" s="23">
        <v>43861</v>
      </c>
    </row>
    <row r="314" spans="1:1" x14ac:dyDescent="0.35">
      <c r="A314" s="23">
        <v>43862</v>
      </c>
    </row>
    <row r="315" spans="1:1" x14ac:dyDescent="0.35">
      <c r="A315" s="23">
        <v>43863</v>
      </c>
    </row>
    <row r="316" spans="1:1" x14ac:dyDescent="0.35">
      <c r="A316" s="23">
        <v>43864</v>
      </c>
    </row>
    <row r="317" spans="1:1" x14ac:dyDescent="0.35">
      <c r="A317" s="23">
        <v>43865</v>
      </c>
    </row>
    <row r="318" spans="1:1" x14ac:dyDescent="0.35">
      <c r="A318" s="23">
        <v>43866</v>
      </c>
    </row>
    <row r="319" spans="1:1" x14ac:dyDescent="0.35">
      <c r="A319" s="23">
        <v>43867</v>
      </c>
    </row>
    <row r="320" spans="1:1" x14ac:dyDescent="0.35">
      <c r="A320" s="23">
        <v>43868</v>
      </c>
    </row>
    <row r="321" spans="1:1" x14ac:dyDescent="0.35">
      <c r="A321" s="23">
        <v>43869</v>
      </c>
    </row>
    <row r="322" spans="1:1" x14ac:dyDescent="0.35">
      <c r="A322" s="23">
        <v>43870</v>
      </c>
    </row>
    <row r="323" spans="1:1" x14ac:dyDescent="0.35">
      <c r="A323" s="23">
        <v>43871</v>
      </c>
    </row>
    <row r="324" spans="1:1" x14ac:dyDescent="0.35">
      <c r="A324" s="23">
        <v>43872</v>
      </c>
    </row>
    <row r="325" spans="1:1" x14ac:dyDescent="0.35">
      <c r="A325" s="23">
        <v>43873</v>
      </c>
    </row>
    <row r="326" spans="1:1" x14ac:dyDescent="0.35">
      <c r="A326" s="23">
        <v>43874</v>
      </c>
    </row>
    <row r="327" spans="1:1" x14ac:dyDescent="0.35">
      <c r="A327" s="23">
        <v>43875</v>
      </c>
    </row>
    <row r="328" spans="1:1" x14ac:dyDescent="0.35">
      <c r="A328" s="23">
        <v>43876</v>
      </c>
    </row>
    <row r="329" spans="1:1" x14ac:dyDescent="0.35">
      <c r="A329" s="23">
        <v>43877</v>
      </c>
    </row>
    <row r="330" spans="1:1" x14ac:dyDescent="0.35">
      <c r="A330" s="23">
        <v>43878</v>
      </c>
    </row>
    <row r="331" spans="1:1" x14ac:dyDescent="0.35">
      <c r="A331" s="23">
        <v>43879</v>
      </c>
    </row>
    <row r="332" spans="1:1" x14ac:dyDescent="0.35">
      <c r="A332" s="23">
        <v>43880</v>
      </c>
    </row>
    <row r="333" spans="1:1" x14ac:dyDescent="0.35">
      <c r="A333" s="23">
        <v>43881</v>
      </c>
    </row>
    <row r="334" spans="1:1" x14ac:dyDescent="0.35">
      <c r="A334" s="23">
        <v>43882</v>
      </c>
    </row>
    <row r="335" spans="1:1" x14ac:dyDescent="0.35">
      <c r="A335" s="23">
        <v>43883</v>
      </c>
    </row>
    <row r="336" spans="1:1" x14ac:dyDescent="0.35">
      <c r="A336" s="23">
        <v>43884</v>
      </c>
    </row>
    <row r="337" spans="1:1" x14ac:dyDescent="0.35">
      <c r="A337" s="23">
        <v>43885</v>
      </c>
    </row>
    <row r="338" spans="1:1" x14ac:dyDescent="0.35">
      <c r="A338" s="23">
        <v>43886</v>
      </c>
    </row>
    <row r="339" spans="1:1" x14ac:dyDescent="0.35">
      <c r="A339" s="23">
        <v>43887</v>
      </c>
    </row>
    <row r="340" spans="1:1" x14ac:dyDescent="0.35">
      <c r="A340" s="23">
        <v>43888</v>
      </c>
    </row>
    <row r="341" spans="1:1" x14ac:dyDescent="0.35">
      <c r="A341" s="23">
        <v>43889</v>
      </c>
    </row>
    <row r="342" spans="1:1" x14ac:dyDescent="0.35">
      <c r="A342" s="23">
        <v>43890</v>
      </c>
    </row>
    <row r="343" spans="1:1" x14ac:dyDescent="0.35">
      <c r="A343" s="23">
        <v>43891</v>
      </c>
    </row>
    <row r="344" spans="1:1" x14ac:dyDescent="0.35">
      <c r="A344" s="23">
        <v>43892</v>
      </c>
    </row>
    <row r="345" spans="1:1" x14ac:dyDescent="0.35">
      <c r="A345" s="23">
        <v>43893</v>
      </c>
    </row>
    <row r="346" spans="1:1" x14ac:dyDescent="0.35">
      <c r="A346" s="23">
        <v>43894</v>
      </c>
    </row>
    <row r="347" spans="1:1" x14ac:dyDescent="0.35">
      <c r="A347" s="23">
        <v>43895</v>
      </c>
    </row>
    <row r="348" spans="1:1" x14ac:dyDescent="0.35">
      <c r="A348" s="23">
        <v>43896</v>
      </c>
    </row>
    <row r="349" spans="1:1" x14ac:dyDescent="0.35">
      <c r="A349" s="23">
        <v>43897</v>
      </c>
    </row>
    <row r="350" spans="1:1" x14ac:dyDescent="0.35">
      <c r="A350" s="23">
        <v>43898</v>
      </c>
    </row>
    <row r="351" spans="1:1" x14ac:dyDescent="0.35">
      <c r="A351" s="23">
        <v>43899</v>
      </c>
    </row>
    <row r="352" spans="1:1" x14ac:dyDescent="0.35">
      <c r="A352" s="23">
        <v>43900</v>
      </c>
    </row>
    <row r="353" spans="1:1" x14ac:dyDescent="0.35">
      <c r="A353" s="23">
        <v>43901</v>
      </c>
    </row>
    <row r="354" spans="1:1" x14ac:dyDescent="0.35">
      <c r="A354" s="23">
        <v>43902</v>
      </c>
    </row>
    <row r="355" spans="1:1" x14ac:dyDescent="0.35">
      <c r="A355" s="23">
        <v>43903</v>
      </c>
    </row>
    <row r="356" spans="1:1" x14ac:dyDescent="0.35">
      <c r="A356" s="23">
        <v>43904</v>
      </c>
    </row>
    <row r="357" spans="1:1" x14ac:dyDescent="0.35">
      <c r="A357" s="23">
        <v>43905</v>
      </c>
    </row>
    <row r="358" spans="1:1" x14ac:dyDescent="0.35">
      <c r="A358" s="23">
        <v>43906</v>
      </c>
    </row>
    <row r="359" spans="1:1" x14ac:dyDescent="0.35">
      <c r="A359" s="23">
        <v>43907</v>
      </c>
    </row>
    <row r="360" spans="1:1" x14ac:dyDescent="0.35">
      <c r="A360" s="23">
        <v>43908</v>
      </c>
    </row>
    <row r="361" spans="1:1" x14ac:dyDescent="0.35">
      <c r="A361" s="23">
        <v>43909</v>
      </c>
    </row>
    <row r="362" spans="1:1" x14ac:dyDescent="0.35">
      <c r="A362" s="23">
        <v>43910</v>
      </c>
    </row>
    <row r="363" spans="1:1" x14ac:dyDescent="0.35">
      <c r="A363" s="23">
        <v>43911</v>
      </c>
    </row>
    <row r="364" spans="1:1" x14ac:dyDescent="0.35">
      <c r="A364" s="23">
        <v>43912</v>
      </c>
    </row>
    <row r="365" spans="1:1" x14ac:dyDescent="0.35">
      <c r="A365" s="23">
        <v>43913</v>
      </c>
    </row>
    <row r="366" spans="1:1" x14ac:dyDescent="0.35">
      <c r="A366" s="23">
        <v>43914</v>
      </c>
    </row>
    <row r="367" spans="1:1" x14ac:dyDescent="0.35">
      <c r="A367" s="23">
        <v>43915</v>
      </c>
    </row>
    <row r="368" spans="1:1" x14ac:dyDescent="0.35">
      <c r="A368" s="23">
        <v>43916</v>
      </c>
    </row>
    <row r="369" spans="1:1" x14ac:dyDescent="0.35">
      <c r="A369" s="23">
        <v>43917</v>
      </c>
    </row>
    <row r="370" spans="1:1" x14ac:dyDescent="0.35">
      <c r="A370" s="23">
        <v>43918</v>
      </c>
    </row>
    <row r="371" spans="1:1" x14ac:dyDescent="0.35">
      <c r="A371" s="23">
        <v>43919</v>
      </c>
    </row>
    <row r="372" spans="1:1" x14ac:dyDescent="0.35">
      <c r="A372" s="23">
        <v>43920</v>
      </c>
    </row>
    <row r="373" spans="1:1" x14ac:dyDescent="0.35">
      <c r="A373" s="23">
        <v>43921</v>
      </c>
    </row>
    <row r="374" spans="1:1" x14ac:dyDescent="0.35">
      <c r="A374" s="23">
        <v>43922</v>
      </c>
    </row>
    <row r="375" spans="1:1" x14ac:dyDescent="0.35">
      <c r="A375" s="23">
        <v>43923</v>
      </c>
    </row>
    <row r="376" spans="1:1" x14ac:dyDescent="0.35">
      <c r="A376" s="23">
        <v>43924</v>
      </c>
    </row>
    <row r="377" spans="1:1" x14ac:dyDescent="0.35">
      <c r="A377" s="23">
        <v>43925</v>
      </c>
    </row>
    <row r="378" spans="1:1" x14ac:dyDescent="0.35">
      <c r="A378" s="23">
        <v>43926</v>
      </c>
    </row>
    <row r="379" spans="1:1" x14ac:dyDescent="0.35">
      <c r="A379" s="23">
        <v>43927</v>
      </c>
    </row>
    <row r="380" spans="1:1" x14ac:dyDescent="0.35">
      <c r="A380" s="23">
        <v>43928</v>
      </c>
    </row>
    <row r="381" spans="1:1" x14ac:dyDescent="0.35">
      <c r="A381" s="23">
        <v>43929</v>
      </c>
    </row>
    <row r="382" spans="1:1" x14ac:dyDescent="0.35">
      <c r="A382" s="23">
        <v>43930</v>
      </c>
    </row>
    <row r="383" spans="1:1" x14ac:dyDescent="0.35">
      <c r="A383" s="23">
        <v>43931</v>
      </c>
    </row>
    <row r="384" spans="1:1" x14ac:dyDescent="0.35">
      <c r="A384" s="23">
        <v>43932</v>
      </c>
    </row>
    <row r="385" spans="1:1" x14ac:dyDescent="0.35">
      <c r="A385" s="23">
        <v>43933</v>
      </c>
    </row>
    <row r="386" spans="1:1" x14ac:dyDescent="0.35">
      <c r="A386" s="23">
        <v>43934</v>
      </c>
    </row>
    <row r="387" spans="1:1" x14ac:dyDescent="0.35">
      <c r="A387" s="23">
        <v>43935</v>
      </c>
    </row>
    <row r="388" spans="1:1" x14ac:dyDescent="0.35">
      <c r="A388" s="23">
        <v>43936</v>
      </c>
    </row>
    <row r="389" spans="1:1" x14ac:dyDescent="0.35">
      <c r="A389" s="23">
        <v>43937</v>
      </c>
    </row>
    <row r="390" spans="1:1" x14ac:dyDescent="0.35">
      <c r="A390" s="23">
        <v>43938</v>
      </c>
    </row>
    <row r="391" spans="1:1" x14ac:dyDescent="0.35">
      <c r="A391" s="23">
        <v>43939</v>
      </c>
    </row>
    <row r="392" spans="1:1" x14ac:dyDescent="0.35">
      <c r="A392" s="23">
        <v>43940</v>
      </c>
    </row>
    <row r="393" spans="1:1" x14ac:dyDescent="0.35">
      <c r="A393" s="23">
        <v>43941</v>
      </c>
    </row>
    <row r="394" spans="1:1" x14ac:dyDescent="0.35">
      <c r="A394" s="23">
        <v>43942</v>
      </c>
    </row>
    <row r="395" spans="1:1" x14ac:dyDescent="0.35">
      <c r="A395" s="23">
        <v>43943</v>
      </c>
    </row>
    <row r="396" spans="1:1" x14ac:dyDescent="0.35">
      <c r="A396" s="23">
        <v>43944</v>
      </c>
    </row>
    <row r="397" spans="1:1" x14ac:dyDescent="0.35">
      <c r="A397" s="23">
        <v>43945</v>
      </c>
    </row>
    <row r="398" spans="1:1" x14ac:dyDescent="0.35">
      <c r="A398" s="23">
        <v>43946</v>
      </c>
    </row>
    <row r="399" spans="1:1" x14ac:dyDescent="0.35">
      <c r="A399" s="23">
        <v>43947</v>
      </c>
    </row>
    <row r="400" spans="1:1" x14ac:dyDescent="0.35">
      <c r="A400" s="23">
        <v>43948</v>
      </c>
    </row>
    <row r="401" spans="1:1" x14ac:dyDescent="0.35">
      <c r="A401" s="23">
        <v>43949</v>
      </c>
    </row>
    <row r="402" spans="1:1" x14ac:dyDescent="0.35">
      <c r="A402" s="23">
        <v>43950</v>
      </c>
    </row>
    <row r="403" spans="1:1" x14ac:dyDescent="0.35">
      <c r="A403" s="23">
        <v>43951</v>
      </c>
    </row>
    <row r="404" spans="1:1" x14ac:dyDescent="0.35">
      <c r="A404" s="23">
        <v>43952</v>
      </c>
    </row>
    <row r="405" spans="1:1" x14ac:dyDescent="0.35">
      <c r="A405" s="23">
        <v>43953</v>
      </c>
    </row>
    <row r="406" spans="1:1" x14ac:dyDescent="0.35">
      <c r="A406" s="23">
        <v>43954</v>
      </c>
    </row>
    <row r="407" spans="1:1" x14ac:dyDescent="0.35">
      <c r="A407" s="23">
        <v>43955</v>
      </c>
    </row>
    <row r="408" spans="1:1" x14ac:dyDescent="0.35">
      <c r="A408" s="23">
        <v>43956</v>
      </c>
    </row>
    <row r="409" spans="1:1" x14ac:dyDescent="0.35">
      <c r="A409" s="23">
        <v>43957</v>
      </c>
    </row>
    <row r="410" spans="1:1" x14ac:dyDescent="0.35">
      <c r="A410" s="23">
        <v>43958</v>
      </c>
    </row>
    <row r="411" spans="1:1" x14ac:dyDescent="0.35">
      <c r="A411" s="23">
        <v>43959</v>
      </c>
    </row>
    <row r="412" spans="1:1" x14ac:dyDescent="0.35">
      <c r="A412" s="23">
        <v>43960</v>
      </c>
    </row>
    <row r="413" spans="1:1" x14ac:dyDescent="0.35">
      <c r="A413" s="23">
        <v>43961</v>
      </c>
    </row>
    <row r="414" spans="1:1" x14ac:dyDescent="0.35">
      <c r="A414" s="23">
        <v>43962</v>
      </c>
    </row>
    <row r="415" spans="1:1" x14ac:dyDescent="0.35">
      <c r="A415" s="23">
        <v>43963</v>
      </c>
    </row>
    <row r="416" spans="1:1" x14ac:dyDescent="0.35">
      <c r="A416" s="23">
        <v>43964</v>
      </c>
    </row>
    <row r="417" spans="1:1" x14ac:dyDescent="0.35">
      <c r="A417" s="23">
        <v>43965</v>
      </c>
    </row>
    <row r="418" spans="1:1" x14ac:dyDescent="0.35">
      <c r="A418" s="23">
        <v>43966</v>
      </c>
    </row>
    <row r="419" spans="1:1" x14ac:dyDescent="0.35">
      <c r="A419" s="23">
        <v>43967</v>
      </c>
    </row>
    <row r="420" spans="1:1" x14ac:dyDescent="0.35">
      <c r="A420" s="23">
        <v>43968</v>
      </c>
    </row>
    <row r="421" spans="1:1" x14ac:dyDescent="0.35">
      <c r="A421" s="23">
        <v>43969</v>
      </c>
    </row>
    <row r="422" spans="1:1" x14ac:dyDescent="0.35">
      <c r="A422" s="23">
        <v>43970</v>
      </c>
    </row>
    <row r="423" spans="1:1" x14ac:dyDescent="0.35">
      <c r="A423" s="23">
        <v>43971</v>
      </c>
    </row>
    <row r="424" spans="1:1" x14ac:dyDescent="0.35">
      <c r="A424" s="23">
        <v>43972</v>
      </c>
    </row>
    <row r="425" spans="1:1" x14ac:dyDescent="0.35">
      <c r="A425" s="23">
        <v>43973</v>
      </c>
    </row>
    <row r="426" spans="1:1" x14ac:dyDescent="0.35">
      <c r="A426" s="23">
        <v>43974</v>
      </c>
    </row>
    <row r="427" spans="1:1" x14ac:dyDescent="0.35">
      <c r="A427" s="23">
        <v>43975</v>
      </c>
    </row>
    <row r="428" spans="1:1" x14ac:dyDescent="0.35">
      <c r="A428" s="23">
        <v>43976</v>
      </c>
    </row>
    <row r="429" spans="1:1" x14ac:dyDescent="0.35">
      <c r="A429" s="23">
        <v>43977</v>
      </c>
    </row>
    <row r="430" spans="1:1" x14ac:dyDescent="0.35">
      <c r="A430" s="23">
        <v>43978</v>
      </c>
    </row>
    <row r="431" spans="1:1" x14ac:dyDescent="0.35">
      <c r="A431" s="23">
        <v>43979</v>
      </c>
    </row>
    <row r="432" spans="1:1" x14ac:dyDescent="0.35">
      <c r="A432" s="23">
        <v>43980</v>
      </c>
    </row>
    <row r="433" spans="1:1" x14ac:dyDescent="0.35">
      <c r="A433" s="23">
        <v>43981</v>
      </c>
    </row>
    <row r="434" spans="1:1" x14ac:dyDescent="0.35">
      <c r="A434" s="23">
        <v>43982</v>
      </c>
    </row>
    <row r="435" spans="1:1" x14ac:dyDescent="0.35">
      <c r="A435" s="23">
        <v>43983</v>
      </c>
    </row>
    <row r="436" spans="1:1" x14ac:dyDescent="0.35">
      <c r="A436" s="23">
        <v>43984</v>
      </c>
    </row>
    <row r="437" spans="1:1" x14ac:dyDescent="0.35">
      <c r="A437" s="23">
        <v>43985</v>
      </c>
    </row>
    <row r="438" spans="1:1" x14ac:dyDescent="0.35">
      <c r="A438" s="23">
        <v>43986</v>
      </c>
    </row>
    <row r="439" spans="1:1" x14ac:dyDescent="0.35">
      <c r="A439" s="23">
        <v>43987</v>
      </c>
    </row>
    <row r="440" spans="1:1" x14ac:dyDescent="0.35">
      <c r="A440" s="23">
        <v>43988</v>
      </c>
    </row>
    <row r="441" spans="1:1" x14ac:dyDescent="0.35">
      <c r="A441" s="23">
        <v>43989</v>
      </c>
    </row>
    <row r="442" spans="1:1" x14ac:dyDescent="0.35">
      <c r="A442" s="23">
        <v>43990</v>
      </c>
    </row>
    <row r="443" spans="1:1" x14ac:dyDescent="0.35">
      <c r="A443" s="23">
        <v>43991</v>
      </c>
    </row>
    <row r="444" spans="1:1" x14ac:dyDescent="0.35">
      <c r="A444" s="23">
        <v>43992</v>
      </c>
    </row>
    <row r="445" spans="1:1" x14ac:dyDescent="0.35">
      <c r="A445" s="23">
        <v>43993</v>
      </c>
    </row>
    <row r="446" spans="1:1" x14ac:dyDescent="0.35">
      <c r="A446" s="23">
        <v>43994</v>
      </c>
    </row>
    <row r="447" spans="1:1" x14ac:dyDescent="0.35">
      <c r="A447" s="23">
        <v>43995</v>
      </c>
    </row>
    <row r="448" spans="1:1" x14ac:dyDescent="0.35">
      <c r="A448" s="23">
        <v>43996</v>
      </c>
    </row>
    <row r="449" spans="1:1" x14ac:dyDescent="0.35">
      <c r="A449" s="23">
        <v>43997</v>
      </c>
    </row>
    <row r="450" spans="1:1" x14ac:dyDescent="0.35">
      <c r="A450" s="23">
        <v>43998</v>
      </c>
    </row>
    <row r="451" spans="1:1" x14ac:dyDescent="0.35">
      <c r="A451" s="23">
        <v>43999</v>
      </c>
    </row>
    <row r="452" spans="1:1" x14ac:dyDescent="0.35">
      <c r="A452" s="23">
        <v>44000</v>
      </c>
    </row>
    <row r="453" spans="1:1" x14ac:dyDescent="0.35">
      <c r="A453" s="23">
        <v>44001</v>
      </c>
    </row>
    <row r="454" spans="1:1" x14ac:dyDescent="0.35">
      <c r="A454" s="23">
        <v>44002</v>
      </c>
    </row>
    <row r="455" spans="1:1" x14ac:dyDescent="0.35">
      <c r="A455" s="23">
        <v>44003</v>
      </c>
    </row>
    <row r="456" spans="1:1" x14ac:dyDescent="0.35">
      <c r="A456" s="23">
        <v>44004</v>
      </c>
    </row>
    <row r="457" spans="1:1" x14ac:dyDescent="0.35">
      <c r="A457" s="23">
        <v>44005</v>
      </c>
    </row>
    <row r="458" spans="1:1" x14ac:dyDescent="0.35">
      <c r="A458" s="23">
        <v>44006</v>
      </c>
    </row>
    <row r="459" spans="1:1" x14ac:dyDescent="0.35">
      <c r="A459" s="23">
        <v>44007</v>
      </c>
    </row>
    <row r="460" spans="1:1" x14ac:dyDescent="0.35">
      <c r="A460" s="23">
        <v>44008</v>
      </c>
    </row>
    <row r="461" spans="1:1" x14ac:dyDescent="0.35">
      <c r="A461" s="23">
        <v>44009</v>
      </c>
    </row>
    <row r="462" spans="1:1" x14ac:dyDescent="0.35">
      <c r="A462" s="23">
        <v>44010</v>
      </c>
    </row>
    <row r="463" spans="1:1" x14ac:dyDescent="0.35">
      <c r="A463" s="23">
        <v>44011</v>
      </c>
    </row>
    <row r="464" spans="1:1" x14ac:dyDescent="0.35">
      <c r="A464" s="23">
        <v>44012</v>
      </c>
    </row>
    <row r="465" spans="1:1" x14ac:dyDescent="0.35">
      <c r="A465" s="23">
        <v>44013</v>
      </c>
    </row>
    <row r="466" spans="1:1" x14ac:dyDescent="0.35">
      <c r="A466" s="23">
        <v>44014</v>
      </c>
    </row>
    <row r="467" spans="1:1" x14ac:dyDescent="0.35">
      <c r="A467" s="23">
        <v>44015</v>
      </c>
    </row>
    <row r="468" spans="1:1" x14ac:dyDescent="0.35">
      <c r="A468" s="23">
        <v>44016</v>
      </c>
    </row>
    <row r="469" spans="1:1" x14ac:dyDescent="0.35">
      <c r="A469" s="23">
        <v>44017</v>
      </c>
    </row>
    <row r="470" spans="1:1" x14ac:dyDescent="0.35">
      <c r="A470" s="23">
        <v>44018</v>
      </c>
    </row>
    <row r="471" spans="1:1" x14ac:dyDescent="0.35">
      <c r="A471" s="23">
        <v>44019</v>
      </c>
    </row>
    <row r="472" spans="1:1" x14ac:dyDescent="0.35">
      <c r="A472" s="23">
        <v>44020</v>
      </c>
    </row>
    <row r="473" spans="1:1" x14ac:dyDescent="0.35">
      <c r="A473" s="23">
        <v>44021</v>
      </c>
    </row>
    <row r="474" spans="1:1" x14ac:dyDescent="0.35">
      <c r="A474" s="23">
        <v>44022</v>
      </c>
    </row>
    <row r="475" spans="1:1" x14ac:dyDescent="0.35">
      <c r="A475" s="23">
        <v>44023</v>
      </c>
    </row>
    <row r="476" spans="1:1" x14ac:dyDescent="0.35">
      <c r="A476" s="23">
        <v>44024</v>
      </c>
    </row>
    <row r="477" spans="1:1" x14ac:dyDescent="0.35">
      <c r="A477" s="23">
        <v>44025</v>
      </c>
    </row>
    <row r="478" spans="1:1" x14ac:dyDescent="0.35">
      <c r="A478" s="23">
        <v>44026</v>
      </c>
    </row>
    <row r="479" spans="1:1" x14ac:dyDescent="0.35">
      <c r="A479" s="23">
        <v>44027</v>
      </c>
    </row>
    <row r="480" spans="1:1" x14ac:dyDescent="0.35">
      <c r="A480" s="23">
        <v>44028</v>
      </c>
    </row>
    <row r="481" spans="1:1" x14ac:dyDescent="0.35">
      <c r="A481" s="23">
        <v>44029</v>
      </c>
    </row>
    <row r="482" spans="1:1" x14ac:dyDescent="0.35">
      <c r="A482" s="23">
        <v>44030</v>
      </c>
    </row>
    <row r="483" spans="1:1" x14ac:dyDescent="0.35">
      <c r="A483" s="23">
        <v>44031</v>
      </c>
    </row>
    <row r="484" spans="1:1" x14ac:dyDescent="0.35">
      <c r="A484" s="23">
        <v>44032</v>
      </c>
    </row>
    <row r="485" spans="1:1" x14ac:dyDescent="0.35">
      <c r="A485" s="23">
        <v>44033</v>
      </c>
    </row>
    <row r="486" spans="1:1" x14ac:dyDescent="0.35">
      <c r="A486" s="23">
        <v>44034</v>
      </c>
    </row>
    <row r="487" spans="1:1" x14ac:dyDescent="0.35">
      <c r="A487" s="23">
        <v>44035</v>
      </c>
    </row>
    <row r="488" spans="1:1" x14ac:dyDescent="0.35">
      <c r="A488" s="23">
        <v>44036</v>
      </c>
    </row>
    <row r="489" spans="1:1" x14ac:dyDescent="0.35">
      <c r="A489" s="23">
        <v>44037</v>
      </c>
    </row>
    <row r="490" spans="1:1" x14ac:dyDescent="0.35">
      <c r="A490" s="23">
        <v>44038</v>
      </c>
    </row>
    <row r="491" spans="1:1" x14ac:dyDescent="0.35">
      <c r="A491" s="23">
        <v>44039</v>
      </c>
    </row>
    <row r="492" spans="1:1" x14ac:dyDescent="0.35">
      <c r="A492" s="23">
        <v>44040</v>
      </c>
    </row>
    <row r="493" spans="1:1" x14ac:dyDescent="0.35">
      <c r="A493" s="23">
        <v>44041</v>
      </c>
    </row>
    <row r="494" spans="1:1" x14ac:dyDescent="0.35">
      <c r="A494" s="23">
        <v>44042</v>
      </c>
    </row>
    <row r="495" spans="1:1" x14ac:dyDescent="0.35">
      <c r="A495" s="23">
        <v>44043</v>
      </c>
    </row>
    <row r="496" spans="1:1" x14ac:dyDescent="0.35">
      <c r="A496" s="23">
        <v>44044</v>
      </c>
    </row>
    <row r="497" spans="1:1" x14ac:dyDescent="0.35">
      <c r="A497" s="23">
        <v>44045</v>
      </c>
    </row>
    <row r="498" spans="1:1" x14ac:dyDescent="0.35">
      <c r="A498" s="23">
        <v>44046</v>
      </c>
    </row>
    <row r="499" spans="1:1" x14ac:dyDescent="0.35">
      <c r="A499" s="23">
        <v>44047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30EA9-6470-44C3-B65C-5BC5BD042E1A}">
  <dimension ref="A1:FU496"/>
  <sheetViews>
    <sheetView workbookViewId="0">
      <selection activeCell="D30" sqref="D30"/>
    </sheetView>
  </sheetViews>
  <sheetFormatPr defaultRowHeight="14.5" x14ac:dyDescent="0.35"/>
  <cols>
    <col min="1" max="1" width="13.1796875" bestFit="1" customWidth="1"/>
    <col min="2" max="2" width="17.1796875" bestFit="1" customWidth="1"/>
    <col min="3" max="3" width="11.6328125" bestFit="1" customWidth="1"/>
    <col min="4" max="4" width="25" bestFit="1" customWidth="1"/>
    <col min="5" max="5" width="24.54296875" bestFit="1" customWidth="1"/>
    <col min="6" max="6" width="10.26953125" bestFit="1" customWidth="1"/>
    <col min="7" max="7" width="14.6328125" bestFit="1" customWidth="1"/>
    <col min="9" max="9" width="10.81640625" bestFit="1" customWidth="1"/>
    <col min="10" max="10" width="74" bestFit="1" customWidth="1"/>
    <col min="11" max="11" width="7.54296875" bestFit="1" customWidth="1"/>
    <col min="12" max="12" width="5.7265625" bestFit="1" customWidth="1"/>
    <col min="13" max="13" width="38.7265625" bestFit="1" customWidth="1"/>
    <col min="14" max="14" width="34.1796875" bestFit="1" customWidth="1"/>
    <col min="15" max="15" width="20.90625" bestFit="1" customWidth="1"/>
    <col min="16" max="16" width="7.36328125" bestFit="1" customWidth="1"/>
    <col min="17" max="17" width="10.453125" bestFit="1" customWidth="1"/>
    <col min="18" max="18" width="8.81640625" bestFit="1" customWidth="1"/>
    <col min="19" max="19" width="14.1796875" bestFit="1" customWidth="1"/>
    <col min="20" max="20" width="6.26953125" bestFit="1" customWidth="1"/>
    <col min="21" max="21" width="11.6328125" bestFit="1" customWidth="1"/>
    <col min="22" max="22" width="10.54296875" bestFit="1" customWidth="1"/>
    <col min="23" max="23" width="13.90625" bestFit="1" customWidth="1"/>
    <col min="24" max="24" width="20.36328125" bestFit="1" customWidth="1"/>
    <col min="25" max="25" width="11.7265625" bestFit="1" customWidth="1"/>
    <col min="26" max="26" width="19.90625" bestFit="1" customWidth="1"/>
    <col min="27" max="27" width="18.36328125" bestFit="1" customWidth="1"/>
    <col min="28" max="28" width="5.81640625" bestFit="1" customWidth="1"/>
    <col min="29" max="29" width="6.6328125" bestFit="1" customWidth="1"/>
    <col min="30" max="30" width="12.26953125" bestFit="1" customWidth="1"/>
    <col min="31" max="31" width="11.1796875" bestFit="1" customWidth="1"/>
    <col min="32" max="32" width="7.26953125" bestFit="1" customWidth="1"/>
    <col min="33" max="33" width="11.26953125" bestFit="1" customWidth="1"/>
    <col min="34" max="34" width="9.6328125" bestFit="1" customWidth="1"/>
    <col min="35" max="35" width="6.81640625" bestFit="1" customWidth="1"/>
    <col min="36" max="36" width="10.453125" bestFit="1" customWidth="1"/>
    <col min="37" max="37" width="9.1796875" bestFit="1" customWidth="1"/>
    <col min="38" max="39" width="9.81640625" bestFit="1" customWidth="1"/>
    <col min="40" max="40" width="11" bestFit="1" customWidth="1"/>
    <col min="41" max="43" width="10.453125" bestFit="1" customWidth="1"/>
    <col min="44" max="44" width="5.1796875" bestFit="1" customWidth="1"/>
    <col min="45" max="45" width="8.08984375" bestFit="1" customWidth="1"/>
    <col min="46" max="47" width="6.36328125" bestFit="1" customWidth="1"/>
    <col min="48" max="48" width="9.90625" bestFit="1" customWidth="1"/>
    <col min="49" max="49" width="8.26953125" bestFit="1" customWidth="1"/>
    <col min="50" max="50" width="9.6328125" bestFit="1" customWidth="1"/>
    <col min="51" max="51" width="6.26953125" bestFit="1" customWidth="1"/>
    <col min="52" max="52" width="8.81640625" bestFit="1" customWidth="1"/>
    <col min="53" max="53" width="11.453125" bestFit="1" customWidth="1"/>
    <col min="54" max="54" width="9" bestFit="1" customWidth="1"/>
    <col min="55" max="55" width="8.6328125" bestFit="1" customWidth="1"/>
    <col min="56" max="56" width="11.26953125" bestFit="1" customWidth="1"/>
    <col min="57" max="57" width="12.81640625" bestFit="1" customWidth="1"/>
    <col min="58" max="58" width="13" bestFit="1" customWidth="1"/>
    <col min="59" max="59" width="6.7265625" bestFit="1" customWidth="1"/>
    <col min="60" max="60" width="9.453125" bestFit="1" customWidth="1"/>
    <col min="61" max="61" width="9.81640625" bestFit="1" customWidth="1"/>
    <col min="62" max="62" width="12.6328125" bestFit="1" customWidth="1"/>
    <col min="63" max="63" width="9.36328125" bestFit="1" customWidth="1"/>
    <col min="64" max="64" width="8.453125" bestFit="1" customWidth="1"/>
    <col min="65" max="67" width="8.81640625" bestFit="1" customWidth="1"/>
    <col min="68" max="68" width="9.26953125" bestFit="1" customWidth="1"/>
    <col min="69" max="71" width="8.90625" bestFit="1" customWidth="1"/>
    <col min="72" max="72" width="9.36328125" bestFit="1" customWidth="1"/>
    <col min="73" max="75" width="9.7265625" bestFit="1" customWidth="1"/>
    <col min="76" max="76" width="10.1796875" bestFit="1" customWidth="1"/>
    <col min="77" max="79" width="7.26953125" bestFit="1" customWidth="1"/>
    <col min="80" max="80" width="7.7265625" bestFit="1" customWidth="1"/>
    <col min="81" max="83" width="12.36328125" bestFit="1" customWidth="1"/>
    <col min="84" max="84" width="12.81640625" bestFit="1" customWidth="1"/>
    <col min="85" max="85" width="9.6328125" bestFit="1" customWidth="1"/>
    <col min="86" max="88" width="10" bestFit="1" customWidth="1"/>
    <col min="89" max="89" width="10.453125" bestFit="1" customWidth="1"/>
    <col min="90" max="92" width="8.453125" bestFit="1" customWidth="1"/>
    <col min="93" max="93" width="8.90625" bestFit="1" customWidth="1"/>
    <col min="94" max="96" width="10.90625" bestFit="1" customWidth="1"/>
    <col min="97" max="97" width="11.36328125" bestFit="1" customWidth="1"/>
    <col min="98" max="100" width="9" bestFit="1" customWidth="1"/>
    <col min="101" max="101" width="9.453125" bestFit="1" customWidth="1"/>
    <col min="102" max="104" width="7.7265625" bestFit="1" customWidth="1"/>
    <col min="105" max="105" width="8.1796875" bestFit="1" customWidth="1"/>
    <col min="106" max="108" width="8.81640625" bestFit="1" customWidth="1"/>
    <col min="109" max="109" width="9.26953125" bestFit="1" customWidth="1"/>
    <col min="110" max="112" width="8.08984375" bestFit="1" customWidth="1"/>
    <col min="113" max="113" width="8.54296875" bestFit="1" customWidth="1"/>
    <col min="114" max="116" width="9.26953125" bestFit="1" customWidth="1"/>
    <col min="117" max="117" width="9.7265625" bestFit="1" customWidth="1"/>
    <col min="118" max="120" width="8.90625" bestFit="1" customWidth="1"/>
    <col min="121" max="121" width="9.36328125" bestFit="1" customWidth="1"/>
    <col min="122" max="124" width="8.6328125" bestFit="1" customWidth="1"/>
    <col min="125" max="125" width="9.08984375" bestFit="1" customWidth="1"/>
    <col min="126" max="128" width="7.81640625" bestFit="1" customWidth="1"/>
    <col min="129" max="129" width="8.26953125" bestFit="1" customWidth="1"/>
    <col min="130" max="132" width="13.453125" bestFit="1" customWidth="1"/>
    <col min="133" max="133" width="13.90625" bestFit="1" customWidth="1"/>
    <col min="134" max="134" width="9" bestFit="1" customWidth="1"/>
    <col min="135" max="137" width="9.453125" bestFit="1" customWidth="1"/>
    <col min="138" max="138" width="9.90625" bestFit="1" customWidth="1"/>
    <col min="139" max="141" width="8.54296875" bestFit="1" customWidth="1"/>
    <col min="142" max="142" width="9" bestFit="1" customWidth="1"/>
    <col min="143" max="143" width="9.08984375" bestFit="1" customWidth="1"/>
    <col min="144" max="146" width="10.81640625" bestFit="1" customWidth="1"/>
    <col min="147" max="147" width="11.26953125" bestFit="1" customWidth="1"/>
    <col min="148" max="148" width="11.36328125" bestFit="1" customWidth="1"/>
    <col min="149" max="151" width="9.54296875" bestFit="1" customWidth="1"/>
    <col min="152" max="152" width="10" bestFit="1" customWidth="1"/>
    <col min="153" max="153" width="10.81640625" bestFit="1" customWidth="1"/>
    <col min="154" max="156" width="8.6328125" bestFit="1" customWidth="1"/>
    <col min="157" max="157" width="9.08984375" bestFit="1" customWidth="1"/>
    <col min="158" max="160" width="7.81640625" bestFit="1" customWidth="1"/>
    <col min="161" max="161" width="8.26953125" bestFit="1" customWidth="1"/>
    <col min="162" max="164" width="11" bestFit="1" customWidth="1"/>
    <col min="165" max="165" width="11.453125" bestFit="1" customWidth="1"/>
    <col min="166" max="166" width="12.7265625" bestFit="1" customWidth="1"/>
    <col min="167" max="167" width="9.81640625" bestFit="1" customWidth="1"/>
    <col min="168" max="168" width="12.453125" bestFit="1" customWidth="1"/>
    <col min="169" max="169" width="10.81640625" bestFit="1" customWidth="1"/>
    <col min="170" max="170" width="6.54296875" bestFit="1" customWidth="1"/>
    <col min="171" max="171" width="31" bestFit="1" customWidth="1"/>
    <col min="172" max="172" width="18.6328125" bestFit="1" customWidth="1"/>
    <col min="173" max="173" width="8.453125" bestFit="1" customWidth="1"/>
    <col min="174" max="174" width="10.453125" bestFit="1" customWidth="1"/>
    <col min="175" max="175" width="17.7265625" bestFit="1" customWidth="1"/>
    <col min="176" max="176" width="17.81640625" bestFit="1" customWidth="1"/>
    <col min="177" max="177" width="15.81640625" bestFit="1" customWidth="1"/>
  </cols>
  <sheetData>
    <row r="1" spans="1:177" x14ac:dyDescent="0.35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11</v>
      </c>
      <c r="K1" t="s">
        <v>106</v>
      </c>
      <c r="L1" t="s">
        <v>107</v>
      </c>
      <c r="M1" t="s">
        <v>108</v>
      </c>
      <c r="N1" t="s">
        <v>1706</v>
      </c>
      <c r="O1" t="s">
        <v>1707</v>
      </c>
      <c r="P1" t="s">
        <v>1708</v>
      </c>
      <c r="Q1" t="s">
        <v>1709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118</v>
      </c>
      <c r="X1" t="s">
        <v>119</v>
      </c>
      <c r="Y1" t="s">
        <v>120</v>
      </c>
      <c r="Z1" t="s">
        <v>121</v>
      </c>
      <c r="AA1" t="s">
        <v>122</v>
      </c>
      <c r="AB1" t="s">
        <v>123</v>
      </c>
      <c r="AC1" t="s">
        <v>124</v>
      </c>
      <c r="AD1" t="s">
        <v>125</v>
      </c>
      <c r="AE1" t="s">
        <v>126</v>
      </c>
      <c r="AF1" t="s">
        <v>127</v>
      </c>
      <c r="AG1" t="s">
        <v>128</v>
      </c>
      <c r="AH1" t="s">
        <v>129</v>
      </c>
      <c r="AI1" t="s">
        <v>130</v>
      </c>
      <c r="AJ1" t="s">
        <v>131</v>
      </c>
      <c r="AK1" t="s">
        <v>25</v>
      </c>
      <c r="AL1" t="s">
        <v>132</v>
      </c>
      <c r="AM1" t="s">
        <v>133</v>
      </c>
      <c r="AN1" t="s">
        <v>27</v>
      </c>
      <c r="AO1" t="s">
        <v>54</v>
      </c>
      <c r="AP1" t="s">
        <v>29</v>
      </c>
      <c r="AQ1" t="s">
        <v>30</v>
      </c>
      <c r="AR1" t="s">
        <v>32</v>
      </c>
      <c r="AS1" t="s">
        <v>34</v>
      </c>
      <c r="AT1" t="s">
        <v>36</v>
      </c>
      <c r="AU1" t="s">
        <v>38</v>
      </c>
      <c r="AV1" t="s">
        <v>40</v>
      </c>
      <c r="AW1" t="s">
        <v>42</v>
      </c>
      <c r="AX1" t="s">
        <v>44</v>
      </c>
      <c r="AY1" t="s">
        <v>46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147</v>
      </c>
      <c r="BN1" t="s">
        <v>148</v>
      </c>
      <c r="BO1" t="s">
        <v>149</v>
      </c>
      <c r="BP1" t="s">
        <v>150</v>
      </c>
      <c r="BQ1" t="s">
        <v>151</v>
      </c>
      <c r="BR1" t="s">
        <v>152</v>
      </c>
      <c r="BS1" t="s">
        <v>153</v>
      </c>
      <c r="BT1" t="s">
        <v>154</v>
      </c>
      <c r="BU1" t="s">
        <v>155</v>
      </c>
      <c r="BV1" t="s">
        <v>156</v>
      </c>
      <c r="BW1" t="s">
        <v>157</v>
      </c>
      <c r="BX1" t="s">
        <v>158</v>
      </c>
      <c r="BY1" t="s">
        <v>159</v>
      </c>
      <c r="BZ1" t="s">
        <v>160</v>
      </c>
      <c r="CA1" t="s">
        <v>161</v>
      </c>
      <c r="CB1" t="s">
        <v>162</v>
      </c>
      <c r="CC1" t="s">
        <v>163</v>
      </c>
      <c r="CD1" t="s">
        <v>164</v>
      </c>
      <c r="CE1" t="s">
        <v>165</v>
      </c>
      <c r="CF1" t="s">
        <v>166</v>
      </c>
      <c r="CG1" t="s">
        <v>167</v>
      </c>
      <c r="CH1" t="s">
        <v>168</v>
      </c>
      <c r="CI1" t="s">
        <v>169</v>
      </c>
      <c r="CJ1" t="s">
        <v>170</v>
      </c>
      <c r="CK1" t="s">
        <v>171</v>
      </c>
      <c r="CL1" t="s">
        <v>172</v>
      </c>
      <c r="CM1" t="s">
        <v>173</v>
      </c>
      <c r="CN1" t="s">
        <v>174</v>
      </c>
      <c r="CO1" t="s">
        <v>175</v>
      </c>
      <c r="CP1" t="s">
        <v>176</v>
      </c>
      <c r="CQ1" t="s">
        <v>177</v>
      </c>
      <c r="CR1" t="s">
        <v>178</v>
      </c>
      <c r="CS1" t="s">
        <v>179</v>
      </c>
      <c r="CT1" t="s">
        <v>180</v>
      </c>
      <c r="CU1" t="s">
        <v>181</v>
      </c>
      <c r="CV1" t="s">
        <v>182</v>
      </c>
      <c r="CW1" t="s">
        <v>183</v>
      </c>
      <c r="CX1" t="s">
        <v>184</v>
      </c>
      <c r="CY1" t="s">
        <v>185</v>
      </c>
      <c r="CZ1" t="s">
        <v>186</v>
      </c>
      <c r="DA1" t="s">
        <v>187</v>
      </c>
      <c r="DB1" t="s">
        <v>188</v>
      </c>
      <c r="DC1" t="s">
        <v>189</v>
      </c>
      <c r="DD1" t="s">
        <v>190</v>
      </c>
      <c r="DE1" t="s">
        <v>191</v>
      </c>
      <c r="DF1" t="s">
        <v>192</v>
      </c>
      <c r="DG1" t="s">
        <v>193</v>
      </c>
      <c r="DH1" t="s">
        <v>194</v>
      </c>
      <c r="DI1" t="s">
        <v>195</v>
      </c>
      <c r="DJ1" t="s">
        <v>196</v>
      </c>
      <c r="DK1" t="s">
        <v>197</v>
      </c>
      <c r="DL1" t="s">
        <v>198</v>
      </c>
      <c r="DM1" t="s">
        <v>199</v>
      </c>
      <c r="DN1" t="s">
        <v>200</v>
      </c>
      <c r="DO1" t="s">
        <v>201</v>
      </c>
      <c r="DP1" t="s">
        <v>202</v>
      </c>
      <c r="DQ1" t="s">
        <v>203</v>
      </c>
      <c r="DR1" t="s">
        <v>204</v>
      </c>
      <c r="DS1" t="s">
        <v>205</v>
      </c>
      <c r="DT1" t="s">
        <v>206</v>
      </c>
      <c r="DU1" t="s">
        <v>207</v>
      </c>
      <c r="DV1" t="s">
        <v>208</v>
      </c>
      <c r="DW1" t="s">
        <v>209</v>
      </c>
      <c r="DX1" t="s">
        <v>210</v>
      </c>
      <c r="DY1" t="s">
        <v>211</v>
      </c>
      <c r="DZ1" t="s">
        <v>212</v>
      </c>
      <c r="EA1" t="s">
        <v>213</v>
      </c>
      <c r="EB1" t="s">
        <v>214</v>
      </c>
      <c r="EC1" t="s">
        <v>215</v>
      </c>
      <c r="ED1" t="s">
        <v>216</v>
      </c>
      <c r="EE1" t="s">
        <v>217</v>
      </c>
      <c r="EF1" t="s">
        <v>218</v>
      </c>
      <c r="EG1" t="s">
        <v>219</v>
      </c>
      <c r="EH1" t="s">
        <v>220</v>
      </c>
      <c r="EI1" t="s">
        <v>221</v>
      </c>
      <c r="EJ1" t="s">
        <v>222</v>
      </c>
      <c r="EK1" t="s">
        <v>223</v>
      </c>
      <c r="EL1" t="s">
        <v>224</v>
      </c>
      <c r="EM1" t="s">
        <v>225</v>
      </c>
      <c r="EN1" t="s">
        <v>226</v>
      </c>
      <c r="EO1" t="s">
        <v>227</v>
      </c>
      <c r="EP1" t="s">
        <v>228</v>
      </c>
      <c r="EQ1" t="s">
        <v>229</v>
      </c>
      <c r="ER1" t="s">
        <v>230</v>
      </c>
      <c r="ES1" t="s">
        <v>231</v>
      </c>
      <c r="ET1" t="s">
        <v>232</v>
      </c>
      <c r="EU1" t="s">
        <v>233</v>
      </c>
      <c r="EV1" t="s">
        <v>234</v>
      </c>
      <c r="EW1" t="s">
        <v>235</v>
      </c>
      <c r="EX1" t="s">
        <v>236</v>
      </c>
      <c r="EY1" t="s">
        <v>237</v>
      </c>
      <c r="EZ1" t="s">
        <v>238</v>
      </c>
      <c r="FA1" t="s">
        <v>239</v>
      </c>
      <c r="FB1" t="s">
        <v>240</v>
      </c>
      <c r="FC1" t="s">
        <v>241</v>
      </c>
      <c r="FD1" t="s">
        <v>242</v>
      </c>
      <c r="FE1" t="s">
        <v>243</v>
      </c>
      <c r="FF1" t="s">
        <v>244</v>
      </c>
      <c r="FG1" t="s">
        <v>245</v>
      </c>
      <c r="FH1" t="s">
        <v>246</v>
      </c>
      <c r="FI1" t="s">
        <v>247</v>
      </c>
      <c r="FJ1" t="s">
        <v>248</v>
      </c>
      <c r="FK1" t="s">
        <v>249</v>
      </c>
      <c r="FL1" t="s">
        <v>250</v>
      </c>
      <c r="FM1" t="s">
        <v>251</v>
      </c>
      <c r="FN1" t="s">
        <v>1710</v>
      </c>
      <c r="FO1" t="s">
        <v>4258</v>
      </c>
      <c r="FP1" t="s">
        <v>4259</v>
      </c>
      <c r="FQ1" t="s">
        <v>4260</v>
      </c>
      <c r="FR1" t="s">
        <v>4261</v>
      </c>
      <c r="FS1" t="s">
        <v>252</v>
      </c>
      <c r="FT1" t="s">
        <v>253</v>
      </c>
      <c r="FU1" t="s">
        <v>254</v>
      </c>
    </row>
    <row r="2" spans="1:177" x14ac:dyDescent="0.35">
      <c r="A2">
        <v>197610</v>
      </c>
      <c r="B2" t="s">
        <v>1711</v>
      </c>
      <c r="C2" t="s">
        <v>1712</v>
      </c>
      <c r="D2" t="s">
        <v>1713</v>
      </c>
      <c r="E2" s="43" t="s">
        <v>1714</v>
      </c>
      <c r="F2">
        <v>1</v>
      </c>
      <c r="I2">
        <v>43804</v>
      </c>
      <c r="J2" t="s">
        <v>3304</v>
      </c>
      <c r="K2" t="s">
        <v>1715</v>
      </c>
      <c r="L2" s="43" t="s">
        <v>3204</v>
      </c>
      <c r="M2" t="s">
        <v>1716</v>
      </c>
      <c r="N2" s="43" t="s">
        <v>1717</v>
      </c>
      <c r="O2" s="43" t="s">
        <v>462</v>
      </c>
      <c r="P2" s="43" t="s">
        <v>342</v>
      </c>
      <c r="Q2" s="43" t="s">
        <v>463</v>
      </c>
      <c r="R2">
        <v>3.1</v>
      </c>
      <c r="S2">
        <v>44109</v>
      </c>
      <c r="T2" t="s">
        <v>285</v>
      </c>
      <c r="U2" t="s">
        <v>266</v>
      </c>
      <c r="V2" t="s">
        <v>267</v>
      </c>
      <c r="W2" t="s">
        <v>1718</v>
      </c>
      <c r="X2" t="s">
        <v>1719</v>
      </c>
      <c r="Y2">
        <v>8772802835</v>
      </c>
      <c r="Z2" t="s">
        <v>270</v>
      </c>
      <c r="AA2" t="s">
        <v>271</v>
      </c>
      <c r="AB2">
        <v>0</v>
      </c>
      <c r="AC2">
        <v>1080</v>
      </c>
      <c r="AD2">
        <v>102</v>
      </c>
      <c r="AE2" t="s">
        <v>301</v>
      </c>
      <c r="AF2">
        <v>1</v>
      </c>
      <c r="AG2" t="s">
        <v>275</v>
      </c>
      <c r="AH2">
        <v>0</v>
      </c>
      <c r="AI2">
        <v>0</v>
      </c>
      <c r="AJ2">
        <v>43774</v>
      </c>
      <c r="AK2" s="43" t="s">
        <v>1715</v>
      </c>
      <c r="AL2" s="43" t="s">
        <v>259</v>
      </c>
      <c r="AO2" s="23"/>
      <c r="AP2" s="23"/>
      <c r="AQ2" s="23"/>
      <c r="BC2" t="s">
        <v>259</v>
      </c>
      <c r="BD2" s="43" t="s">
        <v>259</v>
      </c>
      <c r="BE2" s="43" t="s">
        <v>2018</v>
      </c>
      <c r="BF2" s="43" t="s">
        <v>2018</v>
      </c>
      <c r="BG2" s="43" t="s">
        <v>2018</v>
      </c>
      <c r="BH2" t="s">
        <v>2018</v>
      </c>
      <c r="BI2" s="43" t="s">
        <v>259</v>
      </c>
      <c r="BJ2">
        <v>0</v>
      </c>
      <c r="BK2">
        <v>44109</v>
      </c>
      <c r="BL2">
        <v>44356</v>
      </c>
      <c r="BM2">
        <v>8505</v>
      </c>
      <c r="BN2">
        <v>8505</v>
      </c>
      <c r="BO2">
        <v>8505</v>
      </c>
      <c r="BP2">
        <v>25515</v>
      </c>
      <c r="BQ2">
        <v>3300</v>
      </c>
      <c r="BR2">
        <v>400</v>
      </c>
      <c r="BS2">
        <v>400</v>
      </c>
      <c r="BT2">
        <v>4100</v>
      </c>
      <c r="BU2">
        <v>2100</v>
      </c>
      <c r="BV2">
        <v>2100</v>
      </c>
      <c r="BW2">
        <v>2100</v>
      </c>
      <c r="BX2">
        <v>6300</v>
      </c>
      <c r="BY2">
        <v>1200</v>
      </c>
      <c r="BZ2">
        <v>1200</v>
      </c>
      <c r="CA2">
        <v>1200</v>
      </c>
      <c r="CB2">
        <v>3600</v>
      </c>
      <c r="CC2">
        <v>0</v>
      </c>
      <c r="CD2">
        <v>0</v>
      </c>
      <c r="CE2">
        <v>0</v>
      </c>
      <c r="CF2">
        <v>0</v>
      </c>
      <c r="CG2">
        <v>39515</v>
      </c>
      <c r="CH2">
        <v>0</v>
      </c>
      <c r="CI2">
        <v>0</v>
      </c>
      <c r="CJ2">
        <v>0</v>
      </c>
      <c r="CK2">
        <v>0</v>
      </c>
      <c r="CL2">
        <v>2065</v>
      </c>
      <c r="CM2">
        <v>2065</v>
      </c>
      <c r="CN2">
        <v>2065</v>
      </c>
      <c r="CO2">
        <v>6195</v>
      </c>
      <c r="CP2">
        <v>500</v>
      </c>
      <c r="CQ2">
        <v>500</v>
      </c>
      <c r="CR2">
        <v>500</v>
      </c>
      <c r="CS2">
        <v>1500</v>
      </c>
      <c r="CT2">
        <v>1700</v>
      </c>
      <c r="CU2">
        <v>1700</v>
      </c>
      <c r="CV2">
        <v>1700</v>
      </c>
      <c r="CW2">
        <v>5100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12795</v>
      </c>
      <c r="EE2">
        <v>0</v>
      </c>
      <c r="EF2">
        <v>0</v>
      </c>
      <c r="EG2">
        <v>0</v>
      </c>
      <c r="EH2">
        <v>0</v>
      </c>
      <c r="EI2">
        <v>1154</v>
      </c>
      <c r="EJ2">
        <v>1154</v>
      </c>
      <c r="EK2">
        <v>1155</v>
      </c>
      <c r="EL2">
        <v>3500</v>
      </c>
      <c r="EM2">
        <v>37.065000000000005</v>
      </c>
      <c r="EN2">
        <v>660</v>
      </c>
      <c r="EO2">
        <v>660</v>
      </c>
      <c r="EP2">
        <v>660</v>
      </c>
      <c r="EQ2">
        <v>2000</v>
      </c>
      <c r="ER2">
        <v>21.18</v>
      </c>
      <c r="ES2">
        <v>0</v>
      </c>
      <c r="ET2">
        <v>0</v>
      </c>
      <c r="EU2">
        <v>0</v>
      </c>
      <c r="EV2">
        <v>0</v>
      </c>
      <c r="EW2">
        <v>0</v>
      </c>
      <c r="FA2">
        <v>0</v>
      </c>
      <c r="FE2">
        <v>0</v>
      </c>
      <c r="FI2">
        <v>0</v>
      </c>
      <c r="FJ2">
        <v>5441.7550000000001</v>
      </c>
      <c r="FK2">
        <v>26720</v>
      </c>
      <c r="FL2">
        <v>22219.461384236245</v>
      </c>
      <c r="FM2">
        <v>21278.244999999999</v>
      </c>
    </row>
    <row r="3" spans="1:177" x14ac:dyDescent="0.35">
      <c r="A3">
        <v>198044</v>
      </c>
      <c r="B3" t="s">
        <v>1720</v>
      </c>
      <c r="C3" t="s">
        <v>1721</v>
      </c>
      <c r="D3" t="s">
        <v>1722</v>
      </c>
      <c r="E3" s="43" t="s">
        <v>1723</v>
      </c>
      <c r="F3">
        <v>1</v>
      </c>
      <c r="G3">
        <v>43775</v>
      </c>
      <c r="H3">
        <v>43780</v>
      </c>
      <c r="I3">
        <v>43780</v>
      </c>
      <c r="J3" t="s">
        <v>3421</v>
      </c>
      <c r="K3" t="s">
        <v>1715</v>
      </c>
      <c r="L3" s="43" t="s">
        <v>3204</v>
      </c>
      <c r="M3" t="s">
        <v>1724</v>
      </c>
      <c r="N3" s="43" t="s">
        <v>1725</v>
      </c>
      <c r="O3" s="43" t="s">
        <v>462</v>
      </c>
      <c r="P3" s="43" t="s">
        <v>342</v>
      </c>
      <c r="Q3" s="43" t="s">
        <v>1726</v>
      </c>
      <c r="R3">
        <v>3.9569999999999999</v>
      </c>
      <c r="S3">
        <v>44109</v>
      </c>
      <c r="T3" t="s">
        <v>311</v>
      </c>
      <c r="U3" t="s">
        <v>286</v>
      </c>
      <c r="V3" t="s">
        <v>267</v>
      </c>
      <c r="W3" t="s">
        <v>1718</v>
      </c>
      <c r="X3" t="s">
        <v>1719</v>
      </c>
      <c r="Y3">
        <v>8772802835</v>
      </c>
      <c r="Z3" t="s">
        <v>270</v>
      </c>
      <c r="AA3" t="s">
        <v>271</v>
      </c>
      <c r="AB3">
        <v>0</v>
      </c>
      <c r="AC3">
        <v>1230</v>
      </c>
      <c r="AD3">
        <v>126</v>
      </c>
      <c r="AE3" t="s">
        <v>301</v>
      </c>
      <c r="AF3">
        <v>1</v>
      </c>
      <c r="AG3" t="s">
        <v>275</v>
      </c>
      <c r="AH3">
        <v>6027</v>
      </c>
      <c r="AI3">
        <v>6027</v>
      </c>
      <c r="AJ3">
        <v>43774</v>
      </c>
      <c r="AK3" s="43" t="s">
        <v>3208</v>
      </c>
      <c r="AL3" s="43" t="s">
        <v>3209</v>
      </c>
      <c r="AM3">
        <v>43780</v>
      </c>
      <c r="AN3">
        <v>43780</v>
      </c>
      <c r="AO3" s="23">
        <v>43780</v>
      </c>
      <c r="AP3" s="23"/>
      <c r="AQ3" s="23"/>
      <c r="BC3" t="s">
        <v>2018</v>
      </c>
      <c r="BD3" s="43" t="s">
        <v>2018</v>
      </c>
      <c r="BE3" s="43" t="s">
        <v>2018</v>
      </c>
      <c r="BF3" s="43" t="s">
        <v>2018</v>
      </c>
      <c r="BG3" s="43" t="s">
        <v>2018</v>
      </c>
      <c r="BH3" t="s">
        <v>2018</v>
      </c>
      <c r="BI3" s="43" t="s">
        <v>2018</v>
      </c>
      <c r="BJ3">
        <v>0.1875</v>
      </c>
      <c r="BK3">
        <v>44109</v>
      </c>
      <c r="BL3">
        <v>44356</v>
      </c>
      <c r="BM3">
        <v>8505</v>
      </c>
      <c r="BN3">
        <v>8505</v>
      </c>
      <c r="BO3">
        <v>8505</v>
      </c>
      <c r="BP3">
        <v>25515</v>
      </c>
      <c r="BQ3">
        <v>3300</v>
      </c>
      <c r="BR3">
        <v>400</v>
      </c>
      <c r="BS3">
        <v>400</v>
      </c>
      <c r="BT3">
        <v>4100</v>
      </c>
      <c r="BU3">
        <v>2100</v>
      </c>
      <c r="BV3">
        <v>2100</v>
      </c>
      <c r="BW3">
        <v>2100</v>
      </c>
      <c r="BX3">
        <v>6300</v>
      </c>
      <c r="BY3">
        <v>1050</v>
      </c>
      <c r="BZ3">
        <v>1050</v>
      </c>
      <c r="CA3">
        <v>1050</v>
      </c>
      <c r="CB3">
        <v>3150</v>
      </c>
      <c r="CC3">
        <v>0</v>
      </c>
      <c r="CD3">
        <v>0</v>
      </c>
      <c r="CE3">
        <v>0</v>
      </c>
      <c r="CF3">
        <v>0</v>
      </c>
      <c r="CG3">
        <v>39065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1700</v>
      </c>
      <c r="CU3">
        <v>1700</v>
      </c>
      <c r="CV3">
        <v>1700</v>
      </c>
      <c r="CW3">
        <v>5100</v>
      </c>
      <c r="CX3">
        <v>0</v>
      </c>
      <c r="CY3">
        <v>0</v>
      </c>
      <c r="CZ3">
        <v>0</v>
      </c>
      <c r="DA3">
        <v>0</v>
      </c>
      <c r="DB3">
        <v>1000</v>
      </c>
      <c r="DC3">
        <v>1000</v>
      </c>
      <c r="DD3">
        <v>1000</v>
      </c>
      <c r="DE3">
        <v>3000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8100</v>
      </c>
      <c r="EE3">
        <v>0</v>
      </c>
      <c r="EF3">
        <v>0</v>
      </c>
      <c r="EG3">
        <v>0</v>
      </c>
      <c r="EH3">
        <v>0</v>
      </c>
      <c r="EI3">
        <v>1154</v>
      </c>
      <c r="EJ3">
        <v>1154</v>
      </c>
      <c r="EK3">
        <v>1155</v>
      </c>
      <c r="EL3">
        <v>3500</v>
      </c>
      <c r="EM3">
        <v>37.065000000000005</v>
      </c>
      <c r="EN3">
        <v>660</v>
      </c>
      <c r="EO3">
        <v>660</v>
      </c>
      <c r="EP3">
        <v>660</v>
      </c>
      <c r="EQ3">
        <v>2000</v>
      </c>
      <c r="ER3">
        <v>21.18</v>
      </c>
      <c r="ES3">
        <v>8523</v>
      </c>
      <c r="ET3">
        <v>8523</v>
      </c>
      <c r="EU3">
        <v>8523</v>
      </c>
      <c r="EV3">
        <v>26652</v>
      </c>
      <c r="EW3">
        <v>1128.9787200000001</v>
      </c>
      <c r="FA3">
        <v>0</v>
      </c>
      <c r="FE3">
        <v>0</v>
      </c>
      <c r="FI3">
        <v>0</v>
      </c>
      <c r="FJ3">
        <v>30964.776280000002</v>
      </c>
      <c r="FK3">
        <v>30965</v>
      </c>
      <c r="FL3">
        <v>0.2336159725973628</v>
      </c>
      <c r="FM3">
        <v>0.22371999999813852</v>
      </c>
    </row>
    <row r="4" spans="1:177" x14ac:dyDescent="0.35">
      <c r="A4">
        <v>198104</v>
      </c>
      <c r="B4" t="s">
        <v>1727</v>
      </c>
      <c r="C4" t="s">
        <v>1728</v>
      </c>
      <c r="D4" t="s">
        <v>1729</v>
      </c>
      <c r="E4" s="43" t="s">
        <v>1730</v>
      </c>
      <c r="F4">
        <v>1</v>
      </c>
      <c r="I4">
        <v>43804</v>
      </c>
      <c r="J4" t="s">
        <v>4241</v>
      </c>
      <c r="K4" t="s">
        <v>1715</v>
      </c>
      <c r="L4" s="43" t="s">
        <v>259</v>
      </c>
      <c r="M4" t="s">
        <v>1731</v>
      </c>
      <c r="N4" s="43" t="s">
        <v>1732</v>
      </c>
      <c r="O4" s="43" t="s">
        <v>1733</v>
      </c>
      <c r="P4" s="43" t="s">
        <v>911</v>
      </c>
      <c r="Q4" s="43" t="s">
        <v>1734</v>
      </c>
      <c r="R4">
        <v>3.24</v>
      </c>
      <c r="S4">
        <v>44109</v>
      </c>
      <c r="T4" t="s">
        <v>311</v>
      </c>
      <c r="U4" t="s">
        <v>286</v>
      </c>
      <c r="V4" t="s">
        <v>267</v>
      </c>
      <c r="W4" t="s">
        <v>1718</v>
      </c>
      <c r="X4" t="s">
        <v>1719</v>
      </c>
      <c r="Y4">
        <v>8772802835</v>
      </c>
      <c r="Z4" t="s">
        <v>270</v>
      </c>
      <c r="AA4" t="s">
        <v>271</v>
      </c>
      <c r="AB4">
        <v>0</v>
      </c>
      <c r="AC4">
        <v>830</v>
      </c>
      <c r="AD4">
        <v>94</v>
      </c>
      <c r="AE4" t="s">
        <v>445</v>
      </c>
      <c r="AF4">
        <v>4</v>
      </c>
      <c r="AG4" t="s">
        <v>275</v>
      </c>
      <c r="AK4" s="43" t="s">
        <v>259</v>
      </c>
      <c r="AL4" s="43" t="s">
        <v>259</v>
      </c>
      <c r="AO4" s="23"/>
      <c r="AP4" s="23"/>
      <c r="AQ4" s="23"/>
      <c r="BC4" t="s">
        <v>259</v>
      </c>
      <c r="BD4" s="43" t="s">
        <v>259</v>
      </c>
      <c r="BE4" s="43" t="s">
        <v>259</v>
      </c>
      <c r="BF4" s="43" t="s">
        <v>259</v>
      </c>
      <c r="BG4" s="43" t="s">
        <v>259</v>
      </c>
      <c r="BH4" t="s">
        <v>259</v>
      </c>
      <c r="BI4" s="43" t="s">
        <v>259</v>
      </c>
      <c r="BJ4">
        <v>0</v>
      </c>
      <c r="BK4">
        <v>44109</v>
      </c>
      <c r="BL4">
        <v>44356</v>
      </c>
      <c r="BM4">
        <v>8505</v>
      </c>
      <c r="BN4">
        <v>8505</v>
      </c>
      <c r="BO4">
        <v>8505</v>
      </c>
      <c r="BP4">
        <v>25515</v>
      </c>
      <c r="BQ4">
        <v>3300</v>
      </c>
      <c r="BR4">
        <v>400</v>
      </c>
      <c r="BS4">
        <v>400</v>
      </c>
      <c r="BT4">
        <v>4100</v>
      </c>
      <c r="BU4">
        <v>2100</v>
      </c>
      <c r="BV4">
        <v>2100</v>
      </c>
      <c r="BW4">
        <v>2100</v>
      </c>
      <c r="BX4">
        <v>6300</v>
      </c>
      <c r="BY4">
        <v>1200</v>
      </c>
      <c r="BZ4">
        <v>1200</v>
      </c>
      <c r="CA4">
        <v>1200</v>
      </c>
      <c r="CB4">
        <v>3600</v>
      </c>
      <c r="CC4">
        <v>0</v>
      </c>
      <c r="CD4">
        <v>0</v>
      </c>
      <c r="CE4">
        <v>0</v>
      </c>
      <c r="CF4">
        <v>0</v>
      </c>
      <c r="CG4">
        <v>39515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1250</v>
      </c>
      <c r="CU4">
        <v>1250</v>
      </c>
      <c r="CV4">
        <v>1250</v>
      </c>
      <c r="CW4">
        <v>3750</v>
      </c>
      <c r="CX4">
        <v>0</v>
      </c>
      <c r="CY4">
        <v>0</v>
      </c>
      <c r="CZ4">
        <v>0</v>
      </c>
      <c r="DA4">
        <v>0</v>
      </c>
      <c r="DB4">
        <v>1000</v>
      </c>
      <c r="DC4">
        <v>1000</v>
      </c>
      <c r="DD4">
        <v>1000</v>
      </c>
      <c r="DE4">
        <v>3000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6750</v>
      </c>
      <c r="EE4">
        <v>0</v>
      </c>
      <c r="EF4">
        <v>0</v>
      </c>
      <c r="EG4">
        <v>0</v>
      </c>
      <c r="EH4">
        <v>0</v>
      </c>
      <c r="EI4">
        <v>1154</v>
      </c>
      <c r="EJ4">
        <v>1154</v>
      </c>
      <c r="EK4">
        <v>1155</v>
      </c>
      <c r="EL4">
        <v>3500</v>
      </c>
      <c r="EM4">
        <v>37.065000000000005</v>
      </c>
      <c r="EN4">
        <v>660</v>
      </c>
      <c r="EO4">
        <v>660</v>
      </c>
      <c r="EP4">
        <v>660</v>
      </c>
      <c r="EQ4">
        <v>2000</v>
      </c>
      <c r="ER4">
        <v>21.18</v>
      </c>
      <c r="ES4">
        <v>0</v>
      </c>
      <c r="ET4">
        <v>0</v>
      </c>
      <c r="EU4">
        <v>0</v>
      </c>
      <c r="EV4">
        <v>0</v>
      </c>
      <c r="EW4">
        <v>0</v>
      </c>
      <c r="FA4">
        <v>0</v>
      </c>
      <c r="FE4">
        <v>0</v>
      </c>
      <c r="FI4">
        <v>0</v>
      </c>
      <c r="FJ4">
        <v>5441.7550000000001</v>
      </c>
      <c r="FK4">
        <v>32765</v>
      </c>
      <c r="FL4">
        <v>28531.854350277765</v>
      </c>
      <c r="FM4">
        <v>27323.244999999999</v>
      </c>
    </row>
    <row r="5" spans="1:177" x14ac:dyDescent="0.35">
      <c r="A5">
        <v>198200</v>
      </c>
      <c r="B5" t="s">
        <v>1727</v>
      </c>
      <c r="C5" t="s">
        <v>1735</v>
      </c>
      <c r="D5" t="s">
        <v>1736</v>
      </c>
      <c r="E5" s="43" t="s">
        <v>1737</v>
      </c>
      <c r="F5">
        <v>1</v>
      </c>
      <c r="I5">
        <v>43776</v>
      </c>
      <c r="J5" t="s">
        <v>3304</v>
      </c>
      <c r="K5" t="s">
        <v>1715</v>
      </c>
      <c r="L5" s="43" t="s">
        <v>3204</v>
      </c>
      <c r="M5" t="s">
        <v>1738</v>
      </c>
      <c r="N5" s="43" t="s">
        <v>1739</v>
      </c>
      <c r="O5" s="43" t="s">
        <v>1054</v>
      </c>
      <c r="P5" s="43" t="s">
        <v>297</v>
      </c>
      <c r="Q5" s="43" t="s">
        <v>1740</v>
      </c>
      <c r="R5">
        <v>3.77</v>
      </c>
      <c r="S5">
        <v>44109</v>
      </c>
      <c r="T5" t="s">
        <v>265</v>
      </c>
      <c r="U5" t="s">
        <v>266</v>
      </c>
      <c r="V5" t="s">
        <v>267</v>
      </c>
      <c r="W5" t="s">
        <v>1718</v>
      </c>
      <c r="X5" t="s">
        <v>1719</v>
      </c>
      <c r="Y5">
        <v>8772802835</v>
      </c>
      <c r="Z5" t="s">
        <v>270</v>
      </c>
      <c r="AA5" t="s">
        <v>271</v>
      </c>
      <c r="AB5">
        <v>0</v>
      </c>
      <c r="AC5">
        <v>1150</v>
      </c>
      <c r="AD5">
        <v>119</v>
      </c>
      <c r="AE5" t="s">
        <v>301</v>
      </c>
      <c r="AF5">
        <v>1</v>
      </c>
      <c r="AG5" t="s">
        <v>275</v>
      </c>
      <c r="AH5">
        <v>0</v>
      </c>
      <c r="AI5">
        <v>0</v>
      </c>
      <c r="AJ5">
        <v>43776</v>
      </c>
      <c r="AK5" s="43" t="s">
        <v>3208</v>
      </c>
      <c r="AL5" s="43" t="s">
        <v>3209</v>
      </c>
      <c r="AO5" s="23"/>
      <c r="AP5" s="23"/>
      <c r="AQ5" s="23"/>
      <c r="BC5" t="s">
        <v>2018</v>
      </c>
      <c r="BD5" s="43" t="s">
        <v>2018</v>
      </c>
      <c r="BE5" s="43" t="s">
        <v>2018</v>
      </c>
      <c r="BF5" s="43" t="s">
        <v>2018</v>
      </c>
      <c r="BG5" s="43" t="s">
        <v>2018</v>
      </c>
      <c r="BH5" t="s">
        <v>2018</v>
      </c>
      <c r="BI5" s="43" t="s">
        <v>2018</v>
      </c>
      <c r="BJ5">
        <v>0</v>
      </c>
      <c r="BK5">
        <v>44109</v>
      </c>
      <c r="BL5">
        <v>44356</v>
      </c>
      <c r="BM5">
        <v>8505</v>
      </c>
      <c r="BN5">
        <v>8505</v>
      </c>
      <c r="BO5">
        <v>8505</v>
      </c>
      <c r="BP5">
        <v>25515</v>
      </c>
      <c r="BQ5">
        <v>3300</v>
      </c>
      <c r="BR5">
        <v>400</v>
      </c>
      <c r="BS5">
        <v>400</v>
      </c>
      <c r="BT5">
        <v>4100</v>
      </c>
      <c r="BU5">
        <v>2100</v>
      </c>
      <c r="BV5">
        <v>2100</v>
      </c>
      <c r="BW5">
        <v>2100</v>
      </c>
      <c r="BX5">
        <v>6300</v>
      </c>
      <c r="BY5">
        <v>1200</v>
      </c>
      <c r="BZ5">
        <v>1200</v>
      </c>
      <c r="CA5">
        <v>1200</v>
      </c>
      <c r="CB5">
        <v>3600</v>
      </c>
      <c r="CC5">
        <v>0</v>
      </c>
      <c r="CD5">
        <v>0</v>
      </c>
      <c r="CE5">
        <v>0</v>
      </c>
      <c r="CF5">
        <v>0</v>
      </c>
      <c r="CG5">
        <v>39515</v>
      </c>
      <c r="CH5">
        <v>0</v>
      </c>
      <c r="CI5">
        <v>0</v>
      </c>
      <c r="CJ5">
        <v>0</v>
      </c>
      <c r="CK5">
        <v>0</v>
      </c>
      <c r="CL5">
        <v>2065</v>
      </c>
      <c r="CM5">
        <v>2065</v>
      </c>
      <c r="CN5">
        <v>2065</v>
      </c>
      <c r="CO5">
        <v>6195</v>
      </c>
      <c r="CP5">
        <v>500</v>
      </c>
      <c r="CQ5">
        <v>500</v>
      </c>
      <c r="CR5">
        <v>500</v>
      </c>
      <c r="CS5">
        <v>1500</v>
      </c>
      <c r="CT5">
        <v>1700</v>
      </c>
      <c r="CU5">
        <v>1700</v>
      </c>
      <c r="CV5">
        <v>1700</v>
      </c>
      <c r="CW5">
        <v>5100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12795</v>
      </c>
      <c r="EE5">
        <v>0</v>
      </c>
      <c r="EF5">
        <v>0</v>
      </c>
      <c r="EG5">
        <v>0</v>
      </c>
      <c r="EH5">
        <v>0</v>
      </c>
      <c r="EI5">
        <v>1154</v>
      </c>
      <c r="EJ5">
        <v>1154</v>
      </c>
      <c r="EK5">
        <v>1155</v>
      </c>
      <c r="EL5">
        <v>3500</v>
      </c>
      <c r="EM5">
        <v>37.065000000000005</v>
      </c>
      <c r="EN5">
        <v>660</v>
      </c>
      <c r="EO5">
        <v>660</v>
      </c>
      <c r="EP5">
        <v>660</v>
      </c>
      <c r="EQ5">
        <v>2000</v>
      </c>
      <c r="ER5">
        <v>21.18</v>
      </c>
      <c r="ES5">
        <v>0</v>
      </c>
      <c r="ET5">
        <v>0</v>
      </c>
      <c r="EU5">
        <v>0</v>
      </c>
      <c r="EV5">
        <v>0</v>
      </c>
      <c r="EW5">
        <v>0</v>
      </c>
      <c r="FA5">
        <v>0</v>
      </c>
      <c r="FE5">
        <v>0</v>
      </c>
      <c r="FI5">
        <v>0</v>
      </c>
      <c r="FJ5">
        <v>5441.7550000000001</v>
      </c>
      <c r="FK5">
        <v>26720</v>
      </c>
      <c r="FL5">
        <v>22219.461384236245</v>
      </c>
      <c r="FM5">
        <v>21278.244999999999</v>
      </c>
    </row>
    <row r="6" spans="1:177" x14ac:dyDescent="0.35">
      <c r="A6">
        <v>195085</v>
      </c>
      <c r="B6" t="s">
        <v>1741</v>
      </c>
      <c r="C6" t="s">
        <v>1742</v>
      </c>
      <c r="D6" t="s">
        <v>1743</v>
      </c>
      <c r="E6" s="43" t="s">
        <v>1744</v>
      </c>
      <c r="F6">
        <v>1</v>
      </c>
      <c r="I6">
        <v>43804</v>
      </c>
      <c r="J6" t="s">
        <v>4242</v>
      </c>
      <c r="K6" t="s">
        <v>1715</v>
      </c>
      <c r="L6" s="43" t="s">
        <v>259</v>
      </c>
      <c r="M6" t="s">
        <v>1745</v>
      </c>
      <c r="N6" s="43" t="s">
        <v>1746</v>
      </c>
      <c r="O6" s="43" t="s">
        <v>1747</v>
      </c>
      <c r="P6" s="43" t="s">
        <v>342</v>
      </c>
      <c r="Q6" s="43" t="s">
        <v>1748</v>
      </c>
      <c r="S6">
        <v>44109</v>
      </c>
      <c r="T6" t="s">
        <v>265</v>
      </c>
      <c r="U6" t="s">
        <v>266</v>
      </c>
      <c r="V6" t="s">
        <v>267</v>
      </c>
      <c r="W6" t="s">
        <v>1718</v>
      </c>
      <c r="X6" t="s">
        <v>1719</v>
      </c>
      <c r="Y6">
        <v>8772802835</v>
      </c>
      <c r="Z6" t="s">
        <v>270</v>
      </c>
      <c r="AA6" t="s">
        <v>271</v>
      </c>
      <c r="AB6">
        <v>0</v>
      </c>
      <c r="AC6">
        <v>0</v>
      </c>
      <c r="AD6">
        <v>0</v>
      </c>
      <c r="AE6" t="s">
        <v>364</v>
      </c>
      <c r="AF6">
        <v>3</v>
      </c>
      <c r="AG6" t="s">
        <v>275</v>
      </c>
      <c r="AK6" s="43" t="s">
        <v>259</v>
      </c>
      <c r="AL6" s="43" t="s">
        <v>259</v>
      </c>
      <c r="AO6" s="23"/>
      <c r="AP6" s="23"/>
      <c r="AQ6" s="23"/>
      <c r="BC6" t="s">
        <v>259</v>
      </c>
      <c r="BD6" s="43" t="s">
        <v>259</v>
      </c>
      <c r="BE6" s="43" t="s">
        <v>259</v>
      </c>
      <c r="BF6" s="43" t="s">
        <v>259</v>
      </c>
      <c r="BG6" s="43" t="s">
        <v>259</v>
      </c>
      <c r="BH6" t="s">
        <v>259</v>
      </c>
      <c r="BI6" s="43" t="s">
        <v>259</v>
      </c>
      <c r="BJ6">
        <v>0</v>
      </c>
      <c r="BK6">
        <v>44109</v>
      </c>
      <c r="BL6">
        <v>44356</v>
      </c>
      <c r="BM6">
        <v>8505</v>
      </c>
      <c r="BN6">
        <v>8505</v>
      </c>
      <c r="BO6">
        <v>8505</v>
      </c>
      <c r="BP6">
        <v>25515</v>
      </c>
      <c r="BQ6">
        <v>3300</v>
      </c>
      <c r="BR6">
        <v>400</v>
      </c>
      <c r="BS6">
        <v>400</v>
      </c>
      <c r="BT6">
        <v>4100</v>
      </c>
      <c r="BU6">
        <v>2100</v>
      </c>
      <c r="BV6">
        <v>2100</v>
      </c>
      <c r="BW6">
        <v>2100</v>
      </c>
      <c r="BX6">
        <v>6300</v>
      </c>
      <c r="BY6">
        <v>1200</v>
      </c>
      <c r="BZ6">
        <v>1200</v>
      </c>
      <c r="CA6">
        <v>1200</v>
      </c>
      <c r="CB6">
        <v>3600</v>
      </c>
      <c r="CC6">
        <v>0</v>
      </c>
      <c r="CD6">
        <v>0</v>
      </c>
      <c r="CE6">
        <v>0</v>
      </c>
      <c r="CF6">
        <v>0</v>
      </c>
      <c r="CG6">
        <v>39515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1300</v>
      </c>
      <c r="CU6">
        <v>1300</v>
      </c>
      <c r="CV6">
        <v>1300</v>
      </c>
      <c r="CW6">
        <v>3900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3900</v>
      </c>
      <c r="EE6">
        <v>0</v>
      </c>
      <c r="EF6">
        <v>0</v>
      </c>
      <c r="EG6">
        <v>0</v>
      </c>
      <c r="EH6">
        <v>0</v>
      </c>
      <c r="EI6">
        <v>1154</v>
      </c>
      <c r="EJ6">
        <v>1154</v>
      </c>
      <c r="EK6">
        <v>1155</v>
      </c>
      <c r="EL6">
        <v>3500</v>
      </c>
      <c r="EM6">
        <v>37.065000000000005</v>
      </c>
      <c r="EN6">
        <v>660</v>
      </c>
      <c r="EO6">
        <v>660</v>
      </c>
      <c r="EP6">
        <v>660</v>
      </c>
      <c r="EQ6">
        <v>2000</v>
      </c>
      <c r="ER6">
        <v>21.18</v>
      </c>
      <c r="ES6">
        <v>0</v>
      </c>
      <c r="ET6">
        <v>0</v>
      </c>
      <c r="EU6">
        <v>0</v>
      </c>
      <c r="EV6">
        <v>0</v>
      </c>
      <c r="EW6">
        <v>0</v>
      </c>
      <c r="FA6">
        <v>0</v>
      </c>
      <c r="FE6">
        <v>0</v>
      </c>
      <c r="FI6">
        <v>0</v>
      </c>
      <c r="FJ6">
        <v>5441.7550000000001</v>
      </c>
      <c r="FK6">
        <v>35615</v>
      </c>
      <c r="FL6">
        <v>31507.920512927612</v>
      </c>
      <c r="FM6">
        <v>30173.244999999999</v>
      </c>
    </row>
    <row r="7" spans="1:177" x14ac:dyDescent="0.35">
      <c r="A7">
        <v>199188</v>
      </c>
      <c r="B7" t="s">
        <v>3609</v>
      </c>
      <c r="C7" t="s">
        <v>3610</v>
      </c>
      <c r="D7" t="s">
        <v>3611</v>
      </c>
      <c r="E7" s="43" t="s">
        <v>3612</v>
      </c>
      <c r="F7">
        <v>1</v>
      </c>
      <c r="G7">
        <v>43803</v>
      </c>
      <c r="H7">
        <v>43803</v>
      </c>
      <c r="I7">
        <v>43803</v>
      </c>
      <c r="J7" t="s">
        <v>4233</v>
      </c>
      <c r="K7" t="s">
        <v>1715</v>
      </c>
      <c r="L7" s="43" t="s">
        <v>259</v>
      </c>
      <c r="M7" t="s">
        <v>3613</v>
      </c>
      <c r="N7" s="43" t="s">
        <v>3614</v>
      </c>
      <c r="O7" s="43" t="s">
        <v>3615</v>
      </c>
      <c r="P7" s="43" t="s">
        <v>297</v>
      </c>
      <c r="Q7" s="43" t="s">
        <v>3616</v>
      </c>
      <c r="S7">
        <v>44109</v>
      </c>
      <c r="T7" t="s">
        <v>265</v>
      </c>
      <c r="U7" t="s">
        <v>266</v>
      </c>
      <c r="V7" t="s">
        <v>267</v>
      </c>
      <c r="W7" t="s">
        <v>1718</v>
      </c>
      <c r="X7" t="s">
        <v>1719</v>
      </c>
      <c r="Y7">
        <v>8772802835</v>
      </c>
      <c r="Z7" t="s">
        <v>270</v>
      </c>
      <c r="AA7" t="s">
        <v>271</v>
      </c>
      <c r="AB7">
        <v>0</v>
      </c>
      <c r="AC7">
        <v>1190</v>
      </c>
      <c r="AD7">
        <v>122</v>
      </c>
      <c r="AE7" t="s">
        <v>301</v>
      </c>
      <c r="AF7">
        <v>1</v>
      </c>
      <c r="AG7" t="s">
        <v>3345</v>
      </c>
      <c r="AK7" s="43" t="s">
        <v>259</v>
      </c>
      <c r="AL7" s="43" t="s">
        <v>259</v>
      </c>
      <c r="AO7" s="23"/>
      <c r="AP7" s="23"/>
      <c r="AQ7" s="23"/>
      <c r="BC7" t="s">
        <v>259</v>
      </c>
      <c r="BD7" s="43" t="s">
        <v>259</v>
      </c>
      <c r="BE7" s="43" t="s">
        <v>259</v>
      </c>
      <c r="BF7" s="43" t="s">
        <v>259</v>
      </c>
      <c r="BG7" s="43" t="s">
        <v>259</v>
      </c>
      <c r="BH7" t="s">
        <v>259</v>
      </c>
      <c r="BI7" s="43" t="s">
        <v>259</v>
      </c>
      <c r="BJ7">
        <v>0</v>
      </c>
      <c r="BK7">
        <v>44109</v>
      </c>
      <c r="BL7">
        <v>44356</v>
      </c>
      <c r="BM7">
        <v>8505</v>
      </c>
      <c r="BN7">
        <v>8505</v>
      </c>
      <c r="BO7">
        <v>8505</v>
      </c>
      <c r="BP7">
        <v>25515</v>
      </c>
      <c r="BQ7">
        <v>3300</v>
      </c>
      <c r="BR7">
        <v>400</v>
      </c>
      <c r="BS7">
        <v>400</v>
      </c>
      <c r="BT7">
        <v>4100</v>
      </c>
      <c r="BU7">
        <v>2100</v>
      </c>
      <c r="BV7">
        <v>2100</v>
      </c>
      <c r="BW7">
        <v>2100</v>
      </c>
      <c r="BX7">
        <v>6300</v>
      </c>
      <c r="BY7">
        <v>1200</v>
      </c>
      <c r="BZ7">
        <v>1200</v>
      </c>
      <c r="CA7">
        <v>1200</v>
      </c>
      <c r="CB7">
        <v>3600</v>
      </c>
      <c r="CC7">
        <v>0</v>
      </c>
      <c r="CD7">
        <v>0</v>
      </c>
      <c r="CE7">
        <v>0</v>
      </c>
      <c r="CF7">
        <v>0</v>
      </c>
      <c r="CG7">
        <v>39515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1700</v>
      </c>
      <c r="CU7">
        <v>1700</v>
      </c>
      <c r="CV7">
        <v>1700</v>
      </c>
      <c r="CW7">
        <v>5100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5100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M7">
        <v>0</v>
      </c>
      <c r="EN7">
        <v>660</v>
      </c>
      <c r="EO7">
        <v>660</v>
      </c>
      <c r="EP7">
        <v>660</v>
      </c>
      <c r="EQ7">
        <v>2000</v>
      </c>
      <c r="ER7">
        <v>21.18</v>
      </c>
      <c r="ES7">
        <v>0</v>
      </c>
      <c r="ET7">
        <v>0</v>
      </c>
      <c r="EU7">
        <v>0</v>
      </c>
      <c r="EW7">
        <v>0</v>
      </c>
      <c r="FA7">
        <v>0</v>
      </c>
      <c r="FE7">
        <v>0</v>
      </c>
      <c r="FI7">
        <v>0</v>
      </c>
      <c r="FJ7">
        <v>1978.82</v>
      </c>
      <c r="FK7">
        <v>34415</v>
      </c>
      <c r="FL7">
        <v>33870.953594252533</v>
      </c>
      <c r="FM7">
        <v>32436.18</v>
      </c>
    </row>
    <row r="8" spans="1:177" x14ac:dyDescent="0.35">
      <c r="A8">
        <v>194980</v>
      </c>
      <c r="B8" t="s">
        <v>1749</v>
      </c>
      <c r="C8" t="s">
        <v>1750</v>
      </c>
      <c r="D8" t="s">
        <v>1751</v>
      </c>
      <c r="E8" s="43" t="s">
        <v>1752</v>
      </c>
      <c r="F8">
        <v>1</v>
      </c>
      <c r="G8" t="s">
        <v>4243</v>
      </c>
      <c r="H8">
        <v>43787</v>
      </c>
      <c r="I8">
        <v>43787</v>
      </c>
      <c r="J8" t="s">
        <v>3421</v>
      </c>
      <c r="K8" t="s">
        <v>1715</v>
      </c>
      <c r="L8" s="43" t="s">
        <v>3204</v>
      </c>
      <c r="M8" t="s">
        <v>1753</v>
      </c>
      <c r="N8" s="43" t="s">
        <v>1754</v>
      </c>
      <c r="O8" s="43" t="s">
        <v>1755</v>
      </c>
      <c r="P8" s="43" t="s">
        <v>542</v>
      </c>
      <c r="Q8" s="43" t="s">
        <v>1756</v>
      </c>
      <c r="R8">
        <v>3.99</v>
      </c>
      <c r="S8">
        <v>44109</v>
      </c>
      <c r="T8" t="s">
        <v>544</v>
      </c>
      <c r="U8" t="s">
        <v>266</v>
      </c>
      <c r="V8" t="s">
        <v>267</v>
      </c>
      <c r="W8" t="s">
        <v>1718</v>
      </c>
      <c r="X8" t="s">
        <v>1719</v>
      </c>
      <c r="Y8">
        <v>8772802835</v>
      </c>
      <c r="Z8" t="s">
        <v>270</v>
      </c>
      <c r="AA8" t="s">
        <v>271</v>
      </c>
      <c r="AB8">
        <v>24</v>
      </c>
      <c r="AC8">
        <v>0</v>
      </c>
      <c r="AD8">
        <v>0</v>
      </c>
      <c r="AE8" t="s">
        <v>416</v>
      </c>
      <c r="AF8">
        <v>5</v>
      </c>
      <c r="AG8" t="s">
        <v>275</v>
      </c>
      <c r="AH8">
        <v>1314</v>
      </c>
      <c r="AI8">
        <v>1314</v>
      </c>
      <c r="AJ8">
        <v>43774</v>
      </c>
      <c r="AK8" s="43" t="s">
        <v>3208</v>
      </c>
      <c r="AL8" s="43" t="s">
        <v>3209</v>
      </c>
      <c r="AM8">
        <v>43787</v>
      </c>
      <c r="AN8">
        <v>43787</v>
      </c>
      <c r="AO8" s="23">
        <v>43796</v>
      </c>
      <c r="AP8" s="23">
        <v>43796</v>
      </c>
      <c r="AQ8" s="23">
        <v>43796</v>
      </c>
      <c r="BC8" t="s">
        <v>2018</v>
      </c>
      <c r="BD8" s="43" t="s">
        <v>2018</v>
      </c>
      <c r="BE8" s="43" t="s">
        <v>2018</v>
      </c>
      <c r="BF8" s="43" t="s">
        <v>2018</v>
      </c>
      <c r="BG8" s="43" t="s">
        <v>2018</v>
      </c>
      <c r="BH8" t="s">
        <v>2018</v>
      </c>
      <c r="BI8" s="43" t="s">
        <v>2018</v>
      </c>
      <c r="BJ8">
        <v>0.3125</v>
      </c>
      <c r="BK8">
        <v>44109</v>
      </c>
      <c r="BL8">
        <v>44356</v>
      </c>
      <c r="BM8">
        <v>8505</v>
      </c>
      <c r="BN8">
        <v>8505</v>
      </c>
      <c r="BO8">
        <v>8505</v>
      </c>
      <c r="BP8">
        <v>25515</v>
      </c>
      <c r="BQ8">
        <v>3300</v>
      </c>
      <c r="BR8">
        <v>400</v>
      </c>
      <c r="BS8">
        <v>400</v>
      </c>
      <c r="BT8">
        <v>4100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29615</v>
      </c>
      <c r="CH8">
        <v>0</v>
      </c>
      <c r="CI8">
        <v>0</v>
      </c>
      <c r="CJ8">
        <v>0</v>
      </c>
      <c r="CK8">
        <v>0</v>
      </c>
      <c r="CL8">
        <v>1615</v>
      </c>
      <c r="CM8">
        <v>1615</v>
      </c>
      <c r="CN8">
        <v>1615</v>
      </c>
      <c r="CO8">
        <v>4845</v>
      </c>
      <c r="CP8">
        <v>500</v>
      </c>
      <c r="CQ8">
        <v>500</v>
      </c>
      <c r="CR8">
        <v>500</v>
      </c>
      <c r="CS8">
        <v>1500</v>
      </c>
      <c r="CT8">
        <v>1000</v>
      </c>
      <c r="CU8">
        <v>1000</v>
      </c>
      <c r="CV8">
        <v>1000</v>
      </c>
      <c r="CW8">
        <v>3000</v>
      </c>
      <c r="CX8">
        <v>3000</v>
      </c>
      <c r="CY8">
        <v>3000</v>
      </c>
      <c r="CZ8">
        <v>3000</v>
      </c>
      <c r="DA8">
        <v>9000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18345</v>
      </c>
      <c r="EE8">
        <v>0</v>
      </c>
      <c r="EF8">
        <v>0</v>
      </c>
      <c r="EG8">
        <v>0</v>
      </c>
      <c r="EH8">
        <v>0</v>
      </c>
      <c r="EI8">
        <v>1154</v>
      </c>
      <c r="EJ8">
        <v>1154</v>
      </c>
      <c r="EK8">
        <v>1155</v>
      </c>
      <c r="EL8">
        <v>3500</v>
      </c>
      <c r="EM8">
        <v>37.065000000000005</v>
      </c>
      <c r="EN8">
        <v>660</v>
      </c>
      <c r="EO8">
        <v>660</v>
      </c>
      <c r="EP8">
        <v>660</v>
      </c>
      <c r="EQ8">
        <v>2000</v>
      </c>
      <c r="ER8">
        <v>21.18</v>
      </c>
      <c r="ES8">
        <v>1946</v>
      </c>
      <c r="ET8">
        <v>1946</v>
      </c>
      <c r="EU8">
        <v>1946</v>
      </c>
      <c r="EV8">
        <v>6086</v>
      </c>
      <c r="EW8">
        <v>257.80295999999998</v>
      </c>
      <c r="FA8">
        <v>0</v>
      </c>
      <c r="FE8">
        <v>0</v>
      </c>
      <c r="FI8">
        <v>0</v>
      </c>
      <c r="FJ8">
        <v>11269.95204</v>
      </c>
      <c r="FK8">
        <v>11270</v>
      </c>
      <c r="FL8">
        <v>5.0081450232639539E-2</v>
      </c>
      <c r="FM8">
        <v>4.796000000078493E-2</v>
      </c>
    </row>
    <row r="9" spans="1:177" x14ac:dyDescent="0.35">
      <c r="A9">
        <v>197093</v>
      </c>
      <c r="B9" t="s">
        <v>1757</v>
      </c>
      <c r="C9" t="s">
        <v>1525</v>
      </c>
      <c r="D9" t="s">
        <v>1758</v>
      </c>
      <c r="E9" s="43" t="s">
        <v>1759</v>
      </c>
      <c r="F9">
        <v>1</v>
      </c>
      <c r="G9">
        <v>43796</v>
      </c>
      <c r="H9">
        <v>43796</v>
      </c>
      <c r="I9">
        <v>43796</v>
      </c>
      <c r="J9" t="s">
        <v>3639</v>
      </c>
      <c r="K9" t="s">
        <v>1715</v>
      </c>
      <c r="L9" s="43" t="s">
        <v>259</v>
      </c>
      <c r="M9" t="s">
        <v>1760</v>
      </c>
      <c r="N9" s="43" t="s">
        <v>1761</v>
      </c>
      <c r="O9" s="43" t="s">
        <v>1762</v>
      </c>
      <c r="P9" s="43" t="s">
        <v>608</v>
      </c>
      <c r="Q9" s="43" t="s">
        <v>1763</v>
      </c>
      <c r="R9">
        <v>3.14</v>
      </c>
      <c r="S9">
        <v>44109</v>
      </c>
      <c r="T9" t="s">
        <v>265</v>
      </c>
      <c r="U9" t="s">
        <v>266</v>
      </c>
      <c r="V9" t="s">
        <v>267</v>
      </c>
      <c r="W9" t="s">
        <v>1718</v>
      </c>
      <c r="X9" t="s">
        <v>1719</v>
      </c>
      <c r="Y9">
        <v>8772802835</v>
      </c>
      <c r="Z9" t="s">
        <v>270</v>
      </c>
      <c r="AA9" t="s">
        <v>271</v>
      </c>
      <c r="AB9">
        <v>27</v>
      </c>
      <c r="AC9">
        <v>0</v>
      </c>
      <c r="AD9">
        <v>110</v>
      </c>
      <c r="AE9" t="s">
        <v>364</v>
      </c>
      <c r="AF9">
        <v>3</v>
      </c>
      <c r="AG9" t="s">
        <v>275</v>
      </c>
      <c r="AK9" s="43" t="s">
        <v>259</v>
      </c>
      <c r="AL9" s="43" t="s">
        <v>259</v>
      </c>
      <c r="AO9" s="23"/>
      <c r="AP9" s="23"/>
      <c r="AQ9" s="23"/>
      <c r="BC9" t="s">
        <v>259</v>
      </c>
      <c r="BD9" s="43" t="s">
        <v>259</v>
      </c>
      <c r="BE9" s="43" t="s">
        <v>259</v>
      </c>
      <c r="BF9" s="43" t="s">
        <v>259</v>
      </c>
      <c r="BG9" s="43" t="s">
        <v>259</v>
      </c>
      <c r="BH9" t="s">
        <v>259</v>
      </c>
      <c r="BI9" s="43" t="s">
        <v>259</v>
      </c>
      <c r="BJ9">
        <v>0</v>
      </c>
      <c r="BK9">
        <v>44109</v>
      </c>
      <c r="BL9">
        <v>44356</v>
      </c>
      <c r="BM9">
        <v>8505</v>
      </c>
      <c r="BN9">
        <v>8505</v>
      </c>
      <c r="BO9">
        <v>8505</v>
      </c>
      <c r="BP9">
        <v>25515</v>
      </c>
      <c r="BQ9">
        <v>3300</v>
      </c>
      <c r="BR9">
        <v>400</v>
      </c>
      <c r="BS9">
        <v>400</v>
      </c>
      <c r="BT9">
        <v>4100</v>
      </c>
      <c r="BU9">
        <v>2100</v>
      </c>
      <c r="BV9">
        <v>2100</v>
      </c>
      <c r="BW9">
        <v>2100</v>
      </c>
      <c r="BX9">
        <v>6300</v>
      </c>
      <c r="BY9">
        <v>1200</v>
      </c>
      <c r="BZ9">
        <v>1200</v>
      </c>
      <c r="CA9">
        <v>1200</v>
      </c>
      <c r="CB9">
        <v>3600</v>
      </c>
      <c r="CC9">
        <v>0</v>
      </c>
      <c r="CD9">
        <v>0</v>
      </c>
      <c r="CE9">
        <v>0</v>
      </c>
      <c r="CF9">
        <v>0</v>
      </c>
      <c r="CG9">
        <v>39515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1300</v>
      </c>
      <c r="CU9">
        <v>1300</v>
      </c>
      <c r="CV9">
        <v>1300</v>
      </c>
      <c r="CW9">
        <v>3900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3900</v>
      </c>
      <c r="EE9">
        <v>0</v>
      </c>
      <c r="EF9">
        <v>0</v>
      </c>
      <c r="EG9">
        <v>0</v>
      </c>
      <c r="EH9">
        <v>0</v>
      </c>
      <c r="EI9">
        <v>1154</v>
      </c>
      <c r="EJ9">
        <v>1154</v>
      </c>
      <c r="EK9">
        <v>1155</v>
      </c>
      <c r="EL9">
        <v>3500</v>
      </c>
      <c r="EM9">
        <v>37.065000000000005</v>
      </c>
      <c r="EN9">
        <v>660</v>
      </c>
      <c r="EO9">
        <v>660</v>
      </c>
      <c r="EP9">
        <v>660</v>
      </c>
      <c r="EQ9">
        <v>2000</v>
      </c>
      <c r="ER9">
        <v>21.18</v>
      </c>
      <c r="ES9">
        <v>0</v>
      </c>
      <c r="ET9">
        <v>0</v>
      </c>
      <c r="EU9">
        <v>0</v>
      </c>
      <c r="EV9">
        <v>0</v>
      </c>
      <c r="EW9">
        <v>0</v>
      </c>
      <c r="FA9">
        <v>0</v>
      </c>
      <c r="FE9">
        <v>0</v>
      </c>
      <c r="FI9">
        <v>0</v>
      </c>
      <c r="FJ9">
        <v>5441.7550000000001</v>
      </c>
      <c r="FK9">
        <v>35615</v>
      </c>
      <c r="FL9">
        <v>31507.920512927612</v>
      </c>
      <c r="FM9">
        <v>30173.244999999999</v>
      </c>
    </row>
    <row r="10" spans="1:177" x14ac:dyDescent="0.35">
      <c r="A10">
        <v>195819</v>
      </c>
      <c r="B10" t="s">
        <v>1757</v>
      </c>
      <c r="C10" t="s">
        <v>1764</v>
      </c>
      <c r="D10" t="s">
        <v>1765</v>
      </c>
      <c r="E10" s="43" t="s">
        <v>1766</v>
      </c>
      <c r="F10">
        <v>1</v>
      </c>
      <c r="G10">
        <v>43795</v>
      </c>
      <c r="H10">
        <v>43795</v>
      </c>
      <c r="I10">
        <v>43795</v>
      </c>
      <c r="J10" t="s">
        <v>3421</v>
      </c>
      <c r="K10" t="s">
        <v>1715</v>
      </c>
      <c r="L10" s="43" t="s">
        <v>3204</v>
      </c>
      <c r="M10" t="s">
        <v>1767</v>
      </c>
      <c r="N10" s="43" t="s">
        <v>1768</v>
      </c>
      <c r="O10" s="43" t="s">
        <v>1769</v>
      </c>
      <c r="P10" s="43" t="s">
        <v>1770</v>
      </c>
      <c r="Q10" s="43" t="s">
        <v>1771</v>
      </c>
      <c r="S10">
        <v>44109</v>
      </c>
      <c r="T10" t="s">
        <v>285</v>
      </c>
      <c r="U10" t="s">
        <v>286</v>
      </c>
      <c r="V10" t="s">
        <v>267</v>
      </c>
      <c r="W10" t="s">
        <v>1718</v>
      </c>
      <c r="X10" t="s">
        <v>1719</v>
      </c>
      <c r="Y10">
        <v>8772802835</v>
      </c>
      <c r="Z10" t="s">
        <v>270</v>
      </c>
      <c r="AA10" t="s">
        <v>271</v>
      </c>
      <c r="AB10">
        <v>0</v>
      </c>
      <c r="AC10">
        <v>1000</v>
      </c>
      <c r="AD10">
        <v>103</v>
      </c>
      <c r="AE10" t="s">
        <v>416</v>
      </c>
      <c r="AF10">
        <v>5</v>
      </c>
      <c r="AG10" t="s">
        <v>446</v>
      </c>
      <c r="AH10">
        <v>9540</v>
      </c>
      <c r="AI10">
        <v>9540</v>
      </c>
      <c r="AJ10">
        <v>43774</v>
      </c>
      <c r="AK10" s="43" t="s">
        <v>3208</v>
      </c>
      <c r="AL10" s="43" t="s">
        <v>3209</v>
      </c>
      <c r="AM10">
        <v>43795</v>
      </c>
      <c r="AN10">
        <v>43795</v>
      </c>
      <c r="AO10" s="23">
        <v>43777</v>
      </c>
      <c r="AP10" s="23">
        <v>43795</v>
      </c>
      <c r="AQ10" s="23"/>
      <c r="BC10" t="s">
        <v>2018</v>
      </c>
      <c r="BD10" s="43" t="s">
        <v>2018</v>
      </c>
      <c r="BE10" s="43" t="s">
        <v>2018</v>
      </c>
      <c r="BF10" s="43" t="s">
        <v>2018</v>
      </c>
      <c r="BG10" s="43" t="s">
        <v>2018</v>
      </c>
      <c r="BH10" t="s">
        <v>2018</v>
      </c>
      <c r="BI10" s="43" t="s">
        <v>2018</v>
      </c>
      <c r="BJ10">
        <v>0.25</v>
      </c>
      <c r="BK10">
        <v>44109</v>
      </c>
      <c r="BL10">
        <v>44356</v>
      </c>
      <c r="BM10">
        <v>8505</v>
      </c>
      <c r="BN10">
        <v>8505</v>
      </c>
      <c r="BO10">
        <v>8505</v>
      </c>
      <c r="BP10">
        <v>25515</v>
      </c>
      <c r="BQ10">
        <v>3300</v>
      </c>
      <c r="BR10">
        <v>400</v>
      </c>
      <c r="BS10">
        <v>400</v>
      </c>
      <c r="BT10">
        <v>4100</v>
      </c>
      <c r="BU10">
        <v>2100</v>
      </c>
      <c r="BV10">
        <v>2100</v>
      </c>
      <c r="BW10">
        <v>2100</v>
      </c>
      <c r="BX10">
        <v>6300</v>
      </c>
      <c r="BY10">
        <v>1350</v>
      </c>
      <c r="BZ10">
        <v>1350</v>
      </c>
      <c r="CA10">
        <v>1350</v>
      </c>
      <c r="CB10">
        <v>4050</v>
      </c>
      <c r="CC10">
        <v>0</v>
      </c>
      <c r="CD10">
        <v>0</v>
      </c>
      <c r="CE10">
        <v>0</v>
      </c>
      <c r="CF10">
        <v>0</v>
      </c>
      <c r="CG10">
        <v>39965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1000</v>
      </c>
      <c r="CU10">
        <v>1000</v>
      </c>
      <c r="CV10">
        <v>1000</v>
      </c>
      <c r="CW10">
        <v>3000</v>
      </c>
      <c r="CX10">
        <v>0</v>
      </c>
      <c r="CY10">
        <v>0</v>
      </c>
      <c r="CZ10">
        <v>0</v>
      </c>
      <c r="DA10">
        <v>0</v>
      </c>
      <c r="DB10">
        <v>1000</v>
      </c>
      <c r="DC10">
        <v>1000</v>
      </c>
      <c r="DD10">
        <v>1000</v>
      </c>
      <c r="DE10">
        <v>3000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6000</v>
      </c>
      <c r="EE10">
        <v>0</v>
      </c>
      <c r="EF10">
        <v>0</v>
      </c>
      <c r="EG10">
        <v>0</v>
      </c>
      <c r="EH10">
        <v>0</v>
      </c>
      <c r="EI10">
        <v>1154</v>
      </c>
      <c r="EJ10">
        <v>1154</v>
      </c>
      <c r="EK10">
        <v>1155</v>
      </c>
      <c r="EL10">
        <v>3500</v>
      </c>
      <c r="EM10">
        <v>37.065000000000005</v>
      </c>
      <c r="EN10">
        <v>660</v>
      </c>
      <c r="EO10">
        <v>660</v>
      </c>
      <c r="EP10">
        <v>660</v>
      </c>
      <c r="EQ10">
        <v>2000</v>
      </c>
      <c r="ER10">
        <v>21.18</v>
      </c>
      <c r="ES10">
        <v>9525</v>
      </c>
      <c r="ET10">
        <v>9525</v>
      </c>
      <c r="EU10">
        <v>9525</v>
      </c>
      <c r="EV10">
        <v>29785</v>
      </c>
      <c r="EW10">
        <v>1261.6926000000001</v>
      </c>
      <c r="FA10">
        <v>0</v>
      </c>
      <c r="FE10">
        <v>0</v>
      </c>
      <c r="FI10">
        <v>0</v>
      </c>
      <c r="FJ10">
        <v>33965.062400000003</v>
      </c>
      <c r="FK10">
        <v>33965</v>
      </c>
      <c r="FL10">
        <v>-6.5160185458550401E-2</v>
      </c>
      <c r="FM10">
        <v>-6.2400000002526206E-2</v>
      </c>
    </row>
    <row r="11" spans="1:177" x14ac:dyDescent="0.35">
      <c r="A11">
        <v>195930</v>
      </c>
      <c r="B11" t="s">
        <v>1757</v>
      </c>
      <c r="C11" t="s">
        <v>1772</v>
      </c>
      <c r="D11" t="s">
        <v>1773</v>
      </c>
      <c r="E11" s="43" t="s">
        <v>1774</v>
      </c>
      <c r="F11">
        <v>1</v>
      </c>
      <c r="G11">
        <v>43796</v>
      </c>
      <c r="H11">
        <v>43796</v>
      </c>
      <c r="I11">
        <v>43796</v>
      </c>
      <c r="J11" t="s">
        <v>3639</v>
      </c>
      <c r="K11" t="s">
        <v>1715</v>
      </c>
      <c r="L11" s="43" t="s">
        <v>259</v>
      </c>
      <c r="M11" t="s">
        <v>1775</v>
      </c>
      <c r="N11" s="43" t="s">
        <v>1776</v>
      </c>
      <c r="O11" s="43" t="s">
        <v>1777</v>
      </c>
      <c r="P11" s="43" t="s">
        <v>454</v>
      </c>
      <c r="Q11" s="43" t="s">
        <v>1778</v>
      </c>
      <c r="R11">
        <v>2.82</v>
      </c>
      <c r="S11">
        <v>44109</v>
      </c>
      <c r="T11" t="s">
        <v>311</v>
      </c>
      <c r="U11" t="s">
        <v>266</v>
      </c>
      <c r="V11" t="s">
        <v>267</v>
      </c>
      <c r="W11" t="s">
        <v>1718</v>
      </c>
      <c r="X11" t="s">
        <v>1719</v>
      </c>
      <c r="Y11">
        <v>8772802835</v>
      </c>
      <c r="Z11" t="s">
        <v>270</v>
      </c>
      <c r="AA11" t="s">
        <v>271</v>
      </c>
      <c r="AB11">
        <v>0</v>
      </c>
      <c r="AC11">
        <v>1060</v>
      </c>
      <c r="AD11">
        <v>97</v>
      </c>
      <c r="AE11" t="s">
        <v>354</v>
      </c>
      <c r="AF11">
        <v>6</v>
      </c>
      <c r="AG11" t="s">
        <v>275</v>
      </c>
      <c r="AK11" s="43" t="s">
        <v>259</v>
      </c>
      <c r="AL11" s="43" t="s">
        <v>259</v>
      </c>
      <c r="AO11" s="23"/>
      <c r="AP11" s="23"/>
      <c r="AQ11" s="23"/>
      <c r="BC11" t="s">
        <v>259</v>
      </c>
      <c r="BD11" s="43" t="s">
        <v>259</v>
      </c>
      <c r="BE11" s="43" t="s">
        <v>259</v>
      </c>
      <c r="BF11" s="43" t="s">
        <v>259</v>
      </c>
      <c r="BG11" s="43" t="s">
        <v>259</v>
      </c>
      <c r="BH11" t="s">
        <v>259</v>
      </c>
      <c r="BI11" s="43" t="s">
        <v>259</v>
      </c>
      <c r="BJ11">
        <v>0</v>
      </c>
      <c r="BK11">
        <v>44109</v>
      </c>
      <c r="BL11">
        <v>44356</v>
      </c>
      <c r="BM11">
        <v>8505</v>
      </c>
      <c r="BN11">
        <v>8505</v>
      </c>
      <c r="BO11">
        <v>8505</v>
      </c>
      <c r="BP11">
        <v>25515</v>
      </c>
      <c r="BQ11">
        <v>3300</v>
      </c>
      <c r="BR11">
        <v>400</v>
      </c>
      <c r="BS11">
        <v>400</v>
      </c>
      <c r="BT11">
        <v>4100</v>
      </c>
      <c r="BU11">
        <v>2100</v>
      </c>
      <c r="BV11">
        <v>2100</v>
      </c>
      <c r="BW11">
        <v>2100</v>
      </c>
      <c r="BX11">
        <v>6300</v>
      </c>
      <c r="BY11">
        <v>1200</v>
      </c>
      <c r="BZ11">
        <v>1200</v>
      </c>
      <c r="CA11">
        <v>1200</v>
      </c>
      <c r="CB11">
        <v>3600</v>
      </c>
      <c r="CC11">
        <v>0</v>
      </c>
      <c r="CD11">
        <v>0</v>
      </c>
      <c r="CE11">
        <v>0</v>
      </c>
      <c r="CF11">
        <v>0</v>
      </c>
      <c r="CG11">
        <v>39515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750</v>
      </c>
      <c r="CU11">
        <v>750</v>
      </c>
      <c r="CV11">
        <v>750</v>
      </c>
      <c r="CW11">
        <v>2250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2250</v>
      </c>
      <c r="EE11">
        <v>0</v>
      </c>
      <c r="EF11">
        <v>0</v>
      </c>
      <c r="EG11">
        <v>0</v>
      </c>
      <c r="EH11">
        <v>0</v>
      </c>
      <c r="EI11">
        <v>1154</v>
      </c>
      <c r="EJ11">
        <v>1154</v>
      </c>
      <c r="EK11">
        <v>1155</v>
      </c>
      <c r="EL11">
        <v>3500</v>
      </c>
      <c r="EM11">
        <v>37.065000000000005</v>
      </c>
      <c r="EN11">
        <v>660</v>
      </c>
      <c r="EO11">
        <v>660</v>
      </c>
      <c r="EP11">
        <v>660</v>
      </c>
      <c r="EQ11">
        <v>2000</v>
      </c>
      <c r="ER11">
        <v>21.18</v>
      </c>
      <c r="ES11">
        <v>0</v>
      </c>
      <c r="ET11">
        <v>0</v>
      </c>
      <c r="EU11">
        <v>0</v>
      </c>
      <c r="EV11">
        <v>0</v>
      </c>
      <c r="EW11">
        <v>0</v>
      </c>
      <c r="FA11">
        <v>0</v>
      </c>
      <c r="FE11">
        <v>0</v>
      </c>
      <c r="FI11">
        <v>0</v>
      </c>
      <c r="FJ11">
        <v>5441.7550000000001</v>
      </c>
      <c r="FK11">
        <v>37265</v>
      </c>
      <c r="FL11">
        <v>33230.906186040687</v>
      </c>
      <c r="FM11">
        <v>31823.245000000003</v>
      </c>
    </row>
    <row r="12" spans="1:177" x14ac:dyDescent="0.35">
      <c r="A12">
        <v>199598</v>
      </c>
      <c r="B12" t="s">
        <v>3954</v>
      </c>
      <c r="C12" t="s">
        <v>3955</v>
      </c>
      <c r="D12" t="s">
        <v>3956</v>
      </c>
      <c r="E12" s="43" t="s">
        <v>3957</v>
      </c>
      <c r="F12">
        <v>1</v>
      </c>
      <c r="I12">
        <v>43804</v>
      </c>
      <c r="J12" t="s">
        <v>3958</v>
      </c>
      <c r="K12" t="s">
        <v>1715</v>
      </c>
      <c r="L12" s="43" t="s">
        <v>259</v>
      </c>
      <c r="M12" t="s">
        <v>3959</v>
      </c>
      <c r="N12" s="43" t="s">
        <v>3960</v>
      </c>
      <c r="O12" s="43" t="s">
        <v>3961</v>
      </c>
      <c r="P12" s="43" t="s">
        <v>596</v>
      </c>
      <c r="Q12" s="43" t="s">
        <v>3962</v>
      </c>
      <c r="S12">
        <v>44109</v>
      </c>
      <c r="T12" t="s">
        <v>265</v>
      </c>
      <c r="U12" t="s">
        <v>266</v>
      </c>
      <c r="V12" t="s">
        <v>1110</v>
      </c>
      <c r="W12" t="s">
        <v>1718</v>
      </c>
      <c r="X12" t="s">
        <v>1719</v>
      </c>
      <c r="Y12">
        <v>8772802835</v>
      </c>
      <c r="Z12" t="s">
        <v>270</v>
      </c>
      <c r="AA12" t="s">
        <v>271</v>
      </c>
      <c r="AB12">
        <v>21</v>
      </c>
      <c r="AC12">
        <v>0</v>
      </c>
      <c r="AD12">
        <v>97</v>
      </c>
      <c r="AE12" t="s">
        <v>289</v>
      </c>
      <c r="AF12">
        <v>2</v>
      </c>
      <c r="AG12" t="s">
        <v>3345</v>
      </c>
      <c r="AK12" s="43" t="s">
        <v>259</v>
      </c>
      <c r="AL12" s="43" t="s">
        <v>259</v>
      </c>
      <c r="AO12" s="23"/>
      <c r="AP12" s="23"/>
      <c r="AQ12" s="23"/>
      <c r="BC12" t="s">
        <v>259</v>
      </c>
      <c r="BD12" s="43" t="s">
        <v>259</v>
      </c>
      <c r="BE12" s="43" t="s">
        <v>259</v>
      </c>
      <c r="BF12" s="43" t="s">
        <v>259</v>
      </c>
      <c r="BG12" s="43" t="s">
        <v>259</v>
      </c>
      <c r="BH12" t="s">
        <v>259</v>
      </c>
      <c r="BI12" s="43" t="s">
        <v>259</v>
      </c>
      <c r="BJ12">
        <v>0</v>
      </c>
      <c r="BK12">
        <v>44109</v>
      </c>
      <c r="BL12">
        <v>44356</v>
      </c>
      <c r="BM12">
        <v>8505</v>
      </c>
      <c r="BN12">
        <v>8505</v>
      </c>
      <c r="BO12">
        <v>8505</v>
      </c>
      <c r="BP12">
        <v>25515</v>
      </c>
      <c r="BQ12">
        <v>3300</v>
      </c>
      <c r="BR12">
        <v>400</v>
      </c>
      <c r="BS12">
        <v>400</v>
      </c>
      <c r="BT12">
        <v>4100</v>
      </c>
      <c r="BU12">
        <v>2100</v>
      </c>
      <c r="BV12">
        <v>2100</v>
      </c>
      <c r="BW12">
        <v>2100</v>
      </c>
      <c r="BX12">
        <v>6300</v>
      </c>
      <c r="BY12">
        <v>1200</v>
      </c>
      <c r="BZ12">
        <v>1200</v>
      </c>
      <c r="CA12">
        <v>1200</v>
      </c>
      <c r="CB12">
        <v>3600</v>
      </c>
      <c r="CC12">
        <v>0</v>
      </c>
      <c r="CD12">
        <v>0</v>
      </c>
      <c r="CE12">
        <v>0</v>
      </c>
      <c r="CF12">
        <v>0</v>
      </c>
      <c r="CG12">
        <v>39515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1500</v>
      </c>
      <c r="CU12">
        <v>1500</v>
      </c>
      <c r="CV12">
        <v>1500</v>
      </c>
      <c r="CW12">
        <v>4500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4500</v>
      </c>
      <c r="EE12">
        <v>0</v>
      </c>
      <c r="EF12">
        <v>0</v>
      </c>
      <c r="EG12">
        <v>0</v>
      </c>
      <c r="EH12">
        <v>0</v>
      </c>
      <c r="EI12">
        <v>1154</v>
      </c>
      <c r="EJ12">
        <v>1154</v>
      </c>
      <c r="EK12">
        <v>1155</v>
      </c>
      <c r="EL12">
        <v>3500</v>
      </c>
      <c r="EM12">
        <v>37.065000000000005</v>
      </c>
      <c r="EN12">
        <v>660</v>
      </c>
      <c r="EO12">
        <v>660</v>
      </c>
      <c r="EP12">
        <v>660</v>
      </c>
      <c r="EQ12">
        <v>2000</v>
      </c>
      <c r="ER12">
        <v>21.18</v>
      </c>
      <c r="ES12">
        <v>0</v>
      </c>
      <c r="ET12">
        <v>0</v>
      </c>
      <c r="EU12">
        <v>0</v>
      </c>
      <c r="EV12">
        <v>0</v>
      </c>
      <c r="EW12">
        <v>0</v>
      </c>
      <c r="FA12">
        <v>0</v>
      </c>
      <c r="FE12">
        <v>0</v>
      </c>
      <c r="FI12">
        <v>0</v>
      </c>
      <c r="FJ12">
        <v>5441.7550000000001</v>
      </c>
      <c r="FK12">
        <v>35015</v>
      </c>
      <c r="FL12">
        <v>30881.380268159221</v>
      </c>
      <c r="FM12">
        <v>29573.244999999999</v>
      </c>
    </row>
    <row r="13" spans="1:177" x14ac:dyDescent="0.35">
      <c r="A13">
        <v>199527</v>
      </c>
      <c r="B13" t="s">
        <v>3963</v>
      </c>
      <c r="C13" t="s">
        <v>3964</v>
      </c>
      <c r="D13" t="s">
        <v>3965</v>
      </c>
      <c r="E13" s="43" t="s">
        <v>3966</v>
      </c>
      <c r="F13">
        <v>1</v>
      </c>
      <c r="I13">
        <v>43804</v>
      </c>
      <c r="J13" t="s">
        <v>3958</v>
      </c>
      <c r="K13" t="s">
        <v>1715</v>
      </c>
      <c r="L13" s="43" t="s">
        <v>259</v>
      </c>
      <c r="M13" t="s">
        <v>3967</v>
      </c>
      <c r="N13" s="43" t="s">
        <v>3968</v>
      </c>
      <c r="O13" s="43" t="s">
        <v>3969</v>
      </c>
      <c r="P13" s="43" t="s">
        <v>342</v>
      </c>
      <c r="Q13" s="43" t="s">
        <v>3970</v>
      </c>
      <c r="S13">
        <v>44109</v>
      </c>
      <c r="T13" t="s">
        <v>265</v>
      </c>
      <c r="U13" t="s">
        <v>286</v>
      </c>
      <c r="V13" t="s">
        <v>267</v>
      </c>
      <c r="W13" t="s">
        <v>1718</v>
      </c>
      <c r="X13" t="s">
        <v>1719</v>
      </c>
      <c r="Y13">
        <v>8772802835</v>
      </c>
      <c r="Z13" t="s">
        <v>270</v>
      </c>
      <c r="AA13" t="s">
        <v>271</v>
      </c>
      <c r="AB13">
        <v>0</v>
      </c>
      <c r="AC13">
        <v>0</v>
      </c>
      <c r="AD13">
        <v>0</v>
      </c>
      <c r="AE13" t="s">
        <v>354</v>
      </c>
      <c r="AF13">
        <v>6</v>
      </c>
      <c r="AG13" t="s">
        <v>3345</v>
      </c>
      <c r="AK13" s="43" t="s">
        <v>259</v>
      </c>
      <c r="AL13" s="43" t="s">
        <v>259</v>
      </c>
      <c r="AO13" s="23"/>
      <c r="AP13" s="23"/>
      <c r="AQ13" s="23"/>
      <c r="BC13" t="s">
        <v>259</v>
      </c>
      <c r="BD13" s="43" t="s">
        <v>259</v>
      </c>
      <c r="BE13" s="43" t="s">
        <v>259</v>
      </c>
      <c r="BF13" s="43" t="s">
        <v>259</v>
      </c>
      <c r="BG13" s="43" t="s">
        <v>259</v>
      </c>
      <c r="BH13" t="s">
        <v>259</v>
      </c>
      <c r="BI13" s="43" t="s">
        <v>259</v>
      </c>
      <c r="BJ13">
        <v>0</v>
      </c>
      <c r="BK13">
        <v>44109</v>
      </c>
      <c r="BL13">
        <v>44356</v>
      </c>
      <c r="BM13">
        <v>8505</v>
      </c>
      <c r="BN13">
        <v>8505</v>
      </c>
      <c r="BO13">
        <v>8505</v>
      </c>
      <c r="BP13">
        <v>25515</v>
      </c>
      <c r="BQ13">
        <v>3300</v>
      </c>
      <c r="BR13">
        <v>400</v>
      </c>
      <c r="BS13">
        <v>400</v>
      </c>
      <c r="BT13">
        <v>4100</v>
      </c>
      <c r="BU13">
        <v>2100</v>
      </c>
      <c r="BV13">
        <v>2100</v>
      </c>
      <c r="BW13">
        <v>2100</v>
      </c>
      <c r="BX13">
        <v>6300</v>
      </c>
      <c r="BY13">
        <v>1200</v>
      </c>
      <c r="BZ13">
        <v>1200</v>
      </c>
      <c r="CA13">
        <v>1200</v>
      </c>
      <c r="CB13">
        <v>3600</v>
      </c>
      <c r="CC13">
        <v>0</v>
      </c>
      <c r="CD13">
        <v>0</v>
      </c>
      <c r="CE13">
        <v>0</v>
      </c>
      <c r="CF13">
        <v>0</v>
      </c>
      <c r="CG13">
        <v>39515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750</v>
      </c>
      <c r="CU13">
        <v>750</v>
      </c>
      <c r="CV13">
        <v>750</v>
      </c>
      <c r="CW13">
        <v>2250</v>
      </c>
      <c r="CX13">
        <v>0</v>
      </c>
      <c r="CY13">
        <v>0</v>
      </c>
      <c r="CZ13">
        <v>0</v>
      </c>
      <c r="DA13">
        <v>0</v>
      </c>
      <c r="DB13">
        <v>1000</v>
      </c>
      <c r="DC13">
        <v>1000</v>
      </c>
      <c r="DD13">
        <v>1000</v>
      </c>
      <c r="DE13">
        <v>3000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5250</v>
      </c>
      <c r="EE13">
        <v>0</v>
      </c>
      <c r="EF13">
        <v>0</v>
      </c>
      <c r="EG13">
        <v>0</v>
      </c>
      <c r="EH13">
        <v>0</v>
      </c>
      <c r="EI13">
        <v>1154</v>
      </c>
      <c r="EJ13">
        <v>1154</v>
      </c>
      <c r="EK13">
        <v>1155</v>
      </c>
      <c r="EL13">
        <v>3500</v>
      </c>
      <c r="EM13">
        <v>37.065000000000005</v>
      </c>
      <c r="EN13">
        <v>660</v>
      </c>
      <c r="EO13">
        <v>660</v>
      </c>
      <c r="EP13">
        <v>660</v>
      </c>
      <c r="EQ13">
        <v>2000</v>
      </c>
      <c r="ER13">
        <v>21.18</v>
      </c>
      <c r="ES13">
        <v>0</v>
      </c>
      <c r="ET13">
        <v>0</v>
      </c>
      <c r="EU13">
        <v>0</v>
      </c>
      <c r="EV13">
        <v>0</v>
      </c>
      <c r="EW13">
        <v>0</v>
      </c>
      <c r="FA13">
        <v>0</v>
      </c>
      <c r="FE13">
        <v>0</v>
      </c>
      <c r="FI13">
        <v>0</v>
      </c>
      <c r="FJ13">
        <v>5441.7550000000001</v>
      </c>
      <c r="FK13">
        <v>34265</v>
      </c>
      <c r="FL13">
        <v>30098.204962198735</v>
      </c>
      <c r="FM13">
        <v>28823.244999999999</v>
      </c>
    </row>
    <row r="14" spans="1:177" x14ac:dyDescent="0.35">
      <c r="A14">
        <v>194947</v>
      </c>
      <c r="B14" t="s">
        <v>1779</v>
      </c>
      <c r="C14" t="s">
        <v>1780</v>
      </c>
      <c r="D14" t="s">
        <v>1781</v>
      </c>
      <c r="E14" s="43" t="s">
        <v>1782</v>
      </c>
      <c r="F14">
        <v>1</v>
      </c>
      <c r="G14">
        <v>43775</v>
      </c>
      <c r="H14">
        <v>43780</v>
      </c>
      <c r="I14">
        <v>43780</v>
      </c>
      <c r="J14" t="s">
        <v>3421</v>
      </c>
      <c r="K14" t="s">
        <v>3307</v>
      </c>
      <c r="L14" s="43" t="s">
        <v>3204</v>
      </c>
      <c r="M14" t="s">
        <v>1783</v>
      </c>
      <c r="N14" s="43" t="s">
        <v>1784</v>
      </c>
      <c r="O14" s="43" t="s">
        <v>1785</v>
      </c>
      <c r="P14" s="43" t="s">
        <v>309</v>
      </c>
      <c r="Q14" s="43" t="s">
        <v>1786</v>
      </c>
      <c r="R14">
        <v>2.5516999999999999</v>
      </c>
      <c r="S14">
        <v>44109</v>
      </c>
      <c r="T14" t="s">
        <v>265</v>
      </c>
      <c r="U14" t="s">
        <v>266</v>
      </c>
      <c r="V14" t="s">
        <v>267</v>
      </c>
      <c r="W14" t="s">
        <v>1718</v>
      </c>
      <c r="X14" t="s">
        <v>1719</v>
      </c>
      <c r="Y14">
        <v>8772802835</v>
      </c>
      <c r="Z14" t="s">
        <v>270</v>
      </c>
      <c r="AA14" t="s">
        <v>271</v>
      </c>
      <c r="AB14">
        <v>0</v>
      </c>
      <c r="AC14">
        <v>1040</v>
      </c>
      <c r="AD14">
        <v>92</v>
      </c>
      <c r="AE14" t="s">
        <v>324</v>
      </c>
      <c r="AF14">
        <v>8</v>
      </c>
      <c r="AG14" t="s">
        <v>275</v>
      </c>
      <c r="AH14">
        <v>1489</v>
      </c>
      <c r="AI14">
        <v>1489</v>
      </c>
      <c r="AJ14">
        <v>43774</v>
      </c>
      <c r="AK14" s="43" t="s">
        <v>3208</v>
      </c>
      <c r="AL14" s="43" t="s">
        <v>3209</v>
      </c>
      <c r="AM14">
        <v>43780</v>
      </c>
      <c r="AN14">
        <v>43780</v>
      </c>
      <c r="AO14" s="23">
        <v>43766</v>
      </c>
      <c r="AP14" s="23"/>
      <c r="AQ14" s="23"/>
      <c r="BC14" t="s">
        <v>2018</v>
      </c>
      <c r="BD14" s="43" t="s">
        <v>2018</v>
      </c>
      <c r="BE14" s="43" t="s">
        <v>2018</v>
      </c>
      <c r="BF14" s="43" t="s">
        <v>2018</v>
      </c>
      <c r="BG14" s="43" t="s">
        <v>2018</v>
      </c>
      <c r="BH14" t="s">
        <v>2018</v>
      </c>
      <c r="BI14" s="43" t="s">
        <v>2018</v>
      </c>
      <c r="BJ14">
        <v>0.1875</v>
      </c>
      <c r="BK14">
        <v>44109</v>
      </c>
      <c r="BL14">
        <v>44356</v>
      </c>
      <c r="BM14">
        <v>8505</v>
      </c>
      <c r="BN14">
        <v>8505</v>
      </c>
      <c r="BO14">
        <v>8505</v>
      </c>
      <c r="BP14">
        <v>25515</v>
      </c>
      <c r="BQ14">
        <v>3300</v>
      </c>
      <c r="BR14">
        <v>400</v>
      </c>
      <c r="BS14">
        <v>400</v>
      </c>
      <c r="BT14">
        <v>4100</v>
      </c>
      <c r="BU14">
        <v>2100</v>
      </c>
      <c r="BV14">
        <v>2100</v>
      </c>
      <c r="BW14">
        <v>2100</v>
      </c>
      <c r="BX14">
        <v>6300</v>
      </c>
      <c r="BY14">
        <v>1050</v>
      </c>
      <c r="BZ14">
        <v>1050</v>
      </c>
      <c r="CA14">
        <v>1050</v>
      </c>
      <c r="CB14">
        <v>3150</v>
      </c>
      <c r="CC14">
        <v>0</v>
      </c>
      <c r="CD14">
        <v>0</v>
      </c>
      <c r="CE14">
        <v>0</v>
      </c>
      <c r="CF14">
        <v>0</v>
      </c>
      <c r="CG14">
        <v>39065</v>
      </c>
      <c r="CH14">
        <v>0</v>
      </c>
      <c r="CI14">
        <v>0</v>
      </c>
      <c r="CJ14">
        <v>0</v>
      </c>
      <c r="CK14">
        <v>0</v>
      </c>
      <c r="CL14">
        <v>1582</v>
      </c>
      <c r="CM14">
        <v>1582</v>
      </c>
      <c r="CN14">
        <v>1581</v>
      </c>
      <c r="CO14">
        <v>4745</v>
      </c>
      <c r="CP14">
        <v>500</v>
      </c>
      <c r="CQ14">
        <v>500</v>
      </c>
      <c r="CR14">
        <v>500</v>
      </c>
      <c r="CS14">
        <v>1500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6245</v>
      </c>
      <c r="EE14">
        <v>0</v>
      </c>
      <c r="EF14">
        <v>0</v>
      </c>
      <c r="EG14">
        <v>0</v>
      </c>
      <c r="EH14">
        <v>0</v>
      </c>
      <c r="EI14">
        <v>1154</v>
      </c>
      <c r="EJ14">
        <v>1154</v>
      </c>
      <c r="EK14">
        <v>1155</v>
      </c>
      <c r="EL14">
        <v>3500</v>
      </c>
      <c r="EM14">
        <v>37.065000000000005</v>
      </c>
      <c r="EN14">
        <v>660</v>
      </c>
      <c r="EO14">
        <v>660</v>
      </c>
      <c r="EP14">
        <v>660</v>
      </c>
      <c r="EQ14">
        <v>2000</v>
      </c>
      <c r="ER14">
        <v>21.18</v>
      </c>
      <c r="ES14">
        <v>9142</v>
      </c>
      <c r="ET14">
        <v>9142</v>
      </c>
      <c r="EU14">
        <v>9142</v>
      </c>
      <c r="EV14">
        <v>28589</v>
      </c>
      <c r="EW14">
        <v>1211.0300400000001</v>
      </c>
      <c r="FA14">
        <v>0</v>
      </c>
      <c r="FE14">
        <v>0</v>
      </c>
      <c r="FI14">
        <v>0</v>
      </c>
      <c r="FJ14">
        <v>32819.72496</v>
      </c>
      <c r="FK14">
        <v>32820</v>
      </c>
      <c r="FL14">
        <v>0.28720604820229384</v>
      </c>
      <c r="FM14">
        <v>0.27504000000044471</v>
      </c>
    </row>
    <row r="15" spans="1:177" x14ac:dyDescent="0.35">
      <c r="A15">
        <v>196077</v>
      </c>
      <c r="B15" t="s">
        <v>1787</v>
      </c>
      <c r="C15" t="s">
        <v>1788</v>
      </c>
      <c r="D15" t="s">
        <v>1789</v>
      </c>
      <c r="E15" s="43" t="s">
        <v>1790</v>
      </c>
      <c r="F15">
        <v>1</v>
      </c>
      <c r="I15">
        <v>43804</v>
      </c>
      <c r="J15" t="s">
        <v>4242</v>
      </c>
      <c r="K15" t="s">
        <v>1715</v>
      </c>
      <c r="L15" s="43" t="s">
        <v>259</v>
      </c>
      <c r="M15" t="s">
        <v>1791</v>
      </c>
      <c r="N15" s="43" t="s">
        <v>1792</v>
      </c>
      <c r="O15" s="43" t="s">
        <v>1793</v>
      </c>
      <c r="P15" s="43" t="s">
        <v>342</v>
      </c>
      <c r="Q15" s="43" t="s">
        <v>1794</v>
      </c>
      <c r="R15">
        <v>3.2902999999999998</v>
      </c>
      <c r="S15">
        <v>44109</v>
      </c>
      <c r="T15" t="s">
        <v>265</v>
      </c>
      <c r="U15" t="s">
        <v>266</v>
      </c>
      <c r="V15" t="s">
        <v>267</v>
      </c>
      <c r="W15" t="s">
        <v>1718</v>
      </c>
      <c r="X15" t="s">
        <v>1719</v>
      </c>
      <c r="Y15">
        <v>8772802835</v>
      </c>
      <c r="Z15" t="s">
        <v>270</v>
      </c>
      <c r="AA15" t="s">
        <v>271</v>
      </c>
      <c r="AB15">
        <v>0</v>
      </c>
      <c r="AC15">
        <v>0</v>
      </c>
      <c r="AD15">
        <v>0</v>
      </c>
      <c r="AE15" t="s">
        <v>416</v>
      </c>
      <c r="AF15">
        <v>5</v>
      </c>
      <c r="AG15" t="s">
        <v>275</v>
      </c>
      <c r="AK15" s="43" t="s">
        <v>259</v>
      </c>
      <c r="AL15" s="43" t="s">
        <v>259</v>
      </c>
      <c r="AO15" s="23"/>
      <c r="AP15" s="23"/>
      <c r="AQ15" s="23"/>
      <c r="BC15" t="s">
        <v>259</v>
      </c>
      <c r="BD15" s="43" t="s">
        <v>259</v>
      </c>
      <c r="BE15" s="43" t="s">
        <v>259</v>
      </c>
      <c r="BF15" s="43" t="s">
        <v>259</v>
      </c>
      <c r="BG15" s="43" t="s">
        <v>259</v>
      </c>
      <c r="BH15" t="s">
        <v>259</v>
      </c>
      <c r="BI15" s="43" t="s">
        <v>259</v>
      </c>
      <c r="BJ15">
        <v>0</v>
      </c>
      <c r="BK15">
        <v>44109</v>
      </c>
      <c r="BL15">
        <v>44356</v>
      </c>
      <c r="BM15">
        <v>8505</v>
      </c>
      <c r="BN15">
        <v>8505</v>
      </c>
      <c r="BO15">
        <v>8505</v>
      </c>
      <c r="BP15">
        <v>25515</v>
      </c>
      <c r="BQ15">
        <v>3300</v>
      </c>
      <c r="BR15">
        <v>400</v>
      </c>
      <c r="BS15">
        <v>400</v>
      </c>
      <c r="BT15">
        <v>4100</v>
      </c>
      <c r="BU15">
        <v>2100</v>
      </c>
      <c r="BV15">
        <v>2100</v>
      </c>
      <c r="BW15">
        <v>2100</v>
      </c>
      <c r="BX15">
        <v>6300</v>
      </c>
      <c r="BY15">
        <v>1200</v>
      </c>
      <c r="BZ15">
        <v>1200</v>
      </c>
      <c r="CA15">
        <v>1200</v>
      </c>
      <c r="CB15">
        <v>3600</v>
      </c>
      <c r="CC15">
        <v>0</v>
      </c>
      <c r="CD15">
        <v>0</v>
      </c>
      <c r="CE15">
        <v>0</v>
      </c>
      <c r="CF15">
        <v>0</v>
      </c>
      <c r="CG15">
        <v>39515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1000</v>
      </c>
      <c r="CU15">
        <v>1000</v>
      </c>
      <c r="CV15">
        <v>1000</v>
      </c>
      <c r="CW15">
        <v>3000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3000</v>
      </c>
      <c r="EE15">
        <v>0</v>
      </c>
      <c r="EF15">
        <v>0</v>
      </c>
      <c r="EG15">
        <v>0</v>
      </c>
      <c r="EH15">
        <v>0</v>
      </c>
      <c r="EI15">
        <v>1154</v>
      </c>
      <c r="EJ15">
        <v>1154</v>
      </c>
      <c r="EK15">
        <v>1155</v>
      </c>
      <c r="EL15">
        <v>3500</v>
      </c>
      <c r="EM15">
        <v>37.065000000000005</v>
      </c>
      <c r="EN15">
        <v>660</v>
      </c>
      <c r="EO15">
        <v>660</v>
      </c>
      <c r="EP15">
        <v>660</v>
      </c>
      <c r="EQ15">
        <v>2000</v>
      </c>
      <c r="ER15">
        <v>21.18</v>
      </c>
      <c r="ES15">
        <v>0</v>
      </c>
      <c r="ET15">
        <v>0</v>
      </c>
      <c r="EU15">
        <v>0</v>
      </c>
      <c r="EV15">
        <v>0</v>
      </c>
      <c r="EW15">
        <v>0</v>
      </c>
      <c r="FA15">
        <v>0</v>
      </c>
      <c r="FE15">
        <v>0</v>
      </c>
      <c r="FI15">
        <v>0</v>
      </c>
      <c r="FJ15">
        <v>5441.7550000000001</v>
      </c>
      <c r="FK15">
        <v>36515</v>
      </c>
      <c r="FL15">
        <v>32447.730880080198</v>
      </c>
      <c r="FM15">
        <v>31073.245000000003</v>
      </c>
    </row>
    <row r="16" spans="1:177" x14ac:dyDescent="0.35">
      <c r="A16">
        <v>196529</v>
      </c>
      <c r="B16" t="s">
        <v>1795</v>
      </c>
      <c r="C16" t="s">
        <v>878</v>
      </c>
      <c r="D16" t="s">
        <v>1796</v>
      </c>
      <c r="E16" s="43" t="s">
        <v>1797</v>
      </c>
      <c r="F16">
        <v>1</v>
      </c>
      <c r="G16">
        <v>43775</v>
      </c>
      <c r="H16">
        <v>43782</v>
      </c>
      <c r="I16">
        <v>43804</v>
      </c>
      <c r="J16" t="s">
        <v>3421</v>
      </c>
      <c r="K16" t="s">
        <v>1715</v>
      </c>
      <c r="L16" s="43" t="s">
        <v>3204</v>
      </c>
      <c r="M16" t="s">
        <v>1798</v>
      </c>
      <c r="N16" s="43" t="s">
        <v>1799</v>
      </c>
      <c r="O16" s="43" t="s">
        <v>1665</v>
      </c>
      <c r="P16" s="43" t="s">
        <v>542</v>
      </c>
      <c r="Q16" s="43" t="s">
        <v>1800</v>
      </c>
      <c r="R16">
        <v>3.1120000000000001</v>
      </c>
      <c r="S16">
        <v>44109</v>
      </c>
      <c r="T16" t="s">
        <v>544</v>
      </c>
      <c r="U16" t="s">
        <v>266</v>
      </c>
      <c r="V16" t="s">
        <v>267</v>
      </c>
      <c r="W16" t="s">
        <v>1718</v>
      </c>
      <c r="X16" t="s">
        <v>1719</v>
      </c>
      <c r="Y16">
        <v>8772802835</v>
      </c>
      <c r="Z16" t="s">
        <v>270</v>
      </c>
      <c r="AA16" t="s">
        <v>271</v>
      </c>
      <c r="AB16">
        <v>19</v>
      </c>
      <c r="AC16">
        <v>0</v>
      </c>
      <c r="AD16">
        <v>95</v>
      </c>
      <c r="AE16" t="s">
        <v>364</v>
      </c>
      <c r="AF16">
        <v>3</v>
      </c>
      <c r="AG16" t="s">
        <v>275</v>
      </c>
      <c r="AH16">
        <v>1354</v>
      </c>
      <c r="AI16">
        <v>1354</v>
      </c>
      <c r="AJ16">
        <v>43774</v>
      </c>
      <c r="AK16" s="43" t="s">
        <v>3208</v>
      </c>
      <c r="AL16" s="43" t="s">
        <v>3209</v>
      </c>
      <c r="AM16">
        <v>43782</v>
      </c>
      <c r="AN16">
        <v>43782</v>
      </c>
      <c r="AO16" s="23">
        <v>43782</v>
      </c>
      <c r="AP16" s="23">
        <v>43782</v>
      </c>
      <c r="AQ16" s="23"/>
      <c r="BC16" t="s">
        <v>2018</v>
      </c>
      <c r="BD16" s="43" t="s">
        <v>2018</v>
      </c>
      <c r="BE16" s="43" t="s">
        <v>2018</v>
      </c>
      <c r="BF16" s="43" t="s">
        <v>2018</v>
      </c>
      <c r="BG16" s="43" t="s">
        <v>2018</v>
      </c>
      <c r="BH16" t="s">
        <v>2018</v>
      </c>
      <c r="BI16" s="43" t="s">
        <v>2018</v>
      </c>
      <c r="BJ16">
        <v>0.25</v>
      </c>
      <c r="BK16">
        <v>44109</v>
      </c>
      <c r="BL16">
        <v>44356</v>
      </c>
      <c r="BM16">
        <v>8505</v>
      </c>
      <c r="BN16">
        <v>8505</v>
      </c>
      <c r="BO16">
        <v>8505</v>
      </c>
      <c r="BP16">
        <v>25515</v>
      </c>
      <c r="BQ16">
        <v>3300</v>
      </c>
      <c r="BR16">
        <v>400</v>
      </c>
      <c r="BS16">
        <v>400</v>
      </c>
      <c r="BT16">
        <v>4100</v>
      </c>
      <c r="BU16">
        <v>2100</v>
      </c>
      <c r="BV16">
        <v>2100</v>
      </c>
      <c r="BW16">
        <v>2100</v>
      </c>
      <c r="BX16">
        <v>6300</v>
      </c>
      <c r="BY16">
        <v>1200</v>
      </c>
      <c r="BZ16">
        <v>1200</v>
      </c>
      <c r="CA16">
        <v>1200</v>
      </c>
      <c r="CB16">
        <v>3600</v>
      </c>
      <c r="CC16">
        <v>0</v>
      </c>
      <c r="CD16">
        <v>0</v>
      </c>
      <c r="CE16">
        <v>0</v>
      </c>
      <c r="CF16">
        <v>0</v>
      </c>
      <c r="CG16">
        <v>39515</v>
      </c>
      <c r="CH16">
        <v>0</v>
      </c>
      <c r="CI16">
        <v>0</v>
      </c>
      <c r="CJ16">
        <v>0</v>
      </c>
      <c r="CK16">
        <v>0</v>
      </c>
      <c r="CL16">
        <v>1615</v>
      </c>
      <c r="CM16">
        <v>1615</v>
      </c>
      <c r="CN16">
        <v>1615</v>
      </c>
      <c r="CO16">
        <v>4845</v>
      </c>
      <c r="CP16">
        <v>500</v>
      </c>
      <c r="CQ16">
        <v>500</v>
      </c>
      <c r="CR16">
        <v>500</v>
      </c>
      <c r="CS16">
        <v>1500</v>
      </c>
      <c r="CT16">
        <v>1300</v>
      </c>
      <c r="CU16">
        <v>1300</v>
      </c>
      <c r="CV16">
        <v>1300</v>
      </c>
      <c r="CW16">
        <v>3900</v>
      </c>
      <c r="CX16">
        <v>3000</v>
      </c>
      <c r="CY16">
        <v>3000</v>
      </c>
      <c r="CZ16">
        <v>3000</v>
      </c>
      <c r="DA16">
        <v>9000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19245</v>
      </c>
      <c r="EE16">
        <v>0</v>
      </c>
      <c r="EF16">
        <v>0</v>
      </c>
      <c r="EG16">
        <v>0</v>
      </c>
      <c r="EH16">
        <v>0</v>
      </c>
      <c r="EI16">
        <v>1154</v>
      </c>
      <c r="EJ16">
        <v>1154</v>
      </c>
      <c r="EK16">
        <v>1155</v>
      </c>
      <c r="EL16">
        <v>3500</v>
      </c>
      <c r="EM16">
        <v>37.065000000000005</v>
      </c>
      <c r="EN16">
        <v>660</v>
      </c>
      <c r="EO16">
        <v>660</v>
      </c>
      <c r="EP16">
        <v>660</v>
      </c>
      <c r="EQ16">
        <v>2000</v>
      </c>
      <c r="ER16">
        <v>21.18</v>
      </c>
      <c r="ES16">
        <v>4952</v>
      </c>
      <c r="ET16">
        <v>4952</v>
      </c>
      <c r="EU16">
        <v>4952</v>
      </c>
      <c r="EV16">
        <v>15484</v>
      </c>
      <c r="EW16">
        <v>655.90224000000001</v>
      </c>
      <c r="FA16">
        <v>0</v>
      </c>
      <c r="FE16">
        <v>0</v>
      </c>
      <c r="FI16">
        <v>0</v>
      </c>
      <c r="FJ16">
        <v>20269.852760000002</v>
      </c>
      <c r="FK16">
        <v>20270</v>
      </c>
      <c r="FL16">
        <v>0.1537529760645118</v>
      </c>
      <c r="FM16">
        <v>0.14723999999841908</v>
      </c>
    </row>
    <row r="17" spans="1:169" x14ac:dyDescent="0.35">
      <c r="A17">
        <v>199274</v>
      </c>
      <c r="B17" t="s">
        <v>3617</v>
      </c>
      <c r="C17" t="s">
        <v>1208</v>
      </c>
      <c r="D17" t="s">
        <v>3618</v>
      </c>
      <c r="E17" s="43" t="s">
        <v>3619</v>
      </c>
      <c r="F17">
        <v>1</v>
      </c>
      <c r="I17">
        <v>43803</v>
      </c>
      <c r="J17" t="s">
        <v>3304</v>
      </c>
      <c r="K17" t="s">
        <v>1715</v>
      </c>
      <c r="L17" s="43" t="s">
        <v>259</v>
      </c>
      <c r="M17" t="s">
        <v>3620</v>
      </c>
      <c r="N17" s="43" t="s">
        <v>3621</v>
      </c>
      <c r="O17" s="43" t="s">
        <v>3622</v>
      </c>
      <c r="P17" s="43" t="s">
        <v>542</v>
      </c>
      <c r="Q17" s="43" t="s">
        <v>2526</v>
      </c>
      <c r="S17">
        <v>44109</v>
      </c>
      <c r="T17" t="s">
        <v>544</v>
      </c>
      <c r="U17" t="s">
        <v>266</v>
      </c>
      <c r="V17" t="s">
        <v>267</v>
      </c>
      <c r="W17" t="s">
        <v>1718</v>
      </c>
      <c r="X17" t="s">
        <v>1719</v>
      </c>
      <c r="Y17">
        <v>8772802835</v>
      </c>
      <c r="Z17" t="s">
        <v>270</v>
      </c>
      <c r="AA17" t="s">
        <v>271</v>
      </c>
      <c r="AB17">
        <v>25</v>
      </c>
      <c r="AC17">
        <v>0</v>
      </c>
      <c r="AD17">
        <v>106</v>
      </c>
      <c r="AE17" t="s">
        <v>364</v>
      </c>
      <c r="AF17">
        <v>3</v>
      </c>
      <c r="AG17" t="s">
        <v>3345</v>
      </c>
      <c r="AK17" s="43" t="s">
        <v>259</v>
      </c>
      <c r="AL17" s="43" t="s">
        <v>259</v>
      </c>
      <c r="AO17" s="23"/>
      <c r="AP17" s="23"/>
      <c r="AQ17" s="23"/>
      <c r="BC17" t="s">
        <v>259</v>
      </c>
      <c r="BD17" s="43" t="s">
        <v>259</v>
      </c>
      <c r="BE17" s="43" t="s">
        <v>259</v>
      </c>
      <c r="BF17" s="43" t="s">
        <v>259</v>
      </c>
      <c r="BG17" s="43" t="s">
        <v>259</v>
      </c>
      <c r="BH17" t="s">
        <v>259</v>
      </c>
      <c r="BI17" s="43" t="s">
        <v>259</v>
      </c>
      <c r="BJ17">
        <v>0</v>
      </c>
      <c r="BK17">
        <v>44109</v>
      </c>
      <c r="BL17">
        <v>44356</v>
      </c>
      <c r="BM17">
        <v>8505</v>
      </c>
      <c r="BN17">
        <v>8505</v>
      </c>
      <c r="BO17">
        <v>8505</v>
      </c>
      <c r="BP17">
        <v>25515</v>
      </c>
      <c r="BQ17">
        <v>3300</v>
      </c>
      <c r="BR17">
        <v>400</v>
      </c>
      <c r="BS17">
        <v>400</v>
      </c>
      <c r="BT17">
        <v>4100</v>
      </c>
      <c r="BU17">
        <v>2100</v>
      </c>
      <c r="BV17">
        <v>2100</v>
      </c>
      <c r="BW17">
        <v>2100</v>
      </c>
      <c r="BX17">
        <v>6300</v>
      </c>
      <c r="BY17">
        <v>1200</v>
      </c>
      <c r="BZ17">
        <v>1200</v>
      </c>
      <c r="CA17">
        <v>1200</v>
      </c>
      <c r="CB17">
        <v>3600</v>
      </c>
      <c r="CC17">
        <v>0</v>
      </c>
      <c r="CD17">
        <v>0</v>
      </c>
      <c r="CE17">
        <v>0</v>
      </c>
      <c r="CF17">
        <v>0</v>
      </c>
      <c r="CG17">
        <v>39515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1300</v>
      </c>
      <c r="CU17">
        <v>1300</v>
      </c>
      <c r="CV17">
        <v>1300</v>
      </c>
      <c r="CW17">
        <v>3900</v>
      </c>
      <c r="CX17">
        <v>3000</v>
      </c>
      <c r="CY17">
        <v>3000</v>
      </c>
      <c r="CZ17">
        <v>3000</v>
      </c>
      <c r="DA17">
        <v>9000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12900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M17">
        <v>0</v>
      </c>
      <c r="EN17">
        <v>660</v>
      </c>
      <c r="EO17">
        <v>660</v>
      </c>
      <c r="EP17">
        <v>660</v>
      </c>
      <c r="EQ17">
        <v>2000</v>
      </c>
      <c r="ER17">
        <v>21.18</v>
      </c>
      <c r="ES17">
        <v>0</v>
      </c>
      <c r="ET17">
        <v>0</v>
      </c>
      <c r="EU17">
        <v>0</v>
      </c>
      <c r="EW17">
        <v>0</v>
      </c>
      <c r="FA17">
        <v>0</v>
      </c>
      <c r="FE17">
        <v>0</v>
      </c>
      <c r="FI17">
        <v>0</v>
      </c>
      <c r="FJ17">
        <v>1978.82</v>
      </c>
      <c r="FK17">
        <v>26615</v>
      </c>
      <c r="FL17">
        <v>25725.930412263479</v>
      </c>
      <c r="FM17">
        <v>24636.18</v>
      </c>
    </row>
    <row r="18" spans="1:169" x14ac:dyDescent="0.35">
      <c r="A18">
        <v>198019</v>
      </c>
      <c r="B18" t="s">
        <v>1801</v>
      </c>
      <c r="C18" t="s">
        <v>1802</v>
      </c>
      <c r="D18" t="s">
        <v>1803</v>
      </c>
      <c r="E18" s="43" t="s">
        <v>1804</v>
      </c>
      <c r="F18">
        <v>1</v>
      </c>
      <c r="I18">
        <v>43804</v>
      </c>
      <c r="J18" t="s">
        <v>4242</v>
      </c>
      <c r="K18" t="s">
        <v>1715</v>
      </c>
      <c r="L18" s="43" t="s">
        <v>259</v>
      </c>
      <c r="M18" t="s">
        <v>1805</v>
      </c>
      <c r="N18" s="43" t="s">
        <v>1806</v>
      </c>
      <c r="O18" s="43" t="s">
        <v>1426</v>
      </c>
      <c r="P18" s="43" t="s">
        <v>297</v>
      </c>
      <c r="Q18" s="43" t="s">
        <v>1807</v>
      </c>
      <c r="R18">
        <v>2.2200000000000002</v>
      </c>
      <c r="S18">
        <v>44109</v>
      </c>
      <c r="T18" t="s">
        <v>311</v>
      </c>
      <c r="U18" t="s">
        <v>266</v>
      </c>
      <c r="V18" t="s">
        <v>267</v>
      </c>
      <c r="W18" t="s">
        <v>1718</v>
      </c>
      <c r="X18" t="s">
        <v>1719</v>
      </c>
      <c r="Y18">
        <v>8772802835</v>
      </c>
      <c r="Z18" t="s">
        <v>270</v>
      </c>
      <c r="AA18" t="s">
        <v>271</v>
      </c>
      <c r="AB18">
        <v>0</v>
      </c>
      <c r="AC18">
        <v>1140</v>
      </c>
      <c r="AD18">
        <v>90</v>
      </c>
      <c r="AE18" t="s">
        <v>376</v>
      </c>
      <c r="AF18">
        <v>7</v>
      </c>
      <c r="AG18" t="s">
        <v>275</v>
      </c>
      <c r="AK18" s="43" t="s">
        <v>259</v>
      </c>
      <c r="AL18" s="43" t="s">
        <v>259</v>
      </c>
      <c r="AO18" s="23"/>
      <c r="AP18" s="23"/>
      <c r="AQ18" s="23"/>
      <c r="BC18" t="s">
        <v>259</v>
      </c>
      <c r="BD18" s="43" t="s">
        <v>259</v>
      </c>
      <c r="BE18" s="43" t="s">
        <v>259</v>
      </c>
      <c r="BF18" s="43" t="s">
        <v>259</v>
      </c>
      <c r="BG18" s="43" t="s">
        <v>259</v>
      </c>
      <c r="BH18" t="s">
        <v>259</v>
      </c>
      <c r="BI18" s="43" t="s">
        <v>259</v>
      </c>
      <c r="BJ18">
        <v>0</v>
      </c>
      <c r="BK18">
        <v>44109</v>
      </c>
      <c r="BL18">
        <v>44356</v>
      </c>
      <c r="BM18">
        <v>8505</v>
      </c>
      <c r="BN18">
        <v>8505</v>
      </c>
      <c r="BO18">
        <v>8505</v>
      </c>
      <c r="BP18">
        <v>25515</v>
      </c>
      <c r="BQ18">
        <v>3300</v>
      </c>
      <c r="BR18">
        <v>400</v>
      </c>
      <c r="BS18">
        <v>400</v>
      </c>
      <c r="BT18">
        <v>4100</v>
      </c>
      <c r="BU18">
        <v>2100</v>
      </c>
      <c r="BV18">
        <v>2100</v>
      </c>
      <c r="BW18">
        <v>2100</v>
      </c>
      <c r="BX18">
        <v>6300</v>
      </c>
      <c r="BY18">
        <v>1200</v>
      </c>
      <c r="BZ18">
        <v>1200</v>
      </c>
      <c r="CA18">
        <v>1200</v>
      </c>
      <c r="CB18">
        <v>3600</v>
      </c>
      <c r="CC18">
        <v>0</v>
      </c>
      <c r="CD18">
        <v>0</v>
      </c>
      <c r="CE18">
        <v>0</v>
      </c>
      <c r="CF18">
        <v>0</v>
      </c>
      <c r="CG18">
        <v>39515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1154</v>
      </c>
      <c r="EJ18">
        <v>1154</v>
      </c>
      <c r="EK18">
        <v>1155</v>
      </c>
      <c r="EL18">
        <v>3500</v>
      </c>
      <c r="EM18">
        <v>37.065000000000005</v>
      </c>
      <c r="EN18">
        <v>660</v>
      </c>
      <c r="EO18">
        <v>660</v>
      </c>
      <c r="EP18">
        <v>660</v>
      </c>
      <c r="EQ18">
        <v>2000</v>
      </c>
      <c r="ER18">
        <v>21.18</v>
      </c>
      <c r="ES18">
        <v>0</v>
      </c>
      <c r="ET18">
        <v>0</v>
      </c>
      <c r="EU18">
        <v>0</v>
      </c>
      <c r="EV18">
        <v>0</v>
      </c>
      <c r="EW18">
        <v>0</v>
      </c>
      <c r="FA18">
        <v>0</v>
      </c>
      <c r="FE18">
        <v>0</v>
      </c>
      <c r="FI18">
        <v>0</v>
      </c>
      <c r="FJ18">
        <v>5441.7550000000001</v>
      </c>
      <c r="FK18">
        <v>39515</v>
      </c>
      <c r="FL18">
        <v>35580.43210392214</v>
      </c>
      <c r="FM18">
        <v>34073.245000000003</v>
      </c>
    </row>
    <row r="19" spans="1:169" x14ac:dyDescent="0.35">
      <c r="A19">
        <v>198813</v>
      </c>
      <c r="B19" t="s">
        <v>1808</v>
      </c>
      <c r="C19" t="s">
        <v>1809</v>
      </c>
      <c r="D19" t="s">
        <v>1810</v>
      </c>
      <c r="E19" s="43" t="s">
        <v>1811</v>
      </c>
      <c r="F19">
        <v>1</v>
      </c>
      <c r="I19">
        <v>43804</v>
      </c>
      <c r="J19" t="s">
        <v>4242</v>
      </c>
      <c r="K19" t="s">
        <v>1715</v>
      </c>
      <c r="L19" s="43" t="s">
        <v>259</v>
      </c>
      <c r="M19" t="s">
        <v>1812</v>
      </c>
      <c r="N19" s="43" t="s">
        <v>3971</v>
      </c>
      <c r="O19" s="43" t="s">
        <v>976</v>
      </c>
      <c r="P19" s="43" t="s">
        <v>454</v>
      </c>
      <c r="Q19" s="43" t="s">
        <v>3972</v>
      </c>
      <c r="S19">
        <v>44109</v>
      </c>
      <c r="T19" t="s">
        <v>285</v>
      </c>
      <c r="U19" t="s">
        <v>266</v>
      </c>
      <c r="V19" t="s">
        <v>267</v>
      </c>
      <c r="W19" t="s">
        <v>1718</v>
      </c>
      <c r="X19" t="s">
        <v>1719</v>
      </c>
      <c r="Y19">
        <v>8772802835</v>
      </c>
      <c r="Z19" t="s">
        <v>270</v>
      </c>
      <c r="AA19" t="s">
        <v>271</v>
      </c>
      <c r="AB19">
        <v>0</v>
      </c>
      <c r="AC19">
        <v>0</v>
      </c>
      <c r="AD19">
        <v>0</v>
      </c>
      <c r="AE19" t="s">
        <v>324</v>
      </c>
      <c r="AF19">
        <v>8</v>
      </c>
      <c r="AG19" t="s">
        <v>446</v>
      </c>
      <c r="AK19" s="43" t="s">
        <v>259</v>
      </c>
      <c r="AL19" s="43" t="s">
        <v>259</v>
      </c>
      <c r="AO19" s="23"/>
      <c r="AP19" s="23"/>
      <c r="AQ19" s="23"/>
      <c r="BC19" t="s">
        <v>259</v>
      </c>
      <c r="BD19" s="43" t="s">
        <v>259</v>
      </c>
      <c r="BE19" s="43" t="s">
        <v>259</v>
      </c>
      <c r="BF19" s="43" t="s">
        <v>259</v>
      </c>
      <c r="BG19" s="43" t="s">
        <v>259</v>
      </c>
      <c r="BH19" t="s">
        <v>259</v>
      </c>
      <c r="BI19" s="43" t="s">
        <v>259</v>
      </c>
      <c r="BJ19">
        <v>0</v>
      </c>
      <c r="BK19">
        <v>44109</v>
      </c>
      <c r="BL19">
        <v>44356</v>
      </c>
      <c r="BM19">
        <v>8505</v>
      </c>
      <c r="BN19">
        <v>8505</v>
      </c>
      <c r="BO19">
        <v>8505</v>
      </c>
      <c r="BP19">
        <v>25515</v>
      </c>
      <c r="BQ19">
        <v>3300</v>
      </c>
      <c r="BR19">
        <v>400</v>
      </c>
      <c r="BS19">
        <v>400</v>
      </c>
      <c r="BT19">
        <v>4100</v>
      </c>
      <c r="BU19">
        <v>2100</v>
      </c>
      <c r="BV19">
        <v>2100</v>
      </c>
      <c r="BW19">
        <v>2100</v>
      </c>
      <c r="BX19">
        <v>6300</v>
      </c>
      <c r="BY19">
        <v>1200</v>
      </c>
      <c r="BZ19">
        <v>1200</v>
      </c>
      <c r="CA19">
        <v>1200</v>
      </c>
      <c r="CB19">
        <v>3600</v>
      </c>
      <c r="CC19">
        <v>0</v>
      </c>
      <c r="CD19">
        <v>0</v>
      </c>
      <c r="CE19">
        <v>0</v>
      </c>
      <c r="CF19">
        <v>0</v>
      </c>
      <c r="CG19">
        <v>39515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1154</v>
      </c>
      <c r="EJ19">
        <v>1154</v>
      </c>
      <c r="EK19">
        <v>1155</v>
      </c>
      <c r="EL19">
        <v>3500</v>
      </c>
      <c r="EM19">
        <v>37.065000000000005</v>
      </c>
      <c r="EN19">
        <v>660</v>
      </c>
      <c r="EO19">
        <v>660</v>
      </c>
      <c r="EP19">
        <v>660</v>
      </c>
      <c r="EQ19">
        <v>2000</v>
      </c>
      <c r="ER19">
        <v>21.18</v>
      </c>
      <c r="ES19">
        <v>0</v>
      </c>
      <c r="ET19">
        <v>0</v>
      </c>
      <c r="EU19">
        <v>0</v>
      </c>
      <c r="EV19">
        <v>0</v>
      </c>
      <c r="EW19">
        <v>0</v>
      </c>
      <c r="FA19">
        <v>0</v>
      </c>
      <c r="FE19">
        <v>0</v>
      </c>
      <c r="FI19">
        <v>0</v>
      </c>
      <c r="FJ19">
        <v>5441.7550000000001</v>
      </c>
      <c r="FK19">
        <v>39515</v>
      </c>
      <c r="FL19">
        <v>35580.43210392214</v>
      </c>
      <c r="FM19">
        <v>34073.245000000003</v>
      </c>
    </row>
    <row r="20" spans="1:169" x14ac:dyDescent="0.35">
      <c r="A20">
        <v>198318</v>
      </c>
      <c r="B20" t="s">
        <v>1813</v>
      </c>
      <c r="C20" t="s">
        <v>763</v>
      </c>
      <c r="D20" t="s">
        <v>1814</v>
      </c>
      <c r="E20" s="43" t="s">
        <v>1815</v>
      </c>
      <c r="F20">
        <v>1</v>
      </c>
      <c r="I20">
        <v>43804</v>
      </c>
      <c r="J20" t="s">
        <v>4242</v>
      </c>
      <c r="K20" t="s">
        <v>1715</v>
      </c>
      <c r="L20" s="43" t="s">
        <v>259</v>
      </c>
      <c r="M20" t="s">
        <v>1816</v>
      </c>
      <c r="N20" s="43" t="s">
        <v>1817</v>
      </c>
      <c r="O20" s="43" t="s">
        <v>1818</v>
      </c>
      <c r="P20" s="43" t="s">
        <v>596</v>
      </c>
      <c r="Q20" s="43" t="s">
        <v>1819</v>
      </c>
      <c r="R20">
        <v>3.4</v>
      </c>
      <c r="S20">
        <v>44109</v>
      </c>
      <c r="T20" t="s">
        <v>311</v>
      </c>
      <c r="U20" t="s">
        <v>266</v>
      </c>
      <c r="V20" t="s">
        <v>267</v>
      </c>
      <c r="W20" t="s">
        <v>1718</v>
      </c>
      <c r="X20" t="s">
        <v>1719</v>
      </c>
      <c r="Y20">
        <v>8772802835</v>
      </c>
      <c r="Z20" t="s">
        <v>270</v>
      </c>
      <c r="AA20" t="s">
        <v>271</v>
      </c>
      <c r="AB20">
        <v>0</v>
      </c>
      <c r="AC20">
        <v>0</v>
      </c>
      <c r="AD20">
        <v>0</v>
      </c>
      <c r="AE20" t="s">
        <v>445</v>
      </c>
      <c r="AF20">
        <v>4</v>
      </c>
      <c r="AG20" t="s">
        <v>275</v>
      </c>
      <c r="AK20" s="43" t="s">
        <v>259</v>
      </c>
      <c r="AL20" s="43" t="s">
        <v>259</v>
      </c>
      <c r="AO20" s="23"/>
      <c r="AP20" s="23"/>
      <c r="AQ20" s="23"/>
      <c r="BC20" t="s">
        <v>259</v>
      </c>
      <c r="BD20" s="43" t="s">
        <v>259</v>
      </c>
      <c r="BE20" s="43" t="s">
        <v>259</v>
      </c>
      <c r="BF20" s="43" t="s">
        <v>259</v>
      </c>
      <c r="BG20" s="43" t="s">
        <v>259</v>
      </c>
      <c r="BH20" t="s">
        <v>259</v>
      </c>
      <c r="BI20" s="43" t="s">
        <v>259</v>
      </c>
      <c r="BJ20">
        <v>0</v>
      </c>
      <c r="BK20">
        <v>44109</v>
      </c>
      <c r="BL20">
        <v>44356</v>
      </c>
      <c r="BM20">
        <v>8505</v>
      </c>
      <c r="BN20">
        <v>8505</v>
      </c>
      <c r="BO20">
        <v>8505</v>
      </c>
      <c r="BP20">
        <v>25515</v>
      </c>
      <c r="BQ20">
        <v>3300</v>
      </c>
      <c r="BR20">
        <v>400</v>
      </c>
      <c r="BS20">
        <v>400</v>
      </c>
      <c r="BT20">
        <v>4100</v>
      </c>
      <c r="BU20">
        <v>2100</v>
      </c>
      <c r="BV20">
        <v>2100</v>
      </c>
      <c r="BW20">
        <v>2100</v>
      </c>
      <c r="BX20">
        <v>6300</v>
      </c>
      <c r="BY20">
        <v>1200</v>
      </c>
      <c r="BZ20">
        <v>1200</v>
      </c>
      <c r="CA20">
        <v>1200</v>
      </c>
      <c r="CB20">
        <v>3600</v>
      </c>
      <c r="CC20">
        <v>0</v>
      </c>
      <c r="CD20">
        <v>0</v>
      </c>
      <c r="CE20">
        <v>0</v>
      </c>
      <c r="CF20">
        <v>0</v>
      </c>
      <c r="CG20">
        <v>39515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1250</v>
      </c>
      <c r="CU20">
        <v>1250</v>
      </c>
      <c r="CV20">
        <v>1250</v>
      </c>
      <c r="CW20">
        <v>3750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3750</v>
      </c>
      <c r="EE20">
        <v>0</v>
      </c>
      <c r="EF20">
        <v>0</v>
      </c>
      <c r="EG20">
        <v>0</v>
      </c>
      <c r="EH20">
        <v>0</v>
      </c>
      <c r="EI20">
        <v>1154</v>
      </c>
      <c r="EJ20">
        <v>1154</v>
      </c>
      <c r="EK20">
        <v>1155</v>
      </c>
      <c r="EL20">
        <v>3500</v>
      </c>
      <c r="EM20">
        <v>37.065000000000005</v>
      </c>
      <c r="EN20">
        <v>660</v>
      </c>
      <c r="EO20">
        <v>660</v>
      </c>
      <c r="EP20">
        <v>660</v>
      </c>
      <c r="EQ20">
        <v>2000</v>
      </c>
      <c r="ER20">
        <v>21.18</v>
      </c>
      <c r="ES20">
        <v>0</v>
      </c>
      <c r="ET20">
        <v>0</v>
      </c>
      <c r="EU20">
        <v>0</v>
      </c>
      <c r="EV20">
        <v>0</v>
      </c>
      <c r="EW20">
        <v>0</v>
      </c>
      <c r="FA20">
        <v>0</v>
      </c>
      <c r="FE20">
        <v>0</v>
      </c>
      <c r="FI20">
        <v>0</v>
      </c>
      <c r="FJ20">
        <v>5441.7550000000001</v>
      </c>
      <c r="FK20">
        <v>35765</v>
      </c>
      <c r="FL20">
        <v>31664.555574119709</v>
      </c>
      <c r="FM20">
        <v>30323.244999999999</v>
      </c>
    </row>
    <row r="21" spans="1:169" x14ac:dyDescent="0.35">
      <c r="A21">
        <v>196078</v>
      </c>
      <c r="B21" t="s">
        <v>1820</v>
      </c>
      <c r="C21" t="s">
        <v>1566</v>
      </c>
      <c r="D21" t="s">
        <v>1821</v>
      </c>
      <c r="E21" s="43" t="s">
        <v>1822</v>
      </c>
      <c r="F21">
        <v>1</v>
      </c>
      <c r="I21">
        <v>43804</v>
      </c>
      <c r="J21" t="s">
        <v>4242</v>
      </c>
      <c r="K21" t="s">
        <v>1715</v>
      </c>
      <c r="L21" s="43" t="s">
        <v>259</v>
      </c>
      <c r="M21" t="s">
        <v>1823</v>
      </c>
      <c r="N21" s="43" t="s">
        <v>1824</v>
      </c>
      <c r="O21" s="43" t="s">
        <v>1825</v>
      </c>
      <c r="P21" s="43" t="s">
        <v>1018</v>
      </c>
      <c r="Q21" s="43" t="s">
        <v>1826</v>
      </c>
      <c r="R21">
        <v>3.68</v>
      </c>
      <c r="S21">
        <v>44109</v>
      </c>
      <c r="T21" t="s">
        <v>311</v>
      </c>
      <c r="U21" t="s">
        <v>266</v>
      </c>
      <c r="V21" t="s">
        <v>267</v>
      </c>
      <c r="W21" t="s">
        <v>1718</v>
      </c>
      <c r="X21" t="s">
        <v>1719</v>
      </c>
      <c r="Y21">
        <v>8772802835</v>
      </c>
      <c r="Z21" t="s">
        <v>270</v>
      </c>
      <c r="AA21" t="s">
        <v>271</v>
      </c>
      <c r="AB21">
        <v>0</v>
      </c>
      <c r="AC21">
        <v>1010</v>
      </c>
      <c r="AD21">
        <v>110</v>
      </c>
      <c r="AE21" t="s">
        <v>445</v>
      </c>
      <c r="AF21">
        <v>4</v>
      </c>
      <c r="AG21" t="s">
        <v>275</v>
      </c>
      <c r="AK21" s="43" t="s">
        <v>259</v>
      </c>
      <c r="AL21" s="43" t="s">
        <v>259</v>
      </c>
      <c r="AO21" s="23"/>
      <c r="AP21" s="23"/>
      <c r="AQ21" s="23"/>
      <c r="BC21" t="s">
        <v>259</v>
      </c>
      <c r="BD21" s="43" t="s">
        <v>259</v>
      </c>
      <c r="BE21" s="43" t="s">
        <v>259</v>
      </c>
      <c r="BF21" s="43" t="s">
        <v>259</v>
      </c>
      <c r="BG21" s="43" t="s">
        <v>259</v>
      </c>
      <c r="BH21" t="s">
        <v>259</v>
      </c>
      <c r="BI21" s="43" t="s">
        <v>259</v>
      </c>
      <c r="BJ21">
        <v>0</v>
      </c>
      <c r="BK21">
        <v>44109</v>
      </c>
      <c r="BL21">
        <v>44356</v>
      </c>
      <c r="BM21">
        <v>8505</v>
      </c>
      <c r="BN21">
        <v>8505</v>
      </c>
      <c r="BO21">
        <v>8505</v>
      </c>
      <c r="BP21">
        <v>25515</v>
      </c>
      <c r="BQ21">
        <v>3300</v>
      </c>
      <c r="BR21">
        <v>400</v>
      </c>
      <c r="BS21">
        <v>400</v>
      </c>
      <c r="BT21">
        <v>4100</v>
      </c>
      <c r="BU21">
        <v>2100</v>
      </c>
      <c r="BV21">
        <v>2100</v>
      </c>
      <c r="BW21">
        <v>2100</v>
      </c>
      <c r="BX21">
        <v>6300</v>
      </c>
      <c r="BY21">
        <v>1200</v>
      </c>
      <c r="BZ21">
        <v>1200</v>
      </c>
      <c r="CA21">
        <v>1200</v>
      </c>
      <c r="CB21">
        <v>3600</v>
      </c>
      <c r="CC21">
        <v>0</v>
      </c>
      <c r="CD21">
        <v>0</v>
      </c>
      <c r="CE21">
        <v>0</v>
      </c>
      <c r="CF21">
        <v>0</v>
      </c>
      <c r="CG21">
        <v>39515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1250</v>
      </c>
      <c r="CU21">
        <v>1250</v>
      </c>
      <c r="CV21">
        <v>1250</v>
      </c>
      <c r="CW21">
        <v>3750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3750</v>
      </c>
      <c r="EE21">
        <v>0</v>
      </c>
      <c r="EF21">
        <v>0</v>
      </c>
      <c r="EG21">
        <v>0</v>
      </c>
      <c r="EH21">
        <v>0</v>
      </c>
      <c r="EI21">
        <v>1154</v>
      </c>
      <c r="EJ21">
        <v>1154</v>
      </c>
      <c r="EK21">
        <v>1155</v>
      </c>
      <c r="EL21">
        <v>3500</v>
      </c>
      <c r="EM21">
        <v>37.065000000000005</v>
      </c>
      <c r="EN21">
        <v>660</v>
      </c>
      <c r="EO21">
        <v>660</v>
      </c>
      <c r="EP21">
        <v>660</v>
      </c>
      <c r="EQ21">
        <v>2000</v>
      </c>
      <c r="ER21">
        <v>21.18</v>
      </c>
      <c r="ES21">
        <v>0</v>
      </c>
      <c r="ET21">
        <v>0</v>
      </c>
      <c r="EU21">
        <v>0</v>
      </c>
      <c r="EV21">
        <v>0</v>
      </c>
      <c r="EW21">
        <v>0</v>
      </c>
      <c r="FA21">
        <v>0</v>
      </c>
      <c r="FE21">
        <v>0</v>
      </c>
      <c r="FI21">
        <v>0</v>
      </c>
      <c r="FJ21">
        <v>5441.7550000000001</v>
      </c>
      <c r="FK21">
        <v>35765</v>
      </c>
      <c r="FL21">
        <v>31664.555574119709</v>
      </c>
      <c r="FM21">
        <v>30323.244999999999</v>
      </c>
    </row>
    <row r="22" spans="1:169" x14ac:dyDescent="0.35">
      <c r="A22">
        <v>197991</v>
      </c>
      <c r="B22" t="s">
        <v>1820</v>
      </c>
      <c r="C22" t="s">
        <v>1827</v>
      </c>
      <c r="D22" t="s">
        <v>1828</v>
      </c>
      <c r="E22" s="43" t="s">
        <v>1829</v>
      </c>
      <c r="F22">
        <v>1</v>
      </c>
      <c r="I22">
        <v>43804</v>
      </c>
      <c r="J22" t="s">
        <v>4242</v>
      </c>
      <c r="K22" t="s">
        <v>1715</v>
      </c>
      <c r="L22" s="43" t="s">
        <v>259</v>
      </c>
      <c r="M22" t="s">
        <v>1830</v>
      </c>
      <c r="N22" s="43" t="s">
        <v>1831</v>
      </c>
      <c r="O22" s="43" t="s">
        <v>695</v>
      </c>
      <c r="P22" s="43" t="s">
        <v>342</v>
      </c>
      <c r="Q22" s="43" t="s">
        <v>1832</v>
      </c>
      <c r="R22">
        <v>3.2</v>
      </c>
      <c r="S22">
        <v>44109</v>
      </c>
      <c r="T22" t="s">
        <v>285</v>
      </c>
      <c r="U22" t="s">
        <v>266</v>
      </c>
      <c r="V22" t="s">
        <v>267</v>
      </c>
      <c r="W22" t="s">
        <v>1718</v>
      </c>
      <c r="X22" t="s">
        <v>1719</v>
      </c>
      <c r="Y22">
        <v>8772802835</v>
      </c>
      <c r="Z22" t="s">
        <v>270</v>
      </c>
      <c r="AA22" t="s">
        <v>271</v>
      </c>
      <c r="AB22">
        <v>0</v>
      </c>
      <c r="AC22">
        <v>0</v>
      </c>
      <c r="AD22">
        <v>0</v>
      </c>
      <c r="AE22" t="s">
        <v>324</v>
      </c>
      <c r="AF22">
        <v>8</v>
      </c>
      <c r="AG22" t="s">
        <v>275</v>
      </c>
      <c r="AK22" s="43" t="s">
        <v>259</v>
      </c>
      <c r="AL22" s="43" t="s">
        <v>259</v>
      </c>
      <c r="AO22" s="23"/>
      <c r="AP22" s="23"/>
      <c r="AQ22" s="23"/>
      <c r="BC22" t="s">
        <v>259</v>
      </c>
      <c r="BD22" s="43" t="s">
        <v>259</v>
      </c>
      <c r="BE22" s="43" t="s">
        <v>259</v>
      </c>
      <c r="BF22" s="43" t="s">
        <v>259</v>
      </c>
      <c r="BG22" s="43" t="s">
        <v>259</v>
      </c>
      <c r="BH22" t="s">
        <v>259</v>
      </c>
      <c r="BI22" s="43" t="s">
        <v>259</v>
      </c>
      <c r="BJ22">
        <v>0</v>
      </c>
      <c r="BK22">
        <v>44109</v>
      </c>
      <c r="BL22">
        <v>44356</v>
      </c>
      <c r="BM22">
        <v>8505</v>
      </c>
      <c r="BN22">
        <v>8505</v>
      </c>
      <c r="BO22">
        <v>8505</v>
      </c>
      <c r="BP22">
        <v>25515</v>
      </c>
      <c r="BQ22">
        <v>3300</v>
      </c>
      <c r="BR22">
        <v>400</v>
      </c>
      <c r="BS22">
        <v>400</v>
      </c>
      <c r="BT22">
        <v>4100</v>
      </c>
      <c r="BU22">
        <v>2100</v>
      </c>
      <c r="BV22">
        <v>2100</v>
      </c>
      <c r="BW22">
        <v>2100</v>
      </c>
      <c r="BX22">
        <v>6300</v>
      </c>
      <c r="BY22">
        <v>1200</v>
      </c>
      <c r="BZ22">
        <v>1200</v>
      </c>
      <c r="CA22">
        <v>1200</v>
      </c>
      <c r="CB22">
        <v>3600</v>
      </c>
      <c r="CC22">
        <v>0</v>
      </c>
      <c r="CD22">
        <v>0</v>
      </c>
      <c r="CE22">
        <v>0</v>
      </c>
      <c r="CF22">
        <v>0</v>
      </c>
      <c r="CG22">
        <v>39515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1154</v>
      </c>
      <c r="EJ22">
        <v>1154</v>
      </c>
      <c r="EK22">
        <v>1155</v>
      </c>
      <c r="EL22">
        <v>3500</v>
      </c>
      <c r="EM22">
        <v>37.065000000000005</v>
      </c>
      <c r="EN22">
        <v>660</v>
      </c>
      <c r="EO22">
        <v>660</v>
      </c>
      <c r="EP22">
        <v>660</v>
      </c>
      <c r="EQ22">
        <v>2000</v>
      </c>
      <c r="ER22">
        <v>21.18</v>
      </c>
      <c r="ES22">
        <v>0</v>
      </c>
      <c r="ET22">
        <v>0</v>
      </c>
      <c r="EU22">
        <v>0</v>
      </c>
      <c r="EV22">
        <v>0</v>
      </c>
      <c r="EW22">
        <v>0</v>
      </c>
      <c r="FA22">
        <v>0</v>
      </c>
      <c r="FE22">
        <v>0</v>
      </c>
      <c r="FI22">
        <v>0</v>
      </c>
      <c r="FJ22">
        <v>5441.7550000000001</v>
      </c>
      <c r="FK22">
        <v>39515</v>
      </c>
      <c r="FL22">
        <v>35580.43210392214</v>
      </c>
      <c r="FM22">
        <v>34073.245000000003</v>
      </c>
    </row>
    <row r="23" spans="1:169" x14ac:dyDescent="0.35">
      <c r="A23">
        <v>196584</v>
      </c>
      <c r="B23" t="s">
        <v>1820</v>
      </c>
      <c r="C23" t="s">
        <v>1041</v>
      </c>
      <c r="D23" t="s">
        <v>1833</v>
      </c>
      <c r="E23" s="43" t="s">
        <v>1834</v>
      </c>
      <c r="F23">
        <v>1</v>
      </c>
      <c r="I23">
        <v>43775</v>
      </c>
      <c r="J23" t="s">
        <v>3305</v>
      </c>
      <c r="K23" t="s">
        <v>1715</v>
      </c>
      <c r="L23" s="43" t="s">
        <v>3204</v>
      </c>
      <c r="M23" t="s">
        <v>1835</v>
      </c>
      <c r="N23" s="43" t="s">
        <v>1836</v>
      </c>
      <c r="O23" s="43" t="s">
        <v>1837</v>
      </c>
      <c r="P23" s="43" t="s">
        <v>705</v>
      </c>
      <c r="Q23" s="43" t="s">
        <v>1838</v>
      </c>
      <c r="R23">
        <v>3.1840000000000002</v>
      </c>
      <c r="S23">
        <v>44109</v>
      </c>
      <c r="T23" t="s">
        <v>265</v>
      </c>
      <c r="U23" t="s">
        <v>266</v>
      </c>
      <c r="V23" t="s">
        <v>267</v>
      </c>
      <c r="W23" t="s">
        <v>1718</v>
      </c>
      <c r="X23" t="s">
        <v>1719</v>
      </c>
      <c r="Y23">
        <v>8772802835</v>
      </c>
      <c r="Z23" t="s">
        <v>270</v>
      </c>
      <c r="AA23" t="s">
        <v>271</v>
      </c>
      <c r="AB23">
        <v>0</v>
      </c>
      <c r="AC23">
        <v>1020</v>
      </c>
      <c r="AD23">
        <v>103</v>
      </c>
      <c r="AE23" t="s">
        <v>354</v>
      </c>
      <c r="AF23">
        <v>6</v>
      </c>
      <c r="AG23" t="s">
        <v>275</v>
      </c>
      <c r="AH23">
        <v>0</v>
      </c>
      <c r="AI23">
        <v>0</v>
      </c>
      <c r="AJ23">
        <v>43776</v>
      </c>
      <c r="AK23" s="43" t="s">
        <v>1715</v>
      </c>
      <c r="AL23" s="43" t="s">
        <v>259</v>
      </c>
      <c r="AO23" s="23">
        <v>43778</v>
      </c>
      <c r="AP23" s="23"/>
      <c r="AQ23" s="23"/>
      <c r="BC23" t="s">
        <v>259</v>
      </c>
      <c r="BD23" s="43" t="s">
        <v>259</v>
      </c>
      <c r="BE23" s="43" t="s">
        <v>259</v>
      </c>
      <c r="BF23" s="43" t="s">
        <v>2018</v>
      </c>
      <c r="BG23" s="43" t="s">
        <v>2018</v>
      </c>
      <c r="BH23">
        <v>43753</v>
      </c>
      <c r="BI23" s="43" t="s">
        <v>2018</v>
      </c>
      <c r="BJ23">
        <v>9.9999999999999978E-2</v>
      </c>
      <c r="BK23">
        <v>44109</v>
      </c>
      <c r="BL23">
        <v>44356</v>
      </c>
      <c r="BM23">
        <v>8505</v>
      </c>
      <c r="BN23">
        <v>8505</v>
      </c>
      <c r="BO23">
        <v>8505</v>
      </c>
      <c r="BP23">
        <v>25515</v>
      </c>
      <c r="BQ23">
        <v>3300</v>
      </c>
      <c r="BR23">
        <v>400</v>
      </c>
      <c r="BS23">
        <v>400</v>
      </c>
      <c r="BT23">
        <v>4100</v>
      </c>
      <c r="BU23">
        <v>2100</v>
      </c>
      <c r="BV23">
        <v>2100</v>
      </c>
      <c r="BW23">
        <v>2100</v>
      </c>
      <c r="BX23">
        <v>6300</v>
      </c>
      <c r="BY23">
        <v>1200</v>
      </c>
      <c r="BZ23">
        <v>1200</v>
      </c>
      <c r="CA23">
        <v>1200</v>
      </c>
      <c r="CB23">
        <v>3600</v>
      </c>
      <c r="CC23">
        <v>0</v>
      </c>
      <c r="CD23">
        <v>0</v>
      </c>
      <c r="CE23">
        <v>0</v>
      </c>
      <c r="CF23">
        <v>0</v>
      </c>
      <c r="CG23">
        <v>39515</v>
      </c>
      <c r="CH23">
        <v>0</v>
      </c>
      <c r="CI23">
        <v>0</v>
      </c>
      <c r="CJ23">
        <v>0</v>
      </c>
      <c r="CK23">
        <v>0</v>
      </c>
      <c r="CL23">
        <v>2065</v>
      </c>
      <c r="CM23">
        <v>2065</v>
      </c>
      <c r="CN23">
        <v>2065</v>
      </c>
      <c r="CO23">
        <v>6195</v>
      </c>
      <c r="CP23">
        <v>500</v>
      </c>
      <c r="CQ23">
        <v>500</v>
      </c>
      <c r="CR23">
        <v>500</v>
      </c>
      <c r="CS23">
        <v>1500</v>
      </c>
      <c r="CT23">
        <v>750</v>
      </c>
      <c r="CU23">
        <v>750</v>
      </c>
      <c r="CV23">
        <v>750</v>
      </c>
      <c r="CW23">
        <v>2250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9945</v>
      </c>
      <c r="EE23">
        <v>0</v>
      </c>
      <c r="EF23">
        <v>0</v>
      </c>
      <c r="EG23">
        <v>0</v>
      </c>
      <c r="EH23">
        <v>0</v>
      </c>
      <c r="EI23">
        <v>1154</v>
      </c>
      <c r="EJ23">
        <v>1154</v>
      </c>
      <c r="EK23">
        <v>1155</v>
      </c>
      <c r="EL23">
        <v>3500</v>
      </c>
      <c r="EM23">
        <v>37.065000000000005</v>
      </c>
      <c r="EN23">
        <v>660</v>
      </c>
      <c r="EO23">
        <v>660</v>
      </c>
      <c r="EP23">
        <v>660</v>
      </c>
      <c r="EQ23">
        <v>2000</v>
      </c>
      <c r="ER23">
        <v>21.18</v>
      </c>
      <c r="ES23">
        <v>0</v>
      </c>
      <c r="ET23">
        <v>0</v>
      </c>
      <c r="EU23">
        <v>0</v>
      </c>
      <c r="EV23">
        <v>0</v>
      </c>
      <c r="EW23">
        <v>0</v>
      </c>
      <c r="FA23">
        <v>0</v>
      </c>
      <c r="FE23">
        <v>0</v>
      </c>
      <c r="FI23">
        <v>0</v>
      </c>
      <c r="FJ23">
        <v>5441.7550000000001</v>
      </c>
      <c r="FK23">
        <v>29570</v>
      </c>
      <c r="FL23">
        <v>25195.527546886093</v>
      </c>
      <c r="FM23">
        <v>24128.244999999999</v>
      </c>
    </row>
    <row r="24" spans="1:169" x14ac:dyDescent="0.35">
      <c r="A24">
        <v>194958</v>
      </c>
      <c r="B24" t="s">
        <v>1839</v>
      </c>
      <c r="C24" t="s">
        <v>291</v>
      </c>
      <c r="D24" t="s">
        <v>1840</v>
      </c>
      <c r="E24" s="43" t="s">
        <v>1841</v>
      </c>
      <c r="F24">
        <v>1</v>
      </c>
      <c r="I24">
        <v>43804</v>
      </c>
      <c r="J24" t="s">
        <v>4242</v>
      </c>
      <c r="K24" t="s">
        <v>1715</v>
      </c>
      <c r="L24" s="43" t="s">
        <v>259</v>
      </c>
      <c r="M24" t="s">
        <v>1842</v>
      </c>
      <c r="N24" s="43" t="s">
        <v>1843</v>
      </c>
      <c r="O24" s="43" t="s">
        <v>1844</v>
      </c>
      <c r="P24" s="43" t="s">
        <v>813</v>
      </c>
      <c r="Q24" s="43" t="s">
        <v>1845</v>
      </c>
      <c r="R24">
        <v>3.3</v>
      </c>
      <c r="S24">
        <v>44109</v>
      </c>
      <c r="T24" t="s">
        <v>285</v>
      </c>
      <c r="U24" t="s">
        <v>266</v>
      </c>
      <c r="V24" t="s">
        <v>267</v>
      </c>
      <c r="W24" t="s">
        <v>1718</v>
      </c>
      <c r="X24" t="s">
        <v>1719</v>
      </c>
      <c r="Y24">
        <v>8772802835</v>
      </c>
      <c r="Z24" t="s">
        <v>270</v>
      </c>
      <c r="AA24" t="s">
        <v>271</v>
      </c>
      <c r="AB24">
        <v>0</v>
      </c>
      <c r="AC24">
        <v>1140</v>
      </c>
      <c r="AD24">
        <v>110</v>
      </c>
      <c r="AE24" t="s">
        <v>445</v>
      </c>
      <c r="AF24">
        <v>4</v>
      </c>
      <c r="AG24" t="s">
        <v>275</v>
      </c>
      <c r="AK24" s="43" t="s">
        <v>259</v>
      </c>
      <c r="AL24" s="43" t="s">
        <v>259</v>
      </c>
      <c r="AO24" s="23"/>
      <c r="AP24" s="23"/>
      <c r="AQ24" s="23"/>
      <c r="BC24" t="s">
        <v>259</v>
      </c>
      <c r="BD24" s="43" t="s">
        <v>259</v>
      </c>
      <c r="BE24" s="43" t="s">
        <v>259</v>
      </c>
      <c r="BF24" s="43" t="s">
        <v>259</v>
      </c>
      <c r="BG24" s="43" t="s">
        <v>259</v>
      </c>
      <c r="BH24" t="s">
        <v>259</v>
      </c>
      <c r="BI24" s="43" t="s">
        <v>259</v>
      </c>
      <c r="BJ24">
        <v>0</v>
      </c>
      <c r="BK24">
        <v>44109</v>
      </c>
      <c r="BL24">
        <v>44356</v>
      </c>
      <c r="BM24">
        <v>8505</v>
      </c>
      <c r="BN24">
        <v>8505</v>
      </c>
      <c r="BO24">
        <v>8505</v>
      </c>
      <c r="BP24">
        <v>25515</v>
      </c>
      <c r="BQ24">
        <v>3300</v>
      </c>
      <c r="BR24">
        <v>400</v>
      </c>
      <c r="BS24">
        <v>400</v>
      </c>
      <c r="BT24">
        <v>4100</v>
      </c>
      <c r="BU24">
        <v>2100</v>
      </c>
      <c r="BV24">
        <v>2100</v>
      </c>
      <c r="BW24">
        <v>2100</v>
      </c>
      <c r="BX24">
        <v>6300</v>
      </c>
      <c r="BY24">
        <v>1200</v>
      </c>
      <c r="BZ24">
        <v>1200</v>
      </c>
      <c r="CA24">
        <v>1200</v>
      </c>
      <c r="CB24">
        <v>3600</v>
      </c>
      <c r="CC24">
        <v>0</v>
      </c>
      <c r="CD24">
        <v>0</v>
      </c>
      <c r="CE24">
        <v>0</v>
      </c>
      <c r="CF24">
        <v>0</v>
      </c>
      <c r="CG24">
        <v>39515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1250</v>
      </c>
      <c r="CU24">
        <v>1250</v>
      </c>
      <c r="CV24">
        <v>1250</v>
      </c>
      <c r="CW24">
        <v>3750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3750</v>
      </c>
      <c r="EE24">
        <v>0</v>
      </c>
      <c r="EF24">
        <v>0</v>
      </c>
      <c r="EG24">
        <v>0</v>
      </c>
      <c r="EH24">
        <v>0</v>
      </c>
      <c r="EI24">
        <v>1154</v>
      </c>
      <c r="EJ24">
        <v>1154</v>
      </c>
      <c r="EK24">
        <v>1155</v>
      </c>
      <c r="EL24">
        <v>3500</v>
      </c>
      <c r="EM24">
        <v>37.065000000000005</v>
      </c>
      <c r="EN24">
        <v>660</v>
      </c>
      <c r="EO24">
        <v>660</v>
      </c>
      <c r="EP24">
        <v>660</v>
      </c>
      <c r="EQ24">
        <v>2000</v>
      </c>
      <c r="ER24">
        <v>21.18</v>
      </c>
      <c r="ES24">
        <v>0</v>
      </c>
      <c r="ET24">
        <v>0</v>
      </c>
      <c r="EU24">
        <v>0</v>
      </c>
      <c r="EV24">
        <v>0</v>
      </c>
      <c r="EW24">
        <v>0</v>
      </c>
      <c r="FA24">
        <v>0</v>
      </c>
      <c r="FE24">
        <v>0</v>
      </c>
      <c r="FI24">
        <v>0</v>
      </c>
      <c r="FJ24">
        <v>5441.7550000000001</v>
      </c>
      <c r="FK24">
        <v>35765</v>
      </c>
      <c r="FL24">
        <v>31664.555574119709</v>
      </c>
      <c r="FM24">
        <v>30323.244999999999</v>
      </c>
    </row>
    <row r="25" spans="1:169" x14ac:dyDescent="0.35">
      <c r="A25">
        <v>195889</v>
      </c>
      <c r="B25" t="s">
        <v>1846</v>
      </c>
      <c r="C25" t="s">
        <v>1847</v>
      </c>
      <c r="D25" t="s">
        <v>1848</v>
      </c>
      <c r="E25" s="43" t="s">
        <v>1849</v>
      </c>
      <c r="F25">
        <v>1</v>
      </c>
      <c r="I25">
        <v>43804</v>
      </c>
      <c r="J25" t="s">
        <v>4242</v>
      </c>
      <c r="K25" t="s">
        <v>1715</v>
      </c>
      <c r="L25" s="43" t="s">
        <v>259</v>
      </c>
      <c r="M25" t="s">
        <v>1850</v>
      </c>
      <c r="N25" s="43" t="s">
        <v>1851</v>
      </c>
      <c r="O25" s="43" t="s">
        <v>1852</v>
      </c>
      <c r="P25" s="43" t="s">
        <v>542</v>
      </c>
      <c r="Q25" s="43" t="s">
        <v>1853</v>
      </c>
      <c r="R25">
        <v>2.86</v>
      </c>
      <c r="S25">
        <v>44109</v>
      </c>
      <c r="T25" t="s">
        <v>544</v>
      </c>
      <c r="U25" t="s">
        <v>266</v>
      </c>
      <c r="V25" t="s">
        <v>267</v>
      </c>
      <c r="W25" t="s">
        <v>1718</v>
      </c>
      <c r="X25" t="s">
        <v>1719</v>
      </c>
      <c r="Y25">
        <v>8772802835</v>
      </c>
      <c r="Z25" t="s">
        <v>270</v>
      </c>
      <c r="AA25" t="s">
        <v>271</v>
      </c>
      <c r="AB25">
        <v>31</v>
      </c>
      <c r="AC25">
        <v>0</v>
      </c>
      <c r="AD25">
        <v>0</v>
      </c>
      <c r="AE25" t="s">
        <v>354</v>
      </c>
      <c r="AF25">
        <v>6</v>
      </c>
      <c r="AG25" t="s">
        <v>275</v>
      </c>
      <c r="AK25" s="43" t="s">
        <v>259</v>
      </c>
      <c r="AL25" s="43" t="s">
        <v>259</v>
      </c>
      <c r="AO25" s="23"/>
      <c r="AP25" s="23"/>
      <c r="AQ25" s="23"/>
      <c r="BC25" t="s">
        <v>259</v>
      </c>
      <c r="BD25" s="43" t="s">
        <v>259</v>
      </c>
      <c r="BE25" s="43" t="s">
        <v>259</v>
      </c>
      <c r="BF25" s="43" t="s">
        <v>259</v>
      </c>
      <c r="BG25" s="43" t="s">
        <v>259</v>
      </c>
      <c r="BH25" t="s">
        <v>259</v>
      </c>
      <c r="BI25" s="43" t="s">
        <v>259</v>
      </c>
      <c r="BJ25">
        <v>0</v>
      </c>
      <c r="BK25">
        <v>44109</v>
      </c>
      <c r="BL25">
        <v>44356</v>
      </c>
      <c r="BM25">
        <v>8505</v>
      </c>
      <c r="BN25">
        <v>8505</v>
      </c>
      <c r="BO25">
        <v>8505</v>
      </c>
      <c r="BP25">
        <v>25515</v>
      </c>
      <c r="BQ25">
        <v>3300</v>
      </c>
      <c r="BR25">
        <v>400</v>
      </c>
      <c r="BS25">
        <v>400</v>
      </c>
      <c r="BT25">
        <v>4100</v>
      </c>
      <c r="BU25">
        <v>2100</v>
      </c>
      <c r="BV25">
        <v>2100</v>
      </c>
      <c r="BW25">
        <v>2100</v>
      </c>
      <c r="BX25">
        <v>6300</v>
      </c>
      <c r="BY25">
        <v>1200</v>
      </c>
      <c r="BZ25">
        <v>1200</v>
      </c>
      <c r="CA25">
        <v>1200</v>
      </c>
      <c r="CB25">
        <v>3600</v>
      </c>
      <c r="CC25">
        <v>0</v>
      </c>
      <c r="CD25">
        <v>0</v>
      </c>
      <c r="CE25">
        <v>0</v>
      </c>
      <c r="CF25">
        <v>0</v>
      </c>
      <c r="CG25">
        <v>39515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750</v>
      </c>
      <c r="CU25">
        <v>750</v>
      </c>
      <c r="CV25">
        <v>750</v>
      </c>
      <c r="CW25">
        <v>2250</v>
      </c>
      <c r="CX25">
        <v>3000</v>
      </c>
      <c r="CY25">
        <v>3000</v>
      </c>
      <c r="CZ25">
        <v>3000</v>
      </c>
      <c r="DA25">
        <v>9000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11250</v>
      </c>
      <c r="EE25">
        <v>0</v>
      </c>
      <c r="EF25">
        <v>0</v>
      </c>
      <c r="EG25">
        <v>0</v>
      </c>
      <c r="EH25">
        <v>0</v>
      </c>
      <c r="EI25">
        <v>1154</v>
      </c>
      <c r="EJ25">
        <v>1154</v>
      </c>
      <c r="EK25">
        <v>1155</v>
      </c>
      <c r="EL25">
        <v>3500</v>
      </c>
      <c r="EM25">
        <v>37.065000000000005</v>
      </c>
      <c r="EN25">
        <v>660</v>
      </c>
      <c r="EO25">
        <v>660</v>
      </c>
      <c r="EP25">
        <v>660</v>
      </c>
      <c r="EQ25">
        <v>2000</v>
      </c>
      <c r="ER25">
        <v>21.18</v>
      </c>
      <c r="ES25">
        <v>0</v>
      </c>
      <c r="ET25">
        <v>0</v>
      </c>
      <c r="EU25">
        <v>0</v>
      </c>
      <c r="EV25">
        <v>0</v>
      </c>
      <c r="EW25">
        <v>0</v>
      </c>
      <c r="FA25">
        <v>0</v>
      </c>
      <c r="FE25">
        <v>0</v>
      </c>
      <c r="FI25">
        <v>0</v>
      </c>
      <c r="FJ25">
        <v>5441.7550000000001</v>
      </c>
      <c r="FK25">
        <v>28265</v>
      </c>
      <c r="FL25">
        <v>23832.802514514849</v>
      </c>
      <c r="FM25">
        <v>22823.244999999999</v>
      </c>
    </row>
    <row r="26" spans="1:169" x14ac:dyDescent="0.35">
      <c r="A26">
        <v>192987</v>
      </c>
      <c r="B26" t="s">
        <v>1854</v>
      </c>
      <c r="C26" t="s">
        <v>1855</v>
      </c>
      <c r="D26" t="s">
        <v>1856</v>
      </c>
      <c r="E26" s="43" t="s">
        <v>1857</v>
      </c>
      <c r="F26">
        <v>1</v>
      </c>
      <c r="I26">
        <v>43804</v>
      </c>
      <c r="J26" t="s">
        <v>4242</v>
      </c>
      <c r="K26" t="s">
        <v>1715</v>
      </c>
      <c r="L26" s="43" t="s">
        <v>259</v>
      </c>
      <c r="M26" t="s">
        <v>1858</v>
      </c>
      <c r="N26" s="43" t="s">
        <v>1859</v>
      </c>
      <c r="O26" s="43" t="s">
        <v>1579</v>
      </c>
      <c r="P26" s="43" t="s">
        <v>263</v>
      </c>
      <c r="Q26" s="43" t="s">
        <v>1860</v>
      </c>
      <c r="R26">
        <v>3.5</v>
      </c>
      <c r="S26">
        <v>44109</v>
      </c>
      <c r="T26" t="s">
        <v>285</v>
      </c>
      <c r="U26" t="s">
        <v>266</v>
      </c>
      <c r="V26" t="s">
        <v>267</v>
      </c>
      <c r="W26" t="s">
        <v>1718</v>
      </c>
      <c r="X26" t="s">
        <v>1719</v>
      </c>
      <c r="Y26">
        <v>8772802835</v>
      </c>
      <c r="Z26" t="s">
        <v>270</v>
      </c>
      <c r="AA26" t="s">
        <v>271</v>
      </c>
      <c r="AB26">
        <v>0</v>
      </c>
      <c r="AC26">
        <v>0</v>
      </c>
      <c r="AD26">
        <v>0</v>
      </c>
      <c r="AE26" t="s">
        <v>376</v>
      </c>
      <c r="AF26">
        <v>7</v>
      </c>
      <c r="AG26" t="s">
        <v>275</v>
      </c>
      <c r="AK26" s="43" t="s">
        <v>259</v>
      </c>
      <c r="AL26" s="43" t="s">
        <v>259</v>
      </c>
      <c r="AO26" s="23"/>
      <c r="AP26" s="23"/>
      <c r="AQ26" s="23"/>
      <c r="BC26" t="s">
        <v>259</v>
      </c>
      <c r="BD26" s="43" t="s">
        <v>259</v>
      </c>
      <c r="BE26" s="43" t="s">
        <v>259</v>
      </c>
      <c r="BF26" s="43" t="s">
        <v>259</v>
      </c>
      <c r="BG26" s="43" t="s">
        <v>259</v>
      </c>
      <c r="BH26" t="s">
        <v>259</v>
      </c>
      <c r="BI26" s="43" t="s">
        <v>259</v>
      </c>
      <c r="BJ26">
        <v>0</v>
      </c>
      <c r="BK26">
        <v>44109</v>
      </c>
      <c r="BL26">
        <v>44356</v>
      </c>
      <c r="BM26">
        <v>8505</v>
      </c>
      <c r="BN26">
        <v>8505</v>
      </c>
      <c r="BO26">
        <v>8505</v>
      </c>
      <c r="BP26">
        <v>25515</v>
      </c>
      <c r="BQ26">
        <v>3300</v>
      </c>
      <c r="BR26">
        <v>400</v>
      </c>
      <c r="BS26">
        <v>400</v>
      </c>
      <c r="BT26">
        <v>4100</v>
      </c>
      <c r="BU26">
        <v>2100</v>
      </c>
      <c r="BV26">
        <v>2100</v>
      </c>
      <c r="BW26">
        <v>2100</v>
      </c>
      <c r="BX26">
        <v>6300</v>
      </c>
      <c r="BY26">
        <v>1200</v>
      </c>
      <c r="BZ26">
        <v>1200</v>
      </c>
      <c r="CA26">
        <v>1200</v>
      </c>
      <c r="CB26">
        <v>3600</v>
      </c>
      <c r="CC26">
        <v>0</v>
      </c>
      <c r="CD26">
        <v>0</v>
      </c>
      <c r="CE26">
        <v>0</v>
      </c>
      <c r="CF26">
        <v>0</v>
      </c>
      <c r="CG26">
        <v>39515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1154</v>
      </c>
      <c r="EJ26">
        <v>1154</v>
      </c>
      <c r="EK26">
        <v>1155</v>
      </c>
      <c r="EL26">
        <v>3500</v>
      </c>
      <c r="EM26">
        <v>37.065000000000005</v>
      </c>
      <c r="EN26">
        <v>660</v>
      </c>
      <c r="EO26">
        <v>660</v>
      </c>
      <c r="EP26">
        <v>660</v>
      </c>
      <c r="EQ26">
        <v>2000</v>
      </c>
      <c r="ER26">
        <v>21.18</v>
      </c>
      <c r="ES26">
        <v>0</v>
      </c>
      <c r="ET26">
        <v>0</v>
      </c>
      <c r="EU26">
        <v>0</v>
      </c>
      <c r="EV26">
        <v>0</v>
      </c>
      <c r="EW26">
        <v>0</v>
      </c>
      <c r="FA26">
        <v>0</v>
      </c>
      <c r="FE26">
        <v>0</v>
      </c>
      <c r="FI26">
        <v>0</v>
      </c>
      <c r="FJ26">
        <v>5441.7550000000001</v>
      </c>
      <c r="FK26">
        <v>39515</v>
      </c>
      <c r="FL26">
        <v>35580.43210392214</v>
      </c>
      <c r="FM26">
        <v>34073.245000000003</v>
      </c>
    </row>
    <row r="27" spans="1:169" x14ac:dyDescent="0.35">
      <c r="A27">
        <v>198902</v>
      </c>
      <c r="B27" t="s">
        <v>1861</v>
      </c>
      <c r="C27" t="s">
        <v>1862</v>
      </c>
      <c r="D27" t="s">
        <v>1863</v>
      </c>
      <c r="E27" s="43" t="s">
        <v>1864</v>
      </c>
      <c r="F27">
        <v>1</v>
      </c>
      <c r="G27">
        <v>43794</v>
      </c>
      <c r="H27">
        <v>43794</v>
      </c>
      <c r="I27">
        <v>43794</v>
      </c>
      <c r="J27" t="s">
        <v>3335</v>
      </c>
      <c r="K27" t="s">
        <v>1715</v>
      </c>
      <c r="L27" s="43" t="s">
        <v>259</v>
      </c>
      <c r="M27" t="s">
        <v>1865</v>
      </c>
      <c r="N27" s="43" t="s">
        <v>1866</v>
      </c>
      <c r="O27" s="43" t="s">
        <v>1867</v>
      </c>
      <c r="P27" s="43" t="s">
        <v>342</v>
      </c>
      <c r="Q27" s="43" t="s">
        <v>1868</v>
      </c>
      <c r="S27">
        <v>44109</v>
      </c>
      <c r="T27" t="s">
        <v>265</v>
      </c>
      <c r="U27" t="s">
        <v>266</v>
      </c>
      <c r="V27" t="s">
        <v>267</v>
      </c>
      <c r="W27" t="s">
        <v>1718</v>
      </c>
      <c r="X27" t="s">
        <v>1719</v>
      </c>
      <c r="Y27">
        <v>8772802835</v>
      </c>
      <c r="Z27" t="s">
        <v>508</v>
      </c>
      <c r="AA27" t="s">
        <v>271</v>
      </c>
      <c r="AB27">
        <v>0</v>
      </c>
      <c r="AC27">
        <v>1090</v>
      </c>
      <c r="AD27">
        <v>101</v>
      </c>
      <c r="AE27" t="s">
        <v>376</v>
      </c>
      <c r="AF27">
        <v>7</v>
      </c>
      <c r="AG27" t="s">
        <v>446</v>
      </c>
      <c r="AK27" s="43" t="s">
        <v>259</v>
      </c>
      <c r="AL27" s="43" t="s">
        <v>259</v>
      </c>
      <c r="AO27" s="23">
        <v>43490</v>
      </c>
      <c r="AP27" s="23"/>
      <c r="AQ27" s="23"/>
      <c r="BC27" t="s">
        <v>259</v>
      </c>
      <c r="BD27" s="43" t="s">
        <v>259</v>
      </c>
      <c r="BE27" s="43" t="s">
        <v>259</v>
      </c>
      <c r="BF27" s="43" t="s">
        <v>259</v>
      </c>
      <c r="BG27" s="43" t="s">
        <v>259</v>
      </c>
      <c r="BH27" t="s">
        <v>259</v>
      </c>
      <c r="BI27" s="43" t="s">
        <v>259</v>
      </c>
      <c r="BJ27">
        <v>4.3478260869565188E-2</v>
      </c>
      <c r="BK27">
        <v>44109</v>
      </c>
      <c r="BL27">
        <v>44356</v>
      </c>
      <c r="BM27">
        <v>8505</v>
      </c>
      <c r="BN27">
        <v>8505</v>
      </c>
      <c r="BO27">
        <v>8505</v>
      </c>
      <c r="BP27">
        <v>25515</v>
      </c>
      <c r="BQ27">
        <v>3300</v>
      </c>
      <c r="BR27">
        <v>400</v>
      </c>
      <c r="BS27">
        <v>400</v>
      </c>
      <c r="BT27">
        <v>4100</v>
      </c>
      <c r="BU27">
        <v>2100</v>
      </c>
      <c r="BV27">
        <v>2100</v>
      </c>
      <c r="BW27">
        <v>2100</v>
      </c>
      <c r="BX27">
        <v>6300</v>
      </c>
      <c r="BY27">
        <v>1200</v>
      </c>
      <c r="BZ27">
        <v>1200</v>
      </c>
      <c r="CA27">
        <v>1200</v>
      </c>
      <c r="CB27">
        <v>3600</v>
      </c>
      <c r="CC27">
        <v>0</v>
      </c>
      <c r="CD27">
        <v>0</v>
      </c>
      <c r="CE27">
        <v>0</v>
      </c>
      <c r="CF27">
        <v>0</v>
      </c>
      <c r="CG27">
        <v>39515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1154</v>
      </c>
      <c r="EJ27">
        <v>1154</v>
      </c>
      <c r="EK27">
        <v>1155</v>
      </c>
      <c r="EL27">
        <v>3500</v>
      </c>
      <c r="EM27">
        <v>37.065000000000005</v>
      </c>
      <c r="EN27">
        <v>660</v>
      </c>
      <c r="EO27">
        <v>660</v>
      </c>
      <c r="EP27">
        <v>660</v>
      </c>
      <c r="EQ27">
        <v>2000</v>
      </c>
      <c r="ER27">
        <v>21.18</v>
      </c>
      <c r="ES27">
        <v>0</v>
      </c>
      <c r="ET27">
        <v>0</v>
      </c>
      <c r="EU27">
        <v>0</v>
      </c>
      <c r="EV27">
        <v>0</v>
      </c>
      <c r="EW27">
        <v>0</v>
      </c>
      <c r="FA27">
        <v>0</v>
      </c>
      <c r="FE27">
        <v>0</v>
      </c>
      <c r="FI27">
        <v>0</v>
      </c>
      <c r="FJ27">
        <v>5441.7550000000001</v>
      </c>
      <c r="FK27">
        <v>39515</v>
      </c>
      <c r="FL27">
        <v>35580.43210392214</v>
      </c>
      <c r="FM27">
        <v>34073.245000000003</v>
      </c>
    </row>
    <row r="28" spans="1:169" x14ac:dyDescent="0.35">
      <c r="A28">
        <v>197513</v>
      </c>
      <c r="B28" t="s">
        <v>1869</v>
      </c>
      <c r="C28" t="s">
        <v>1870</v>
      </c>
      <c r="D28" t="s">
        <v>1871</v>
      </c>
      <c r="E28" s="43" t="s">
        <v>1872</v>
      </c>
      <c r="F28">
        <v>1</v>
      </c>
      <c r="I28">
        <v>43804</v>
      </c>
      <c r="J28" t="s">
        <v>4242</v>
      </c>
      <c r="K28" t="s">
        <v>1715</v>
      </c>
      <c r="L28" s="43" t="s">
        <v>259</v>
      </c>
      <c r="M28" t="s">
        <v>1873</v>
      </c>
      <c r="N28" s="43" t="s">
        <v>1874</v>
      </c>
      <c r="O28" s="43" t="s">
        <v>1875</v>
      </c>
      <c r="P28" s="43" t="s">
        <v>759</v>
      </c>
      <c r="Q28" s="43" t="s">
        <v>1876</v>
      </c>
      <c r="R28">
        <v>3.3</v>
      </c>
      <c r="S28">
        <v>44109</v>
      </c>
      <c r="T28" t="s">
        <v>311</v>
      </c>
      <c r="U28" t="s">
        <v>266</v>
      </c>
      <c r="V28" t="s">
        <v>267</v>
      </c>
      <c r="W28" t="s">
        <v>1718</v>
      </c>
      <c r="X28" t="s">
        <v>1719</v>
      </c>
      <c r="Y28">
        <v>8772802835</v>
      </c>
      <c r="Z28" t="s">
        <v>270</v>
      </c>
      <c r="AA28" t="s">
        <v>271</v>
      </c>
      <c r="AB28">
        <v>0</v>
      </c>
      <c r="AC28">
        <v>1180</v>
      </c>
      <c r="AD28">
        <v>112</v>
      </c>
      <c r="AE28" t="s">
        <v>289</v>
      </c>
      <c r="AF28">
        <v>2</v>
      </c>
      <c r="AG28" t="s">
        <v>275</v>
      </c>
      <c r="AK28" s="43" t="s">
        <v>259</v>
      </c>
      <c r="AL28" s="43" t="s">
        <v>259</v>
      </c>
      <c r="AO28" s="23"/>
      <c r="AP28" s="23"/>
      <c r="AQ28" s="23"/>
      <c r="BC28" t="s">
        <v>259</v>
      </c>
      <c r="BD28" s="43" t="s">
        <v>259</v>
      </c>
      <c r="BE28" s="43" t="s">
        <v>259</v>
      </c>
      <c r="BF28" s="43" t="s">
        <v>259</v>
      </c>
      <c r="BG28" s="43" t="s">
        <v>259</v>
      </c>
      <c r="BH28" t="s">
        <v>259</v>
      </c>
      <c r="BI28" s="43" t="s">
        <v>259</v>
      </c>
      <c r="BJ28">
        <v>0</v>
      </c>
      <c r="BK28">
        <v>44109</v>
      </c>
      <c r="BL28">
        <v>44356</v>
      </c>
      <c r="BM28">
        <v>8505</v>
      </c>
      <c r="BN28">
        <v>8505</v>
      </c>
      <c r="BO28">
        <v>8505</v>
      </c>
      <c r="BP28">
        <v>25515</v>
      </c>
      <c r="BQ28">
        <v>3300</v>
      </c>
      <c r="BR28">
        <v>400</v>
      </c>
      <c r="BS28">
        <v>400</v>
      </c>
      <c r="BT28">
        <v>4100</v>
      </c>
      <c r="BU28">
        <v>2100</v>
      </c>
      <c r="BV28">
        <v>2100</v>
      </c>
      <c r="BW28">
        <v>2100</v>
      </c>
      <c r="BX28">
        <v>6300</v>
      </c>
      <c r="BY28">
        <v>1200</v>
      </c>
      <c r="BZ28">
        <v>1200</v>
      </c>
      <c r="CA28">
        <v>1200</v>
      </c>
      <c r="CB28">
        <v>3600</v>
      </c>
      <c r="CC28">
        <v>0</v>
      </c>
      <c r="CD28">
        <v>0</v>
      </c>
      <c r="CE28">
        <v>0</v>
      </c>
      <c r="CF28">
        <v>0</v>
      </c>
      <c r="CG28">
        <v>39515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1500</v>
      </c>
      <c r="CU28">
        <v>1500</v>
      </c>
      <c r="CV28">
        <v>1500</v>
      </c>
      <c r="CW28">
        <v>4500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4500</v>
      </c>
      <c r="EE28">
        <v>0</v>
      </c>
      <c r="EF28">
        <v>0</v>
      </c>
      <c r="EG28">
        <v>0</v>
      </c>
      <c r="EH28">
        <v>0</v>
      </c>
      <c r="EI28">
        <v>1154</v>
      </c>
      <c r="EJ28">
        <v>1154</v>
      </c>
      <c r="EK28">
        <v>1155</v>
      </c>
      <c r="EL28">
        <v>3500</v>
      </c>
      <c r="EM28">
        <v>37.065000000000005</v>
      </c>
      <c r="EN28">
        <v>660</v>
      </c>
      <c r="EO28">
        <v>660</v>
      </c>
      <c r="EP28">
        <v>660</v>
      </c>
      <c r="EQ28">
        <v>2000</v>
      </c>
      <c r="ER28">
        <v>21.18</v>
      </c>
      <c r="ES28">
        <v>0</v>
      </c>
      <c r="ET28">
        <v>0</v>
      </c>
      <c r="EU28">
        <v>0</v>
      </c>
      <c r="EV28">
        <v>0</v>
      </c>
      <c r="EW28">
        <v>0</v>
      </c>
      <c r="FA28">
        <v>0</v>
      </c>
      <c r="FE28">
        <v>0</v>
      </c>
      <c r="FI28">
        <v>0</v>
      </c>
      <c r="FJ28">
        <v>5441.7550000000001</v>
      </c>
      <c r="FK28">
        <v>35015</v>
      </c>
      <c r="FL28">
        <v>30881.380268159221</v>
      </c>
      <c r="FM28">
        <v>29573.244999999999</v>
      </c>
    </row>
    <row r="29" spans="1:169" x14ac:dyDescent="0.35">
      <c r="A29">
        <v>199218</v>
      </c>
      <c r="B29" t="s">
        <v>3623</v>
      </c>
      <c r="C29" t="s">
        <v>3624</v>
      </c>
      <c r="D29" t="s">
        <v>3625</v>
      </c>
      <c r="E29" s="43" t="s">
        <v>3626</v>
      </c>
      <c r="F29">
        <v>1</v>
      </c>
      <c r="G29">
        <v>43803</v>
      </c>
      <c r="H29">
        <v>43803</v>
      </c>
      <c r="I29">
        <v>43803</v>
      </c>
      <c r="J29" t="s">
        <v>4234</v>
      </c>
      <c r="K29" t="s">
        <v>1715</v>
      </c>
      <c r="L29" s="43" t="s">
        <v>3204</v>
      </c>
      <c r="M29" t="s">
        <v>3627</v>
      </c>
      <c r="N29" s="43" t="s">
        <v>3628</v>
      </c>
      <c r="O29" s="43" t="s">
        <v>3629</v>
      </c>
      <c r="P29" s="43" t="s">
        <v>911</v>
      </c>
      <c r="Q29" s="43" t="s">
        <v>3630</v>
      </c>
      <c r="S29">
        <v>44109</v>
      </c>
      <c r="T29" t="s">
        <v>285</v>
      </c>
      <c r="U29" t="s">
        <v>266</v>
      </c>
      <c r="V29" t="s">
        <v>267</v>
      </c>
      <c r="W29" t="s">
        <v>1718</v>
      </c>
      <c r="X29" t="s">
        <v>1719</v>
      </c>
      <c r="Y29">
        <v>8772802835</v>
      </c>
      <c r="Z29" t="s">
        <v>270</v>
      </c>
      <c r="AA29" t="s">
        <v>271</v>
      </c>
      <c r="AB29">
        <v>0</v>
      </c>
      <c r="AC29">
        <v>1280</v>
      </c>
      <c r="AD29">
        <v>125</v>
      </c>
      <c r="AE29" t="s">
        <v>301</v>
      </c>
      <c r="AF29">
        <v>1</v>
      </c>
      <c r="AG29" t="s">
        <v>3345</v>
      </c>
      <c r="AH29">
        <v>673</v>
      </c>
      <c r="AI29">
        <v>673</v>
      </c>
      <c r="AJ29">
        <v>43790</v>
      </c>
      <c r="AK29" s="43" t="s">
        <v>1715</v>
      </c>
      <c r="AL29" s="43" t="s">
        <v>259</v>
      </c>
      <c r="AO29" s="23"/>
      <c r="AP29" s="23"/>
      <c r="AQ29" s="23"/>
      <c r="BC29" t="s">
        <v>259</v>
      </c>
      <c r="BD29" s="43" t="s">
        <v>259</v>
      </c>
      <c r="BE29" s="43" t="s">
        <v>259</v>
      </c>
      <c r="BF29" s="43" t="s">
        <v>259</v>
      </c>
      <c r="BG29" s="43" t="s">
        <v>259</v>
      </c>
      <c r="BH29" t="s">
        <v>259</v>
      </c>
      <c r="BI29" s="43" t="s">
        <v>259</v>
      </c>
      <c r="BJ29">
        <v>0</v>
      </c>
      <c r="BK29">
        <v>44109</v>
      </c>
      <c r="BL29">
        <v>44356</v>
      </c>
      <c r="BM29">
        <v>8505</v>
      </c>
      <c r="BN29">
        <v>8505</v>
      </c>
      <c r="BO29">
        <v>8505</v>
      </c>
      <c r="BP29">
        <v>25515</v>
      </c>
      <c r="BQ29">
        <v>3300</v>
      </c>
      <c r="BR29">
        <v>400</v>
      </c>
      <c r="BS29">
        <v>400</v>
      </c>
      <c r="BT29">
        <v>4100</v>
      </c>
      <c r="BU29">
        <v>2100</v>
      </c>
      <c r="BV29">
        <v>2100</v>
      </c>
      <c r="BW29">
        <v>2100</v>
      </c>
      <c r="BX29">
        <v>6300</v>
      </c>
      <c r="BY29">
        <v>1200</v>
      </c>
      <c r="BZ29">
        <v>1200</v>
      </c>
      <c r="CA29">
        <v>1200</v>
      </c>
      <c r="CB29">
        <v>3600</v>
      </c>
      <c r="CC29">
        <v>0</v>
      </c>
      <c r="CD29">
        <v>0</v>
      </c>
      <c r="CE29">
        <v>0</v>
      </c>
      <c r="CF29">
        <v>0</v>
      </c>
      <c r="CG29">
        <v>39515</v>
      </c>
      <c r="CH29">
        <v>0</v>
      </c>
      <c r="CI29">
        <v>0</v>
      </c>
      <c r="CJ29">
        <v>0</v>
      </c>
      <c r="CK29">
        <v>0</v>
      </c>
      <c r="CL29">
        <v>1849</v>
      </c>
      <c r="CM29">
        <v>1848</v>
      </c>
      <c r="CN29">
        <v>1848</v>
      </c>
      <c r="CO29">
        <v>5545</v>
      </c>
      <c r="CP29">
        <v>500</v>
      </c>
      <c r="CQ29">
        <v>500</v>
      </c>
      <c r="CR29">
        <v>500</v>
      </c>
      <c r="CS29">
        <v>1500</v>
      </c>
      <c r="CT29">
        <v>1700</v>
      </c>
      <c r="CU29">
        <v>1700</v>
      </c>
      <c r="CV29">
        <v>1700</v>
      </c>
      <c r="CW29">
        <v>5100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12145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M29">
        <v>0</v>
      </c>
      <c r="EN29">
        <v>660</v>
      </c>
      <c r="EO29">
        <v>660</v>
      </c>
      <c r="EP29">
        <v>660</v>
      </c>
      <c r="EQ29">
        <v>2000</v>
      </c>
      <c r="ER29">
        <v>21.18</v>
      </c>
      <c r="ES29">
        <v>0</v>
      </c>
      <c r="ET29">
        <v>0</v>
      </c>
      <c r="EU29">
        <v>0</v>
      </c>
      <c r="EW29">
        <v>0</v>
      </c>
      <c r="FA29">
        <v>0</v>
      </c>
      <c r="FE29">
        <v>0</v>
      </c>
      <c r="FI29">
        <v>0</v>
      </c>
      <c r="FJ29">
        <v>1978.82</v>
      </c>
      <c r="FK29">
        <v>27370</v>
      </c>
      <c r="FL29">
        <v>26514.326886930368</v>
      </c>
      <c r="FM29">
        <v>25391.18</v>
      </c>
    </row>
    <row r="30" spans="1:169" x14ac:dyDescent="0.35">
      <c r="A30">
        <v>199014</v>
      </c>
      <c r="B30" t="s">
        <v>1877</v>
      </c>
      <c r="C30" t="s">
        <v>1878</v>
      </c>
      <c r="D30" t="s">
        <v>1879</v>
      </c>
      <c r="E30" s="43" t="s">
        <v>1880</v>
      </c>
      <c r="F30">
        <v>1</v>
      </c>
      <c r="I30">
        <v>43804</v>
      </c>
      <c r="J30" t="s">
        <v>4242</v>
      </c>
      <c r="K30" t="s">
        <v>1715</v>
      </c>
      <c r="L30" s="43" t="s">
        <v>259</v>
      </c>
      <c r="M30" t="s">
        <v>1881</v>
      </c>
      <c r="N30" s="43" t="s">
        <v>1882</v>
      </c>
      <c r="O30" s="43" t="s">
        <v>1883</v>
      </c>
      <c r="P30" s="43" t="s">
        <v>542</v>
      </c>
      <c r="Q30" s="43" t="s">
        <v>1884</v>
      </c>
      <c r="S30">
        <v>44109</v>
      </c>
      <c r="T30" t="s">
        <v>544</v>
      </c>
      <c r="U30" t="s">
        <v>266</v>
      </c>
      <c r="V30" t="s">
        <v>267</v>
      </c>
      <c r="W30" t="s">
        <v>1718</v>
      </c>
      <c r="X30" t="s">
        <v>1719</v>
      </c>
      <c r="Y30">
        <v>8772802835</v>
      </c>
      <c r="Z30" t="s">
        <v>270</v>
      </c>
      <c r="AA30" t="s">
        <v>271</v>
      </c>
      <c r="AB30">
        <v>25</v>
      </c>
      <c r="AC30">
        <v>0</v>
      </c>
      <c r="AD30">
        <v>117</v>
      </c>
      <c r="AE30" t="s">
        <v>301</v>
      </c>
      <c r="AF30">
        <v>1</v>
      </c>
      <c r="AG30" t="s">
        <v>446</v>
      </c>
      <c r="AK30" s="43" t="s">
        <v>259</v>
      </c>
      <c r="AL30" s="43" t="s">
        <v>259</v>
      </c>
      <c r="AO30" s="23"/>
      <c r="AP30" s="23"/>
      <c r="AQ30" s="23"/>
      <c r="BC30" t="s">
        <v>259</v>
      </c>
      <c r="BD30" s="43" t="s">
        <v>259</v>
      </c>
      <c r="BE30" s="43" t="s">
        <v>259</v>
      </c>
      <c r="BF30" s="43" t="s">
        <v>259</v>
      </c>
      <c r="BG30" s="43" t="s">
        <v>259</v>
      </c>
      <c r="BH30" t="s">
        <v>259</v>
      </c>
      <c r="BI30" s="43" t="s">
        <v>259</v>
      </c>
      <c r="BJ30">
        <v>0</v>
      </c>
      <c r="BK30">
        <v>44109</v>
      </c>
      <c r="BL30">
        <v>44356</v>
      </c>
      <c r="BM30">
        <v>8505</v>
      </c>
      <c r="BN30">
        <v>8505</v>
      </c>
      <c r="BO30">
        <v>8505</v>
      </c>
      <c r="BP30">
        <v>25515</v>
      </c>
      <c r="BQ30">
        <v>3300</v>
      </c>
      <c r="BR30">
        <v>400</v>
      </c>
      <c r="BS30">
        <v>400</v>
      </c>
      <c r="BT30">
        <v>4100</v>
      </c>
      <c r="BU30">
        <v>2100</v>
      </c>
      <c r="BV30">
        <v>2100</v>
      </c>
      <c r="BW30">
        <v>2100</v>
      </c>
      <c r="BX30">
        <v>6300</v>
      </c>
      <c r="BY30">
        <v>1200</v>
      </c>
      <c r="BZ30">
        <v>1200</v>
      </c>
      <c r="CA30">
        <v>1200</v>
      </c>
      <c r="CB30">
        <v>3600</v>
      </c>
      <c r="CC30">
        <v>0</v>
      </c>
      <c r="CD30">
        <v>0</v>
      </c>
      <c r="CE30">
        <v>0</v>
      </c>
      <c r="CF30">
        <v>0</v>
      </c>
      <c r="CG30">
        <v>39515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1700</v>
      </c>
      <c r="CU30">
        <v>1700</v>
      </c>
      <c r="CV30">
        <v>1700</v>
      </c>
      <c r="CW30">
        <v>5100</v>
      </c>
      <c r="CX30">
        <v>3000</v>
      </c>
      <c r="CY30">
        <v>3000</v>
      </c>
      <c r="CZ30">
        <v>3000</v>
      </c>
      <c r="DA30">
        <v>9000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14100</v>
      </c>
      <c r="EE30">
        <v>0</v>
      </c>
      <c r="EF30">
        <v>0</v>
      </c>
      <c r="EG30">
        <v>0</v>
      </c>
      <c r="EH30">
        <v>0</v>
      </c>
      <c r="EI30">
        <v>1154</v>
      </c>
      <c r="EJ30">
        <v>1154</v>
      </c>
      <c r="EK30">
        <v>1155</v>
      </c>
      <c r="EL30">
        <v>3500</v>
      </c>
      <c r="EM30">
        <v>37.065000000000005</v>
      </c>
      <c r="EN30">
        <v>660</v>
      </c>
      <c r="EO30">
        <v>660</v>
      </c>
      <c r="EP30">
        <v>660</v>
      </c>
      <c r="EQ30">
        <v>2000</v>
      </c>
      <c r="ER30">
        <v>21.18</v>
      </c>
      <c r="ES30">
        <v>0</v>
      </c>
      <c r="ET30">
        <v>0</v>
      </c>
      <c r="EU30">
        <v>0</v>
      </c>
      <c r="EV30">
        <v>0</v>
      </c>
      <c r="EW30">
        <v>0</v>
      </c>
      <c r="FA30">
        <v>0</v>
      </c>
      <c r="FE30">
        <v>0</v>
      </c>
      <c r="FI30">
        <v>0</v>
      </c>
      <c r="FJ30">
        <v>5441.7550000000001</v>
      </c>
      <c r="FK30">
        <v>25415</v>
      </c>
      <c r="FL30">
        <v>20856.736351865002</v>
      </c>
      <c r="FM30">
        <v>19973.244999999999</v>
      </c>
    </row>
    <row r="31" spans="1:169" x14ac:dyDescent="0.35">
      <c r="A31">
        <v>194358</v>
      </c>
      <c r="B31" t="s">
        <v>1885</v>
      </c>
      <c r="C31" t="s">
        <v>1886</v>
      </c>
      <c r="D31" t="s">
        <v>1887</v>
      </c>
      <c r="E31" s="43" t="s">
        <v>1888</v>
      </c>
      <c r="F31">
        <v>1</v>
      </c>
      <c r="G31">
        <v>43775</v>
      </c>
      <c r="H31">
        <v>43775</v>
      </c>
      <c r="I31">
        <v>43782</v>
      </c>
      <c r="J31" t="s">
        <v>4244</v>
      </c>
      <c r="K31" t="s">
        <v>1715</v>
      </c>
      <c r="L31" s="43" t="s">
        <v>3204</v>
      </c>
      <c r="M31" t="s">
        <v>1889</v>
      </c>
      <c r="N31" s="43" t="s">
        <v>1890</v>
      </c>
      <c r="O31" s="43" t="s">
        <v>1891</v>
      </c>
      <c r="P31" s="43" t="s">
        <v>1892</v>
      </c>
      <c r="Q31" s="43" t="s">
        <v>1893</v>
      </c>
      <c r="R31">
        <v>3.1659999999999999</v>
      </c>
      <c r="S31">
        <v>44109</v>
      </c>
      <c r="T31" t="s">
        <v>311</v>
      </c>
      <c r="U31" t="s">
        <v>266</v>
      </c>
      <c r="V31" t="s">
        <v>267</v>
      </c>
      <c r="W31" t="s">
        <v>1718</v>
      </c>
      <c r="X31" t="s">
        <v>1719</v>
      </c>
      <c r="Y31">
        <v>8772802835</v>
      </c>
      <c r="Z31" t="s">
        <v>270</v>
      </c>
      <c r="AA31" t="s">
        <v>271</v>
      </c>
      <c r="AB31">
        <v>25</v>
      </c>
      <c r="AC31">
        <v>0</v>
      </c>
      <c r="AD31">
        <v>108</v>
      </c>
      <c r="AE31" t="s">
        <v>364</v>
      </c>
      <c r="AF31">
        <v>3</v>
      </c>
      <c r="AG31" t="s">
        <v>275</v>
      </c>
      <c r="AH31">
        <v>0</v>
      </c>
      <c r="AI31">
        <v>0</v>
      </c>
      <c r="AJ31">
        <v>43774</v>
      </c>
      <c r="AK31" s="43" t="s">
        <v>1715</v>
      </c>
      <c r="AL31" s="43" t="s">
        <v>259</v>
      </c>
      <c r="AO31" s="23">
        <v>43774</v>
      </c>
      <c r="AP31" s="23">
        <v>43775</v>
      </c>
      <c r="AQ31" s="23">
        <v>43775</v>
      </c>
      <c r="BC31" t="s">
        <v>259</v>
      </c>
      <c r="BD31" s="43" t="s">
        <v>259</v>
      </c>
      <c r="BE31" s="43" t="s">
        <v>2018</v>
      </c>
      <c r="BF31" s="43" t="s">
        <v>2018</v>
      </c>
      <c r="BG31" s="43" t="s">
        <v>2018</v>
      </c>
      <c r="BH31">
        <v>43746</v>
      </c>
      <c r="BI31" s="43" t="s">
        <v>2018</v>
      </c>
      <c r="BJ31">
        <v>0.21052631578947367</v>
      </c>
      <c r="BK31">
        <v>44109</v>
      </c>
      <c r="BL31">
        <v>44356</v>
      </c>
      <c r="BM31">
        <v>8505</v>
      </c>
      <c r="BN31">
        <v>8505</v>
      </c>
      <c r="BO31">
        <v>8505</v>
      </c>
      <c r="BP31">
        <v>25515</v>
      </c>
      <c r="BQ31">
        <v>3300</v>
      </c>
      <c r="BR31">
        <v>400</v>
      </c>
      <c r="BS31">
        <v>400</v>
      </c>
      <c r="BT31">
        <v>4100</v>
      </c>
      <c r="BU31">
        <v>2100</v>
      </c>
      <c r="BV31">
        <v>2100</v>
      </c>
      <c r="BW31">
        <v>2100</v>
      </c>
      <c r="BX31">
        <v>6300</v>
      </c>
      <c r="BY31">
        <v>1200</v>
      </c>
      <c r="BZ31">
        <v>1200</v>
      </c>
      <c r="CA31">
        <v>1200</v>
      </c>
      <c r="CB31">
        <v>3600</v>
      </c>
      <c r="CC31">
        <v>0</v>
      </c>
      <c r="CD31">
        <v>0</v>
      </c>
      <c r="CE31">
        <v>0</v>
      </c>
      <c r="CF31">
        <v>0</v>
      </c>
      <c r="CG31">
        <v>39515</v>
      </c>
      <c r="CH31">
        <v>0</v>
      </c>
      <c r="CI31">
        <v>0</v>
      </c>
      <c r="CJ31">
        <v>0</v>
      </c>
      <c r="CK31">
        <v>0</v>
      </c>
      <c r="CL31">
        <v>2065</v>
      </c>
      <c r="CM31">
        <v>2065</v>
      </c>
      <c r="CN31">
        <v>2065</v>
      </c>
      <c r="CO31">
        <v>6195</v>
      </c>
      <c r="CP31">
        <v>500</v>
      </c>
      <c r="CQ31">
        <v>500</v>
      </c>
      <c r="CR31">
        <v>500</v>
      </c>
      <c r="CS31">
        <v>1500</v>
      </c>
      <c r="CT31">
        <v>1300</v>
      </c>
      <c r="CU31">
        <v>1300</v>
      </c>
      <c r="CV31">
        <v>1300</v>
      </c>
      <c r="CW31">
        <v>3900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11595</v>
      </c>
      <c r="EE31">
        <v>0</v>
      </c>
      <c r="EF31">
        <v>0</v>
      </c>
      <c r="EG31">
        <v>0</v>
      </c>
      <c r="EH31">
        <v>0</v>
      </c>
      <c r="EI31">
        <v>1154</v>
      </c>
      <c r="EJ31">
        <v>1154</v>
      </c>
      <c r="EK31">
        <v>1155</v>
      </c>
      <c r="EL31">
        <v>3500</v>
      </c>
      <c r="EM31">
        <v>37.065000000000005</v>
      </c>
      <c r="EN31">
        <v>660</v>
      </c>
      <c r="EO31">
        <v>660</v>
      </c>
      <c r="EP31">
        <v>660</v>
      </c>
      <c r="EQ31">
        <v>2000</v>
      </c>
      <c r="ER31">
        <v>21.18</v>
      </c>
      <c r="ES31">
        <v>7506</v>
      </c>
      <c r="ET31">
        <v>7506</v>
      </c>
      <c r="EU31">
        <v>7506</v>
      </c>
      <c r="EV31">
        <v>23473</v>
      </c>
      <c r="EW31">
        <v>994.31628000000001</v>
      </c>
      <c r="FA31">
        <v>0</v>
      </c>
      <c r="FE31">
        <v>0</v>
      </c>
      <c r="FI31">
        <v>0</v>
      </c>
      <c r="FJ31">
        <v>27920.438720000002</v>
      </c>
      <c r="FK31">
        <v>27920</v>
      </c>
      <c r="FL31">
        <v>-0.45812622697665306</v>
      </c>
      <c r="FM31">
        <v>-0.43872000000192202</v>
      </c>
    </row>
    <row r="32" spans="1:169" x14ac:dyDescent="0.35">
      <c r="A32">
        <v>196477</v>
      </c>
      <c r="B32" t="s">
        <v>1894</v>
      </c>
      <c r="C32" t="s">
        <v>1895</v>
      </c>
      <c r="D32" t="s">
        <v>1896</v>
      </c>
      <c r="E32" s="43" t="s">
        <v>1897</v>
      </c>
      <c r="F32">
        <v>1</v>
      </c>
      <c r="I32">
        <v>43775</v>
      </c>
      <c r="J32" t="s">
        <v>3304</v>
      </c>
      <c r="K32" t="s">
        <v>1715</v>
      </c>
      <c r="L32" s="43" t="s">
        <v>3204</v>
      </c>
      <c r="M32" t="s">
        <v>1898</v>
      </c>
      <c r="N32" s="43" t="s">
        <v>1899</v>
      </c>
      <c r="O32" s="43" t="s">
        <v>1900</v>
      </c>
      <c r="P32" s="43" t="s">
        <v>1892</v>
      </c>
      <c r="Q32" s="43" t="s">
        <v>1901</v>
      </c>
      <c r="R32">
        <v>4</v>
      </c>
      <c r="S32">
        <v>44109</v>
      </c>
      <c r="T32" t="s">
        <v>311</v>
      </c>
      <c r="U32" t="s">
        <v>312</v>
      </c>
      <c r="V32" t="s">
        <v>267</v>
      </c>
      <c r="W32" t="s">
        <v>1718</v>
      </c>
      <c r="X32" t="s">
        <v>1719</v>
      </c>
      <c r="Y32">
        <v>8772802835</v>
      </c>
      <c r="Z32" t="s">
        <v>270</v>
      </c>
      <c r="AA32" t="s">
        <v>271</v>
      </c>
      <c r="AB32">
        <v>26</v>
      </c>
      <c r="AC32">
        <v>0</v>
      </c>
      <c r="AD32">
        <v>124</v>
      </c>
      <c r="AE32" t="s">
        <v>301</v>
      </c>
      <c r="AF32">
        <v>1</v>
      </c>
      <c r="AG32" t="s">
        <v>275</v>
      </c>
      <c r="AH32">
        <v>20297</v>
      </c>
      <c r="AI32">
        <v>20297</v>
      </c>
      <c r="AJ32">
        <v>43774</v>
      </c>
      <c r="AK32" s="43" t="s">
        <v>3208</v>
      </c>
      <c r="AL32" s="43" t="s">
        <v>3209</v>
      </c>
      <c r="AO32" s="23">
        <v>43776</v>
      </c>
      <c r="AP32" s="23"/>
      <c r="AQ32" s="23"/>
      <c r="BC32" t="s">
        <v>2018</v>
      </c>
      <c r="BD32" s="43" t="s">
        <v>2018</v>
      </c>
      <c r="BE32" s="43" t="s">
        <v>2018</v>
      </c>
      <c r="BF32" s="43" t="s">
        <v>2018</v>
      </c>
      <c r="BG32" s="43" t="s">
        <v>2018</v>
      </c>
      <c r="BH32" t="s">
        <v>2018</v>
      </c>
      <c r="BI32" s="43" t="s">
        <v>2018</v>
      </c>
      <c r="BJ32">
        <v>6.25E-2</v>
      </c>
      <c r="BK32">
        <v>44109</v>
      </c>
      <c r="BL32">
        <v>44356</v>
      </c>
      <c r="BM32">
        <v>8505</v>
      </c>
      <c r="BN32">
        <v>8505</v>
      </c>
      <c r="BO32">
        <v>8505</v>
      </c>
      <c r="BP32">
        <v>25515</v>
      </c>
      <c r="BQ32">
        <v>3300</v>
      </c>
      <c r="BR32">
        <v>400</v>
      </c>
      <c r="BS32">
        <v>400</v>
      </c>
      <c r="BT32">
        <v>4100</v>
      </c>
      <c r="BU32">
        <v>2100</v>
      </c>
      <c r="BV32">
        <v>2100</v>
      </c>
      <c r="BW32">
        <v>2100</v>
      </c>
      <c r="BX32">
        <v>6300</v>
      </c>
      <c r="BY32">
        <v>1200</v>
      </c>
      <c r="BZ32">
        <v>1200</v>
      </c>
      <c r="CA32">
        <v>1200</v>
      </c>
      <c r="CB32">
        <v>3600</v>
      </c>
      <c r="CC32">
        <v>0</v>
      </c>
      <c r="CD32">
        <v>0</v>
      </c>
      <c r="CE32">
        <v>0</v>
      </c>
      <c r="CF32">
        <v>0</v>
      </c>
      <c r="CG32">
        <v>39515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1700</v>
      </c>
      <c r="CU32">
        <v>1700</v>
      </c>
      <c r="CV32">
        <v>1700</v>
      </c>
      <c r="CW32">
        <v>5100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5100</v>
      </c>
      <c r="EE32">
        <v>0</v>
      </c>
      <c r="EF32">
        <v>0</v>
      </c>
      <c r="EG32">
        <v>0</v>
      </c>
      <c r="EH32">
        <v>0</v>
      </c>
      <c r="EI32">
        <v>1154</v>
      </c>
      <c r="EJ32">
        <v>1154</v>
      </c>
      <c r="EK32">
        <v>1155</v>
      </c>
      <c r="EL32">
        <v>3500</v>
      </c>
      <c r="EM32">
        <v>37.065000000000005</v>
      </c>
      <c r="EN32">
        <v>660</v>
      </c>
      <c r="EO32">
        <v>660</v>
      </c>
      <c r="EP32">
        <v>660</v>
      </c>
      <c r="EQ32">
        <v>2000</v>
      </c>
      <c r="ER32">
        <v>21.18</v>
      </c>
      <c r="ES32">
        <v>0</v>
      </c>
      <c r="ET32">
        <v>0</v>
      </c>
      <c r="EU32">
        <v>0</v>
      </c>
      <c r="EV32">
        <v>0</v>
      </c>
      <c r="EW32">
        <v>0</v>
      </c>
      <c r="FA32">
        <v>0</v>
      </c>
      <c r="FE32">
        <v>0</v>
      </c>
      <c r="FI32">
        <v>0</v>
      </c>
      <c r="FJ32">
        <v>5441.7550000000001</v>
      </c>
      <c r="FK32">
        <v>34415</v>
      </c>
      <c r="FL32">
        <v>30254.840023390832</v>
      </c>
      <c r="FM32">
        <v>28973.244999999999</v>
      </c>
    </row>
    <row r="33" spans="1:169" x14ac:dyDescent="0.35">
      <c r="A33">
        <v>194313</v>
      </c>
      <c r="B33" t="s">
        <v>1902</v>
      </c>
      <c r="C33" t="s">
        <v>1903</v>
      </c>
      <c r="D33" t="s">
        <v>1904</v>
      </c>
      <c r="E33" s="43" t="s">
        <v>1905</v>
      </c>
      <c r="F33">
        <v>1</v>
      </c>
      <c r="I33">
        <v>43804</v>
      </c>
      <c r="J33" t="s">
        <v>4242</v>
      </c>
      <c r="K33" t="s">
        <v>1715</v>
      </c>
      <c r="L33" s="43" t="s">
        <v>259</v>
      </c>
      <c r="M33" t="s">
        <v>1906</v>
      </c>
      <c r="N33" s="43" t="s">
        <v>1907</v>
      </c>
      <c r="O33" s="43" t="s">
        <v>1908</v>
      </c>
      <c r="P33" s="43" t="s">
        <v>542</v>
      </c>
      <c r="Q33" s="43" t="s">
        <v>1909</v>
      </c>
      <c r="R33">
        <v>3.56</v>
      </c>
      <c r="S33">
        <v>44109</v>
      </c>
      <c r="T33" t="s">
        <v>544</v>
      </c>
      <c r="U33" t="s">
        <v>266</v>
      </c>
      <c r="V33" t="s">
        <v>267</v>
      </c>
      <c r="W33" t="s">
        <v>1718</v>
      </c>
      <c r="X33" t="s">
        <v>1719</v>
      </c>
      <c r="Y33">
        <v>8772802835</v>
      </c>
      <c r="Z33" t="s">
        <v>270</v>
      </c>
      <c r="AA33" t="s">
        <v>271</v>
      </c>
      <c r="AB33">
        <v>29</v>
      </c>
      <c r="AC33">
        <v>0</v>
      </c>
      <c r="AD33">
        <v>122</v>
      </c>
      <c r="AE33" t="s">
        <v>301</v>
      </c>
      <c r="AF33">
        <v>1</v>
      </c>
      <c r="AG33" t="s">
        <v>275</v>
      </c>
      <c r="AK33" s="43" t="s">
        <v>259</v>
      </c>
      <c r="AL33" s="43" t="s">
        <v>259</v>
      </c>
      <c r="AO33" s="23"/>
      <c r="AP33" s="23"/>
      <c r="AQ33" s="23"/>
      <c r="BC33" t="s">
        <v>259</v>
      </c>
      <c r="BD33" s="43" t="s">
        <v>259</v>
      </c>
      <c r="BE33" s="43" t="s">
        <v>259</v>
      </c>
      <c r="BF33" s="43" t="s">
        <v>259</v>
      </c>
      <c r="BG33" s="43" t="s">
        <v>259</v>
      </c>
      <c r="BH33" t="s">
        <v>259</v>
      </c>
      <c r="BI33" s="43" t="s">
        <v>259</v>
      </c>
      <c r="BJ33">
        <v>0</v>
      </c>
      <c r="BK33">
        <v>44109</v>
      </c>
      <c r="BL33">
        <v>44356</v>
      </c>
      <c r="BM33">
        <v>8505</v>
      </c>
      <c r="BN33">
        <v>8505</v>
      </c>
      <c r="BO33">
        <v>8505</v>
      </c>
      <c r="BP33">
        <v>25515</v>
      </c>
      <c r="BQ33">
        <v>3300</v>
      </c>
      <c r="BR33">
        <v>400</v>
      </c>
      <c r="BS33">
        <v>400</v>
      </c>
      <c r="BT33">
        <v>4100</v>
      </c>
      <c r="BU33">
        <v>2100</v>
      </c>
      <c r="BV33">
        <v>2100</v>
      </c>
      <c r="BW33">
        <v>2100</v>
      </c>
      <c r="BX33">
        <v>6300</v>
      </c>
      <c r="BY33">
        <v>1200</v>
      </c>
      <c r="BZ33">
        <v>1200</v>
      </c>
      <c r="CA33">
        <v>1200</v>
      </c>
      <c r="CB33">
        <v>3600</v>
      </c>
      <c r="CC33">
        <v>0</v>
      </c>
      <c r="CD33">
        <v>0</v>
      </c>
      <c r="CE33">
        <v>0</v>
      </c>
      <c r="CF33">
        <v>0</v>
      </c>
      <c r="CG33">
        <v>39515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1700</v>
      </c>
      <c r="CU33">
        <v>1700</v>
      </c>
      <c r="CV33">
        <v>1700</v>
      </c>
      <c r="CW33">
        <v>5100</v>
      </c>
      <c r="CX33">
        <v>3000</v>
      </c>
      <c r="CY33">
        <v>3000</v>
      </c>
      <c r="CZ33">
        <v>3000</v>
      </c>
      <c r="DA33">
        <v>9000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14100</v>
      </c>
      <c r="EE33">
        <v>0</v>
      </c>
      <c r="EF33">
        <v>0</v>
      </c>
      <c r="EG33">
        <v>0</v>
      </c>
      <c r="EH33">
        <v>0</v>
      </c>
      <c r="EI33">
        <v>1154</v>
      </c>
      <c r="EJ33">
        <v>1154</v>
      </c>
      <c r="EK33">
        <v>1155</v>
      </c>
      <c r="EL33">
        <v>3500</v>
      </c>
      <c r="EM33">
        <v>37.065000000000005</v>
      </c>
      <c r="EN33">
        <v>660</v>
      </c>
      <c r="EO33">
        <v>660</v>
      </c>
      <c r="EP33">
        <v>660</v>
      </c>
      <c r="EQ33">
        <v>2000</v>
      </c>
      <c r="ER33">
        <v>21.18</v>
      </c>
      <c r="ES33">
        <v>0</v>
      </c>
      <c r="ET33">
        <v>0</v>
      </c>
      <c r="EU33">
        <v>0</v>
      </c>
      <c r="EV33">
        <v>0</v>
      </c>
      <c r="EW33">
        <v>0</v>
      </c>
      <c r="FA33">
        <v>0</v>
      </c>
      <c r="FE33">
        <v>0</v>
      </c>
      <c r="FI33">
        <v>0</v>
      </c>
      <c r="FJ33">
        <v>5441.7550000000001</v>
      </c>
      <c r="FK33">
        <v>25415</v>
      </c>
      <c r="FL33">
        <v>20856.736351865002</v>
      </c>
      <c r="FM33">
        <v>19973.244999999999</v>
      </c>
    </row>
    <row r="34" spans="1:169" x14ac:dyDescent="0.35">
      <c r="A34">
        <v>193925</v>
      </c>
      <c r="B34" t="s">
        <v>1910</v>
      </c>
      <c r="C34" t="s">
        <v>1911</v>
      </c>
      <c r="D34" t="s">
        <v>1912</v>
      </c>
      <c r="E34" s="43" t="s">
        <v>1913</v>
      </c>
      <c r="F34">
        <v>1</v>
      </c>
      <c r="I34">
        <v>43775</v>
      </c>
      <c r="J34" t="s">
        <v>3305</v>
      </c>
      <c r="K34" t="s">
        <v>1715</v>
      </c>
      <c r="L34" s="43" t="s">
        <v>3204</v>
      </c>
      <c r="M34" t="s">
        <v>1914</v>
      </c>
      <c r="N34" s="43" t="s">
        <v>1915</v>
      </c>
      <c r="O34" s="43" t="s">
        <v>1916</v>
      </c>
      <c r="P34" s="43" t="s">
        <v>735</v>
      </c>
      <c r="Q34" s="43" t="s">
        <v>1917</v>
      </c>
      <c r="R34">
        <v>4</v>
      </c>
      <c r="S34">
        <v>44109</v>
      </c>
      <c r="T34" t="s">
        <v>265</v>
      </c>
      <c r="U34" t="s">
        <v>286</v>
      </c>
      <c r="V34" t="s">
        <v>267</v>
      </c>
      <c r="W34" t="s">
        <v>1718</v>
      </c>
      <c r="X34" t="s">
        <v>1719</v>
      </c>
      <c r="Y34">
        <v>8772802835</v>
      </c>
      <c r="Z34" t="s">
        <v>270</v>
      </c>
      <c r="AA34" t="s">
        <v>271</v>
      </c>
      <c r="AB34">
        <v>0</v>
      </c>
      <c r="AC34">
        <v>0</v>
      </c>
      <c r="AD34">
        <v>0</v>
      </c>
      <c r="AE34" t="s">
        <v>301</v>
      </c>
      <c r="AF34">
        <v>1</v>
      </c>
      <c r="AG34" t="s">
        <v>275</v>
      </c>
      <c r="AH34">
        <v>0</v>
      </c>
      <c r="AI34">
        <v>0</v>
      </c>
      <c r="AJ34">
        <v>43783</v>
      </c>
      <c r="AK34" s="43" t="s">
        <v>3208</v>
      </c>
      <c r="AL34" s="43" t="s">
        <v>3209</v>
      </c>
      <c r="AO34" s="23"/>
      <c r="AP34" s="23"/>
      <c r="AQ34" s="23"/>
      <c r="BC34" t="s">
        <v>2018</v>
      </c>
      <c r="BD34" s="43" t="s">
        <v>2018</v>
      </c>
      <c r="BE34" s="43" t="s">
        <v>2018</v>
      </c>
      <c r="BF34" s="43" t="s">
        <v>2018</v>
      </c>
      <c r="BG34" s="43" t="s">
        <v>2018</v>
      </c>
      <c r="BH34" t="s">
        <v>2018</v>
      </c>
      <c r="BI34" s="43" t="s">
        <v>2018</v>
      </c>
      <c r="BJ34">
        <v>0</v>
      </c>
      <c r="BK34">
        <v>44109</v>
      </c>
      <c r="BL34">
        <v>44356</v>
      </c>
      <c r="BM34">
        <v>8505</v>
      </c>
      <c r="BN34">
        <v>8505</v>
      </c>
      <c r="BO34">
        <v>8505</v>
      </c>
      <c r="BP34">
        <v>25515</v>
      </c>
      <c r="BQ34">
        <v>3300</v>
      </c>
      <c r="BR34">
        <v>400</v>
      </c>
      <c r="BS34">
        <v>400</v>
      </c>
      <c r="BT34">
        <v>4100</v>
      </c>
      <c r="BU34">
        <v>2100</v>
      </c>
      <c r="BV34">
        <v>2100</v>
      </c>
      <c r="BW34">
        <v>2100</v>
      </c>
      <c r="BX34">
        <v>6300</v>
      </c>
      <c r="BY34">
        <v>1200</v>
      </c>
      <c r="BZ34">
        <v>1200</v>
      </c>
      <c r="CA34">
        <v>1200</v>
      </c>
      <c r="CB34">
        <v>3600</v>
      </c>
      <c r="CC34">
        <v>0</v>
      </c>
      <c r="CD34">
        <v>0</v>
      </c>
      <c r="CE34">
        <v>0</v>
      </c>
      <c r="CF34">
        <v>0</v>
      </c>
      <c r="CG34">
        <v>39515</v>
      </c>
      <c r="CH34">
        <v>0</v>
      </c>
      <c r="CI34">
        <v>0</v>
      </c>
      <c r="CJ34">
        <v>0</v>
      </c>
      <c r="CK34">
        <v>0</v>
      </c>
      <c r="CL34">
        <v>2065</v>
      </c>
      <c r="CM34">
        <v>2065</v>
      </c>
      <c r="CN34">
        <v>2065</v>
      </c>
      <c r="CO34">
        <v>6195</v>
      </c>
      <c r="CP34">
        <v>500</v>
      </c>
      <c r="CQ34">
        <v>500</v>
      </c>
      <c r="CR34">
        <v>500</v>
      </c>
      <c r="CS34">
        <v>1500</v>
      </c>
      <c r="CT34">
        <v>1700</v>
      </c>
      <c r="CU34">
        <v>1700</v>
      </c>
      <c r="CV34">
        <v>1700</v>
      </c>
      <c r="CW34">
        <v>5100</v>
      </c>
      <c r="CX34">
        <v>0</v>
      </c>
      <c r="CY34">
        <v>0</v>
      </c>
      <c r="CZ34">
        <v>0</v>
      </c>
      <c r="DA34">
        <v>0</v>
      </c>
      <c r="DB34">
        <v>1000</v>
      </c>
      <c r="DC34">
        <v>1000</v>
      </c>
      <c r="DD34">
        <v>1000</v>
      </c>
      <c r="DE34">
        <v>3000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15795</v>
      </c>
      <c r="EE34">
        <v>0</v>
      </c>
      <c r="EF34">
        <v>0</v>
      </c>
      <c r="EG34">
        <v>0</v>
      </c>
      <c r="EH34">
        <v>0</v>
      </c>
      <c r="EI34">
        <v>1154</v>
      </c>
      <c r="EJ34">
        <v>1154</v>
      </c>
      <c r="EK34">
        <v>1155</v>
      </c>
      <c r="EL34">
        <v>3500</v>
      </c>
      <c r="EM34">
        <v>37.065000000000005</v>
      </c>
      <c r="EN34">
        <v>660</v>
      </c>
      <c r="EO34">
        <v>660</v>
      </c>
      <c r="EP34">
        <v>660</v>
      </c>
      <c r="EQ34">
        <v>2000</v>
      </c>
      <c r="ER34">
        <v>21.18</v>
      </c>
      <c r="ES34">
        <v>0</v>
      </c>
      <c r="ET34">
        <v>0</v>
      </c>
      <c r="EU34">
        <v>0</v>
      </c>
      <c r="EV34">
        <v>0</v>
      </c>
      <c r="EW34">
        <v>0</v>
      </c>
      <c r="FA34">
        <v>0</v>
      </c>
      <c r="FE34">
        <v>0</v>
      </c>
      <c r="FI34">
        <v>0</v>
      </c>
      <c r="FJ34">
        <v>5441.7550000000001</v>
      </c>
      <c r="FK34">
        <v>23720</v>
      </c>
      <c r="FL34">
        <v>19086.7601603943</v>
      </c>
      <c r="FM34">
        <v>18278.244999999999</v>
      </c>
    </row>
    <row r="35" spans="1:169" x14ac:dyDescent="0.35">
      <c r="A35">
        <v>194132</v>
      </c>
      <c r="B35" t="s">
        <v>1918</v>
      </c>
      <c r="C35" t="s">
        <v>1193</v>
      </c>
      <c r="D35" t="s">
        <v>1919</v>
      </c>
      <c r="E35" s="43" t="s">
        <v>1920</v>
      </c>
      <c r="F35">
        <v>1</v>
      </c>
      <c r="I35">
        <v>43804</v>
      </c>
      <c r="J35" t="s">
        <v>4242</v>
      </c>
      <c r="K35" t="s">
        <v>1715</v>
      </c>
      <c r="L35" s="43" t="s">
        <v>259</v>
      </c>
      <c r="M35" t="s">
        <v>1921</v>
      </c>
      <c r="N35" s="43" t="s">
        <v>1922</v>
      </c>
      <c r="O35" s="43" t="s">
        <v>1923</v>
      </c>
      <c r="P35" s="43" t="s">
        <v>342</v>
      </c>
      <c r="Q35" s="43" t="s">
        <v>1924</v>
      </c>
      <c r="R35">
        <v>3.81</v>
      </c>
      <c r="S35">
        <v>44109</v>
      </c>
      <c r="T35" t="s">
        <v>311</v>
      </c>
      <c r="U35" t="s">
        <v>266</v>
      </c>
      <c r="V35" t="s">
        <v>267</v>
      </c>
      <c r="W35" t="s">
        <v>1718</v>
      </c>
      <c r="X35" t="s">
        <v>1719</v>
      </c>
      <c r="Y35">
        <v>8772802835</v>
      </c>
      <c r="Z35" t="s">
        <v>270</v>
      </c>
      <c r="AA35" t="s">
        <v>271</v>
      </c>
      <c r="AB35">
        <v>0</v>
      </c>
      <c r="AC35">
        <v>0</v>
      </c>
      <c r="AD35">
        <v>0</v>
      </c>
      <c r="AE35" t="s">
        <v>445</v>
      </c>
      <c r="AF35">
        <v>4</v>
      </c>
      <c r="AG35" t="s">
        <v>275</v>
      </c>
      <c r="AK35" s="43" t="s">
        <v>259</v>
      </c>
      <c r="AL35" s="43" t="s">
        <v>259</v>
      </c>
      <c r="AO35" s="23"/>
      <c r="AP35" s="23"/>
      <c r="AQ35" s="23"/>
      <c r="BC35" t="s">
        <v>259</v>
      </c>
      <c r="BD35" s="43" t="s">
        <v>259</v>
      </c>
      <c r="BE35" s="43" t="s">
        <v>259</v>
      </c>
      <c r="BF35" s="43" t="s">
        <v>259</v>
      </c>
      <c r="BG35" s="43" t="s">
        <v>259</v>
      </c>
      <c r="BH35" t="s">
        <v>259</v>
      </c>
      <c r="BI35" s="43" t="s">
        <v>259</v>
      </c>
      <c r="BJ35">
        <v>0</v>
      </c>
      <c r="BK35">
        <v>44109</v>
      </c>
      <c r="BL35">
        <v>44356</v>
      </c>
      <c r="BM35">
        <v>8505</v>
      </c>
      <c r="BN35">
        <v>8505</v>
      </c>
      <c r="BO35">
        <v>8505</v>
      </c>
      <c r="BP35">
        <v>25515</v>
      </c>
      <c r="BQ35">
        <v>3300</v>
      </c>
      <c r="BR35">
        <v>400</v>
      </c>
      <c r="BS35">
        <v>400</v>
      </c>
      <c r="BT35">
        <v>4100</v>
      </c>
      <c r="BU35">
        <v>2100</v>
      </c>
      <c r="BV35">
        <v>2100</v>
      </c>
      <c r="BW35">
        <v>2100</v>
      </c>
      <c r="BX35">
        <v>6300</v>
      </c>
      <c r="BY35">
        <v>1200</v>
      </c>
      <c r="BZ35">
        <v>1200</v>
      </c>
      <c r="CA35">
        <v>1200</v>
      </c>
      <c r="CB35">
        <v>3600</v>
      </c>
      <c r="CC35">
        <v>0</v>
      </c>
      <c r="CD35">
        <v>0</v>
      </c>
      <c r="CE35">
        <v>0</v>
      </c>
      <c r="CF35">
        <v>0</v>
      </c>
      <c r="CG35">
        <v>39515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1250</v>
      </c>
      <c r="CU35">
        <v>1250</v>
      </c>
      <c r="CV35">
        <v>1250</v>
      </c>
      <c r="CW35">
        <v>3750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3750</v>
      </c>
      <c r="EE35">
        <v>0</v>
      </c>
      <c r="EF35">
        <v>0</v>
      </c>
      <c r="EG35">
        <v>0</v>
      </c>
      <c r="EH35">
        <v>0</v>
      </c>
      <c r="EI35">
        <v>1154</v>
      </c>
      <c r="EJ35">
        <v>1154</v>
      </c>
      <c r="EK35">
        <v>1155</v>
      </c>
      <c r="EL35">
        <v>3500</v>
      </c>
      <c r="EM35">
        <v>37.065000000000005</v>
      </c>
      <c r="EN35">
        <v>660</v>
      </c>
      <c r="EO35">
        <v>660</v>
      </c>
      <c r="EP35">
        <v>660</v>
      </c>
      <c r="EQ35">
        <v>2000</v>
      </c>
      <c r="ER35">
        <v>21.18</v>
      </c>
      <c r="ES35">
        <v>0</v>
      </c>
      <c r="ET35">
        <v>0</v>
      </c>
      <c r="EU35">
        <v>0</v>
      </c>
      <c r="EV35">
        <v>0</v>
      </c>
      <c r="EW35">
        <v>0</v>
      </c>
      <c r="FA35">
        <v>0</v>
      </c>
      <c r="FE35">
        <v>0</v>
      </c>
      <c r="FI35">
        <v>0</v>
      </c>
      <c r="FJ35">
        <v>5441.7550000000001</v>
      </c>
      <c r="FK35">
        <v>35765</v>
      </c>
      <c r="FL35">
        <v>31664.555574119709</v>
      </c>
      <c r="FM35">
        <v>30323.244999999999</v>
      </c>
    </row>
    <row r="36" spans="1:169" x14ac:dyDescent="0.35">
      <c r="A36">
        <v>195208</v>
      </c>
      <c r="B36" t="s">
        <v>3631</v>
      </c>
      <c r="C36" t="s">
        <v>3632</v>
      </c>
      <c r="D36" t="s">
        <v>3633</v>
      </c>
      <c r="E36" s="43" t="s">
        <v>3634</v>
      </c>
      <c r="F36">
        <v>1</v>
      </c>
      <c r="I36">
        <v>43803</v>
      </c>
      <c r="J36" t="s">
        <v>3304</v>
      </c>
      <c r="K36" t="s">
        <v>1715</v>
      </c>
      <c r="L36" s="43" t="s">
        <v>259</v>
      </c>
      <c r="M36" t="s">
        <v>3635</v>
      </c>
      <c r="N36" s="43" t="s">
        <v>3636</v>
      </c>
      <c r="O36" s="43" t="s">
        <v>3637</v>
      </c>
      <c r="P36" s="43" t="s">
        <v>911</v>
      </c>
      <c r="Q36" s="43" t="s">
        <v>3638</v>
      </c>
      <c r="S36">
        <v>44109</v>
      </c>
      <c r="T36" t="s">
        <v>265</v>
      </c>
      <c r="U36" t="s">
        <v>286</v>
      </c>
      <c r="V36" t="s">
        <v>267</v>
      </c>
      <c r="W36" t="s">
        <v>1718</v>
      </c>
      <c r="X36" t="s">
        <v>1719</v>
      </c>
      <c r="Y36">
        <v>8772802835</v>
      </c>
      <c r="Z36" t="s">
        <v>270</v>
      </c>
      <c r="AA36" t="s">
        <v>271</v>
      </c>
      <c r="AB36">
        <v>0</v>
      </c>
      <c r="AC36">
        <v>1090</v>
      </c>
      <c r="AD36">
        <v>101</v>
      </c>
      <c r="AE36" t="s">
        <v>416</v>
      </c>
      <c r="AF36">
        <v>5</v>
      </c>
      <c r="AG36" t="s">
        <v>3345</v>
      </c>
      <c r="AK36" s="43" t="s">
        <v>259</v>
      </c>
      <c r="AL36" s="43" t="s">
        <v>259</v>
      </c>
      <c r="AO36" s="23"/>
      <c r="AP36" s="23"/>
      <c r="AQ36" s="23"/>
      <c r="BC36" t="s">
        <v>259</v>
      </c>
      <c r="BD36" s="43" t="s">
        <v>259</v>
      </c>
      <c r="BE36" s="43" t="s">
        <v>259</v>
      </c>
      <c r="BF36" s="43" t="s">
        <v>259</v>
      </c>
      <c r="BG36" s="43" t="s">
        <v>259</v>
      </c>
      <c r="BH36" t="s">
        <v>259</v>
      </c>
      <c r="BI36" s="43" t="s">
        <v>259</v>
      </c>
      <c r="BJ36">
        <v>0</v>
      </c>
      <c r="BK36">
        <v>44109</v>
      </c>
      <c r="BL36">
        <v>44356</v>
      </c>
      <c r="BM36">
        <v>8505</v>
      </c>
      <c r="BN36">
        <v>8505</v>
      </c>
      <c r="BO36">
        <v>8505</v>
      </c>
      <c r="BP36">
        <v>25515</v>
      </c>
      <c r="BQ36">
        <v>3300</v>
      </c>
      <c r="BR36">
        <v>400</v>
      </c>
      <c r="BS36">
        <v>400</v>
      </c>
      <c r="BT36">
        <v>4100</v>
      </c>
      <c r="BU36">
        <v>2100</v>
      </c>
      <c r="BV36">
        <v>2100</v>
      </c>
      <c r="BW36">
        <v>2100</v>
      </c>
      <c r="BX36">
        <v>6300</v>
      </c>
      <c r="BY36">
        <v>1200</v>
      </c>
      <c r="BZ36">
        <v>1200</v>
      </c>
      <c r="CA36">
        <v>1200</v>
      </c>
      <c r="CB36">
        <v>3600</v>
      </c>
      <c r="CC36">
        <v>0</v>
      </c>
      <c r="CD36">
        <v>0</v>
      </c>
      <c r="CE36">
        <v>0</v>
      </c>
      <c r="CF36">
        <v>0</v>
      </c>
      <c r="CG36">
        <v>39515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1000</v>
      </c>
      <c r="CU36">
        <v>1000</v>
      </c>
      <c r="CV36">
        <v>1000</v>
      </c>
      <c r="CW36">
        <v>3000</v>
      </c>
      <c r="CX36">
        <v>0</v>
      </c>
      <c r="CY36">
        <v>0</v>
      </c>
      <c r="CZ36">
        <v>0</v>
      </c>
      <c r="DA36">
        <v>0</v>
      </c>
      <c r="DB36">
        <v>1000</v>
      </c>
      <c r="DC36">
        <v>1000</v>
      </c>
      <c r="DD36">
        <v>1000</v>
      </c>
      <c r="DE36">
        <v>3000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6000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M36">
        <v>0</v>
      </c>
      <c r="EN36">
        <v>660</v>
      </c>
      <c r="EO36">
        <v>660</v>
      </c>
      <c r="EP36">
        <v>660</v>
      </c>
      <c r="EQ36">
        <v>2000</v>
      </c>
      <c r="ER36">
        <v>21.18</v>
      </c>
      <c r="ES36">
        <v>0</v>
      </c>
      <c r="ET36">
        <v>0</v>
      </c>
      <c r="EU36">
        <v>0</v>
      </c>
      <c r="EW36">
        <v>0</v>
      </c>
      <c r="FA36">
        <v>0</v>
      </c>
      <c r="FE36">
        <v>0</v>
      </c>
      <c r="FI36">
        <v>0</v>
      </c>
      <c r="FJ36">
        <v>1978.82</v>
      </c>
      <c r="FK36">
        <v>33515</v>
      </c>
      <c r="FL36">
        <v>32931.14322709995</v>
      </c>
      <c r="FM36">
        <v>31536.18</v>
      </c>
    </row>
    <row r="37" spans="1:169" x14ac:dyDescent="0.35">
      <c r="A37">
        <v>195923</v>
      </c>
      <c r="B37" t="s">
        <v>1925</v>
      </c>
      <c r="C37" t="s">
        <v>547</v>
      </c>
      <c r="D37" t="s">
        <v>3973</v>
      </c>
      <c r="E37" s="43" t="s">
        <v>3974</v>
      </c>
      <c r="F37">
        <v>1</v>
      </c>
      <c r="I37">
        <v>43802</v>
      </c>
      <c r="J37" t="s">
        <v>3305</v>
      </c>
      <c r="K37" t="s">
        <v>1715</v>
      </c>
      <c r="L37" s="43" t="s">
        <v>3204</v>
      </c>
      <c r="M37" t="s">
        <v>3975</v>
      </c>
      <c r="N37" s="43" t="s">
        <v>3976</v>
      </c>
      <c r="O37" s="43" t="s">
        <v>3977</v>
      </c>
      <c r="P37" s="43" t="s">
        <v>2279</v>
      </c>
      <c r="Q37" s="43" t="s">
        <v>3978</v>
      </c>
      <c r="S37">
        <v>44109</v>
      </c>
      <c r="T37" t="s">
        <v>285</v>
      </c>
      <c r="U37" t="s">
        <v>266</v>
      </c>
      <c r="V37" t="s">
        <v>1028</v>
      </c>
      <c r="W37" t="s">
        <v>1718</v>
      </c>
      <c r="X37" t="s">
        <v>1719</v>
      </c>
      <c r="Y37">
        <v>8772802835</v>
      </c>
      <c r="Z37" t="s">
        <v>270</v>
      </c>
      <c r="AA37" t="s">
        <v>271</v>
      </c>
      <c r="AB37">
        <v>0</v>
      </c>
      <c r="AC37">
        <v>0</v>
      </c>
      <c r="AD37">
        <v>0</v>
      </c>
      <c r="AE37" t="s">
        <v>445</v>
      </c>
      <c r="AF37">
        <v>4</v>
      </c>
      <c r="AG37" t="s">
        <v>3345</v>
      </c>
      <c r="AH37">
        <v>5308</v>
      </c>
      <c r="AI37">
        <v>5308</v>
      </c>
      <c r="AJ37">
        <v>43774</v>
      </c>
      <c r="AK37" s="43" t="s">
        <v>1715</v>
      </c>
      <c r="AL37" s="43" t="s">
        <v>259</v>
      </c>
      <c r="AO37" s="23"/>
      <c r="AP37" s="23"/>
      <c r="AQ37" s="23"/>
      <c r="BC37" t="s">
        <v>259</v>
      </c>
      <c r="BD37" s="43" t="s">
        <v>259</v>
      </c>
      <c r="BE37" s="43" t="s">
        <v>259</v>
      </c>
      <c r="BF37" s="43" t="s">
        <v>259</v>
      </c>
      <c r="BG37" s="43" t="s">
        <v>259</v>
      </c>
      <c r="BH37" t="s">
        <v>259</v>
      </c>
      <c r="BI37" s="43" t="s">
        <v>259</v>
      </c>
      <c r="BJ37">
        <v>0</v>
      </c>
      <c r="BK37">
        <v>44109</v>
      </c>
      <c r="BL37">
        <v>44356</v>
      </c>
      <c r="BM37">
        <v>8505</v>
      </c>
      <c r="BN37">
        <v>8505</v>
      </c>
      <c r="BO37">
        <v>8505</v>
      </c>
      <c r="BP37">
        <v>25515</v>
      </c>
      <c r="BQ37">
        <v>3300</v>
      </c>
      <c r="BR37">
        <v>400</v>
      </c>
      <c r="BS37">
        <v>400</v>
      </c>
      <c r="BT37">
        <v>4100</v>
      </c>
      <c r="BU37">
        <v>2100</v>
      </c>
      <c r="BV37">
        <v>2100</v>
      </c>
      <c r="BW37">
        <v>2100</v>
      </c>
      <c r="BX37">
        <v>6300</v>
      </c>
      <c r="BY37">
        <v>1200</v>
      </c>
      <c r="BZ37">
        <v>1200</v>
      </c>
      <c r="CA37">
        <v>1200</v>
      </c>
      <c r="CB37">
        <v>3600</v>
      </c>
      <c r="CC37">
        <v>0</v>
      </c>
      <c r="CD37">
        <v>0</v>
      </c>
      <c r="CE37">
        <v>0</v>
      </c>
      <c r="CF37">
        <v>0</v>
      </c>
      <c r="CG37">
        <v>39515</v>
      </c>
      <c r="CH37">
        <v>0</v>
      </c>
      <c r="CI37">
        <v>0</v>
      </c>
      <c r="CJ37">
        <v>0</v>
      </c>
      <c r="CK37">
        <v>0</v>
      </c>
      <c r="CL37">
        <v>282</v>
      </c>
      <c r="CM37">
        <v>282</v>
      </c>
      <c r="CN37">
        <v>281</v>
      </c>
      <c r="CO37">
        <v>845</v>
      </c>
      <c r="CP37">
        <v>500</v>
      </c>
      <c r="CQ37">
        <v>500</v>
      </c>
      <c r="CR37">
        <v>500</v>
      </c>
      <c r="CS37">
        <v>1500</v>
      </c>
      <c r="CT37">
        <v>1250</v>
      </c>
      <c r="CU37">
        <v>1250</v>
      </c>
      <c r="CV37">
        <v>1250</v>
      </c>
      <c r="CW37">
        <v>3750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6095</v>
      </c>
      <c r="EE37">
        <v>0</v>
      </c>
      <c r="EF37">
        <v>0</v>
      </c>
      <c r="EG37">
        <v>0</v>
      </c>
      <c r="EH37">
        <v>0</v>
      </c>
      <c r="EI37">
        <v>1154</v>
      </c>
      <c r="EJ37">
        <v>1154</v>
      </c>
      <c r="EK37">
        <v>1155</v>
      </c>
      <c r="EL37">
        <v>3500</v>
      </c>
      <c r="EM37">
        <v>37.065000000000005</v>
      </c>
      <c r="EN37">
        <v>660</v>
      </c>
      <c r="EO37">
        <v>660</v>
      </c>
      <c r="EP37">
        <v>660</v>
      </c>
      <c r="EQ37">
        <v>2000</v>
      </c>
      <c r="ER37">
        <v>21.18</v>
      </c>
      <c r="ES37">
        <v>0</v>
      </c>
      <c r="ET37">
        <v>0</v>
      </c>
      <c r="EU37">
        <v>0</v>
      </c>
      <c r="EV37">
        <v>0</v>
      </c>
      <c r="EW37">
        <v>0</v>
      </c>
      <c r="FA37">
        <v>0</v>
      </c>
      <c r="FE37">
        <v>0</v>
      </c>
      <c r="FI37">
        <v>0</v>
      </c>
      <c r="FJ37">
        <v>5441.7550000000001</v>
      </c>
      <c r="FK37">
        <v>33420</v>
      </c>
      <c r="FL37">
        <v>29215.827450816589</v>
      </c>
      <c r="FM37">
        <v>27978.244999999999</v>
      </c>
    </row>
    <row r="38" spans="1:169" x14ac:dyDescent="0.35">
      <c r="A38">
        <v>194388</v>
      </c>
      <c r="B38" t="s">
        <v>1925</v>
      </c>
      <c r="C38" t="s">
        <v>1926</v>
      </c>
      <c r="D38" t="s">
        <v>1927</v>
      </c>
      <c r="E38" s="43" t="s">
        <v>1928</v>
      </c>
      <c r="F38">
        <v>1</v>
      </c>
      <c r="I38">
        <v>43802</v>
      </c>
      <c r="J38" t="s">
        <v>3304</v>
      </c>
      <c r="K38" t="s">
        <v>1715</v>
      </c>
      <c r="L38" s="43" t="s">
        <v>3204</v>
      </c>
      <c r="M38" t="s">
        <v>1929</v>
      </c>
      <c r="N38" s="43" t="s">
        <v>1930</v>
      </c>
      <c r="O38" s="43" t="s">
        <v>1931</v>
      </c>
      <c r="P38" s="43" t="s">
        <v>735</v>
      </c>
      <c r="Q38" s="43" t="s">
        <v>1932</v>
      </c>
      <c r="R38">
        <v>3.6</v>
      </c>
      <c r="S38">
        <v>44109</v>
      </c>
      <c r="T38" t="s">
        <v>311</v>
      </c>
      <c r="U38" t="s">
        <v>286</v>
      </c>
      <c r="V38" t="s">
        <v>267</v>
      </c>
      <c r="W38" t="s">
        <v>1718</v>
      </c>
      <c r="X38" t="s">
        <v>1719</v>
      </c>
      <c r="Y38">
        <v>8772802835</v>
      </c>
      <c r="Z38" t="s">
        <v>270</v>
      </c>
      <c r="AA38" t="s">
        <v>271</v>
      </c>
      <c r="AB38">
        <v>21</v>
      </c>
      <c r="AC38">
        <v>960</v>
      </c>
      <c r="AD38">
        <v>108</v>
      </c>
      <c r="AE38" t="s">
        <v>289</v>
      </c>
      <c r="AF38">
        <v>2</v>
      </c>
      <c r="AG38" t="s">
        <v>275</v>
      </c>
      <c r="AH38">
        <v>13027</v>
      </c>
      <c r="AI38">
        <v>13027</v>
      </c>
      <c r="AJ38">
        <v>43776</v>
      </c>
      <c r="AK38" s="43" t="s">
        <v>3208</v>
      </c>
      <c r="AL38" s="43" t="s">
        <v>3209</v>
      </c>
      <c r="AO38" s="23"/>
      <c r="AP38" s="23"/>
      <c r="AQ38" s="23"/>
      <c r="BC38" t="s">
        <v>2018</v>
      </c>
      <c r="BD38" s="43" t="s">
        <v>2018</v>
      </c>
      <c r="BE38" s="43" t="s">
        <v>2018</v>
      </c>
      <c r="BF38" s="43" t="s">
        <v>2018</v>
      </c>
      <c r="BG38" s="43" t="s">
        <v>2018</v>
      </c>
      <c r="BH38" t="s">
        <v>2018</v>
      </c>
      <c r="BI38" s="43" t="s">
        <v>2018</v>
      </c>
      <c r="BJ38">
        <v>0</v>
      </c>
      <c r="BK38">
        <v>44109</v>
      </c>
      <c r="BL38">
        <v>44356</v>
      </c>
      <c r="BM38">
        <v>8505</v>
      </c>
      <c r="BN38">
        <v>8505</v>
      </c>
      <c r="BO38">
        <v>8505</v>
      </c>
      <c r="BP38">
        <v>25515</v>
      </c>
      <c r="BQ38">
        <v>3300</v>
      </c>
      <c r="BR38">
        <v>400</v>
      </c>
      <c r="BS38">
        <v>400</v>
      </c>
      <c r="BT38">
        <v>4100</v>
      </c>
      <c r="BU38">
        <v>2100</v>
      </c>
      <c r="BV38">
        <v>2100</v>
      </c>
      <c r="BW38">
        <v>2100</v>
      </c>
      <c r="BX38">
        <v>6300</v>
      </c>
      <c r="BY38">
        <v>1200</v>
      </c>
      <c r="BZ38">
        <v>1200</v>
      </c>
      <c r="CA38">
        <v>1200</v>
      </c>
      <c r="CB38">
        <v>3600</v>
      </c>
      <c r="CC38">
        <v>0</v>
      </c>
      <c r="CD38">
        <v>0</v>
      </c>
      <c r="CE38">
        <v>0</v>
      </c>
      <c r="CF38">
        <v>0</v>
      </c>
      <c r="CG38">
        <v>39515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1500</v>
      </c>
      <c r="CU38">
        <v>1500</v>
      </c>
      <c r="CV38">
        <v>1500</v>
      </c>
      <c r="CW38">
        <v>4500</v>
      </c>
      <c r="CX38">
        <v>0</v>
      </c>
      <c r="CY38">
        <v>0</v>
      </c>
      <c r="CZ38">
        <v>0</v>
      </c>
      <c r="DA38">
        <v>0</v>
      </c>
      <c r="DB38">
        <v>1000</v>
      </c>
      <c r="DC38">
        <v>1000</v>
      </c>
      <c r="DD38">
        <v>1000</v>
      </c>
      <c r="DE38">
        <v>3000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7500</v>
      </c>
      <c r="EE38">
        <v>0</v>
      </c>
      <c r="EF38">
        <v>0</v>
      </c>
      <c r="EG38">
        <v>0</v>
      </c>
      <c r="EH38">
        <v>0</v>
      </c>
      <c r="EI38">
        <v>1154</v>
      </c>
      <c r="EJ38">
        <v>1154</v>
      </c>
      <c r="EK38">
        <v>1155</v>
      </c>
      <c r="EL38">
        <v>3500</v>
      </c>
      <c r="EM38">
        <v>37.065000000000005</v>
      </c>
      <c r="EN38">
        <v>660</v>
      </c>
      <c r="EO38">
        <v>660</v>
      </c>
      <c r="EP38">
        <v>660</v>
      </c>
      <c r="EQ38">
        <v>2000</v>
      </c>
      <c r="ER38">
        <v>21.18</v>
      </c>
      <c r="ES38">
        <v>0</v>
      </c>
      <c r="ET38">
        <v>0</v>
      </c>
      <c r="EU38">
        <v>0</v>
      </c>
      <c r="EV38">
        <v>0</v>
      </c>
      <c r="EW38">
        <v>0</v>
      </c>
      <c r="FA38">
        <v>0</v>
      </c>
      <c r="FE38">
        <v>0</v>
      </c>
      <c r="FI38">
        <v>0</v>
      </c>
      <c r="FJ38">
        <v>5441.7550000000001</v>
      </c>
      <c r="FK38">
        <v>32015</v>
      </c>
      <c r="FL38">
        <v>27748.679044317276</v>
      </c>
      <c r="FM38">
        <v>26573.244999999999</v>
      </c>
    </row>
    <row r="39" spans="1:169" x14ac:dyDescent="0.35">
      <c r="A39">
        <v>194962</v>
      </c>
      <c r="B39" t="s">
        <v>1933</v>
      </c>
      <c r="C39" t="s">
        <v>1934</v>
      </c>
      <c r="D39" t="s">
        <v>1935</v>
      </c>
      <c r="E39" s="43" t="s">
        <v>1936</v>
      </c>
      <c r="F39">
        <v>1</v>
      </c>
      <c r="G39">
        <v>43781</v>
      </c>
      <c r="H39">
        <v>43781</v>
      </c>
      <c r="I39">
        <v>43781</v>
      </c>
      <c r="J39" t="s">
        <v>3335</v>
      </c>
      <c r="K39" t="s">
        <v>1715</v>
      </c>
      <c r="L39" s="43" t="s">
        <v>3204</v>
      </c>
      <c r="M39" t="s">
        <v>1937</v>
      </c>
      <c r="N39" s="43" t="s">
        <v>1938</v>
      </c>
      <c r="O39" s="43" t="s">
        <v>462</v>
      </c>
      <c r="P39" s="43" t="s">
        <v>342</v>
      </c>
      <c r="Q39" s="43" t="s">
        <v>1939</v>
      </c>
      <c r="R39">
        <v>3.3</v>
      </c>
      <c r="S39">
        <v>44109</v>
      </c>
      <c r="T39" t="s">
        <v>285</v>
      </c>
      <c r="U39" t="s">
        <v>286</v>
      </c>
      <c r="V39" t="s">
        <v>267</v>
      </c>
      <c r="W39" t="s">
        <v>1718</v>
      </c>
      <c r="X39" t="s">
        <v>1719</v>
      </c>
      <c r="Y39">
        <v>8772802835</v>
      </c>
      <c r="Z39" t="s">
        <v>270</v>
      </c>
      <c r="AA39" t="s">
        <v>271</v>
      </c>
      <c r="AB39">
        <v>0</v>
      </c>
      <c r="AC39">
        <v>950</v>
      </c>
      <c r="AD39">
        <v>101</v>
      </c>
      <c r="AE39" t="s">
        <v>416</v>
      </c>
      <c r="AF39">
        <v>5</v>
      </c>
      <c r="AG39" t="s">
        <v>275</v>
      </c>
      <c r="AH39">
        <v>31293</v>
      </c>
      <c r="AI39">
        <v>31293</v>
      </c>
      <c r="AJ39">
        <v>43774</v>
      </c>
      <c r="AK39" s="43" t="s">
        <v>3208</v>
      </c>
      <c r="AL39" s="43" t="s">
        <v>3209</v>
      </c>
      <c r="AO39" s="23"/>
      <c r="AP39" s="23"/>
      <c r="AQ39" s="23"/>
      <c r="BC39" t="s">
        <v>2018</v>
      </c>
      <c r="BD39" s="43" t="s">
        <v>2018</v>
      </c>
      <c r="BE39" s="43" t="s">
        <v>2018</v>
      </c>
      <c r="BF39" s="43" t="s">
        <v>2018</v>
      </c>
      <c r="BG39" s="43" t="s">
        <v>2018</v>
      </c>
      <c r="BH39" t="s">
        <v>2018</v>
      </c>
      <c r="BI39" s="43" t="s">
        <v>2018</v>
      </c>
      <c r="BJ39">
        <v>0</v>
      </c>
      <c r="BK39">
        <v>44109</v>
      </c>
      <c r="BL39">
        <v>44356</v>
      </c>
      <c r="BM39">
        <v>8505</v>
      </c>
      <c r="BN39">
        <v>8505</v>
      </c>
      <c r="BO39">
        <v>8505</v>
      </c>
      <c r="BP39">
        <v>25515</v>
      </c>
      <c r="BQ39">
        <v>3300</v>
      </c>
      <c r="BR39">
        <v>400</v>
      </c>
      <c r="BS39">
        <v>400</v>
      </c>
      <c r="BT39">
        <v>4100</v>
      </c>
      <c r="BU39">
        <v>2100</v>
      </c>
      <c r="BV39">
        <v>2100</v>
      </c>
      <c r="BW39">
        <v>2100</v>
      </c>
      <c r="BX39">
        <v>6300</v>
      </c>
      <c r="BY39">
        <v>1200</v>
      </c>
      <c r="BZ39">
        <v>1200</v>
      </c>
      <c r="CA39">
        <v>1200</v>
      </c>
      <c r="CB39">
        <v>3600</v>
      </c>
      <c r="CC39">
        <v>0</v>
      </c>
      <c r="CD39">
        <v>0</v>
      </c>
      <c r="CE39">
        <v>0</v>
      </c>
      <c r="CF39">
        <v>0</v>
      </c>
      <c r="CG39">
        <v>39515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1000</v>
      </c>
      <c r="CU39">
        <v>1000</v>
      </c>
      <c r="CV39">
        <v>1000</v>
      </c>
      <c r="CW39">
        <v>3000</v>
      </c>
      <c r="CX39">
        <v>0</v>
      </c>
      <c r="CY39">
        <v>0</v>
      </c>
      <c r="CZ39">
        <v>0</v>
      </c>
      <c r="DA39">
        <v>0</v>
      </c>
      <c r="DB39">
        <v>1000</v>
      </c>
      <c r="DC39">
        <v>1000</v>
      </c>
      <c r="DD39">
        <v>1000</v>
      </c>
      <c r="DE39">
        <v>3000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6000</v>
      </c>
      <c r="EE39">
        <v>0</v>
      </c>
      <c r="EF39">
        <v>0</v>
      </c>
      <c r="EG39">
        <v>0</v>
      </c>
      <c r="EH39">
        <v>0</v>
      </c>
      <c r="EI39">
        <v>1154</v>
      </c>
      <c r="EJ39">
        <v>1154</v>
      </c>
      <c r="EK39">
        <v>1155</v>
      </c>
      <c r="EL39">
        <v>3500</v>
      </c>
      <c r="EM39">
        <v>37.065000000000005</v>
      </c>
      <c r="EN39">
        <v>660</v>
      </c>
      <c r="EO39">
        <v>660</v>
      </c>
      <c r="EP39">
        <v>660</v>
      </c>
      <c r="EQ39">
        <v>2000</v>
      </c>
      <c r="ER39">
        <v>21.18</v>
      </c>
      <c r="ES39">
        <v>0</v>
      </c>
      <c r="ET39">
        <v>0</v>
      </c>
      <c r="EU39">
        <v>0</v>
      </c>
      <c r="EV39">
        <v>0</v>
      </c>
      <c r="EW39">
        <v>0</v>
      </c>
      <c r="FA39">
        <v>0</v>
      </c>
      <c r="FE39">
        <v>0</v>
      </c>
      <c r="FI39">
        <v>0</v>
      </c>
      <c r="FJ39">
        <v>5441.7550000000001</v>
      </c>
      <c r="FK39">
        <v>33515</v>
      </c>
      <c r="FL39">
        <v>29315.02965623825</v>
      </c>
      <c r="FM39">
        <v>28073.244999999999</v>
      </c>
    </row>
    <row r="40" spans="1:169" x14ac:dyDescent="0.35">
      <c r="A40">
        <v>196701</v>
      </c>
      <c r="B40" t="s">
        <v>1940</v>
      </c>
      <c r="C40" t="s">
        <v>1941</v>
      </c>
      <c r="D40" t="s">
        <v>1942</v>
      </c>
      <c r="E40" s="43" t="s">
        <v>1943</v>
      </c>
      <c r="F40">
        <v>1</v>
      </c>
      <c r="I40">
        <v>43804</v>
      </c>
      <c r="J40" t="s">
        <v>4242</v>
      </c>
      <c r="K40" t="s">
        <v>1715</v>
      </c>
      <c r="L40" s="43" t="s">
        <v>259</v>
      </c>
      <c r="M40" t="s">
        <v>1944</v>
      </c>
      <c r="N40" s="43" t="s">
        <v>1945</v>
      </c>
      <c r="O40" s="43" t="s">
        <v>1946</v>
      </c>
      <c r="P40" s="43" t="s">
        <v>454</v>
      </c>
      <c r="Q40" s="43" t="s">
        <v>1947</v>
      </c>
      <c r="R40">
        <v>3.72</v>
      </c>
      <c r="S40">
        <v>44109</v>
      </c>
      <c r="T40" t="s">
        <v>311</v>
      </c>
      <c r="U40" t="s">
        <v>286</v>
      </c>
      <c r="V40" t="s">
        <v>267</v>
      </c>
      <c r="W40" t="s">
        <v>1718</v>
      </c>
      <c r="X40" t="s">
        <v>1719</v>
      </c>
      <c r="Y40">
        <v>8772802835</v>
      </c>
      <c r="Z40" t="s">
        <v>270</v>
      </c>
      <c r="AA40" t="s">
        <v>271</v>
      </c>
      <c r="AB40">
        <v>27</v>
      </c>
      <c r="AC40">
        <v>0</v>
      </c>
      <c r="AD40">
        <v>121</v>
      </c>
      <c r="AE40" t="s">
        <v>289</v>
      </c>
      <c r="AF40">
        <v>2</v>
      </c>
      <c r="AG40" t="s">
        <v>275</v>
      </c>
      <c r="AK40" s="43" t="s">
        <v>259</v>
      </c>
      <c r="AL40" s="43" t="s">
        <v>259</v>
      </c>
      <c r="AO40" s="23"/>
      <c r="AP40" s="23"/>
      <c r="AQ40" s="23"/>
      <c r="BC40" t="s">
        <v>259</v>
      </c>
      <c r="BD40" s="43" t="s">
        <v>259</v>
      </c>
      <c r="BE40" s="43" t="s">
        <v>259</v>
      </c>
      <c r="BF40" s="43" t="s">
        <v>259</v>
      </c>
      <c r="BG40" s="43" t="s">
        <v>259</v>
      </c>
      <c r="BH40" t="s">
        <v>259</v>
      </c>
      <c r="BI40" s="43" t="s">
        <v>259</v>
      </c>
      <c r="BJ40">
        <v>0</v>
      </c>
      <c r="BK40">
        <v>44109</v>
      </c>
      <c r="BL40">
        <v>44356</v>
      </c>
      <c r="BM40">
        <v>8505</v>
      </c>
      <c r="BN40">
        <v>8505</v>
      </c>
      <c r="BO40">
        <v>8505</v>
      </c>
      <c r="BP40">
        <v>25515</v>
      </c>
      <c r="BQ40">
        <v>3300</v>
      </c>
      <c r="BR40">
        <v>400</v>
      </c>
      <c r="BS40">
        <v>400</v>
      </c>
      <c r="BT40">
        <v>4100</v>
      </c>
      <c r="BU40">
        <v>2100</v>
      </c>
      <c r="BV40">
        <v>2100</v>
      </c>
      <c r="BW40">
        <v>2100</v>
      </c>
      <c r="BX40">
        <v>6300</v>
      </c>
      <c r="BY40">
        <v>1200</v>
      </c>
      <c r="BZ40">
        <v>1200</v>
      </c>
      <c r="CA40">
        <v>1200</v>
      </c>
      <c r="CB40">
        <v>3600</v>
      </c>
      <c r="CC40">
        <v>0</v>
      </c>
      <c r="CD40">
        <v>0</v>
      </c>
      <c r="CE40">
        <v>0</v>
      </c>
      <c r="CF40">
        <v>0</v>
      </c>
      <c r="CG40">
        <v>39515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1500</v>
      </c>
      <c r="CU40">
        <v>1500</v>
      </c>
      <c r="CV40">
        <v>1500</v>
      </c>
      <c r="CW40">
        <v>4500</v>
      </c>
      <c r="CX40">
        <v>0</v>
      </c>
      <c r="CY40">
        <v>0</v>
      </c>
      <c r="CZ40">
        <v>0</v>
      </c>
      <c r="DA40">
        <v>0</v>
      </c>
      <c r="DB40">
        <v>1000</v>
      </c>
      <c r="DC40">
        <v>1000</v>
      </c>
      <c r="DD40">
        <v>1000</v>
      </c>
      <c r="DE40">
        <v>3000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7500</v>
      </c>
      <c r="EE40">
        <v>0</v>
      </c>
      <c r="EF40">
        <v>0</v>
      </c>
      <c r="EG40">
        <v>0</v>
      </c>
      <c r="EH40">
        <v>0</v>
      </c>
      <c r="EI40">
        <v>1154</v>
      </c>
      <c r="EJ40">
        <v>1154</v>
      </c>
      <c r="EK40">
        <v>1155</v>
      </c>
      <c r="EL40">
        <v>3500</v>
      </c>
      <c r="EM40">
        <v>37.065000000000005</v>
      </c>
      <c r="EN40">
        <v>660</v>
      </c>
      <c r="EO40">
        <v>660</v>
      </c>
      <c r="EP40">
        <v>660</v>
      </c>
      <c r="EQ40">
        <v>2000</v>
      </c>
      <c r="ER40">
        <v>21.18</v>
      </c>
      <c r="ES40">
        <v>0</v>
      </c>
      <c r="ET40">
        <v>0</v>
      </c>
      <c r="EU40">
        <v>0</v>
      </c>
      <c r="EV40">
        <v>0</v>
      </c>
      <c r="EW40">
        <v>0</v>
      </c>
      <c r="FA40">
        <v>0</v>
      </c>
      <c r="FE40">
        <v>0</v>
      </c>
      <c r="FI40">
        <v>0</v>
      </c>
      <c r="FJ40">
        <v>5441.7550000000001</v>
      </c>
      <c r="FK40">
        <v>32015</v>
      </c>
      <c r="FL40">
        <v>27748.679044317276</v>
      </c>
      <c r="FM40">
        <v>26573.244999999999</v>
      </c>
    </row>
    <row r="41" spans="1:169" x14ac:dyDescent="0.35">
      <c r="A41">
        <v>192743</v>
      </c>
      <c r="B41" t="s">
        <v>1948</v>
      </c>
      <c r="C41" t="s">
        <v>277</v>
      </c>
      <c r="D41" t="s">
        <v>1949</v>
      </c>
      <c r="E41" s="43" t="s">
        <v>1950</v>
      </c>
      <c r="F41">
        <v>1</v>
      </c>
      <c r="I41">
        <v>43775</v>
      </c>
      <c r="J41" t="s">
        <v>3305</v>
      </c>
      <c r="K41" t="s">
        <v>1715</v>
      </c>
      <c r="L41" s="43" t="s">
        <v>3204</v>
      </c>
      <c r="M41" t="s">
        <v>1951</v>
      </c>
      <c r="N41" s="43" t="s">
        <v>1952</v>
      </c>
      <c r="O41" s="43" t="s">
        <v>546</v>
      </c>
      <c r="P41" s="43" t="s">
        <v>608</v>
      </c>
      <c r="Q41" s="43" t="s">
        <v>1953</v>
      </c>
      <c r="R41">
        <v>3.98</v>
      </c>
      <c r="S41">
        <v>44109</v>
      </c>
      <c r="T41" t="s">
        <v>285</v>
      </c>
      <c r="U41" t="s">
        <v>286</v>
      </c>
      <c r="V41" t="s">
        <v>267</v>
      </c>
      <c r="W41" t="s">
        <v>1718</v>
      </c>
      <c r="X41" t="s">
        <v>1719</v>
      </c>
      <c r="Y41">
        <v>8772802835</v>
      </c>
      <c r="Z41" t="s">
        <v>270</v>
      </c>
      <c r="AA41" t="s">
        <v>271</v>
      </c>
      <c r="AB41">
        <v>31</v>
      </c>
      <c r="AC41">
        <v>0</v>
      </c>
      <c r="AD41">
        <v>133</v>
      </c>
      <c r="AE41" t="s">
        <v>301</v>
      </c>
      <c r="AF41">
        <v>1</v>
      </c>
      <c r="AG41" t="s">
        <v>275</v>
      </c>
      <c r="AH41">
        <v>0</v>
      </c>
      <c r="AI41">
        <v>0</v>
      </c>
      <c r="AJ41">
        <v>43774</v>
      </c>
      <c r="AK41" s="43" t="s">
        <v>3208</v>
      </c>
      <c r="AL41" s="43" t="s">
        <v>3209</v>
      </c>
      <c r="AO41" s="23"/>
      <c r="AP41" s="23"/>
      <c r="AQ41" s="23"/>
      <c r="BC41" t="s">
        <v>2018</v>
      </c>
      <c r="BD41" s="43" t="s">
        <v>2018</v>
      </c>
      <c r="BE41" s="43" t="s">
        <v>2018</v>
      </c>
      <c r="BF41" s="43" t="s">
        <v>2018</v>
      </c>
      <c r="BG41" s="43" t="s">
        <v>2018</v>
      </c>
      <c r="BH41" t="s">
        <v>2018</v>
      </c>
      <c r="BI41" s="43" t="s">
        <v>2018</v>
      </c>
      <c r="BJ41">
        <v>0</v>
      </c>
      <c r="BK41">
        <v>44109</v>
      </c>
      <c r="BL41">
        <v>44356</v>
      </c>
      <c r="BM41">
        <v>8505</v>
      </c>
      <c r="BN41">
        <v>8505</v>
      </c>
      <c r="BO41">
        <v>8505</v>
      </c>
      <c r="BP41">
        <v>25515</v>
      </c>
      <c r="BQ41">
        <v>3300</v>
      </c>
      <c r="BR41">
        <v>400</v>
      </c>
      <c r="BS41">
        <v>400</v>
      </c>
      <c r="BT41">
        <v>4100</v>
      </c>
      <c r="BU41">
        <v>2100</v>
      </c>
      <c r="BV41">
        <v>2100</v>
      </c>
      <c r="BW41">
        <v>2100</v>
      </c>
      <c r="BX41">
        <v>6300</v>
      </c>
      <c r="BY41">
        <v>1200</v>
      </c>
      <c r="BZ41">
        <v>1200</v>
      </c>
      <c r="CA41">
        <v>1200</v>
      </c>
      <c r="CB41">
        <v>3600</v>
      </c>
      <c r="CC41">
        <v>0</v>
      </c>
      <c r="CD41">
        <v>0</v>
      </c>
      <c r="CE41">
        <v>0</v>
      </c>
      <c r="CF41">
        <v>0</v>
      </c>
      <c r="CG41">
        <v>39515</v>
      </c>
      <c r="CH41">
        <v>0</v>
      </c>
      <c r="CI41">
        <v>0</v>
      </c>
      <c r="CJ41">
        <v>0</v>
      </c>
      <c r="CK41">
        <v>0</v>
      </c>
      <c r="CL41">
        <v>2065</v>
      </c>
      <c r="CM41">
        <v>2065</v>
      </c>
      <c r="CN41">
        <v>2065</v>
      </c>
      <c r="CO41">
        <v>6195</v>
      </c>
      <c r="CP41">
        <v>500</v>
      </c>
      <c r="CQ41">
        <v>500</v>
      </c>
      <c r="CR41">
        <v>500</v>
      </c>
      <c r="CS41">
        <v>1500</v>
      </c>
      <c r="CT41">
        <v>1700</v>
      </c>
      <c r="CU41">
        <v>1700</v>
      </c>
      <c r="CV41">
        <v>1700</v>
      </c>
      <c r="CW41">
        <v>5100</v>
      </c>
      <c r="CX41">
        <v>0</v>
      </c>
      <c r="CY41">
        <v>0</v>
      </c>
      <c r="CZ41">
        <v>0</v>
      </c>
      <c r="DA41">
        <v>0</v>
      </c>
      <c r="DB41">
        <v>1000</v>
      </c>
      <c r="DC41">
        <v>1000</v>
      </c>
      <c r="DD41">
        <v>1000</v>
      </c>
      <c r="DE41">
        <v>3000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15795</v>
      </c>
      <c r="EE41">
        <v>0</v>
      </c>
      <c r="EF41">
        <v>0</v>
      </c>
      <c r="EG41">
        <v>0</v>
      </c>
      <c r="EH41">
        <v>0</v>
      </c>
      <c r="EI41">
        <v>1154</v>
      </c>
      <c r="EJ41">
        <v>1154</v>
      </c>
      <c r="EK41">
        <v>1155</v>
      </c>
      <c r="EL41">
        <v>3500</v>
      </c>
      <c r="EM41">
        <v>37.065000000000005</v>
      </c>
      <c r="EN41">
        <v>660</v>
      </c>
      <c r="EO41">
        <v>660</v>
      </c>
      <c r="EP41">
        <v>660</v>
      </c>
      <c r="EQ41">
        <v>2000</v>
      </c>
      <c r="ER41">
        <v>21.18</v>
      </c>
      <c r="ES41">
        <v>0</v>
      </c>
      <c r="ET41">
        <v>0</v>
      </c>
      <c r="EU41">
        <v>0</v>
      </c>
      <c r="EV41">
        <v>0</v>
      </c>
      <c r="EW41">
        <v>0</v>
      </c>
      <c r="FA41">
        <v>0</v>
      </c>
      <c r="FE41">
        <v>0</v>
      </c>
      <c r="FI41">
        <v>0</v>
      </c>
      <c r="FJ41">
        <v>5441.7550000000001</v>
      </c>
      <c r="FK41">
        <v>23720</v>
      </c>
      <c r="FL41">
        <v>19086.7601603943</v>
      </c>
      <c r="FM41">
        <v>18278.244999999999</v>
      </c>
    </row>
    <row r="42" spans="1:169" x14ac:dyDescent="0.35">
      <c r="A42">
        <v>198101</v>
      </c>
      <c r="B42" t="s">
        <v>1954</v>
      </c>
      <c r="C42" t="s">
        <v>1955</v>
      </c>
      <c r="D42" t="s">
        <v>1956</v>
      </c>
      <c r="E42" s="43" t="s">
        <v>1957</v>
      </c>
      <c r="F42">
        <v>1</v>
      </c>
      <c r="I42">
        <v>43804</v>
      </c>
      <c r="J42" t="s">
        <v>4242</v>
      </c>
      <c r="K42" t="s">
        <v>1715</v>
      </c>
      <c r="L42" s="43" t="s">
        <v>259</v>
      </c>
      <c r="M42" t="s">
        <v>1958</v>
      </c>
      <c r="N42" s="43" t="s">
        <v>1959</v>
      </c>
      <c r="O42" s="43" t="s">
        <v>1960</v>
      </c>
      <c r="P42" s="43" t="s">
        <v>542</v>
      </c>
      <c r="Q42" s="43" t="s">
        <v>1961</v>
      </c>
      <c r="S42">
        <v>44109</v>
      </c>
      <c r="T42" t="s">
        <v>544</v>
      </c>
      <c r="U42" t="s">
        <v>266</v>
      </c>
      <c r="V42" t="s">
        <v>1110</v>
      </c>
      <c r="W42" t="s">
        <v>1718</v>
      </c>
      <c r="X42" t="s">
        <v>1719</v>
      </c>
      <c r="Y42">
        <v>8772802835</v>
      </c>
      <c r="Z42" t="s">
        <v>270</v>
      </c>
      <c r="AA42" t="s">
        <v>271</v>
      </c>
      <c r="AB42">
        <v>23</v>
      </c>
      <c r="AC42">
        <v>0</v>
      </c>
      <c r="AD42">
        <v>102</v>
      </c>
      <c r="AE42" t="s">
        <v>354</v>
      </c>
      <c r="AF42">
        <v>6</v>
      </c>
      <c r="AG42" t="s">
        <v>446</v>
      </c>
      <c r="AK42" s="43" t="s">
        <v>259</v>
      </c>
      <c r="AL42" s="43" t="s">
        <v>259</v>
      </c>
      <c r="AO42" s="23"/>
      <c r="AP42" s="23"/>
      <c r="AQ42" s="23"/>
      <c r="BC42" t="s">
        <v>259</v>
      </c>
      <c r="BD42" s="43" t="s">
        <v>259</v>
      </c>
      <c r="BE42" s="43" t="s">
        <v>259</v>
      </c>
      <c r="BF42" s="43" t="s">
        <v>259</v>
      </c>
      <c r="BG42" s="43" t="s">
        <v>259</v>
      </c>
      <c r="BH42" t="s">
        <v>259</v>
      </c>
      <c r="BI42" s="43" t="s">
        <v>259</v>
      </c>
      <c r="BJ42">
        <v>0</v>
      </c>
      <c r="BK42">
        <v>44109</v>
      </c>
      <c r="BL42">
        <v>44356</v>
      </c>
      <c r="BM42">
        <v>8505</v>
      </c>
      <c r="BN42">
        <v>8505</v>
      </c>
      <c r="BO42">
        <v>8505</v>
      </c>
      <c r="BP42">
        <v>25515</v>
      </c>
      <c r="BQ42">
        <v>3300</v>
      </c>
      <c r="BR42">
        <v>400</v>
      </c>
      <c r="BS42">
        <v>400</v>
      </c>
      <c r="BT42">
        <v>4100</v>
      </c>
      <c r="BU42">
        <v>2100</v>
      </c>
      <c r="BV42">
        <v>2100</v>
      </c>
      <c r="BW42">
        <v>2100</v>
      </c>
      <c r="BX42">
        <v>6300</v>
      </c>
      <c r="BY42">
        <v>1200</v>
      </c>
      <c r="BZ42">
        <v>1200</v>
      </c>
      <c r="CA42">
        <v>1200</v>
      </c>
      <c r="CB42">
        <v>3600</v>
      </c>
      <c r="CC42">
        <v>0</v>
      </c>
      <c r="CD42">
        <v>0</v>
      </c>
      <c r="CE42">
        <v>0</v>
      </c>
      <c r="CF42">
        <v>0</v>
      </c>
      <c r="CG42">
        <v>39515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750</v>
      </c>
      <c r="CU42">
        <v>750</v>
      </c>
      <c r="CV42">
        <v>750</v>
      </c>
      <c r="CW42">
        <v>2250</v>
      </c>
      <c r="CX42">
        <v>3000</v>
      </c>
      <c r="CY42">
        <v>3000</v>
      </c>
      <c r="CZ42">
        <v>3000</v>
      </c>
      <c r="DA42">
        <v>9000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11250</v>
      </c>
      <c r="EE42">
        <v>0</v>
      </c>
      <c r="EF42">
        <v>0</v>
      </c>
      <c r="EG42">
        <v>0</v>
      </c>
      <c r="EH42">
        <v>0</v>
      </c>
      <c r="EI42">
        <v>1154</v>
      </c>
      <c r="EJ42">
        <v>1154</v>
      </c>
      <c r="EK42">
        <v>1155</v>
      </c>
      <c r="EL42">
        <v>3500</v>
      </c>
      <c r="EM42">
        <v>37.065000000000005</v>
      </c>
      <c r="EN42">
        <v>660</v>
      </c>
      <c r="EO42">
        <v>660</v>
      </c>
      <c r="EP42">
        <v>660</v>
      </c>
      <c r="EQ42">
        <v>2000</v>
      </c>
      <c r="ER42">
        <v>21.18</v>
      </c>
      <c r="ES42">
        <v>0</v>
      </c>
      <c r="ET42">
        <v>0</v>
      </c>
      <c r="EU42">
        <v>0</v>
      </c>
      <c r="EV42">
        <v>0</v>
      </c>
      <c r="EW42">
        <v>0</v>
      </c>
      <c r="FA42">
        <v>0</v>
      </c>
      <c r="FE42">
        <v>0</v>
      </c>
      <c r="FI42">
        <v>0</v>
      </c>
      <c r="FJ42">
        <v>5441.7550000000001</v>
      </c>
      <c r="FK42">
        <v>28265</v>
      </c>
      <c r="FL42">
        <v>23832.802514514849</v>
      </c>
      <c r="FM42">
        <v>22823.244999999999</v>
      </c>
    </row>
    <row r="43" spans="1:169" x14ac:dyDescent="0.35">
      <c r="A43">
        <v>198122</v>
      </c>
      <c r="B43" t="s">
        <v>1962</v>
      </c>
      <c r="C43" t="s">
        <v>1963</v>
      </c>
      <c r="D43" t="s">
        <v>1964</v>
      </c>
      <c r="E43" s="43" t="s">
        <v>1965</v>
      </c>
      <c r="F43">
        <v>1</v>
      </c>
      <c r="I43">
        <v>43804</v>
      </c>
      <c r="J43" t="s">
        <v>4242</v>
      </c>
      <c r="K43" t="s">
        <v>1715</v>
      </c>
      <c r="L43" s="43" t="s">
        <v>259</v>
      </c>
      <c r="M43" t="s">
        <v>1966</v>
      </c>
      <c r="N43" s="43" t="s">
        <v>1967</v>
      </c>
      <c r="O43" s="43" t="s">
        <v>976</v>
      </c>
      <c r="P43" s="43" t="s">
        <v>553</v>
      </c>
      <c r="Q43" s="43" t="s">
        <v>1968</v>
      </c>
      <c r="R43">
        <v>3.5</v>
      </c>
      <c r="S43">
        <v>44109</v>
      </c>
      <c r="T43" t="s">
        <v>285</v>
      </c>
      <c r="U43" t="s">
        <v>266</v>
      </c>
      <c r="V43" t="s">
        <v>267</v>
      </c>
      <c r="W43" t="s">
        <v>1718</v>
      </c>
      <c r="X43" t="s">
        <v>1719</v>
      </c>
      <c r="Y43">
        <v>8772802835</v>
      </c>
      <c r="Z43" t="s">
        <v>270</v>
      </c>
      <c r="AA43" t="s">
        <v>271</v>
      </c>
      <c r="AB43">
        <v>0</v>
      </c>
      <c r="AC43">
        <v>1080</v>
      </c>
      <c r="AD43">
        <v>109</v>
      </c>
      <c r="AE43" t="s">
        <v>416</v>
      </c>
      <c r="AF43">
        <v>5</v>
      </c>
      <c r="AG43" t="s">
        <v>275</v>
      </c>
      <c r="AK43" s="43" t="s">
        <v>259</v>
      </c>
      <c r="AL43" s="43" t="s">
        <v>259</v>
      </c>
      <c r="AO43" s="23"/>
      <c r="AP43" s="23"/>
      <c r="AQ43" s="23"/>
      <c r="BC43" t="s">
        <v>259</v>
      </c>
      <c r="BD43" s="43" t="s">
        <v>259</v>
      </c>
      <c r="BE43" s="43" t="s">
        <v>259</v>
      </c>
      <c r="BF43" s="43" t="s">
        <v>259</v>
      </c>
      <c r="BG43" s="43" t="s">
        <v>259</v>
      </c>
      <c r="BH43" t="s">
        <v>259</v>
      </c>
      <c r="BI43" s="43" t="s">
        <v>259</v>
      </c>
      <c r="BJ43">
        <v>0</v>
      </c>
      <c r="BK43">
        <v>44109</v>
      </c>
      <c r="BL43">
        <v>44356</v>
      </c>
      <c r="BM43">
        <v>8505</v>
      </c>
      <c r="BN43">
        <v>8505</v>
      </c>
      <c r="BO43">
        <v>8505</v>
      </c>
      <c r="BP43">
        <v>25515</v>
      </c>
      <c r="BQ43">
        <v>3300</v>
      </c>
      <c r="BR43">
        <v>400</v>
      </c>
      <c r="BS43">
        <v>400</v>
      </c>
      <c r="BT43">
        <v>4100</v>
      </c>
      <c r="BU43">
        <v>2100</v>
      </c>
      <c r="BV43">
        <v>2100</v>
      </c>
      <c r="BW43">
        <v>2100</v>
      </c>
      <c r="BX43">
        <v>6300</v>
      </c>
      <c r="BY43">
        <v>1200</v>
      </c>
      <c r="BZ43">
        <v>1200</v>
      </c>
      <c r="CA43">
        <v>1200</v>
      </c>
      <c r="CB43">
        <v>3600</v>
      </c>
      <c r="CC43">
        <v>0</v>
      </c>
      <c r="CD43">
        <v>0</v>
      </c>
      <c r="CE43">
        <v>0</v>
      </c>
      <c r="CF43">
        <v>0</v>
      </c>
      <c r="CG43">
        <v>39515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1000</v>
      </c>
      <c r="CU43">
        <v>1000</v>
      </c>
      <c r="CV43">
        <v>1000</v>
      </c>
      <c r="CW43">
        <v>3000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3000</v>
      </c>
      <c r="EE43">
        <v>0</v>
      </c>
      <c r="EF43">
        <v>0</v>
      </c>
      <c r="EG43">
        <v>0</v>
      </c>
      <c r="EH43">
        <v>0</v>
      </c>
      <c r="EI43">
        <v>1154</v>
      </c>
      <c r="EJ43">
        <v>1154</v>
      </c>
      <c r="EK43">
        <v>1155</v>
      </c>
      <c r="EL43">
        <v>3500</v>
      </c>
      <c r="EM43">
        <v>37.065000000000005</v>
      </c>
      <c r="EN43">
        <v>660</v>
      </c>
      <c r="EO43">
        <v>660</v>
      </c>
      <c r="EP43">
        <v>660</v>
      </c>
      <c r="EQ43">
        <v>2000</v>
      </c>
      <c r="ER43">
        <v>21.18</v>
      </c>
      <c r="ES43">
        <v>0</v>
      </c>
      <c r="ET43">
        <v>0</v>
      </c>
      <c r="EU43">
        <v>0</v>
      </c>
      <c r="EV43">
        <v>0</v>
      </c>
      <c r="EW43">
        <v>0</v>
      </c>
      <c r="FA43">
        <v>0</v>
      </c>
      <c r="FE43">
        <v>0</v>
      </c>
      <c r="FI43">
        <v>0</v>
      </c>
      <c r="FJ43">
        <v>5441.7550000000001</v>
      </c>
      <c r="FK43">
        <v>36515</v>
      </c>
      <c r="FL43">
        <v>32447.730880080198</v>
      </c>
      <c r="FM43">
        <v>31073.245000000003</v>
      </c>
    </row>
    <row r="44" spans="1:169" x14ac:dyDescent="0.35">
      <c r="A44">
        <v>196025</v>
      </c>
      <c r="B44" t="s">
        <v>2593</v>
      </c>
      <c r="C44" t="s">
        <v>2563</v>
      </c>
      <c r="D44" t="s">
        <v>1927</v>
      </c>
      <c r="E44" s="43" t="s">
        <v>2594</v>
      </c>
      <c r="F44">
        <v>1</v>
      </c>
      <c r="I44">
        <v>43775</v>
      </c>
      <c r="J44" t="s">
        <v>3305</v>
      </c>
      <c r="K44" t="s">
        <v>1715</v>
      </c>
      <c r="L44" s="43" t="s">
        <v>259</v>
      </c>
      <c r="M44" t="s">
        <v>2595</v>
      </c>
      <c r="N44" s="43" t="s">
        <v>2596</v>
      </c>
      <c r="O44" s="43" t="s">
        <v>2597</v>
      </c>
      <c r="P44" s="43" t="s">
        <v>542</v>
      </c>
      <c r="Q44" s="43" t="s">
        <v>2598</v>
      </c>
      <c r="S44">
        <v>44109</v>
      </c>
      <c r="T44" t="s">
        <v>544</v>
      </c>
      <c r="U44" t="s">
        <v>266</v>
      </c>
      <c r="V44" t="s">
        <v>1549</v>
      </c>
      <c r="W44" t="s">
        <v>1718</v>
      </c>
      <c r="X44" t="s">
        <v>1719</v>
      </c>
      <c r="Y44">
        <v>8772802835</v>
      </c>
      <c r="Z44" t="s">
        <v>270</v>
      </c>
      <c r="AA44" t="s">
        <v>271</v>
      </c>
      <c r="AB44">
        <v>19</v>
      </c>
      <c r="AC44">
        <v>0</v>
      </c>
      <c r="AD44">
        <v>0</v>
      </c>
      <c r="AE44" t="s">
        <v>354</v>
      </c>
      <c r="AF44">
        <v>6</v>
      </c>
      <c r="AG44" t="s">
        <v>275</v>
      </c>
      <c r="AK44" s="43" t="s">
        <v>259</v>
      </c>
      <c r="AL44" s="43" t="s">
        <v>259</v>
      </c>
      <c r="AO44" s="23"/>
      <c r="AP44" s="23"/>
      <c r="AQ44" s="23"/>
      <c r="BC44" t="s">
        <v>259</v>
      </c>
      <c r="BD44" s="43" t="s">
        <v>259</v>
      </c>
      <c r="BE44" s="43" t="s">
        <v>259</v>
      </c>
      <c r="BF44" s="43" t="s">
        <v>259</v>
      </c>
      <c r="BG44" s="43" t="s">
        <v>259</v>
      </c>
      <c r="BH44" t="s">
        <v>259</v>
      </c>
      <c r="BI44" s="43" t="s">
        <v>259</v>
      </c>
      <c r="BJ44">
        <v>0</v>
      </c>
      <c r="BK44">
        <v>44109</v>
      </c>
      <c r="BL44">
        <v>44356</v>
      </c>
      <c r="BM44">
        <v>8505</v>
      </c>
      <c r="BN44">
        <v>8505</v>
      </c>
      <c r="BO44">
        <v>8505</v>
      </c>
      <c r="BP44">
        <v>25515</v>
      </c>
      <c r="BQ44">
        <v>3300</v>
      </c>
      <c r="BR44">
        <v>400</v>
      </c>
      <c r="BS44">
        <v>400</v>
      </c>
      <c r="BT44">
        <v>4100</v>
      </c>
      <c r="BU44">
        <v>2100</v>
      </c>
      <c r="BV44">
        <v>2100</v>
      </c>
      <c r="BW44">
        <v>2100</v>
      </c>
      <c r="BX44">
        <v>6300</v>
      </c>
      <c r="BY44">
        <v>1200</v>
      </c>
      <c r="BZ44">
        <v>1200</v>
      </c>
      <c r="CA44">
        <v>1200</v>
      </c>
      <c r="CB44">
        <v>3600</v>
      </c>
      <c r="CC44">
        <v>0</v>
      </c>
      <c r="CD44">
        <v>0</v>
      </c>
      <c r="CE44">
        <v>0</v>
      </c>
      <c r="CF44">
        <v>0</v>
      </c>
      <c r="CG44">
        <v>39515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750</v>
      </c>
      <c r="CU44">
        <v>750</v>
      </c>
      <c r="CV44">
        <v>750</v>
      </c>
      <c r="CW44">
        <v>2250</v>
      </c>
      <c r="CX44">
        <v>3000</v>
      </c>
      <c r="CY44">
        <v>3000</v>
      </c>
      <c r="CZ44">
        <v>3000</v>
      </c>
      <c r="DA44">
        <v>9000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11250</v>
      </c>
      <c r="EE44">
        <v>0</v>
      </c>
      <c r="EF44">
        <v>0</v>
      </c>
      <c r="EG44">
        <v>0</v>
      </c>
      <c r="EH44">
        <v>0</v>
      </c>
      <c r="EI44">
        <v>1154</v>
      </c>
      <c r="EJ44">
        <v>1154</v>
      </c>
      <c r="EK44">
        <v>1155</v>
      </c>
      <c r="EL44">
        <v>3500</v>
      </c>
      <c r="EM44">
        <v>37.065000000000005</v>
      </c>
      <c r="EN44">
        <v>660</v>
      </c>
      <c r="EO44">
        <v>660</v>
      </c>
      <c r="EP44">
        <v>660</v>
      </c>
      <c r="EQ44">
        <v>2000</v>
      </c>
      <c r="ER44">
        <v>21.18</v>
      </c>
      <c r="ES44">
        <v>0</v>
      </c>
      <c r="ET44">
        <v>0</v>
      </c>
      <c r="EU44">
        <v>0</v>
      </c>
      <c r="EV44">
        <v>0</v>
      </c>
      <c r="EW44">
        <v>0</v>
      </c>
      <c r="FA44">
        <v>0</v>
      </c>
      <c r="FE44">
        <v>0</v>
      </c>
      <c r="FI44">
        <v>0</v>
      </c>
      <c r="FJ44">
        <v>5441.7550000000001</v>
      </c>
      <c r="FK44">
        <v>28265</v>
      </c>
      <c r="FL44">
        <v>23832.802514514849</v>
      </c>
      <c r="FM44">
        <v>22823.244999999999</v>
      </c>
    </row>
    <row r="45" spans="1:169" x14ac:dyDescent="0.35">
      <c r="A45">
        <v>198078</v>
      </c>
      <c r="B45" t="s">
        <v>1969</v>
      </c>
      <c r="C45" t="s">
        <v>1970</v>
      </c>
      <c r="D45" t="s">
        <v>1971</v>
      </c>
      <c r="E45" s="43" t="s">
        <v>1972</v>
      </c>
      <c r="F45">
        <v>1</v>
      </c>
      <c r="I45">
        <v>43804</v>
      </c>
      <c r="J45" t="s">
        <v>4242</v>
      </c>
      <c r="K45" t="s">
        <v>1715</v>
      </c>
      <c r="L45" s="43" t="s">
        <v>259</v>
      </c>
      <c r="M45" t="s">
        <v>1973</v>
      </c>
      <c r="N45" s="43" t="s">
        <v>1974</v>
      </c>
      <c r="O45" s="43" t="s">
        <v>1975</v>
      </c>
      <c r="P45" s="43" t="s">
        <v>759</v>
      </c>
      <c r="Q45" s="43" t="s">
        <v>1976</v>
      </c>
      <c r="R45">
        <v>3.4</v>
      </c>
      <c r="S45">
        <v>44109</v>
      </c>
      <c r="T45" t="s">
        <v>285</v>
      </c>
      <c r="U45" t="s">
        <v>266</v>
      </c>
      <c r="V45" t="s">
        <v>267</v>
      </c>
      <c r="W45" t="s">
        <v>1718</v>
      </c>
      <c r="X45" t="s">
        <v>1719</v>
      </c>
      <c r="Y45">
        <v>8772802835</v>
      </c>
      <c r="Z45" t="s">
        <v>270</v>
      </c>
      <c r="AA45" t="s">
        <v>271</v>
      </c>
      <c r="AB45">
        <v>0</v>
      </c>
      <c r="AC45">
        <v>0</v>
      </c>
      <c r="AD45">
        <v>0</v>
      </c>
      <c r="AE45" t="s">
        <v>376</v>
      </c>
      <c r="AF45">
        <v>7</v>
      </c>
      <c r="AG45" t="s">
        <v>275</v>
      </c>
      <c r="AK45" s="43" t="s">
        <v>259</v>
      </c>
      <c r="AL45" s="43" t="s">
        <v>259</v>
      </c>
      <c r="AO45" s="23"/>
      <c r="AP45" s="23"/>
      <c r="AQ45" s="23"/>
      <c r="BC45" t="s">
        <v>259</v>
      </c>
      <c r="BD45" s="43" t="s">
        <v>259</v>
      </c>
      <c r="BE45" s="43" t="s">
        <v>259</v>
      </c>
      <c r="BF45" s="43" t="s">
        <v>259</v>
      </c>
      <c r="BG45" s="43" t="s">
        <v>259</v>
      </c>
      <c r="BH45" t="s">
        <v>259</v>
      </c>
      <c r="BI45" s="43" t="s">
        <v>259</v>
      </c>
      <c r="BJ45">
        <v>0</v>
      </c>
      <c r="BK45">
        <v>44109</v>
      </c>
      <c r="BL45">
        <v>44356</v>
      </c>
      <c r="BM45">
        <v>8505</v>
      </c>
      <c r="BN45">
        <v>8505</v>
      </c>
      <c r="BO45">
        <v>8505</v>
      </c>
      <c r="BP45">
        <v>25515</v>
      </c>
      <c r="BQ45">
        <v>3300</v>
      </c>
      <c r="BR45">
        <v>400</v>
      </c>
      <c r="BS45">
        <v>400</v>
      </c>
      <c r="BT45">
        <v>4100</v>
      </c>
      <c r="BU45">
        <v>2100</v>
      </c>
      <c r="BV45">
        <v>2100</v>
      </c>
      <c r="BW45">
        <v>2100</v>
      </c>
      <c r="BX45">
        <v>1200</v>
      </c>
      <c r="BY45">
        <v>600</v>
      </c>
      <c r="BZ45">
        <v>1200</v>
      </c>
      <c r="CA45">
        <v>1200</v>
      </c>
      <c r="CB45">
        <v>3000</v>
      </c>
      <c r="CC45">
        <v>0</v>
      </c>
      <c r="CD45">
        <v>0</v>
      </c>
      <c r="CE45">
        <v>0</v>
      </c>
      <c r="CF45">
        <v>0</v>
      </c>
      <c r="CG45">
        <v>33815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1154</v>
      </c>
      <c r="EJ45">
        <v>1154</v>
      </c>
      <c r="EK45">
        <v>1155</v>
      </c>
      <c r="EL45">
        <v>3500</v>
      </c>
      <c r="EM45">
        <v>37.065000000000005</v>
      </c>
      <c r="EN45">
        <v>660</v>
      </c>
      <c r="EO45">
        <v>660</v>
      </c>
      <c r="EP45">
        <v>660</v>
      </c>
      <c r="EQ45">
        <v>2000</v>
      </c>
      <c r="ER45">
        <v>21.18</v>
      </c>
      <c r="ES45">
        <v>0</v>
      </c>
      <c r="ET45">
        <v>0</v>
      </c>
      <c r="EU45">
        <v>0</v>
      </c>
      <c r="EV45">
        <v>0</v>
      </c>
      <c r="EW45">
        <v>0</v>
      </c>
      <c r="FA45">
        <v>0</v>
      </c>
      <c r="FE45">
        <v>0</v>
      </c>
      <c r="FI45">
        <v>0</v>
      </c>
      <c r="FJ45">
        <v>5441.7550000000001</v>
      </c>
      <c r="FK45">
        <v>33815</v>
      </c>
      <c r="FL45">
        <v>29628.299778622444</v>
      </c>
      <c r="FM45">
        <v>28373.244999999999</v>
      </c>
    </row>
    <row r="46" spans="1:169" x14ac:dyDescent="0.35">
      <c r="A46">
        <v>195424</v>
      </c>
      <c r="B46" t="s">
        <v>1977</v>
      </c>
      <c r="C46" t="s">
        <v>1978</v>
      </c>
      <c r="D46" t="s">
        <v>1979</v>
      </c>
      <c r="E46" s="43" t="s">
        <v>1980</v>
      </c>
      <c r="F46">
        <v>1</v>
      </c>
      <c r="I46">
        <v>43804</v>
      </c>
      <c r="J46" t="s">
        <v>4242</v>
      </c>
      <c r="K46" t="s">
        <v>1715</v>
      </c>
      <c r="L46" s="43" t="s">
        <v>259</v>
      </c>
      <c r="M46" t="s">
        <v>1981</v>
      </c>
      <c r="N46" s="43" t="s">
        <v>1982</v>
      </c>
      <c r="O46" s="43" t="s">
        <v>1983</v>
      </c>
      <c r="P46" s="43" t="s">
        <v>1984</v>
      </c>
      <c r="Q46" s="43" t="s">
        <v>1985</v>
      </c>
      <c r="R46">
        <v>3.4582999999999999</v>
      </c>
      <c r="S46">
        <v>44109</v>
      </c>
      <c r="T46" t="s">
        <v>311</v>
      </c>
      <c r="U46" t="s">
        <v>286</v>
      </c>
      <c r="V46" t="s">
        <v>267</v>
      </c>
      <c r="W46" t="s">
        <v>1718</v>
      </c>
      <c r="X46" t="s">
        <v>1719</v>
      </c>
      <c r="Y46">
        <v>8772802835</v>
      </c>
      <c r="Z46" t="s">
        <v>508</v>
      </c>
      <c r="AA46" t="s">
        <v>271</v>
      </c>
      <c r="AB46">
        <v>0</v>
      </c>
      <c r="AC46">
        <v>1170</v>
      </c>
      <c r="AD46">
        <v>115</v>
      </c>
      <c r="AE46" t="s">
        <v>445</v>
      </c>
      <c r="AF46">
        <v>4</v>
      </c>
      <c r="AG46" t="s">
        <v>275</v>
      </c>
      <c r="AK46" s="43" t="s">
        <v>259</v>
      </c>
      <c r="AL46" s="43" t="s">
        <v>259</v>
      </c>
      <c r="AO46" s="23"/>
      <c r="AP46" s="23"/>
      <c r="AQ46" s="23"/>
      <c r="BC46" t="s">
        <v>259</v>
      </c>
      <c r="BD46" s="43" t="s">
        <v>259</v>
      </c>
      <c r="BE46" s="43" t="s">
        <v>259</v>
      </c>
      <c r="BF46" s="43" t="s">
        <v>259</v>
      </c>
      <c r="BG46" s="43" t="s">
        <v>259</v>
      </c>
      <c r="BH46" t="s">
        <v>259</v>
      </c>
      <c r="BI46" s="43" t="s">
        <v>259</v>
      </c>
      <c r="BJ46">
        <v>0</v>
      </c>
      <c r="BK46">
        <v>44109</v>
      </c>
      <c r="BL46">
        <v>44356</v>
      </c>
      <c r="BM46">
        <v>8505</v>
      </c>
      <c r="BN46">
        <v>8505</v>
      </c>
      <c r="BO46">
        <v>8505</v>
      </c>
      <c r="BP46">
        <v>25515</v>
      </c>
      <c r="BQ46">
        <v>3300</v>
      </c>
      <c r="BR46">
        <v>400</v>
      </c>
      <c r="BS46">
        <v>400</v>
      </c>
      <c r="BT46">
        <v>4100</v>
      </c>
      <c r="BU46">
        <v>2100</v>
      </c>
      <c r="BV46">
        <v>2100</v>
      </c>
      <c r="BW46">
        <v>2100</v>
      </c>
      <c r="BX46">
        <v>6300</v>
      </c>
      <c r="BY46">
        <v>1200</v>
      </c>
      <c r="BZ46">
        <v>1200</v>
      </c>
      <c r="CA46">
        <v>1200</v>
      </c>
      <c r="CB46">
        <v>3600</v>
      </c>
      <c r="CC46">
        <v>0</v>
      </c>
      <c r="CD46">
        <v>0</v>
      </c>
      <c r="CE46">
        <v>0</v>
      </c>
      <c r="CF46">
        <v>0</v>
      </c>
      <c r="CG46">
        <v>39515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1250</v>
      </c>
      <c r="CU46">
        <v>1250</v>
      </c>
      <c r="CV46">
        <v>1250</v>
      </c>
      <c r="CW46">
        <v>3750</v>
      </c>
      <c r="CX46">
        <v>0</v>
      </c>
      <c r="CY46">
        <v>0</v>
      </c>
      <c r="CZ46">
        <v>0</v>
      </c>
      <c r="DA46">
        <v>0</v>
      </c>
      <c r="DB46">
        <v>1000</v>
      </c>
      <c r="DC46">
        <v>1000</v>
      </c>
      <c r="DD46">
        <v>1000</v>
      </c>
      <c r="DE46">
        <v>3000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6750</v>
      </c>
      <c r="EE46">
        <v>0</v>
      </c>
      <c r="EF46">
        <v>0</v>
      </c>
      <c r="EG46">
        <v>0</v>
      </c>
      <c r="EH46">
        <v>0</v>
      </c>
      <c r="EI46">
        <v>1154</v>
      </c>
      <c r="EJ46">
        <v>1154</v>
      </c>
      <c r="EK46">
        <v>1155</v>
      </c>
      <c r="EL46">
        <v>3500</v>
      </c>
      <c r="EM46">
        <v>37.065000000000005</v>
      </c>
      <c r="EN46">
        <v>660</v>
      </c>
      <c r="EO46">
        <v>660</v>
      </c>
      <c r="EP46">
        <v>660</v>
      </c>
      <c r="EQ46">
        <v>2000</v>
      </c>
      <c r="ER46">
        <v>21.18</v>
      </c>
      <c r="ES46">
        <v>0</v>
      </c>
      <c r="ET46">
        <v>0</v>
      </c>
      <c r="EU46">
        <v>0</v>
      </c>
      <c r="EV46">
        <v>0</v>
      </c>
      <c r="EW46">
        <v>0</v>
      </c>
      <c r="FA46">
        <v>0</v>
      </c>
      <c r="FE46">
        <v>0</v>
      </c>
      <c r="FI46">
        <v>0</v>
      </c>
      <c r="FJ46">
        <v>5441.7550000000001</v>
      </c>
      <c r="FK46">
        <v>32765</v>
      </c>
      <c r="FL46">
        <v>28531.854350277765</v>
      </c>
      <c r="FM46">
        <v>27323.244999999999</v>
      </c>
    </row>
    <row r="47" spans="1:169" x14ac:dyDescent="0.35">
      <c r="A47">
        <v>195798</v>
      </c>
      <c r="B47" t="s">
        <v>1986</v>
      </c>
      <c r="C47" t="s">
        <v>1987</v>
      </c>
      <c r="D47" t="s">
        <v>1988</v>
      </c>
      <c r="E47" s="43" t="s">
        <v>1989</v>
      </c>
      <c r="F47">
        <v>1</v>
      </c>
      <c r="I47">
        <v>43775</v>
      </c>
      <c r="J47" t="s">
        <v>3304</v>
      </c>
      <c r="K47" t="s">
        <v>1715</v>
      </c>
      <c r="L47" s="43" t="s">
        <v>3204</v>
      </c>
      <c r="M47" t="s">
        <v>1990</v>
      </c>
      <c r="N47" s="43" t="s">
        <v>1991</v>
      </c>
      <c r="O47" s="43" t="s">
        <v>1992</v>
      </c>
      <c r="P47" s="43" t="s">
        <v>759</v>
      </c>
      <c r="Q47" s="43" t="s">
        <v>1993</v>
      </c>
      <c r="R47">
        <v>3.7</v>
      </c>
      <c r="S47">
        <v>44109</v>
      </c>
      <c r="T47" t="s">
        <v>285</v>
      </c>
      <c r="U47" t="s">
        <v>266</v>
      </c>
      <c r="V47" t="s">
        <v>267</v>
      </c>
      <c r="W47" t="s">
        <v>1718</v>
      </c>
      <c r="X47" t="s">
        <v>1719</v>
      </c>
      <c r="Y47">
        <v>8772802835</v>
      </c>
      <c r="Z47" t="s">
        <v>270</v>
      </c>
      <c r="AA47" t="s">
        <v>271</v>
      </c>
      <c r="AB47">
        <v>0</v>
      </c>
      <c r="AC47">
        <v>1200</v>
      </c>
      <c r="AD47">
        <v>119</v>
      </c>
      <c r="AE47" t="s">
        <v>301</v>
      </c>
      <c r="AF47">
        <v>1</v>
      </c>
      <c r="AG47" t="s">
        <v>275</v>
      </c>
      <c r="AH47">
        <v>0</v>
      </c>
      <c r="AI47">
        <v>0</v>
      </c>
      <c r="AJ47">
        <v>43774</v>
      </c>
      <c r="AK47" s="43" t="s">
        <v>3208</v>
      </c>
      <c r="AL47" s="43" t="s">
        <v>3209</v>
      </c>
      <c r="AO47" s="23"/>
      <c r="AP47" s="23"/>
      <c r="AQ47" s="23"/>
      <c r="BC47" t="s">
        <v>2018</v>
      </c>
      <c r="BD47" s="43" t="s">
        <v>2018</v>
      </c>
      <c r="BE47" s="43" t="s">
        <v>2018</v>
      </c>
      <c r="BF47" s="43" t="s">
        <v>2018</v>
      </c>
      <c r="BG47" s="43" t="s">
        <v>2018</v>
      </c>
      <c r="BH47" t="s">
        <v>2018</v>
      </c>
      <c r="BI47" s="43" t="s">
        <v>2018</v>
      </c>
      <c r="BJ47">
        <v>0</v>
      </c>
      <c r="BK47">
        <v>44109</v>
      </c>
      <c r="BL47">
        <v>44356</v>
      </c>
      <c r="BM47">
        <v>8505</v>
      </c>
      <c r="BN47">
        <v>8505</v>
      </c>
      <c r="BO47">
        <v>8505</v>
      </c>
      <c r="BP47">
        <v>25515</v>
      </c>
      <c r="BQ47">
        <v>3300</v>
      </c>
      <c r="BR47">
        <v>400</v>
      </c>
      <c r="BS47">
        <v>400</v>
      </c>
      <c r="BT47">
        <v>4100</v>
      </c>
      <c r="BU47">
        <v>2100</v>
      </c>
      <c r="BV47">
        <v>2100</v>
      </c>
      <c r="BW47">
        <v>2100</v>
      </c>
      <c r="BX47">
        <v>6300</v>
      </c>
      <c r="BY47">
        <v>1200</v>
      </c>
      <c r="BZ47">
        <v>1200</v>
      </c>
      <c r="CA47">
        <v>1200</v>
      </c>
      <c r="CB47">
        <v>3600</v>
      </c>
      <c r="CC47">
        <v>0</v>
      </c>
      <c r="CD47">
        <v>0</v>
      </c>
      <c r="CE47">
        <v>0</v>
      </c>
      <c r="CF47">
        <v>0</v>
      </c>
      <c r="CG47">
        <v>39515</v>
      </c>
      <c r="CH47">
        <v>0</v>
      </c>
      <c r="CI47">
        <v>0</v>
      </c>
      <c r="CJ47">
        <v>0</v>
      </c>
      <c r="CK47">
        <v>0</v>
      </c>
      <c r="CL47">
        <v>2065</v>
      </c>
      <c r="CM47">
        <v>2065</v>
      </c>
      <c r="CN47">
        <v>2065</v>
      </c>
      <c r="CO47">
        <v>6195</v>
      </c>
      <c r="CP47">
        <v>500</v>
      </c>
      <c r="CQ47">
        <v>500</v>
      </c>
      <c r="CR47">
        <v>500</v>
      </c>
      <c r="CS47">
        <v>1500</v>
      </c>
      <c r="CT47">
        <v>1700</v>
      </c>
      <c r="CU47">
        <v>1700</v>
      </c>
      <c r="CV47">
        <v>1700</v>
      </c>
      <c r="CW47">
        <v>5100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12795</v>
      </c>
      <c r="EE47">
        <v>0</v>
      </c>
      <c r="EF47">
        <v>0</v>
      </c>
      <c r="EG47">
        <v>0</v>
      </c>
      <c r="EH47">
        <v>0</v>
      </c>
      <c r="EI47">
        <v>1154</v>
      </c>
      <c r="EJ47">
        <v>1154</v>
      </c>
      <c r="EK47">
        <v>1155</v>
      </c>
      <c r="EL47">
        <v>3500</v>
      </c>
      <c r="EM47">
        <v>37.065000000000005</v>
      </c>
      <c r="EN47">
        <v>660</v>
      </c>
      <c r="EO47">
        <v>660</v>
      </c>
      <c r="EP47">
        <v>660</v>
      </c>
      <c r="EQ47">
        <v>2000</v>
      </c>
      <c r="ER47">
        <v>21.18</v>
      </c>
      <c r="ES47">
        <v>0</v>
      </c>
      <c r="ET47">
        <v>0</v>
      </c>
      <c r="EU47">
        <v>0</v>
      </c>
      <c r="EV47">
        <v>0</v>
      </c>
      <c r="EW47">
        <v>0</v>
      </c>
      <c r="FA47">
        <v>0</v>
      </c>
      <c r="FE47">
        <v>0</v>
      </c>
      <c r="FI47">
        <v>0</v>
      </c>
      <c r="FJ47">
        <v>5441.7550000000001</v>
      </c>
      <c r="FK47">
        <v>26720</v>
      </c>
      <c r="FL47">
        <v>22219.461384236245</v>
      </c>
      <c r="FM47">
        <v>21278.244999999999</v>
      </c>
    </row>
    <row r="48" spans="1:169" x14ac:dyDescent="0.35">
      <c r="A48">
        <v>196703</v>
      </c>
      <c r="B48" t="s">
        <v>1994</v>
      </c>
      <c r="C48" t="s">
        <v>1995</v>
      </c>
      <c r="D48" t="s">
        <v>1996</v>
      </c>
      <c r="E48" s="43" t="s">
        <v>1997</v>
      </c>
      <c r="F48">
        <v>1</v>
      </c>
      <c r="I48">
        <v>43804</v>
      </c>
      <c r="J48" t="s">
        <v>4242</v>
      </c>
      <c r="K48" t="s">
        <v>1715</v>
      </c>
      <c r="L48" s="43" t="s">
        <v>259</v>
      </c>
      <c r="M48" t="s">
        <v>1998</v>
      </c>
      <c r="N48" s="43" t="s">
        <v>1999</v>
      </c>
      <c r="O48" s="43" t="s">
        <v>2000</v>
      </c>
      <c r="P48" s="43" t="s">
        <v>442</v>
      </c>
      <c r="Q48" s="43" t="s">
        <v>2001</v>
      </c>
      <c r="R48">
        <v>2.77</v>
      </c>
      <c r="S48">
        <v>44109</v>
      </c>
      <c r="T48" t="s">
        <v>311</v>
      </c>
      <c r="U48" t="s">
        <v>266</v>
      </c>
      <c r="V48" t="s">
        <v>267</v>
      </c>
      <c r="W48" t="s">
        <v>1718</v>
      </c>
      <c r="X48" t="s">
        <v>1719</v>
      </c>
      <c r="Y48">
        <v>8772802835</v>
      </c>
      <c r="Z48" t="s">
        <v>270</v>
      </c>
      <c r="AA48" t="s">
        <v>271</v>
      </c>
      <c r="AB48">
        <v>21</v>
      </c>
      <c r="AC48">
        <v>0</v>
      </c>
      <c r="AD48">
        <v>94</v>
      </c>
      <c r="AE48" t="s">
        <v>324</v>
      </c>
      <c r="AF48">
        <v>8</v>
      </c>
      <c r="AG48" t="s">
        <v>275</v>
      </c>
      <c r="AK48" s="43" t="s">
        <v>259</v>
      </c>
      <c r="AL48" s="43" t="s">
        <v>259</v>
      </c>
      <c r="AO48" s="23"/>
      <c r="AP48" s="23"/>
      <c r="AQ48" s="23"/>
      <c r="BC48" t="s">
        <v>259</v>
      </c>
      <c r="BD48" s="43" t="s">
        <v>259</v>
      </c>
      <c r="BE48" s="43" t="s">
        <v>259</v>
      </c>
      <c r="BF48" s="43" t="s">
        <v>259</v>
      </c>
      <c r="BG48" s="43" t="s">
        <v>259</v>
      </c>
      <c r="BH48" t="s">
        <v>259</v>
      </c>
      <c r="BI48" s="43" t="s">
        <v>259</v>
      </c>
      <c r="BJ48">
        <v>0</v>
      </c>
      <c r="BK48">
        <v>44109</v>
      </c>
      <c r="BL48">
        <v>44356</v>
      </c>
      <c r="BM48">
        <v>8505</v>
      </c>
      <c r="BN48">
        <v>8505</v>
      </c>
      <c r="BO48">
        <v>8505</v>
      </c>
      <c r="BP48">
        <v>25515</v>
      </c>
      <c r="BQ48">
        <v>3300</v>
      </c>
      <c r="BR48">
        <v>400</v>
      </c>
      <c r="BS48">
        <v>400</v>
      </c>
      <c r="BT48">
        <v>4100</v>
      </c>
      <c r="BU48">
        <v>2100</v>
      </c>
      <c r="BV48">
        <v>2100</v>
      </c>
      <c r="BW48">
        <v>2100</v>
      </c>
      <c r="BX48">
        <v>6300</v>
      </c>
      <c r="BY48">
        <v>1200</v>
      </c>
      <c r="BZ48">
        <v>1200</v>
      </c>
      <c r="CA48">
        <v>1200</v>
      </c>
      <c r="CB48">
        <v>3600</v>
      </c>
      <c r="CC48">
        <v>0</v>
      </c>
      <c r="CD48">
        <v>0</v>
      </c>
      <c r="CE48">
        <v>0</v>
      </c>
      <c r="CF48">
        <v>0</v>
      </c>
      <c r="CG48">
        <v>39515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1154</v>
      </c>
      <c r="EJ48">
        <v>1154</v>
      </c>
      <c r="EK48">
        <v>1155</v>
      </c>
      <c r="EL48">
        <v>3500</v>
      </c>
      <c r="EM48">
        <v>37.065000000000005</v>
      </c>
      <c r="EN48">
        <v>660</v>
      </c>
      <c r="EO48">
        <v>660</v>
      </c>
      <c r="EP48">
        <v>660</v>
      </c>
      <c r="EQ48">
        <v>2000</v>
      </c>
      <c r="ER48">
        <v>21.18</v>
      </c>
      <c r="ES48">
        <v>0</v>
      </c>
      <c r="ET48">
        <v>0</v>
      </c>
      <c r="EU48">
        <v>0</v>
      </c>
      <c r="EV48">
        <v>0</v>
      </c>
      <c r="EW48">
        <v>0</v>
      </c>
      <c r="FA48">
        <v>0</v>
      </c>
      <c r="FE48">
        <v>0</v>
      </c>
      <c r="FI48">
        <v>0</v>
      </c>
      <c r="FJ48">
        <v>5441.7550000000001</v>
      </c>
      <c r="FK48">
        <v>39515</v>
      </c>
      <c r="FL48">
        <v>35580.43210392214</v>
      </c>
      <c r="FM48">
        <v>34073.245000000003</v>
      </c>
    </row>
    <row r="49" spans="1:169" x14ac:dyDescent="0.35">
      <c r="A49">
        <v>196960</v>
      </c>
      <c r="B49" t="s">
        <v>2002</v>
      </c>
      <c r="C49" t="s">
        <v>2003</v>
      </c>
      <c r="D49" t="s">
        <v>2004</v>
      </c>
      <c r="E49" s="43" t="s">
        <v>2005</v>
      </c>
      <c r="F49">
        <v>1</v>
      </c>
      <c r="I49">
        <v>43775</v>
      </c>
      <c r="J49" t="s">
        <v>3304</v>
      </c>
      <c r="K49" t="s">
        <v>1715</v>
      </c>
      <c r="L49" s="43" t="s">
        <v>3204</v>
      </c>
      <c r="M49" t="s">
        <v>2006</v>
      </c>
      <c r="N49" s="43" t="s">
        <v>2007</v>
      </c>
      <c r="O49" s="43" t="s">
        <v>2008</v>
      </c>
      <c r="P49" s="43" t="s">
        <v>384</v>
      </c>
      <c r="Q49" s="43" t="s">
        <v>2009</v>
      </c>
      <c r="R49">
        <v>3.6</v>
      </c>
      <c r="S49">
        <v>44109</v>
      </c>
      <c r="T49" t="s">
        <v>285</v>
      </c>
      <c r="U49" t="s">
        <v>286</v>
      </c>
      <c r="V49" t="s">
        <v>267</v>
      </c>
      <c r="W49" t="s">
        <v>1718</v>
      </c>
      <c r="X49" t="s">
        <v>1719</v>
      </c>
      <c r="Y49">
        <v>8772802835</v>
      </c>
      <c r="Z49" t="s">
        <v>270</v>
      </c>
      <c r="AA49" t="s">
        <v>271</v>
      </c>
      <c r="AB49">
        <v>22</v>
      </c>
      <c r="AC49">
        <v>0</v>
      </c>
      <c r="AD49">
        <v>110</v>
      </c>
      <c r="AE49" t="s">
        <v>445</v>
      </c>
      <c r="AF49">
        <v>4</v>
      </c>
      <c r="AG49" t="s">
        <v>275</v>
      </c>
      <c r="AH49">
        <v>26754</v>
      </c>
      <c r="AI49">
        <v>26754</v>
      </c>
      <c r="AJ49">
        <v>43774</v>
      </c>
      <c r="AK49" s="43" t="s">
        <v>3208</v>
      </c>
      <c r="AL49" s="43" t="s">
        <v>3209</v>
      </c>
      <c r="AO49" s="23"/>
      <c r="AP49" s="23"/>
      <c r="AQ49" s="23"/>
      <c r="BC49" t="s">
        <v>2018</v>
      </c>
      <c r="BD49" s="43" t="s">
        <v>2018</v>
      </c>
      <c r="BE49" s="43" t="s">
        <v>2018</v>
      </c>
      <c r="BF49" s="43" t="s">
        <v>2018</v>
      </c>
      <c r="BG49" s="43" t="s">
        <v>2018</v>
      </c>
      <c r="BH49" t="s">
        <v>2018</v>
      </c>
      <c r="BI49" s="43" t="s">
        <v>2018</v>
      </c>
      <c r="BJ49">
        <v>0</v>
      </c>
      <c r="BK49">
        <v>44109</v>
      </c>
      <c r="BL49">
        <v>44356</v>
      </c>
      <c r="BM49">
        <v>8505</v>
      </c>
      <c r="BN49">
        <v>8505</v>
      </c>
      <c r="BO49">
        <v>8505</v>
      </c>
      <c r="BP49">
        <v>25515</v>
      </c>
      <c r="BQ49">
        <v>3300</v>
      </c>
      <c r="BR49">
        <v>400</v>
      </c>
      <c r="BS49">
        <v>400</v>
      </c>
      <c r="BT49">
        <v>4100</v>
      </c>
      <c r="BU49">
        <v>2100</v>
      </c>
      <c r="BV49">
        <v>2100</v>
      </c>
      <c r="BW49">
        <v>2100</v>
      </c>
      <c r="BX49">
        <v>6300</v>
      </c>
      <c r="BY49">
        <v>1200</v>
      </c>
      <c r="BZ49">
        <v>1200</v>
      </c>
      <c r="CA49">
        <v>1200</v>
      </c>
      <c r="CB49">
        <v>3600</v>
      </c>
      <c r="CC49">
        <v>0</v>
      </c>
      <c r="CD49">
        <v>0</v>
      </c>
      <c r="CE49">
        <v>0</v>
      </c>
      <c r="CF49">
        <v>0</v>
      </c>
      <c r="CG49">
        <v>39515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1250</v>
      </c>
      <c r="CU49">
        <v>1250</v>
      </c>
      <c r="CV49">
        <v>1250</v>
      </c>
      <c r="CW49">
        <v>3750</v>
      </c>
      <c r="CX49">
        <v>0</v>
      </c>
      <c r="CY49">
        <v>0</v>
      </c>
      <c r="CZ49">
        <v>0</v>
      </c>
      <c r="DA49">
        <v>0</v>
      </c>
      <c r="DB49">
        <v>1000</v>
      </c>
      <c r="DC49">
        <v>1000</v>
      </c>
      <c r="DD49">
        <v>1000</v>
      </c>
      <c r="DE49">
        <v>3000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6750</v>
      </c>
      <c r="EE49">
        <v>0</v>
      </c>
      <c r="EF49">
        <v>0</v>
      </c>
      <c r="EG49">
        <v>0</v>
      </c>
      <c r="EH49">
        <v>0</v>
      </c>
      <c r="EI49">
        <v>1154</v>
      </c>
      <c r="EJ49">
        <v>1154</v>
      </c>
      <c r="EK49">
        <v>1155</v>
      </c>
      <c r="EL49">
        <v>3500</v>
      </c>
      <c r="EM49">
        <v>37.065000000000005</v>
      </c>
      <c r="EN49">
        <v>660</v>
      </c>
      <c r="EO49">
        <v>660</v>
      </c>
      <c r="EP49">
        <v>660</v>
      </c>
      <c r="EQ49">
        <v>2000</v>
      </c>
      <c r="ER49">
        <v>21.18</v>
      </c>
      <c r="ES49">
        <v>0</v>
      </c>
      <c r="ET49">
        <v>0</v>
      </c>
      <c r="EU49">
        <v>0</v>
      </c>
      <c r="EV49">
        <v>0</v>
      </c>
      <c r="EW49">
        <v>0</v>
      </c>
      <c r="FA49">
        <v>0</v>
      </c>
      <c r="FE49">
        <v>0</v>
      </c>
      <c r="FI49">
        <v>0</v>
      </c>
      <c r="FJ49">
        <v>5441.7550000000001</v>
      </c>
      <c r="FK49">
        <v>32765</v>
      </c>
      <c r="FL49">
        <v>28531.854350277765</v>
      </c>
      <c r="FM49">
        <v>27323.244999999999</v>
      </c>
    </row>
    <row r="50" spans="1:169" x14ac:dyDescent="0.35">
      <c r="A50">
        <v>195918</v>
      </c>
      <c r="B50" t="s">
        <v>2010</v>
      </c>
      <c r="C50" t="s">
        <v>2011</v>
      </c>
      <c r="D50" t="s">
        <v>2012</v>
      </c>
      <c r="E50" s="43" t="s">
        <v>2013</v>
      </c>
      <c r="F50">
        <v>1</v>
      </c>
      <c r="G50">
        <v>43756</v>
      </c>
      <c r="H50">
        <v>43775</v>
      </c>
      <c r="I50">
        <v>43775</v>
      </c>
      <c r="J50" t="s">
        <v>3306</v>
      </c>
      <c r="K50" t="s">
        <v>3307</v>
      </c>
      <c r="L50" s="43" t="s">
        <v>3204</v>
      </c>
      <c r="M50" t="s">
        <v>2014</v>
      </c>
      <c r="N50" s="43" t="s">
        <v>2015</v>
      </c>
      <c r="O50" s="43" t="s">
        <v>2016</v>
      </c>
      <c r="P50" s="43" t="s">
        <v>332</v>
      </c>
      <c r="Q50" s="43" t="s">
        <v>2017</v>
      </c>
      <c r="R50">
        <v>2.08</v>
      </c>
      <c r="S50">
        <v>44109</v>
      </c>
      <c r="T50" t="s">
        <v>311</v>
      </c>
      <c r="U50" t="s">
        <v>286</v>
      </c>
      <c r="V50" t="s">
        <v>267</v>
      </c>
      <c r="W50" t="s">
        <v>1718</v>
      </c>
      <c r="X50" t="s">
        <v>1719</v>
      </c>
      <c r="Y50">
        <v>8772802835</v>
      </c>
      <c r="Z50" t="s">
        <v>508</v>
      </c>
      <c r="AA50" t="s">
        <v>271</v>
      </c>
      <c r="AB50">
        <v>27</v>
      </c>
      <c r="AC50">
        <v>0</v>
      </c>
      <c r="AD50">
        <v>92</v>
      </c>
      <c r="AE50" t="s">
        <v>324</v>
      </c>
      <c r="AF50">
        <v>8</v>
      </c>
      <c r="AG50" t="s">
        <v>275</v>
      </c>
      <c r="AH50">
        <v>0</v>
      </c>
      <c r="AI50">
        <v>0</v>
      </c>
      <c r="AJ50">
        <v>43774</v>
      </c>
      <c r="AK50" s="43" t="s">
        <v>3208</v>
      </c>
      <c r="AL50" s="43" t="s">
        <v>3209</v>
      </c>
      <c r="AM50">
        <v>43776</v>
      </c>
      <c r="AN50">
        <v>43776</v>
      </c>
      <c r="AO50" s="23">
        <v>43760</v>
      </c>
      <c r="AP50" s="23">
        <v>43760</v>
      </c>
      <c r="AQ50" s="23">
        <v>43760</v>
      </c>
      <c r="BC50" t="s">
        <v>2018</v>
      </c>
      <c r="BD50" s="43" t="s">
        <v>2018</v>
      </c>
      <c r="BE50" s="43" t="s">
        <v>2018</v>
      </c>
      <c r="BF50" s="43" t="s">
        <v>2018</v>
      </c>
      <c r="BG50" s="43" t="s">
        <v>2018</v>
      </c>
      <c r="BH50" t="s">
        <v>2018</v>
      </c>
      <c r="BI50" s="43" t="s">
        <v>2018</v>
      </c>
      <c r="BJ50">
        <v>0.3125</v>
      </c>
      <c r="BK50">
        <v>44109</v>
      </c>
      <c r="BL50">
        <v>44356</v>
      </c>
      <c r="BM50">
        <v>8505</v>
      </c>
      <c r="BN50">
        <v>8505</v>
      </c>
      <c r="BO50">
        <v>8505</v>
      </c>
      <c r="BP50">
        <v>25515</v>
      </c>
      <c r="BQ50">
        <v>3300</v>
      </c>
      <c r="BR50">
        <v>400</v>
      </c>
      <c r="BS50">
        <v>400</v>
      </c>
      <c r="BT50">
        <v>4100</v>
      </c>
      <c r="BU50">
        <v>2100</v>
      </c>
      <c r="BV50">
        <v>2100</v>
      </c>
      <c r="BW50">
        <v>2100</v>
      </c>
      <c r="BX50">
        <v>6300</v>
      </c>
      <c r="BY50">
        <v>600</v>
      </c>
      <c r="BZ50">
        <v>600</v>
      </c>
      <c r="CA50">
        <v>600</v>
      </c>
      <c r="CB50">
        <v>1800</v>
      </c>
      <c r="CC50">
        <v>0</v>
      </c>
      <c r="CD50">
        <v>0</v>
      </c>
      <c r="CE50">
        <v>0</v>
      </c>
      <c r="CF50">
        <v>0</v>
      </c>
      <c r="CG50">
        <v>37715</v>
      </c>
      <c r="CH50">
        <v>0</v>
      </c>
      <c r="CI50">
        <v>0</v>
      </c>
      <c r="CJ50">
        <v>0</v>
      </c>
      <c r="CK50">
        <v>0</v>
      </c>
      <c r="CL50">
        <v>2065</v>
      </c>
      <c r="CM50">
        <v>2065</v>
      </c>
      <c r="CN50">
        <v>2065</v>
      </c>
      <c r="CO50">
        <v>6195</v>
      </c>
      <c r="CP50">
        <v>500</v>
      </c>
      <c r="CQ50">
        <v>500</v>
      </c>
      <c r="CR50">
        <v>500</v>
      </c>
      <c r="CS50">
        <v>1500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1000</v>
      </c>
      <c r="DC50">
        <v>1000</v>
      </c>
      <c r="DD50">
        <v>1000</v>
      </c>
      <c r="DE50">
        <v>3000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10695</v>
      </c>
      <c r="EE50">
        <v>0</v>
      </c>
      <c r="EF50">
        <v>0</v>
      </c>
      <c r="EG50">
        <v>0</v>
      </c>
      <c r="EH50">
        <v>0</v>
      </c>
      <c r="EI50">
        <v>1154</v>
      </c>
      <c r="EJ50">
        <v>1154</v>
      </c>
      <c r="EK50">
        <v>1155</v>
      </c>
      <c r="EL50">
        <v>3500</v>
      </c>
      <c r="EM50">
        <v>37.065000000000005</v>
      </c>
      <c r="EN50">
        <v>660</v>
      </c>
      <c r="EO50">
        <v>660</v>
      </c>
      <c r="EP50">
        <v>660</v>
      </c>
      <c r="EQ50">
        <v>2000</v>
      </c>
      <c r="ER50">
        <v>21.18</v>
      </c>
      <c r="ES50">
        <v>7206</v>
      </c>
      <c r="ET50">
        <v>7206</v>
      </c>
      <c r="EU50">
        <v>7206</v>
      </c>
      <c r="EV50">
        <v>22533</v>
      </c>
      <c r="EW50">
        <v>954.49788000000001</v>
      </c>
      <c r="FA50">
        <v>0</v>
      </c>
      <c r="FE50">
        <v>0</v>
      </c>
      <c r="FI50">
        <v>0</v>
      </c>
      <c r="FJ50">
        <v>27020.257120000002</v>
      </c>
      <c r="FK50">
        <v>27020</v>
      </c>
      <c r="FL50">
        <v>-0.26849337956020281</v>
      </c>
      <c r="FM50">
        <v>-0.25712000000203261</v>
      </c>
    </row>
    <row r="51" spans="1:169" x14ac:dyDescent="0.35">
      <c r="A51">
        <v>198364</v>
      </c>
      <c r="B51" t="s">
        <v>2019</v>
      </c>
      <c r="C51" t="s">
        <v>2020</v>
      </c>
      <c r="D51" t="s">
        <v>2021</v>
      </c>
      <c r="E51" s="43" t="s">
        <v>2022</v>
      </c>
      <c r="F51">
        <v>1</v>
      </c>
      <c r="I51">
        <v>43783</v>
      </c>
      <c r="J51" t="s">
        <v>3304</v>
      </c>
      <c r="K51" t="s">
        <v>1715</v>
      </c>
      <c r="L51" s="43" t="s">
        <v>3204</v>
      </c>
      <c r="M51" t="s">
        <v>2023</v>
      </c>
      <c r="N51" s="43" t="s">
        <v>2024</v>
      </c>
      <c r="O51" s="43" t="s">
        <v>462</v>
      </c>
      <c r="P51" s="43" t="s">
        <v>342</v>
      </c>
      <c r="Q51" s="43" t="s">
        <v>463</v>
      </c>
      <c r="R51">
        <v>3.78</v>
      </c>
      <c r="S51">
        <v>44109</v>
      </c>
      <c r="T51" t="s">
        <v>311</v>
      </c>
      <c r="U51" t="s">
        <v>266</v>
      </c>
      <c r="V51" t="s">
        <v>267</v>
      </c>
      <c r="W51" t="s">
        <v>1718</v>
      </c>
      <c r="X51" t="s">
        <v>1719</v>
      </c>
      <c r="Y51">
        <v>8772802835</v>
      </c>
      <c r="Z51" t="s">
        <v>270</v>
      </c>
      <c r="AA51" t="s">
        <v>271</v>
      </c>
      <c r="AB51">
        <v>0</v>
      </c>
      <c r="AC51">
        <v>0</v>
      </c>
      <c r="AD51">
        <v>0</v>
      </c>
      <c r="AE51" t="s">
        <v>301</v>
      </c>
      <c r="AF51">
        <v>1</v>
      </c>
      <c r="AG51" t="s">
        <v>275</v>
      </c>
      <c r="AH51">
        <v>0</v>
      </c>
      <c r="AI51">
        <v>0</v>
      </c>
      <c r="AJ51">
        <v>43774</v>
      </c>
      <c r="AK51" s="43" t="s">
        <v>3208</v>
      </c>
      <c r="AL51" s="43" t="s">
        <v>3209</v>
      </c>
      <c r="AO51" s="23"/>
      <c r="AP51" s="23"/>
      <c r="AQ51" s="23"/>
      <c r="BC51" t="s">
        <v>2018</v>
      </c>
      <c r="BD51" s="43" t="s">
        <v>2018</v>
      </c>
      <c r="BE51" s="43" t="s">
        <v>2018</v>
      </c>
      <c r="BF51" s="43" t="s">
        <v>2018</v>
      </c>
      <c r="BG51" s="43" t="s">
        <v>2018</v>
      </c>
      <c r="BH51" t="s">
        <v>2018</v>
      </c>
      <c r="BI51" s="43" t="s">
        <v>2018</v>
      </c>
      <c r="BJ51">
        <v>0</v>
      </c>
      <c r="BK51">
        <v>44109</v>
      </c>
      <c r="BL51">
        <v>44356</v>
      </c>
      <c r="BM51">
        <v>8505</v>
      </c>
      <c r="BN51">
        <v>8505</v>
      </c>
      <c r="BO51">
        <v>8505</v>
      </c>
      <c r="BP51">
        <v>25515</v>
      </c>
      <c r="BQ51">
        <v>3300</v>
      </c>
      <c r="BR51">
        <v>400</v>
      </c>
      <c r="BS51">
        <v>400</v>
      </c>
      <c r="BT51">
        <v>4100</v>
      </c>
      <c r="BU51">
        <v>2100</v>
      </c>
      <c r="BV51">
        <v>2100</v>
      </c>
      <c r="BW51">
        <v>2100</v>
      </c>
      <c r="BX51">
        <v>6300</v>
      </c>
      <c r="BY51">
        <v>1200</v>
      </c>
      <c r="BZ51">
        <v>1200</v>
      </c>
      <c r="CA51">
        <v>1200</v>
      </c>
      <c r="CB51">
        <v>3600</v>
      </c>
      <c r="CC51">
        <v>0</v>
      </c>
      <c r="CD51">
        <v>0</v>
      </c>
      <c r="CE51">
        <v>0</v>
      </c>
      <c r="CF51">
        <v>0</v>
      </c>
      <c r="CG51">
        <v>39515</v>
      </c>
      <c r="CH51">
        <v>0</v>
      </c>
      <c r="CI51">
        <v>0</v>
      </c>
      <c r="CJ51">
        <v>0</v>
      </c>
      <c r="CK51">
        <v>0</v>
      </c>
      <c r="CL51">
        <v>2065</v>
      </c>
      <c r="CM51">
        <v>2065</v>
      </c>
      <c r="CN51">
        <v>2065</v>
      </c>
      <c r="CO51">
        <v>6195</v>
      </c>
      <c r="CP51">
        <v>500</v>
      </c>
      <c r="CQ51">
        <v>500</v>
      </c>
      <c r="CR51">
        <v>500</v>
      </c>
      <c r="CS51">
        <v>1500</v>
      </c>
      <c r="CT51">
        <v>1700</v>
      </c>
      <c r="CU51">
        <v>1700</v>
      </c>
      <c r="CV51">
        <v>1700</v>
      </c>
      <c r="CW51">
        <v>5100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12795</v>
      </c>
      <c r="EE51">
        <v>0</v>
      </c>
      <c r="EF51">
        <v>0</v>
      </c>
      <c r="EG51">
        <v>0</v>
      </c>
      <c r="EH51">
        <v>0</v>
      </c>
      <c r="EI51">
        <v>1154</v>
      </c>
      <c r="EJ51">
        <v>1154</v>
      </c>
      <c r="EK51">
        <v>1155</v>
      </c>
      <c r="EL51">
        <v>3500</v>
      </c>
      <c r="EM51">
        <v>37.065000000000005</v>
      </c>
      <c r="EN51">
        <v>660</v>
      </c>
      <c r="EO51">
        <v>660</v>
      </c>
      <c r="EP51">
        <v>660</v>
      </c>
      <c r="EQ51">
        <v>2000</v>
      </c>
      <c r="ER51">
        <v>21.18</v>
      </c>
      <c r="ES51">
        <v>0</v>
      </c>
      <c r="ET51">
        <v>0</v>
      </c>
      <c r="EU51">
        <v>0</v>
      </c>
      <c r="EV51">
        <v>0</v>
      </c>
      <c r="EW51">
        <v>0</v>
      </c>
      <c r="FA51">
        <v>0</v>
      </c>
      <c r="FE51">
        <v>0</v>
      </c>
      <c r="FI51">
        <v>0</v>
      </c>
      <c r="FJ51">
        <v>5441.7550000000001</v>
      </c>
      <c r="FK51">
        <v>26720</v>
      </c>
      <c r="FL51">
        <v>22219.461384236245</v>
      </c>
      <c r="FM51">
        <v>21278.244999999999</v>
      </c>
    </row>
    <row r="52" spans="1:169" x14ac:dyDescent="0.35">
      <c r="A52">
        <v>198898</v>
      </c>
      <c r="B52" t="s">
        <v>2025</v>
      </c>
      <c r="C52" t="s">
        <v>2026</v>
      </c>
      <c r="D52" t="s">
        <v>2027</v>
      </c>
      <c r="E52" s="43" t="s">
        <v>2028</v>
      </c>
      <c r="F52">
        <v>1</v>
      </c>
      <c r="G52">
        <v>43780</v>
      </c>
      <c r="H52">
        <v>43789</v>
      </c>
      <c r="I52">
        <v>43789</v>
      </c>
      <c r="J52" t="s">
        <v>3335</v>
      </c>
      <c r="K52" t="s">
        <v>1715</v>
      </c>
      <c r="L52" s="43" t="s">
        <v>3204</v>
      </c>
      <c r="M52" t="s">
        <v>2029</v>
      </c>
      <c r="N52" s="43" t="s">
        <v>2030</v>
      </c>
      <c r="O52" s="43" t="s">
        <v>1426</v>
      </c>
      <c r="P52" s="43" t="s">
        <v>297</v>
      </c>
      <c r="Q52" s="43" t="s">
        <v>2031</v>
      </c>
      <c r="S52">
        <v>44109</v>
      </c>
      <c r="T52" t="s">
        <v>311</v>
      </c>
      <c r="U52" t="s">
        <v>266</v>
      </c>
      <c r="V52" t="s">
        <v>267</v>
      </c>
      <c r="W52" t="s">
        <v>1718</v>
      </c>
      <c r="X52" t="s">
        <v>1719</v>
      </c>
      <c r="Y52">
        <v>8772802835</v>
      </c>
      <c r="Z52" t="s">
        <v>270</v>
      </c>
      <c r="AA52" t="s">
        <v>271</v>
      </c>
      <c r="AB52">
        <v>0</v>
      </c>
      <c r="AC52">
        <v>950</v>
      </c>
      <c r="AD52">
        <v>101</v>
      </c>
      <c r="AE52" t="s">
        <v>301</v>
      </c>
      <c r="AF52">
        <v>1</v>
      </c>
      <c r="AG52" t="s">
        <v>446</v>
      </c>
      <c r="AH52">
        <v>30226</v>
      </c>
      <c r="AI52">
        <v>30226</v>
      </c>
      <c r="AJ52">
        <v>43776</v>
      </c>
      <c r="AK52" s="43" t="s">
        <v>3208</v>
      </c>
      <c r="AL52" s="43" t="s">
        <v>3209</v>
      </c>
      <c r="AM52">
        <v>43789</v>
      </c>
      <c r="AN52">
        <v>43789</v>
      </c>
      <c r="AO52" s="23">
        <v>43776</v>
      </c>
      <c r="AP52" s="23">
        <v>43779</v>
      </c>
      <c r="AQ52" s="23">
        <v>43779</v>
      </c>
      <c r="BC52" t="s">
        <v>2018</v>
      </c>
      <c r="BD52" s="43" t="s">
        <v>2018</v>
      </c>
      <c r="BE52" s="43" t="s">
        <v>2018</v>
      </c>
      <c r="BF52" s="43" t="s">
        <v>2018</v>
      </c>
      <c r="BG52" s="43" t="s">
        <v>2018</v>
      </c>
      <c r="BH52" t="s">
        <v>2018</v>
      </c>
      <c r="BI52" s="43" t="s">
        <v>2018</v>
      </c>
      <c r="BJ52">
        <v>0.3125</v>
      </c>
      <c r="BK52">
        <v>44109</v>
      </c>
      <c r="BL52">
        <v>44356</v>
      </c>
      <c r="BM52">
        <v>8505</v>
      </c>
      <c r="BN52">
        <v>8505</v>
      </c>
      <c r="BO52">
        <v>8505</v>
      </c>
      <c r="BP52">
        <v>25515</v>
      </c>
      <c r="BQ52">
        <v>3300</v>
      </c>
      <c r="BR52">
        <v>400</v>
      </c>
      <c r="BS52">
        <v>400</v>
      </c>
      <c r="BT52">
        <v>4100</v>
      </c>
      <c r="BU52">
        <v>2100</v>
      </c>
      <c r="BV52">
        <v>2100</v>
      </c>
      <c r="BW52">
        <v>2100</v>
      </c>
      <c r="BX52">
        <v>6300</v>
      </c>
      <c r="BY52">
        <v>1200</v>
      </c>
      <c r="BZ52">
        <v>1200</v>
      </c>
      <c r="CA52">
        <v>1200</v>
      </c>
      <c r="CB52">
        <v>3600</v>
      </c>
      <c r="CC52">
        <v>0</v>
      </c>
      <c r="CD52">
        <v>0</v>
      </c>
      <c r="CE52">
        <v>0</v>
      </c>
      <c r="CF52">
        <v>0</v>
      </c>
      <c r="CG52">
        <v>39515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1700</v>
      </c>
      <c r="CU52">
        <v>1700</v>
      </c>
      <c r="CV52">
        <v>1700</v>
      </c>
      <c r="CW52">
        <v>5100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5100</v>
      </c>
      <c r="EE52">
        <v>0</v>
      </c>
      <c r="EF52">
        <v>0</v>
      </c>
      <c r="EG52">
        <v>0</v>
      </c>
      <c r="EH52">
        <v>0</v>
      </c>
      <c r="EI52">
        <v>1154</v>
      </c>
      <c r="EJ52">
        <v>1154</v>
      </c>
      <c r="EK52">
        <v>1155</v>
      </c>
      <c r="EL52">
        <v>3500</v>
      </c>
      <c r="EM52">
        <v>37.065000000000005</v>
      </c>
      <c r="EN52">
        <v>660</v>
      </c>
      <c r="EO52">
        <v>660</v>
      </c>
      <c r="EP52">
        <v>660</v>
      </c>
      <c r="EQ52">
        <v>2000</v>
      </c>
      <c r="ER52">
        <v>21.18</v>
      </c>
      <c r="ES52">
        <v>9675</v>
      </c>
      <c r="ET52">
        <v>9675</v>
      </c>
      <c r="EU52">
        <v>9675</v>
      </c>
      <c r="EV52">
        <v>30255</v>
      </c>
      <c r="EW52">
        <v>1281.6018000000001</v>
      </c>
      <c r="FA52">
        <v>0</v>
      </c>
      <c r="FE52">
        <v>0</v>
      </c>
      <c r="FI52">
        <v>0</v>
      </c>
      <c r="FJ52">
        <v>34415.153200000001</v>
      </c>
      <c r="FK52">
        <v>34415</v>
      </c>
      <c r="FL52">
        <v>-0.15997660916487608</v>
      </c>
      <c r="FM52">
        <v>-0.15320000000065193</v>
      </c>
    </row>
    <row r="53" spans="1:169" x14ac:dyDescent="0.35">
      <c r="A53">
        <v>195321</v>
      </c>
      <c r="B53" t="s">
        <v>2032</v>
      </c>
      <c r="C53" t="s">
        <v>1244</v>
      </c>
      <c r="D53" t="s">
        <v>2033</v>
      </c>
      <c r="E53" s="43" t="s">
        <v>2034</v>
      </c>
      <c r="F53">
        <v>1</v>
      </c>
      <c r="G53">
        <v>43787</v>
      </c>
      <c r="H53">
        <v>43794</v>
      </c>
      <c r="I53">
        <v>43804</v>
      </c>
      <c r="J53" t="s">
        <v>4240</v>
      </c>
      <c r="K53" t="s">
        <v>1715</v>
      </c>
      <c r="L53" s="43" t="s">
        <v>3204</v>
      </c>
      <c r="M53" t="s">
        <v>2035</v>
      </c>
      <c r="N53" s="43" t="s">
        <v>2036</v>
      </c>
      <c r="O53" s="43" t="s">
        <v>2037</v>
      </c>
      <c r="P53" s="43" t="s">
        <v>608</v>
      </c>
      <c r="Q53" s="43" t="s">
        <v>2038</v>
      </c>
      <c r="R53">
        <v>3.5</v>
      </c>
      <c r="S53">
        <v>44109</v>
      </c>
      <c r="T53" t="s">
        <v>311</v>
      </c>
      <c r="U53" t="s">
        <v>266</v>
      </c>
      <c r="V53" t="s">
        <v>1549</v>
      </c>
      <c r="W53" t="s">
        <v>1718</v>
      </c>
      <c r="X53" t="s">
        <v>1719</v>
      </c>
      <c r="Y53">
        <v>8772802835</v>
      </c>
      <c r="Z53" t="s">
        <v>508</v>
      </c>
      <c r="AA53" t="s">
        <v>271</v>
      </c>
      <c r="AB53">
        <v>17</v>
      </c>
      <c r="AC53">
        <v>0</v>
      </c>
      <c r="AD53">
        <v>99</v>
      </c>
      <c r="AE53" t="s">
        <v>445</v>
      </c>
      <c r="AF53">
        <v>4</v>
      </c>
      <c r="AG53" t="s">
        <v>275</v>
      </c>
      <c r="AH53">
        <v>7473</v>
      </c>
      <c r="AI53">
        <v>7473</v>
      </c>
      <c r="AJ53">
        <v>43801</v>
      </c>
      <c r="AK53" s="43" t="s">
        <v>3208</v>
      </c>
      <c r="AL53" s="43" t="s">
        <v>3209</v>
      </c>
      <c r="AO53" s="23">
        <v>43793</v>
      </c>
      <c r="AP53" s="23"/>
      <c r="AQ53" s="23"/>
      <c r="BC53" t="s">
        <v>2018</v>
      </c>
      <c r="BD53" s="43" t="s">
        <v>2018</v>
      </c>
      <c r="BE53" s="43" t="s">
        <v>2018</v>
      </c>
      <c r="BF53" s="43" t="s">
        <v>2018</v>
      </c>
      <c r="BG53" s="43" t="s">
        <v>2018</v>
      </c>
      <c r="BH53" t="s">
        <v>2018</v>
      </c>
      <c r="BI53" s="43" t="s">
        <v>2018</v>
      </c>
      <c r="BJ53">
        <v>6.25E-2</v>
      </c>
      <c r="BK53">
        <v>44109</v>
      </c>
      <c r="BL53">
        <v>44356</v>
      </c>
      <c r="BM53">
        <v>8505</v>
      </c>
      <c r="BN53">
        <v>8505</v>
      </c>
      <c r="BO53">
        <v>8505</v>
      </c>
      <c r="BP53">
        <v>25515</v>
      </c>
      <c r="BQ53">
        <v>3300</v>
      </c>
      <c r="BR53">
        <v>400</v>
      </c>
      <c r="BS53">
        <v>400</v>
      </c>
      <c r="BT53">
        <v>4100</v>
      </c>
      <c r="BU53">
        <v>2100</v>
      </c>
      <c r="BV53">
        <v>2100</v>
      </c>
      <c r="BW53">
        <v>2100</v>
      </c>
      <c r="BX53">
        <v>6300</v>
      </c>
      <c r="BY53">
        <v>1200</v>
      </c>
      <c r="BZ53">
        <v>1200</v>
      </c>
      <c r="CA53">
        <v>1200</v>
      </c>
      <c r="CB53">
        <v>3600</v>
      </c>
      <c r="CC53">
        <v>0</v>
      </c>
      <c r="CD53">
        <v>0</v>
      </c>
      <c r="CE53">
        <v>0</v>
      </c>
      <c r="CF53">
        <v>0</v>
      </c>
      <c r="CG53">
        <v>39515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1250</v>
      </c>
      <c r="CU53">
        <v>1250</v>
      </c>
      <c r="CV53">
        <v>1250</v>
      </c>
      <c r="CW53">
        <v>3750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3750</v>
      </c>
      <c r="EE53">
        <v>0</v>
      </c>
      <c r="EF53">
        <v>0</v>
      </c>
      <c r="EG53">
        <v>0</v>
      </c>
      <c r="EH53">
        <v>0</v>
      </c>
      <c r="EI53">
        <v>1154</v>
      </c>
      <c r="EJ53">
        <v>1154</v>
      </c>
      <c r="EK53">
        <v>1155</v>
      </c>
      <c r="EL53">
        <v>3500</v>
      </c>
      <c r="EM53">
        <v>37.065000000000005</v>
      </c>
      <c r="EN53">
        <v>660</v>
      </c>
      <c r="EO53">
        <v>660</v>
      </c>
      <c r="EP53">
        <v>660</v>
      </c>
      <c r="EQ53">
        <v>2000</v>
      </c>
      <c r="ER53">
        <v>21.18</v>
      </c>
      <c r="ES53">
        <v>0</v>
      </c>
      <c r="ET53">
        <v>0</v>
      </c>
      <c r="EU53">
        <v>0</v>
      </c>
      <c r="EV53">
        <v>0</v>
      </c>
      <c r="EW53">
        <v>0</v>
      </c>
      <c r="FA53">
        <v>0</v>
      </c>
      <c r="FE53">
        <v>0</v>
      </c>
      <c r="FI53">
        <v>0</v>
      </c>
      <c r="FJ53">
        <v>5441.7550000000001</v>
      </c>
      <c r="FK53">
        <v>35765</v>
      </c>
      <c r="FL53">
        <v>31664.555574119709</v>
      </c>
      <c r="FM53">
        <v>30323.244999999999</v>
      </c>
    </row>
    <row r="54" spans="1:169" x14ac:dyDescent="0.35">
      <c r="A54">
        <v>195877</v>
      </c>
      <c r="B54" t="s">
        <v>2032</v>
      </c>
      <c r="C54" t="s">
        <v>2039</v>
      </c>
      <c r="D54" t="s">
        <v>2040</v>
      </c>
      <c r="E54" s="43" t="s">
        <v>2041</v>
      </c>
      <c r="F54">
        <v>1</v>
      </c>
      <c r="G54">
        <v>43787</v>
      </c>
      <c r="H54">
        <v>43787</v>
      </c>
      <c r="I54">
        <v>43787</v>
      </c>
      <c r="J54" t="s">
        <v>3639</v>
      </c>
      <c r="K54" t="s">
        <v>1715</v>
      </c>
      <c r="L54" s="43" t="s">
        <v>3204</v>
      </c>
      <c r="M54" t="s">
        <v>2042</v>
      </c>
      <c r="N54" s="43" t="s">
        <v>2043</v>
      </c>
      <c r="O54" s="43" t="s">
        <v>2037</v>
      </c>
      <c r="P54" s="43" t="s">
        <v>608</v>
      </c>
      <c r="Q54" s="43" t="s">
        <v>2038</v>
      </c>
      <c r="R54">
        <v>3.5476000000000001</v>
      </c>
      <c r="S54">
        <v>44109</v>
      </c>
      <c r="T54" t="s">
        <v>265</v>
      </c>
      <c r="U54" t="s">
        <v>286</v>
      </c>
      <c r="V54" t="s">
        <v>267</v>
      </c>
      <c r="W54" t="s">
        <v>1718</v>
      </c>
      <c r="X54" t="s">
        <v>1719</v>
      </c>
      <c r="Y54">
        <v>8772802835</v>
      </c>
      <c r="Z54" t="s">
        <v>270</v>
      </c>
      <c r="AA54" t="s">
        <v>271</v>
      </c>
      <c r="AB54">
        <v>19</v>
      </c>
      <c r="AC54">
        <v>0</v>
      </c>
      <c r="AD54">
        <v>104</v>
      </c>
      <c r="AE54" t="s">
        <v>364</v>
      </c>
      <c r="AF54">
        <v>3</v>
      </c>
      <c r="AG54" t="s">
        <v>275</v>
      </c>
      <c r="AH54">
        <v>5183</v>
      </c>
      <c r="AI54">
        <v>5183</v>
      </c>
      <c r="AJ54">
        <v>43790</v>
      </c>
      <c r="AK54" s="43" t="s">
        <v>1715</v>
      </c>
      <c r="AL54" s="43" t="s">
        <v>259</v>
      </c>
      <c r="AO54" s="23"/>
      <c r="AP54" s="23"/>
      <c r="AQ54" s="23"/>
      <c r="BC54" t="s">
        <v>259</v>
      </c>
      <c r="BD54" s="43" t="s">
        <v>259</v>
      </c>
      <c r="BE54" s="43" t="s">
        <v>259</v>
      </c>
      <c r="BF54" s="43" t="s">
        <v>259</v>
      </c>
      <c r="BG54" s="43" t="s">
        <v>259</v>
      </c>
      <c r="BH54" t="s">
        <v>259</v>
      </c>
      <c r="BI54" s="43" t="s">
        <v>259</v>
      </c>
      <c r="BJ54">
        <v>0</v>
      </c>
      <c r="BK54">
        <v>44109</v>
      </c>
      <c r="BL54">
        <v>44356</v>
      </c>
      <c r="BM54">
        <v>8505</v>
      </c>
      <c r="BN54">
        <v>8505</v>
      </c>
      <c r="BO54">
        <v>8505</v>
      </c>
      <c r="BP54">
        <v>25515</v>
      </c>
      <c r="BQ54">
        <v>3300</v>
      </c>
      <c r="BR54">
        <v>400</v>
      </c>
      <c r="BS54">
        <v>400</v>
      </c>
      <c r="BT54">
        <v>4100</v>
      </c>
      <c r="BU54">
        <v>2100</v>
      </c>
      <c r="BV54">
        <v>2100</v>
      </c>
      <c r="BW54">
        <v>2100</v>
      </c>
      <c r="BX54">
        <v>6300</v>
      </c>
      <c r="BY54">
        <v>1200</v>
      </c>
      <c r="BZ54">
        <v>1200</v>
      </c>
      <c r="CA54">
        <v>1200</v>
      </c>
      <c r="CB54">
        <v>3600</v>
      </c>
      <c r="CC54">
        <v>0</v>
      </c>
      <c r="CD54">
        <v>0</v>
      </c>
      <c r="CE54">
        <v>0</v>
      </c>
      <c r="CF54">
        <v>0</v>
      </c>
      <c r="CG54">
        <v>39515</v>
      </c>
      <c r="CH54">
        <v>0</v>
      </c>
      <c r="CI54">
        <v>0</v>
      </c>
      <c r="CJ54">
        <v>0</v>
      </c>
      <c r="CK54">
        <v>0</v>
      </c>
      <c r="CL54">
        <v>349</v>
      </c>
      <c r="CM54">
        <v>348</v>
      </c>
      <c r="CN54">
        <v>348</v>
      </c>
      <c r="CO54">
        <v>1045</v>
      </c>
      <c r="CP54">
        <v>500</v>
      </c>
      <c r="CQ54">
        <v>500</v>
      </c>
      <c r="CR54">
        <v>500</v>
      </c>
      <c r="CS54">
        <v>1500</v>
      </c>
      <c r="CT54">
        <v>1300</v>
      </c>
      <c r="CU54">
        <v>1300</v>
      </c>
      <c r="CV54">
        <v>1300</v>
      </c>
      <c r="CW54">
        <v>3900</v>
      </c>
      <c r="CX54">
        <v>0</v>
      </c>
      <c r="CY54">
        <v>0</v>
      </c>
      <c r="CZ54">
        <v>0</v>
      </c>
      <c r="DA54">
        <v>0</v>
      </c>
      <c r="DB54">
        <v>1000</v>
      </c>
      <c r="DC54">
        <v>1000</v>
      </c>
      <c r="DD54">
        <v>1000</v>
      </c>
      <c r="DE54">
        <v>3000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9445</v>
      </c>
      <c r="EE54">
        <v>0</v>
      </c>
      <c r="EF54">
        <v>0</v>
      </c>
      <c r="EG54">
        <v>0</v>
      </c>
      <c r="EH54">
        <v>0</v>
      </c>
      <c r="EI54">
        <v>1154</v>
      </c>
      <c r="EJ54">
        <v>1154</v>
      </c>
      <c r="EK54">
        <v>1155</v>
      </c>
      <c r="EL54">
        <v>3500</v>
      </c>
      <c r="EM54">
        <v>37.065000000000005</v>
      </c>
      <c r="EN54">
        <v>660</v>
      </c>
      <c r="EO54">
        <v>660</v>
      </c>
      <c r="EP54">
        <v>660</v>
      </c>
      <c r="EQ54">
        <v>2000</v>
      </c>
      <c r="ER54">
        <v>21.18</v>
      </c>
      <c r="ES54">
        <v>0</v>
      </c>
      <c r="ET54">
        <v>0</v>
      </c>
      <c r="EU54">
        <v>0</v>
      </c>
      <c r="EV54">
        <v>0</v>
      </c>
      <c r="EW54">
        <v>0</v>
      </c>
      <c r="FA54">
        <v>0</v>
      </c>
      <c r="FE54">
        <v>0</v>
      </c>
      <c r="FI54">
        <v>0</v>
      </c>
      <c r="FJ54">
        <v>5441.7550000000001</v>
      </c>
      <c r="FK54">
        <v>30070</v>
      </c>
      <c r="FL54">
        <v>25717.644417526415</v>
      </c>
      <c r="FM54">
        <v>24628.244999999999</v>
      </c>
    </row>
    <row r="55" spans="1:169" x14ac:dyDescent="0.35">
      <c r="A55">
        <v>192381</v>
      </c>
      <c r="B55" t="s">
        <v>2044</v>
      </c>
      <c r="C55" t="s">
        <v>1533</v>
      </c>
      <c r="D55" t="s">
        <v>2045</v>
      </c>
      <c r="E55" s="43" t="s">
        <v>2046</v>
      </c>
      <c r="F55">
        <v>1</v>
      </c>
      <c r="I55">
        <v>43776</v>
      </c>
      <c r="J55" t="s">
        <v>3304</v>
      </c>
      <c r="K55" t="s">
        <v>1715</v>
      </c>
      <c r="L55" s="43" t="s">
        <v>259</v>
      </c>
      <c r="M55" t="s">
        <v>2047</v>
      </c>
      <c r="N55" s="43" t="s">
        <v>2048</v>
      </c>
      <c r="O55" s="43" t="s">
        <v>2049</v>
      </c>
      <c r="P55" s="43" t="s">
        <v>735</v>
      </c>
      <c r="Q55" s="43" t="s">
        <v>2050</v>
      </c>
      <c r="R55">
        <v>4</v>
      </c>
      <c r="S55">
        <v>44109</v>
      </c>
      <c r="T55" t="s">
        <v>311</v>
      </c>
      <c r="U55" t="s">
        <v>266</v>
      </c>
      <c r="V55" t="s">
        <v>267</v>
      </c>
      <c r="W55" t="s">
        <v>1718</v>
      </c>
      <c r="X55" t="s">
        <v>1719</v>
      </c>
      <c r="Y55">
        <v>8772802835</v>
      </c>
      <c r="Z55" t="s">
        <v>270</v>
      </c>
      <c r="AA55" t="s">
        <v>271</v>
      </c>
      <c r="AB55">
        <v>27</v>
      </c>
      <c r="AC55">
        <v>1250</v>
      </c>
      <c r="AD55">
        <v>127</v>
      </c>
      <c r="AE55" t="s">
        <v>301</v>
      </c>
      <c r="AF55">
        <v>1</v>
      </c>
      <c r="AG55" t="s">
        <v>275</v>
      </c>
      <c r="AK55" s="43" t="s">
        <v>259</v>
      </c>
      <c r="AL55" s="43" t="s">
        <v>259</v>
      </c>
      <c r="AO55" s="23"/>
      <c r="AP55" s="23"/>
      <c r="AQ55" s="23"/>
      <c r="BC55" t="s">
        <v>259</v>
      </c>
      <c r="BD55" s="43" t="s">
        <v>259</v>
      </c>
      <c r="BE55" s="43" t="s">
        <v>259</v>
      </c>
      <c r="BF55" s="43" t="s">
        <v>259</v>
      </c>
      <c r="BG55" s="43" t="s">
        <v>259</v>
      </c>
      <c r="BH55" t="s">
        <v>259</v>
      </c>
      <c r="BI55" s="43" t="s">
        <v>259</v>
      </c>
      <c r="BJ55">
        <v>0</v>
      </c>
      <c r="BK55">
        <v>44109</v>
      </c>
      <c r="BL55">
        <v>44356</v>
      </c>
      <c r="BM55">
        <v>8505</v>
      </c>
      <c r="BN55">
        <v>8505</v>
      </c>
      <c r="BO55">
        <v>8505</v>
      </c>
      <c r="BP55">
        <v>25515</v>
      </c>
      <c r="BQ55">
        <v>3300</v>
      </c>
      <c r="BR55">
        <v>400</v>
      </c>
      <c r="BS55">
        <v>400</v>
      </c>
      <c r="BT55">
        <v>4100</v>
      </c>
      <c r="BU55">
        <v>2100</v>
      </c>
      <c r="BV55">
        <v>2100</v>
      </c>
      <c r="BW55">
        <v>2100</v>
      </c>
      <c r="BX55">
        <v>6300</v>
      </c>
      <c r="BY55">
        <v>1200</v>
      </c>
      <c r="BZ55">
        <v>1200</v>
      </c>
      <c r="CA55">
        <v>1200</v>
      </c>
      <c r="CB55">
        <v>3600</v>
      </c>
      <c r="CC55">
        <v>0</v>
      </c>
      <c r="CD55">
        <v>0</v>
      </c>
      <c r="CE55">
        <v>0</v>
      </c>
      <c r="CF55">
        <v>0</v>
      </c>
      <c r="CG55">
        <v>39515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1700</v>
      </c>
      <c r="CU55">
        <v>1700</v>
      </c>
      <c r="CV55">
        <v>1700</v>
      </c>
      <c r="CW55">
        <v>5100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5100</v>
      </c>
      <c r="EE55">
        <v>0</v>
      </c>
      <c r="EF55">
        <v>0</v>
      </c>
      <c r="EG55">
        <v>0</v>
      </c>
      <c r="EH55">
        <v>0</v>
      </c>
      <c r="EI55">
        <v>1154</v>
      </c>
      <c r="EJ55">
        <v>1154</v>
      </c>
      <c r="EK55">
        <v>1155</v>
      </c>
      <c r="EL55">
        <v>3500</v>
      </c>
      <c r="EM55">
        <v>37.065000000000005</v>
      </c>
      <c r="EN55">
        <v>660</v>
      </c>
      <c r="EO55">
        <v>660</v>
      </c>
      <c r="EP55">
        <v>660</v>
      </c>
      <c r="EQ55">
        <v>2000</v>
      </c>
      <c r="ER55">
        <v>21.18</v>
      </c>
      <c r="ES55">
        <v>0</v>
      </c>
      <c r="ET55">
        <v>0</v>
      </c>
      <c r="EU55">
        <v>0</v>
      </c>
      <c r="EV55">
        <v>0</v>
      </c>
      <c r="EW55">
        <v>0</v>
      </c>
      <c r="FA55">
        <v>0</v>
      </c>
      <c r="FE55">
        <v>0</v>
      </c>
      <c r="FI55">
        <v>0</v>
      </c>
      <c r="FJ55">
        <v>5441.7550000000001</v>
      </c>
      <c r="FK55">
        <v>34415</v>
      </c>
      <c r="FL55">
        <v>30254.840023390832</v>
      </c>
      <c r="FM55">
        <v>28973.244999999999</v>
      </c>
    </row>
    <row r="56" spans="1:169" x14ac:dyDescent="0.35">
      <c r="A56">
        <v>198711</v>
      </c>
      <c r="B56" t="s">
        <v>2044</v>
      </c>
      <c r="C56" t="s">
        <v>2051</v>
      </c>
      <c r="D56" t="s">
        <v>2052</v>
      </c>
      <c r="E56" s="43" t="s">
        <v>2053</v>
      </c>
      <c r="F56">
        <v>1</v>
      </c>
      <c r="I56">
        <v>43804</v>
      </c>
      <c r="J56" t="s">
        <v>4240</v>
      </c>
      <c r="K56" t="s">
        <v>1715</v>
      </c>
      <c r="L56" s="43" t="s">
        <v>3204</v>
      </c>
      <c r="M56" t="s">
        <v>2054</v>
      </c>
      <c r="N56" s="43" t="s">
        <v>2055</v>
      </c>
      <c r="O56" s="43" t="s">
        <v>2056</v>
      </c>
      <c r="P56" s="43" t="s">
        <v>735</v>
      </c>
      <c r="Q56" s="43" t="s">
        <v>2057</v>
      </c>
      <c r="R56">
        <v>3.7</v>
      </c>
      <c r="S56">
        <v>44109</v>
      </c>
      <c r="T56" t="s">
        <v>285</v>
      </c>
      <c r="U56" t="s">
        <v>266</v>
      </c>
      <c r="V56" t="s">
        <v>267</v>
      </c>
      <c r="W56" t="s">
        <v>1718</v>
      </c>
      <c r="X56" t="s">
        <v>1719</v>
      </c>
      <c r="Y56">
        <v>8772802835</v>
      </c>
      <c r="Z56" t="s">
        <v>270</v>
      </c>
      <c r="AA56" t="s">
        <v>271</v>
      </c>
      <c r="AB56">
        <v>0</v>
      </c>
      <c r="AC56">
        <v>0</v>
      </c>
      <c r="AD56">
        <v>0</v>
      </c>
      <c r="AE56" t="s">
        <v>416</v>
      </c>
      <c r="AF56">
        <v>5</v>
      </c>
      <c r="AG56" t="s">
        <v>275</v>
      </c>
      <c r="AH56">
        <v>5165</v>
      </c>
      <c r="AI56">
        <v>5165</v>
      </c>
      <c r="AJ56">
        <v>43790</v>
      </c>
      <c r="AK56" s="43" t="s">
        <v>1715</v>
      </c>
      <c r="AL56" s="43" t="s">
        <v>259</v>
      </c>
      <c r="AO56" s="23"/>
      <c r="AP56" s="23"/>
      <c r="AQ56" s="23"/>
      <c r="BC56" t="s">
        <v>259</v>
      </c>
      <c r="BD56" s="43" t="s">
        <v>259</v>
      </c>
      <c r="BE56" s="43" t="s">
        <v>259</v>
      </c>
      <c r="BF56" s="43" t="s">
        <v>259</v>
      </c>
      <c r="BG56" s="43" t="s">
        <v>259</v>
      </c>
      <c r="BH56" t="s">
        <v>259</v>
      </c>
      <c r="BI56" s="43" t="s">
        <v>259</v>
      </c>
      <c r="BJ56">
        <v>0</v>
      </c>
      <c r="BK56">
        <v>44109</v>
      </c>
      <c r="BL56">
        <v>44356</v>
      </c>
      <c r="BM56">
        <v>8505</v>
      </c>
      <c r="BN56">
        <v>8505</v>
      </c>
      <c r="BO56">
        <v>8505</v>
      </c>
      <c r="BP56">
        <v>25515</v>
      </c>
      <c r="BQ56">
        <v>3300</v>
      </c>
      <c r="BR56">
        <v>400</v>
      </c>
      <c r="BS56">
        <v>400</v>
      </c>
      <c r="BT56">
        <v>4100</v>
      </c>
      <c r="BU56">
        <v>2100</v>
      </c>
      <c r="BV56">
        <v>2100</v>
      </c>
      <c r="BW56">
        <v>2100</v>
      </c>
      <c r="BX56">
        <v>6300</v>
      </c>
      <c r="BY56">
        <v>1200</v>
      </c>
      <c r="BZ56">
        <v>1200</v>
      </c>
      <c r="CA56">
        <v>1200</v>
      </c>
      <c r="CB56">
        <v>3600</v>
      </c>
      <c r="CC56">
        <v>0</v>
      </c>
      <c r="CD56">
        <v>0</v>
      </c>
      <c r="CE56">
        <v>0</v>
      </c>
      <c r="CF56">
        <v>0</v>
      </c>
      <c r="CG56">
        <v>39515</v>
      </c>
      <c r="CH56">
        <v>0</v>
      </c>
      <c r="CI56">
        <v>0</v>
      </c>
      <c r="CJ56">
        <v>0</v>
      </c>
      <c r="CK56">
        <v>0</v>
      </c>
      <c r="CL56">
        <v>349</v>
      </c>
      <c r="CM56">
        <v>348</v>
      </c>
      <c r="CN56">
        <v>348</v>
      </c>
      <c r="CO56">
        <v>1045</v>
      </c>
      <c r="CP56">
        <v>500</v>
      </c>
      <c r="CQ56">
        <v>500</v>
      </c>
      <c r="CR56">
        <v>500</v>
      </c>
      <c r="CS56">
        <v>1500</v>
      </c>
      <c r="CT56">
        <v>1000</v>
      </c>
      <c r="CU56">
        <v>1000</v>
      </c>
      <c r="CV56">
        <v>1000</v>
      </c>
      <c r="CW56">
        <v>3000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5545</v>
      </c>
      <c r="EE56">
        <v>0</v>
      </c>
      <c r="EF56">
        <v>0</v>
      </c>
      <c r="EG56">
        <v>0</v>
      </c>
      <c r="EH56">
        <v>0</v>
      </c>
      <c r="EI56">
        <v>1154</v>
      </c>
      <c r="EJ56">
        <v>1154</v>
      </c>
      <c r="EK56">
        <v>1155</v>
      </c>
      <c r="EL56">
        <v>3500</v>
      </c>
      <c r="EM56">
        <v>37.065000000000005</v>
      </c>
      <c r="EN56">
        <v>660</v>
      </c>
      <c r="EO56">
        <v>660</v>
      </c>
      <c r="EP56">
        <v>660</v>
      </c>
      <c r="EQ56">
        <v>2000</v>
      </c>
      <c r="ER56">
        <v>21.18</v>
      </c>
      <c r="ES56">
        <v>0</v>
      </c>
      <c r="ET56">
        <v>0</v>
      </c>
      <c r="EU56">
        <v>0</v>
      </c>
      <c r="EV56">
        <v>0</v>
      </c>
      <c r="EW56">
        <v>0</v>
      </c>
      <c r="FA56">
        <v>0</v>
      </c>
      <c r="FE56">
        <v>0</v>
      </c>
      <c r="FI56">
        <v>0</v>
      </c>
      <c r="FJ56">
        <v>5441.7550000000001</v>
      </c>
      <c r="FK56">
        <v>33970</v>
      </c>
      <c r="FL56">
        <v>29790.156008520946</v>
      </c>
      <c r="FM56">
        <v>28528.244999999999</v>
      </c>
    </row>
    <row r="57" spans="1:169" x14ac:dyDescent="0.35">
      <c r="A57">
        <v>196288</v>
      </c>
      <c r="B57" t="s">
        <v>2058</v>
      </c>
      <c r="C57" t="s">
        <v>529</v>
      </c>
      <c r="D57" t="s">
        <v>2059</v>
      </c>
      <c r="E57" s="43" t="s">
        <v>2060</v>
      </c>
      <c r="F57">
        <v>1</v>
      </c>
      <c r="I57">
        <v>43790</v>
      </c>
      <c r="J57" t="s">
        <v>3304</v>
      </c>
      <c r="K57" t="s">
        <v>1715</v>
      </c>
      <c r="L57" s="43" t="s">
        <v>3204</v>
      </c>
      <c r="M57" t="s">
        <v>2061</v>
      </c>
      <c r="N57" s="43" t="s">
        <v>3979</v>
      </c>
      <c r="O57" s="43" t="s">
        <v>2062</v>
      </c>
      <c r="P57" s="43" t="s">
        <v>608</v>
      </c>
      <c r="Q57" s="43" t="s">
        <v>2063</v>
      </c>
      <c r="R57">
        <v>3.4651000000000001</v>
      </c>
      <c r="S57">
        <v>44109</v>
      </c>
      <c r="T57" t="s">
        <v>311</v>
      </c>
      <c r="U57" t="s">
        <v>266</v>
      </c>
      <c r="V57" t="s">
        <v>267</v>
      </c>
      <c r="W57" t="s">
        <v>1718</v>
      </c>
      <c r="X57" t="s">
        <v>1719</v>
      </c>
      <c r="Y57">
        <v>8772802835</v>
      </c>
      <c r="Z57" t="s">
        <v>270</v>
      </c>
      <c r="AA57" t="s">
        <v>271</v>
      </c>
      <c r="AB57">
        <v>14</v>
      </c>
      <c r="AC57">
        <v>0</v>
      </c>
      <c r="AD57">
        <v>93</v>
      </c>
      <c r="AE57" t="s">
        <v>376</v>
      </c>
      <c r="AF57">
        <v>7</v>
      </c>
      <c r="AG57" t="s">
        <v>275</v>
      </c>
      <c r="AH57">
        <v>0</v>
      </c>
      <c r="AI57">
        <v>0</v>
      </c>
      <c r="AJ57">
        <v>43783</v>
      </c>
      <c r="AK57" s="43" t="s">
        <v>1715</v>
      </c>
      <c r="AL57" s="43" t="s">
        <v>259</v>
      </c>
      <c r="AO57" s="23">
        <v>43796</v>
      </c>
      <c r="AP57" s="23">
        <v>43796</v>
      </c>
      <c r="AQ57" s="23">
        <v>43796</v>
      </c>
      <c r="BC57" t="s">
        <v>259</v>
      </c>
      <c r="BD57" s="43" t="s">
        <v>259</v>
      </c>
      <c r="BE57" s="43" t="s">
        <v>259</v>
      </c>
      <c r="BF57" s="43" t="s">
        <v>259</v>
      </c>
      <c r="BG57" s="43" t="s">
        <v>259</v>
      </c>
      <c r="BH57" t="s">
        <v>259</v>
      </c>
      <c r="BI57" s="43" t="s">
        <v>259</v>
      </c>
      <c r="BJ57">
        <v>0.13043478260869568</v>
      </c>
      <c r="BK57">
        <v>44109</v>
      </c>
      <c r="BL57">
        <v>44356</v>
      </c>
      <c r="BM57">
        <v>8505</v>
      </c>
      <c r="BN57">
        <v>8505</v>
      </c>
      <c r="BO57">
        <v>8505</v>
      </c>
      <c r="BP57">
        <v>25515</v>
      </c>
      <c r="BQ57">
        <v>3300</v>
      </c>
      <c r="BR57">
        <v>400</v>
      </c>
      <c r="BS57">
        <v>400</v>
      </c>
      <c r="BT57">
        <v>4100</v>
      </c>
      <c r="BU57">
        <v>2100</v>
      </c>
      <c r="BV57">
        <v>2100</v>
      </c>
      <c r="BW57">
        <v>2100</v>
      </c>
      <c r="BX57">
        <v>6300</v>
      </c>
      <c r="BY57">
        <v>1200</v>
      </c>
      <c r="BZ57">
        <v>1200</v>
      </c>
      <c r="CA57">
        <v>1200</v>
      </c>
      <c r="CB57">
        <v>3600</v>
      </c>
      <c r="CC57">
        <v>0</v>
      </c>
      <c r="CD57">
        <v>0</v>
      </c>
      <c r="CE57">
        <v>0</v>
      </c>
      <c r="CF57">
        <v>0</v>
      </c>
      <c r="CG57">
        <v>39515</v>
      </c>
      <c r="CH57">
        <v>0</v>
      </c>
      <c r="CI57">
        <v>0</v>
      </c>
      <c r="CJ57">
        <v>0</v>
      </c>
      <c r="CK57">
        <v>0</v>
      </c>
      <c r="CL57">
        <v>2065</v>
      </c>
      <c r="CM57">
        <v>2065</v>
      </c>
      <c r="CN57">
        <v>2065</v>
      </c>
      <c r="CO57">
        <v>6195</v>
      </c>
      <c r="CP57">
        <v>500</v>
      </c>
      <c r="CQ57">
        <v>500</v>
      </c>
      <c r="CR57">
        <v>500</v>
      </c>
      <c r="CS57">
        <v>1500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7695</v>
      </c>
      <c r="EE57">
        <v>0</v>
      </c>
      <c r="EF57">
        <v>0</v>
      </c>
      <c r="EG57">
        <v>0</v>
      </c>
      <c r="EH57">
        <v>0</v>
      </c>
      <c r="EI57">
        <v>1154</v>
      </c>
      <c r="EJ57">
        <v>1154</v>
      </c>
      <c r="EK57">
        <v>1155</v>
      </c>
      <c r="EL57">
        <v>3500</v>
      </c>
      <c r="EM57">
        <v>37.065000000000005</v>
      </c>
      <c r="EN57">
        <v>660</v>
      </c>
      <c r="EO57">
        <v>660</v>
      </c>
      <c r="EP57">
        <v>660</v>
      </c>
      <c r="EQ57">
        <v>2000</v>
      </c>
      <c r="ER57">
        <v>21.18</v>
      </c>
      <c r="ES57">
        <v>0</v>
      </c>
      <c r="ET57">
        <v>0</v>
      </c>
      <c r="EU57">
        <v>0</v>
      </c>
      <c r="EV57">
        <v>0</v>
      </c>
      <c r="EW57">
        <v>0</v>
      </c>
      <c r="FA57">
        <v>0</v>
      </c>
      <c r="FE57">
        <v>0</v>
      </c>
      <c r="FI57">
        <v>0</v>
      </c>
      <c r="FJ57">
        <v>5441.7550000000001</v>
      </c>
      <c r="FK57">
        <v>31820</v>
      </c>
      <c r="FL57">
        <v>27545.053464767552</v>
      </c>
      <c r="FM57">
        <v>26378.244999999999</v>
      </c>
    </row>
    <row r="58" spans="1:169" x14ac:dyDescent="0.35">
      <c r="A58">
        <v>198689</v>
      </c>
      <c r="B58" t="s">
        <v>3640</v>
      </c>
      <c r="C58" t="s">
        <v>1602</v>
      </c>
      <c r="D58" t="s">
        <v>3641</v>
      </c>
      <c r="E58" s="43" t="s">
        <v>3642</v>
      </c>
      <c r="F58">
        <v>1</v>
      </c>
      <c r="I58">
        <v>43803</v>
      </c>
      <c r="J58" t="s">
        <v>3304</v>
      </c>
      <c r="K58" t="s">
        <v>1715</v>
      </c>
      <c r="L58" s="43" t="s">
        <v>259</v>
      </c>
      <c r="M58" t="s">
        <v>3643</v>
      </c>
      <c r="N58" s="43" t="s">
        <v>3644</v>
      </c>
      <c r="O58" s="43" t="s">
        <v>3645</v>
      </c>
      <c r="P58" s="43" t="s">
        <v>1650</v>
      </c>
      <c r="Q58" s="43" t="s">
        <v>3646</v>
      </c>
      <c r="S58">
        <v>44109</v>
      </c>
      <c r="T58" t="s">
        <v>311</v>
      </c>
      <c r="U58" t="s">
        <v>266</v>
      </c>
      <c r="V58" t="s">
        <v>267</v>
      </c>
      <c r="W58" t="s">
        <v>1718</v>
      </c>
      <c r="X58" t="s">
        <v>1719</v>
      </c>
      <c r="Y58">
        <v>8772802835</v>
      </c>
      <c r="Z58" t="s">
        <v>270</v>
      </c>
      <c r="AA58" t="s">
        <v>271</v>
      </c>
      <c r="AB58">
        <v>0</v>
      </c>
      <c r="AC58">
        <v>1020</v>
      </c>
      <c r="AD58">
        <v>89</v>
      </c>
      <c r="AE58" t="s">
        <v>344</v>
      </c>
      <c r="AF58">
        <v>10</v>
      </c>
      <c r="AG58" t="s">
        <v>3345</v>
      </c>
      <c r="AK58" s="43" t="s">
        <v>259</v>
      </c>
      <c r="AL58" s="43" t="s">
        <v>259</v>
      </c>
      <c r="AO58" s="23"/>
      <c r="AP58" s="23"/>
      <c r="AQ58" s="23"/>
      <c r="BC58" t="s">
        <v>259</v>
      </c>
      <c r="BD58" s="43" t="s">
        <v>259</v>
      </c>
      <c r="BE58" s="43" t="s">
        <v>259</v>
      </c>
      <c r="BF58" s="43" t="s">
        <v>259</v>
      </c>
      <c r="BG58" s="43" t="s">
        <v>259</v>
      </c>
      <c r="BH58" t="s">
        <v>259</v>
      </c>
      <c r="BI58" s="43" t="s">
        <v>259</v>
      </c>
      <c r="BJ58">
        <v>0</v>
      </c>
      <c r="BK58">
        <v>44109</v>
      </c>
      <c r="BL58">
        <v>44356</v>
      </c>
      <c r="BM58">
        <v>8505</v>
      </c>
      <c r="BN58">
        <v>8505</v>
      </c>
      <c r="BO58">
        <v>8505</v>
      </c>
      <c r="BP58">
        <v>25515</v>
      </c>
      <c r="BQ58">
        <v>3300</v>
      </c>
      <c r="BR58">
        <v>400</v>
      </c>
      <c r="BS58">
        <v>400</v>
      </c>
      <c r="BT58">
        <v>4100</v>
      </c>
      <c r="BU58">
        <v>2100</v>
      </c>
      <c r="BV58">
        <v>2100</v>
      </c>
      <c r="BW58">
        <v>2100</v>
      </c>
      <c r="BX58">
        <v>6300</v>
      </c>
      <c r="BY58">
        <v>1200</v>
      </c>
      <c r="BZ58">
        <v>1200</v>
      </c>
      <c r="CA58">
        <v>1200</v>
      </c>
      <c r="CB58">
        <v>3600</v>
      </c>
      <c r="CC58">
        <v>0</v>
      </c>
      <c r="CD58">
        <v>0</v>
      </c>
      <c r="CE58">
        <v>0</v>
      </c>
      <c r="CF58">
        <v>0</v>
      </c>
      <c r="CG58">
        <v>39515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M58">
        <v>0</v>
      </c>
      <c r="EN58">
        <v>660</v>
      </c>
      <c r="EO58">
        <v>660</v>
      </c>
      <c r="EP58">
        <v>660</v>
      </c>
      <c r="EQ58">
        <v>2000</v>
      </c>
      <c r="ER58">
        <v>21.18</v>
      </c>
      <c r="ES58">
        <v>0</v>
      </c>
      <c r="ET58">
        <v>0</v>
      </c>
      <c r="EU58">
        <v>0</v>
      </c>
      <c r="EW58">
        <v>0</v>
      </c>
      <c r="FA58">
        <v>0</v>
      </c>
      <c r="FE58">
        <v>0</v>
      </c>
      <c r="FI58">
        <v>0</v>
      </c>
      <c r="FJ58">
        <v>1978.82</v>
      </c>
      <c r="FK58">
        <v>39515</v>
      </c>
      <c r="FL58">
        <v>39196.54567478384</v>
      </c>
      <c r="FM58">
        <v>37536.18</v>
      </c>
    </row>
    <row r="59" spans="1:169" x14ac:dyDescent="0.35">
      <c r="A59">
        <v>198858</v>
      </c>
      <c r="B59" t="s">
        <v>3647</v>
      </c>
      <c r="C59" t="s">
        <v>3648</v>
      </c>
      <c r="D59" t="s">
        <v>3649</v>
      </c>
      <c r="E59" s="43" t="s">
        <v>3650</v>
      </c>
      <c r="F59">
        <v>1</v>
      </c>
      <c r="I59">
        <v>43802</v>
      </c>
      <c r="J59" t="s">
        <v>3304</v>
      </c>
      <c r="K59" t="s">
        <v>1715</v>
      </c>
      <c r="L59" s="43" t="s">
        <v>344</v>
      </c>
      <c r="M59" t="s">
        <v>3651</v>
      </c>
      <c r="N59" s="43" t="s">
        <v>3652</v>
      </c>
      <c r="O59" s="43" t="s">
        <v>3653</v>
      </c>
      <c r="P59" s="43" t="s">
        <v>1514</v>
      </c>
      <c r="Q59" s="43" t="s">
        <v>3654</v>
      </c>
      <c r="S59">
        <v>44109</v>
      </c>
      <c r="T59" t="s">
        <v>265</v>
      </c>
      <c r="U59" t="s">
        <v>266</v>
      </c>
      <c r="V59" t="s">
        <v>267</v>
      </c>
      <c r="W59" t="s">
        <v>1718</v>
      </c>
      <c r="X59" t="s">
        <v>1719</v>
      </c>
      <c r="Y59">
        <v>8772802835</v>
      </c>
      <c r="Z59" t="s">
        <v>508</v>
      </c>
      <c r="AA59" t="s">
        <v>271</v>
      </c>
      <c r="AB59">
        <v>0</v>
      </c>
      <c r="AC59">
        <v>0</v>
      </c>
      <c r="AD59">
        <v>0</v>
      </c>
      <c r="AE59" t="s">
        <v>344</v>
      </c>
      <c r="AF59">
        <v>10</v>
      </c>
      <c r="AG59" t="s">
        <v>3345</v>
      </c>
      <c r="AH59">
        <v>0</v>
      </c>
      <c r="AI59">
        <v>0</v>
      </c>
      <c r="AJ59">
        <v>43801</v>
      </c>
      <c r="AK59" s="43" t="s">
        <v>3208</v>
      </c>
      <c r="AL59" s="43" t="s">
        <v>3209</v>
      </c>
      <c r="AO59" s="23">
        <v>43789</v>
      </c>
      <c r="AP59" s="23"/>
      <c r="AQ59" s="23"/>
      <c r="BC59" t="s">
        <v>2018</v>
      </c>
      <c r="BD59" s="43" t="s">
        <v>2018</v>
      </c>
      <c r="BE59" s="43" t="s">
        <v>2018</v>
      </c>
      <c r="BF59" s="43" t="s">
        <v>2018</v>
      </c>
      <c r="BG59" s="43" t="s">
        <v>2018</v>
      </c>
      <c r="BH59" t="s">
        <v>2018</v>
      </c>
      <c r="BI59" s="43" t="s">
        <v>2018</v>
      </c>
      <c r="BJ59">
        <v>6.25E-2</v>
      </c>
      <c r="BK59">
        <v>44109</v>
      </c>
      <c r="BL59">
        <v>44356</v>
      </c>
      <c r="BM59">
        <v>8505</v>
      </c>
      <c r="BN59">
        <v>8505</v>
      </c>
      <c r="BO59">
        <v>8505</v>
      </c>
      <c r="BP59">
        <v>25515</v>
      </c>
      <c r="BQ59">
        <v>3300</v>
      </c>
      <c r="BR59">
        <v>400</v>
      </c>
      <c r="BS59">
        <v>400</v>
      </c>
      <c r="BT59">
        <v>4100</v>
      </c>
      <c r="BU59">
        <v>2100</v>
      </c>
      <c r="BV59">
        <v>2100</v>
      </c>
      <c r="BW59">
        <v>2100</v>
      </c>
      <c r="BX59">
        <v>6300</v>
      </c>
      <c r="BY59">
        <v>1200</v>
      </c>
      <c r="BZ59">
        <v>1200</v>
      </c>
      <c r="CA59">
        <v>1200</v>
      </c>
      <c r="CB59">
        <v>3600</v>
      </c>
      <c r="CC59">
        <v>0</v>
      </c>
      <c r="CD59">
        <v>0</v>
      </c>
      <c r="CE59">
        <v>0</v>
      </c>
      <c r="CF59">
        <v>0</v>
      </c>
      <c r="CG59">
        <v>39515</v>
      </c>
      <c r="CH59">
        <v>0</v>
      </c>
      <c r="CI59">
        <v>0</v>
      </c>
      <c r="CJ59">
        <v>0</v>
      </c>
      <c r="CK59">
        <v>0</v>
      </c>
      <c r="CL59">
        <v>2065</v>
      </c>
      <c r="CM59">
        <v>2065</v>
      </c>
      <c r="CN59">
        <v>2065</v>
      </c>
      <c r="CO59">
        <v>6195</v>
      </c>
      <c r="CP59">
        <v>500</v>
      </c>
      <c r="CQ59">
        <v>500</v>
      </c>
      <c r="CR59">
        <v>500</v>
      </c>
      <c r="CS59">
        <v>1500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7695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M59">
        <v>0</v>
      </c>
      <c r="EN59">
        <v>660</v>
      </c>
      <c r="EO59">
        <v>660</v>
      </c>
      <c r="EP59">
        <v>660</v>
      </c>
      <c r="EQ59">
        <v>2000</v>
      </c>
      <c r="ER59">
        <v>21.18</v>
      </c>
      <c r="ES59">
        <v>0</v>
      </c>
      <c r="ET59">
        <v>0</v>
      </c>
      <c r="EU59">
        <v>0</v>
      </c>
      <c r="EW59">
        <v>0</v>
      </c>
      <c r="FA59">
        <v>0</v>
      </c>
      <c r="FE59">
        <v>0</v>
      </c>
      <c r="FI59">
        <v>0</v>
      </c>
      <c r="FJ59">
        <v>1978.82</v>
      </c>
      <c r="FK59">
        <v>31820</v>
      </c>
      <c r="FL59">
        <v>31161.167035629252</v>
      </c>
      <c r="FM59">
        <v>29841.18</v>
      </c>
    </row>
    <row r="60" spans="1:169" x14ac:dyDescent="0.35">
      <c r="A60">
        <v>197980</v>
      </c>
      <c r="B60" t="s">
        <v>2064</v>
      </c>
      <c r="C60" t="s">
        <v>2065</v>
      </c>
      <c r="D60" t="s">
        <v>2066</v>
      </c>
      <c r="E60" s="43" t="s">
        <v>2067</v>
      </c>
      <c r="F60">
        <v>1</v>
      </c>
      <c r="I60">
        <v>43804</v>
      </c>
      <c r="J60" t="s">
        <v>4240</v>
      </c>
      <c r="K60" t="s">
        <v>1715</v>
      </c>
      <c r="L60" s="43" t="s">
        <v>3204</v>
      </c>
      <c r="M60" t="s">
        <v>2068</v>
      </c>
      <c r="N60" s="43" t="s">
        <v>2069</v>
      </c>
      <c r="O60" s="43" t="s">
        <v>2070</v>
      </c>
      <c r="P60" s="43" t="s">
        <v>759</v>
      </c>
      <c r="Q60" s="43" t="s">
        <v>2071</v>
      </c>
      <c r="R60">
        <v>4</v>
      </c>
      <c r="S60">
        <v>44109</v>
      </c>
      <c r="T60" t="s">
        <v>265</v>
      </c>
      <c r="U60" t="s">
        <v>266</v>
      </c>
      <c r="V60" t="s">
        <v>267</v>
      </c>
      <c r="W60" t="s">
        <v>1718</v>
      </c>
      <c r="X60" t="s">
        <v>1719</v>
      </c>
      <c r="Y60">
        <v>8772802835</v>
      </c>
      <c r="Z60" t="s">
        <v>270</v>
      </c>
      <c r="AA60" t="s">
        <v>271</v>
      </c>
      <c r="AB60">
        <v>0</v>
      </c>
      <c r="AC60">
        <v>1340</v>
      </c>
      <c r="AD60">
        <v>131</v>
      </c>
      <c r="AE60" t="s">
        <v>301</v>
      </c>
      <c r="AF60">
        <v>1</v>
      </c>
      <c r="AG60" t="s">
        <v>275</v>
      </c>
      <c r="AH60">
        <v>10365</v>
      </c>
      <c r="AI60">
        <v>10365</v>
      </c>
      <c r="AJ60">
        <v>43790</v>
      </c>
      <c r="AK60" s="43" t="s">
        <v>3208</v>
      </c>
      <c r="AL60" s="43" t="s">
        <v>3209</v>
      </c>
      <c r="AO60" s="23"/>
      <c r="AP60" s="23"/>
      <c r="AQ60" s="23"/>
      <c r="BC60" t="s">
        <v>2018</v>
      </c>
      <c r="BD60" s="43" t="s">
        <v>2018</v>
      </c>
      <c r="BE60" s="43" t="s">
        <v>2018</v>
      </c>
      <c r="BF60" s="43" t="s">
        <v>2018</v>
      </c>
      <c r="BG60" s="43" t="s">
        <v>2018</v>
      </c>
      <c r="BH60" t="s">
        <v>2018</v>
      </c>
      <c r="BI60" s="43" t="s">
        <v>2018</v>
      </c>
      <c r="BJ60">
        <v>0</v>
      </c>
      <c r="BK60">
        <v>44109</v>
      </c>
      <c r="BL60">
        <v>44356</v>
      </c>
      <c r="BM60">
        <v>8505</v>
      </c>
      <c r="BN60">
        <v>8505</v>
      </c>
      <c r="BO60">
        <v>8505</v>
      </c>
      <c r="BP60">
        <v>25515</v>
      </c>
      <c r="BQ60">
        <v>3300</v>
      </c>
      <c r="BR60">
        <v>400</v>
      </c>
      <c r="BS60">
        <v>400</v>
      </c>
      <c r="BT60">
        <v>4100</v>
      </c>
      <c r="BU60">
        <v>2100</v>
      </c>
      <c r="BV60">
        <v>2100</v>
      </c>
      <c r="BW60">
        <v>2100</v>
      </c>
      <c r="BX60">
        <v>6300</v>
      </c>
      <c r="BY60">
        <v>1200</v>
      </c>
      <c r="BZ60">
        <v>1200</v>
      </c>
      <c r="CA60">
        <v>1200</v>
      </c>
      <c r="CB60">
        <v>3600</v>
      </c>
      <c r="CC60">
        <v>0</v>
      </c>
      <c r="CD60">
        <v>0</v>
      </c>
      <c r="CE60">
        <v>0</v>
      </c>
      <c r="CF60">
        <v>0</v>
      </c>
      <c r="CG60">
        <v>39515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1700</v>
      </c>
      <c r="CU60">
        <v>1700</v>
      </c>
      <c r="CV60">
        <v>1700</v>
      </c>
      <c r="CW60">
        <v>5100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5100</v>
      </c>
      <c r="EE60">
        <v>0</v>
      </c>
      <c r="EF60">
        <v>0</v>
      </c>
      <c r="EG60">
        <v>0</v>
      </c>
      <c r="EH60">
        <v>0</v>
      </c>
      <c r="EI60">
        <v>1154</v>
      </c>
      <c r="EJ60">
        <v>1154</v>
      </c>
      <c r="EK60">
        <v>1155</v>
      </c>
      <c r="EL60">
        <v>3500</v>
      </c>
      <c r="EM60">
        <v>37.065000000000005</v>
      </c>
      <c r="EN60">
        <v>660</v>
      </c>
      <c r="EO60">
        <v>660</v>
      </c>
      <c r="EP60">
        <v>660</v>
      </c>
      <c r="EQ60">
        <v>2000</v>
      </c>
      <c r="ER60">
        <v>21.18</v>
      </c>
      <c r="ES60">
        <v>0</v>
      </c>
      <c r="ET60">
        <v>0</v>
      </c>
      <c r="EU60">
        <v>0</v>
      </c>
      <c r="EV60">
        <v>0</v>
      </c>
      <c r="EW60">
        <v>0</v>
      </c>
      <c r="FA60">
        <v>0</v>
      </c>
      <c r="FE60">
        <v>0</v>
      </c>
      <c r="FI60">
        <v>0</v>
      </c>
      <c r="FJ60">
        <v>5441.7550000000001</v>
      </c>
      <c r="FK60">
        <v>34415</v>
      </c>
      <c r="FL60">
        <v>30254.840023390832</v>
      </c>
      <c r="FM60">
        <v>28973.244999999999</v>
      </c>
    </row>
    <row r="61" spans="1:169" x14ac:dyDescent="0.35">
      <c r="A61">
        <v>192880</v>
      </c>
      <c r="B61" t="s">
        <v>2064</v>
      </c>
      <c r="C61" t="s">
        <v>1094</v>
      </c>
      <c r="D61" t="s">
        <v>2072</v>
      </c>
      <c r="E61" s="43" t="s">
        <v>2073</v>
      </c>
      <c r="F61">
        <v>1</v>
      </c>
      <c r="I61">
        <v>43775</v>
      </c>
      <c r="J61" t="s">
        <v>3305</v>
      </c>
      <c r="K61" t="s">
        <v>1715</v>
      </c>
      <c r="L61" s="43" t="s">
        <v>3204</v>
      </c>
      <c r="M61" t="s">
        <v>2074</v>
      </c>
      <c r="N61" s="43" t="s">
        <v>2075</v>
      </c>
      <c r="O61" s="43" t="s">
        <v>2076</v>
      </c>
      <c r="P61" s="43" t="s">
        <v>677</v>
      </c>
      <c r="Q61" s="43" t="s">
        <v>2077</v>
      </c>
      <c r="R61">
        <v>4</v>
      </c>
      <c r="S61">
        <v>44109</v>
      </c>
      <c r="T61" t="s">
        <v>311</v>
      </c>
      <c r="U61" t="s">
        <v>266</v>
      </c>
      <c r="V61" t="s">
        <v>267</v>
      </c>
      <c r="W61" t="s">
        <v>1718</v>
      </c>
      <c r="X61" t="s">
        <v>1719</v>
      </c>
      <c r="Y61">
        <v>8772802835</v>
      </c>
      <c r="Z61" t="s">
        <v>270</v>
      </c>
      <c r="AA61" t="s">
        <v>271</v>
      </c>
      <c r="AB61">
        <v>26</v>
      </c>
      <c r="AC61">
        <v>0</v>
      </c>
      <c r="AD61">
        <v>124</v>
      </c>
      <c r="AE61" t="s">
        <v>301</v>
      </c>
      <c r="AF61">
        <v>1</v>
      </c>
      <c r="AG61" t="s">
        <v>275</v>
      </c>
      <c r="AH61">
        <v>0</v>
      </c>
      <c r="AI61">
        <v>0</v>
      </c>
      <c r="AJ61">
        <v>43774</v>
      </c>
      <c r="AK61" s="43" t="s">
        <v>3208</v>
      </c>
      <c r="AL61" s="43" t="s">
        <v>3209</v>
      </c>
      <c r="AO61" s="23"/>
      <c r="AP61" s="23"/>
      <c r="AQ61" s="23"/>
      <c r="BC61" t="s">
        <v>2018</v>
      </c>
      <c r="BD61" s="43" t="s">
        <v>2018</v>
      </c>
      <c r="BE61" s="43" t="s">
        <v>2018</v>
      </c>
      <c r="BF61" s="43" t="s">
        <v>2018</v>
      </c>
      <c r="BG61" s="43" t="s">
        <v>2018</v>
      </c>
      <c r="BH61" t="s">
        <v>2018</v>
      </c>
      <c r="BI61" s="43" t="s">
        <v>2018</v>
      </c>
      <c r="BJ61">
        <v>0</v>
      </c>
      <c r="BK61">
        <v>44109</v>
      </c>
      <c r="BL61">
        <v>44356</v>
      </c>
      <c r="BM61">
        <v>8505</v>
      </c>
      <c r="BN61">
        <v>8505</v>
      </c>
      <c r="BO61">
        <v>8505</v>
      </c>
      <c r="BP61">
        <v>25515</v>
      </c>
      <c r="BQ61">
        <v>3300</v>
      </c>
      <c r="BR61">
        <v>400</v>
      </c>
      <c r="BS61">
        <v>400</v>
      </c>
      <c r="BT61">
        <v>4100</v>
      </c>
      <c r="BU61">
        <v>2100</v>
      </c>
      <c r="BV61">
        <v>2100</v>
      </c>
      <c r="BW61">
        <v>2100</v>
      </c>
      <c r="BX61">
        <v>6300</v>
      </c>
      <c r="BY61">
        <v>1200</v>
      </c>
      <c r="BZ61">
        <v>1200</v>
      </c>
      <c r="CA61">
        <v>1200</v>
      </c>
      <c r="CB61">
        <v>3600</v>
      </c>
      <c r="CC61">
        <v>0</v>
      </c>
      <c r="CD61">
        <v>0</v>
      </c>
      <c r="CE61">
        <v>0</v>
      </c>
      <c r="CF61">
        <v>0</v>
      </c>
      <c r="CG61">
        <v>39515</v>
      </c>
      <c r="CH61">
        <v>0</v>
      </c>
      <c r="CI61">
        <v>0</v>
      </c>
      <c r="CJ61">
        <v>0</v>
      </c>
      <c r="CK61">
        <v>0</v>
      </c>
      <c r="CL61">
        <v>2065</v>
      </c>
      <c r="CM61">
        <v>2065</v>
      </c>
      <c r="CN61">
        <v>2065</v>
      </c>
      <c r="CO61">
        <v>6195</v>
      </c>
      <c r="CP61">
        <v>500</v>
      </c>
      <c r="CQ61">
        <v>500</v>
      </c>
      <c r="CR61">
        <v>500</v>
      </c>
      <c r="CS61">
        <v>1500</v>
      </c>
      <c r="CT61">
        <v>1700</v>
      </c>
      <c r="CU61">
        <v>1700</v>
      </c>
      <c r="CV61">
        <v>1700</v>
      </c>
      <c r="CW61">
        <v>5100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12795</v>
      </c>
      <c r="EE61">
        <v>0</v>
      </c>
      <c r="EF61">
        <v>0</v>
      </c>
      <c r="EG61">
        <v>0</v>
      </c>
      <c r="EH61">
        <v>0</v>
      </c>
      <c r="EI61">
        <v>1154</v>
      </c>
      <c r="EJ61">
        <v>1154</v>
      </c>
      <c r="EK61">
        <v>1155</v>
      </c>
      <c r="EL61">
        <v>3500</v>
      </c>
      <c r="EM61">
        <v>37.065000000000005</v>
      </c>
      <c r="EN61">
        <v>660</v>
      </c>
      <c r="EO61">
        <v>660</v>
      </c>
      <c r="EP61">
        <v>660</v>
      </c>
      <c r="EQ61">
        <v>2000</v>
      </c>
      <c r="ER61">
        <v>21.18</v>
      </c>
      <c r="ES61">
        <v>0</v>
      </c>
      <c r="ET61">
        <v>0</v>
      </c>
      <c r="EU61">
        <v>0</v>
      </c>
      <c r="EV61">
        <v>0</v>
      </c>
      <c r="EW61">
        <v>0</v>
      </c>
      <c r="FA61">
        <v>0</v>
      </c>
      <c r="FE61">
        <v>0</v>
      </c>
      <c r="FI61">
        <v>0</v>
      </c>
      <c r="FJ61">
        <v>5441.7550000000001</v>
      </c>
      <c r="FK61">
        <v>26720</v>
      </c>
      <c r="FL61">
        <v>22219.461384236245</v>
      </c>
      <c r="FM61">
        <v>21278.244999999999</v>
      </c>
    </row>
    <row r="62" spans="1:169" x14ac:dyDescent="0.35">
      <c r="A62">
        <v>195960</v>
      </c>
      <c r="B62" t="s">
        <v>2078</v>
      </c>
      <c r="C62" t="s">
        <v>2079</v>
      </c>
      <c r="D62" t="s">
        <v>2080</v>
      </c>
      <c r="E62" s="43" t="s">
        <v>2081</v>
      </c>
      <c r="F62">
        <v>1</v>
      </c>
      <c r="I62">
        <v>43775</v>
      </c>
      <c r="J62" t="s">
        <v>3304</v>
      </c>
      <c r="K62" t="s">
        <v>1715</v>
      </c>
      <c r="L62" s="43" t="s">
        <v>3204</v>
      </c>
      <c r="M62" t="s">
        <v>2082</v>
      </c>
      <c r="N62" s="43" t="s">
        <v>2083</v>
      </c>
      <c r="O62" s="43" t="s">
        <v>2084</v>
      </c>
      <c r="P62" s="43" t="s">
        <v>911</v>
      </c>
      <c r="Q62" s="43" t="s">
        <v>2085</v>
      </c>
      <c r="R62">
        <v>3.21</v>
      </c>
      <c r="S62">
        <v>44109</v>
      </c>
      <c r="T62" t="s">
        <v>311</v>
      </c>
      <c r="U62" t="s">
        <v>266</v>
      </c>
      <c r="V62" t="s">
        <v>267</v>
      </c>
      <c r="W62" t="s">
        <v>1718</v>
      </c>
      <c r="X62" t="s">
        <v>1719</v>
      </c>
      <c r="Y62">
        <v>8772802835</v>
      </c>
      <c r="Z62" t="s">
        <v>270</v>
      </c>
      <c r="AA62" t="s">
        <v>271</v>
      </c>
      <c r="AB62">
        <v>0</v>
      </c>
      <c r="AC62">
        <v>0</v>
      </c>
      <c r="AD62">
        <v>0</v>
      </c>
      <c r="AE62" t="s">
        <v>324</v>
      </c>
      <c r="AF62">
        <v>8</v>
      </c>
      <c r="AG62" t="s">
        <v>275</v>
      </c>
      <c r="AH62">
        <v>1718</v>
      </c>
      <c r="AI62">
        <v>1718</v>
      </c>
      <c r="AJ62">
        <v>43774</v>
      </c>
      <c r="AK62" s="43" t="s">
        <v>1715</v>
      </c>
      <c r="AL62" s="43" t="s">
        <v>259</v>
      </c>
      <c r="AO62" s="23"/>
      <c r="AP62" s="23"/>
      <c r="AQ62" s="23"/>
      <c r="BC62" t="s">
        <v>259</v>
      </c>
      <c r="BD62" s="43" t="s">
        <v>259</v>
      </c>
      <c r="BE62" s="43" t="s">
        <v>259</v>
      </c>
      <c r="BF62" s="43" t="s">
        <v>2018</v>
      </c>
      <c r="BG62" s="43" t="s">
        <v>2018</v>
      </c>
      <c r="BH62">
        <v>43740</v>
      </c>
      <c r="BI62" s="43" t="s">
        <v>259</v>
      </c>
      <c r="BJ62">
        <v>4.7619047619047672E-2</v>
      </c>
      <c r="BK62">
        <v>44109</v>
      </c>
      <c r="BL62">
        <v>44356</v>
      </c>
      <c r="BM62">
        <v>8505</v>
      </c>
      <c r="BN62">
        <v>8505</v>
      </c>
      <c r="BO62">
        <v>8505</v>
      </c>
      <c r="BP62">
        <v>25515</v>
      </c>
      <c r="BQ62">
        <v>3300</v>
      </c>
      <c r="BR62">
        <v>400</v>
      </c>
      <c r="BS62">
        <v>400</v>
      </c>
      <c r="BT62">
        <v>4100</v>
      </c>
      <c r="BU62">
        <v>2100</v>
      </c>
      <c r="BV62">
        <v>2100</v>
      </c>
      <c r="BW62">
        <v>2100</v>
      </c>
      <c r="BX62">
        <v>6300</v>
      </c>
      <c r="BY62">
        <v>1200</v>
      </c>
      <c r="BZ62">
        <v>1200</v>
      </c>
      <c r="CA62">
        <v>1200</v>
      </c>
      <c r="CB62">
        <v>3600</v>
      </c>
      <c r="CC62">
        <v>0</v>
      </c>
      <c r="CD62">
        <v>0</v>
      </c>
      <c r="CE62">
        <v>0</v>
      </c>
      <c r="CF62">
        <v>0</v>
      </c>
      <c r="CG62">
        <v>39515</v>
      </c>
      <c r="CH62">
        <v>0</v>
      </c>
      <c r="CI62">
        <v>0</v>
      </c>
      <c r="CJ62">
        <v>0</v>
      </c>
      <c r="CK62">
        <v>0</v>
      </c>
      <c r="CL62">
        <v>1482</v>
      </c>
      <c r="CM62">
        <v>1482</v>
      </c>
      <c r="CN62">
        <v>1481</v>
      </c>
      <c r="CO62">
        <v>4445</v>
      </c>
      <c r="CP62">
        <v>500</v>
      </c>
      <c r="CQ62">
        <v>500</v>
      </c>
      <c r="CR62">
        <v>500</v>
      </c>
      <c r="CS62">
        <v>1500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5945</v>
      </c>
      <c r="EE62">
        <v>0</v>
      </c>
      <c r="EF62">
        <v>0</v>
      </c>
      <c r="EG62">
        <v>0</v>
      </c>
      <c r="EH62">
        <v>0</v>
      </c>
      <c r="EI62">
        <v>1154</v>
      </c>
      <c r="EJ62">
        <v>1154</v>
      </c>
      <c r="EK62">
        <v>1155</v>
      </c>
      <c r="EL62">
        <v>3500</v>
      </c>
      <c r="EM62">
        <v>37.065000000000005</v>
      </c>
      <c r="EN62">
        <v>660</v>
      </c>
      <c r="EO62">
        <v>660</v>
      </c>
      <c r="EP62">
        <v>660</v>
      </c>
      <c r="EQ62">
        <v>2000</v>
      </c>
      <c r="ER62">
        <v>21.18</v>
      </c>
      <c r="ES62">
        <v>0</v>
      </c>
      <c r="ET62">
        <v>0</v>
      </c>
      <c r="EU62">
        <v>0</v>
      </c>
      <c r="EV62">
        <v>0</v>
      </c>
      <c r="EW62">
        <v>0</v>
      </c>
      <c r="FA62">
        <v>0</v>
      </c>
      <c r="FE62">
        <v>0</v>
      </c>
      <c r="FI62">
        <v>0</v>
      </c>
      <c r="FJ62">
        <v>5441.7550000000001</v>
      </c>
      <c r="FK62">
        <v>33570</v>
      </c>
      <c r="FL62">
        <v>29372.462512008689</v>
      </c>
      <c r="FM62">
        <v>28128.244999999999</v>
      </c>
    </row>
    <row r="63" spans="1:169" x14ac:dyDescent="0.35">
      <c r="A63">
        <v>198567</v>
      </c>
      <c r="B63" t="s">
        <v>2078</v>
      </c>
      <c r="C63" t="s">
        <v>676</v>
      </c>
      <c r="D63" t="s">
        <v>2086</v>
      </c>
      <c r="E63" s="43" t="s">
        <v>2087</v>
      </c>
      <c r="F63">
        <v>1</v>
      </c>
      <c r="I63">
        <v>43804</v>
      </c>
      <c r="J63" t="s">
        <v>4242</v>
      </c>
      <c r="K63" t="s">
        <v>1715</v>
      </c>
      <c r="L63" s="43" t="s">
        <v>259</v>
      </c>
      <c r="M63" t="s">
        <v>2088</v>
      </c>
      <c r="N63" s="43" t="s">
        <v>2089</v>
      </c>
      <c r="O63" s="43" t="s">
        <v>2090</v>
      </c>
      <c r="P63" s="43" t="s">
        <v>705</v>
      </c>
      <c r="Q63" s="43" t="s">
        <v>2091</v>
      </c>
      <c r="S63">
        <v>44109</v>
      </c>
      <c r="T63" t="s">
        <v>285</v>
      </c>
      <c r="U63" t="s">
        <v>312</v>
      </c>
      <c r="V63" t="s">
        <v>267</v>
      </c>
      <c r="W63" t="s">
        <v>1718</v>
      </c>
      <c r="X63" t="s">
        <v>1719</v>
      </c>
      <c r="Y63">
        <v>8772802835</v>
      </c>
      <c r="Z63" t="s">
        <v>270</v>
      </c>
      <c r="AA63" t="s">
        <v>271</v>
      </c>
      <c r="AB63">
        <v>0</v>
      </c>
      <c r="AC63">
        <v>1050</v>
      </c>
      <c r="AD63">
        <v>104</v>
      </c>
      <c r="AE63" t="s">
        <v>416</v>
      </c>
      <c r="AF63">
        <v>5</v>
      </c>
      <c r="AG63" t="s">
        <v>446</v>
      </c>
      <c r="AK63" s="43" t="s">
        <v>259</v>
      </c>
      <c r="AL63" s="43" t="s">
        <v>259</v>
      </c>
      <c r="AO63" s="23"/>
      <c r="AP63" s="23"/>
      <c r="AQ63" s="23"/>
      <c r="BC63" t="s">
        <v>259</v>
      </c>
      <c r="BD63" s="43" t="s">
        <v>259</v>
      </c>
      <c r="BE63" s="43" t="s">
        <v>259</v>
      </c>
      <c r="BF63" s="43" t="s">
        <v>259</v>
      </c>
      <c r="BG63" s="43" t="s">
        <v>259</v>
      </c>
      <c r="BH63" t="s">
        <v>259</v>
      </c>
      <c r="BI63" s="43" t="s">
        <v>259</v>
      </c>
      <c r="BJ63">
        <v>0</v>
      </c>
      <c r="BK63">
        <v>44109</v>
      </c>
      <c r="BL63">
        <v>44356</v>
      </c>
      <c r="BM63">
        <v>8505</v>
      </c>
      <c r="BN63">
        <v>8505</v>
      </c>
      <c r="BO63">
        <v>8505</v>
      </c>
      <c r="BP63">
        <v>25515</v>
      </c>
      <c r="BQ63">
        <v>3300</v>
      </c>
      <c r="BR63">
        <v>400</v>
      </c>
      <c r="BS63">
        <v>400</v>
      </c>
      <c r="BT63">
        <v>4100</v>
      </c>
      <c r="BU63">
        <v>2100</v>
      </c>
      <c r="BV63">
        <v>2100</v>
      </c>
      <c r="BW63">
        <v>2100</v>
      </c>
      <c r="BX63">
        <v>6300</v>
      </c>
      <c r="BY63">
        <v>1200</v>
      </c>
      <c r="BZ63">
        <v>1200</v>
      </c>
      <c r="CA63">
        <v>1200</v>
      </c>
      <c r="CB63">
        <v>3600</v>
      </c>
      <c r="CC63">
        <v>0</v>
      </c>
      <c r="CD63">
        <v>0</v>
      </c>
      <c r="CE63">
        <v>0</v>
      </c>
      <c r="CF63">
        <v>0</v>
      </c>
      <c r="CG63">
        <v>39515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1000</v>
      </c>
      <c r="CU63">
        <v>1000</v>
      </c>
      <c r="CV63">
        <v>1000</v>
      </c>
      <c r="CW63">
        <v>3000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3000</v>
      </c>
      <c r="EE63">
        <v>0</v>
      </c>
      <c r="EF63">
        <v>0</v>
      </c>
      <c r="EG63">
        <v>0</v>
      </c>
      <c r="EH63">
        <v>0</v>
      </c>
      <c r="EI63">
        <v>1154</v>
      </c>
      <c r="EJ63">
        <v>1154</v>
      </c>
      <c r="EK63">
        <v>1155</v>
      </c>
      <c r="EL63">
        <v>3500</v>
      </c>
      <c r="EM63">
        <v>37.065000000000005</v>
      </c>
      <c r="EN63">
        <v>660</v>
      </c>
      <c r="EO63">
        <v>660</v>
      </c>
      <c r="EP63">
        <v>660</v>
      </c>
      <c r="EQ63">
        <v>2000</v>
      </c>
      <c r="ER63">
        <v>21.18</v>
      </c>
      <c r="ES63">
        <v>0</v>
      </c>
      <c r="ET63">
        <v>0</v>
      </c>
      <c r="EU63">
        <v>0</v>
      </c>
      <c r="EV63">
        <v>0</v>
      </c>
      <c r="EW63">
        <v>0</v>
      </c>
      <c r="FA63">
        <v>0</v>
      </c>
      <c r="FE63">
        <v>0</v>
      </c>
      <c r="FI63">
        <v>0</v>
      </c>
      <c r="FJ63">
        <v>5441.7550000000001</v>
      </c>
      <c r="FK63">
        <v>36515</v>
      </c>
      <c r="FL63">
        <v>32447.730880080198</v>
      </c>
      <c r="FM63">
        <v>31073.245000000003</v>
      </c>
    </row>
    <row r="64" spans="1:169" x14ac:dyDescent="0.35">
      <c r="A64">
        <v>198284</v>
      </c>
      <c r="B64" t="s">
        <v>2092</v>
      </c>
      <c r="C64" t="s">
        <v>2093</v>
      </c>
      <c r="D64" t="s">
        <v>2094</v>
      </c>
      <c r="E64" s="43" t="s">
        <v>2095</v>
      </c>
      <c r="F64">
        <v>1</v>
      </c>
      <c r="I64">
        <v>43804</v>
      </c>
      <c r="J64" t="s">
        <v>4245</v>
      </c>
      <c r="K64" t="s">
        <v>1715</v>
      </c>
      <c r="L64" s="43" t="s">
        <v>3204</v>
      </c>
      <c r="M64" t="s">
        <v>2096</v>
      </c>
      <c r="N64" s="43" t="s">
        <v>2097</v>
      </c>
      <c r="O64" s="43" t="s">
        <v>2098</v>
      </c>
      <c r="P64" s="43" t="s">
        <v>1172</v>
      </c>
      <c r="Q64" s="43" t="s">
        <v>2099</v>
      </c>
      <c r="R64">
        <v>3.52</v>
      </c>
      <c r="S64">
        <v>44109</v>
      </c>
      <c r="T64" t="s">
        <v>311</v>
      </c>
      <c r="U64" t="s">
        <v>266</v>
      </c>
      <c r="V64" t="s">
        <v>267</v>
      </c>
      <c r="W64" t="s">
        <v>1718</v>
      </c>
      <c r="X64" t="s">
        <v>1719</v>
      </c>
      <c r="Y64">
        <v>8772802835</v>
      </c>
      <c r="Z64" t="s">
        <v>270</v>
      </c>
      <c r="AA64" t="s">
        <v>271</v>
      </c>
      <c r="AB64">
        <v>30</v>
      </c>
      <c r="AC64">
        <v>0</v>
      </c>
      <c r="AD64">
        <v>122</v>
      </c>
      <c r="AE64" t="s">
        <v>301</v>
      </c>
      <c r="AF64">
        <v>1</v>
      </c>
      <c r="AG64" t="s">
        <v>275</v>
      </c>
      <c r="AH64">
        <v>28022</v>
      </c>
      <c r="AI64">
        <v>28022</v>
      </c>
      <c r="AJ64">
        <v>43790</v>
      </c>
      <c r="AK64" s="43" t="s">
        <v>3208</v>
      </c>
      <c r="AL64" s="43" t="s">
        <v>3209</v>
      </c>
      <c r="AO64" s="23">
        <v>43799</v>
      </c>
      <c r="AP64" s="23">
        <v>43799</v>
      </c>
      <c r="AQ64" s="23">
        <v>43799</v>
      </c>
      <c r="BC64" t="s">
        <v>2018</v>
      </c>
      <c r="BD64" s="43" t="s">
        <v>2018</v>
      </c>
      <c r="BE64" s="43" t="s">
        <v>2018</v>
      </c>
      <c r="BF64" s="43" t="s">
        <v>2018</v>
      </c>
      <c r="BG64" s="43" t="s">
        <v>2018</v>
      </c>
      <c r="BH64" t="s">
        <v>2018</v>
      </c>
      <c r="BI64" s="43" t="s">
        <v>2018</v>
      </c>
      <c r="BJ64">
        <v>0.1875</v>
      </c>
      <c r="BK64">
        <v>44109</v>
      </c>
      <c r="BL64">
        <v>44356</v>
      </c>
      <c r="BM64">
        <v>8505</v>
      </c>
      <c r="BN64">
        <v>8505</v>
      </c>
      <c r="BO64">
        <v>8505</v>
      </c>
      <c r="BP64">
        <v>25515</v>
      </c>
      <c r="BQ64">
        <v>3300</v>
      </c>
      <c r="BR64">
        <v>400</v>
      </c>
      <c r="BS64">
        <v>400</v>
      </c>
      <c r="BT64">
        <v>4100</v>
      </c>
      <c r="BU64">
        <v>2100</v>
      </c>
      <c r="BV64">
        <v>2100</v>
      </c>
      <c r="BW64">
        <v>2100</v>
      </c>
      <c r="BX64">
        <v>6300</v>
      </c>
      <c r="BY64">
        <v>1200</v>
      </c>
      <c r="BZ64">
        <v>1200</v>
      </c>
      <c r="CA64">
        <v>1200</v>
      </c>
      <c r="CB64">
        <v>3600</v>
      </c>
      <c r="CC64">
        <v>0</v>
      </c>
      <c r="CD64">
        <v>0</v>
      </c>
      <c r="CE64">
        <v>0</v>
      </c>
      <c r="CF64">
        <v>0</v>
      </c>
      <c r="CG64">
        <v>39515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1700</v>
      </c>
      <c r="CU64">
        <v>1700</v>
      </c>
      <c r="CV64">
        <v>1700</v>
      </c>
      <c r="CW64">
        <v>5100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5100</v>
      </c>
      <c r="EE64">
        <v>0</v>
      </c>
      <c r="EF64">
        <v>0</v>
      </c>
      <c r="EG64">
        <v>0</v>
      </c>
      <c r="EH64">
        <v>0</v>
      </c>
      <c r="EI64">
        <v>1154</v>
      </c>
      <c r="EJ64">
        <v>1154</v>
      </c>
      <c r="EK64">
        <v>1155</v>
      </c>
      <c r="EL64">
        <v>3500</v>
      </c>
      <c r="EM64">
        <v>37.065000000000005</v>
      </c>
      <c r="EN64">
        <v>660</v>
      </c>
      <c r="EO64">
        <v>660</v>
      </c>
      <c r="EP64">
        <v>660</v>
      </c>
      <c r="EQ64">
        <v>2000</v>
      </c>
      <c r="ER64">
        <v>21.18</v>
      </c>
      <c r="ES64">
        <v>0</v>
      </c>
      <c r="ET64">
        <v>0</v>
      </c>
      <c r="EU64">
        <v>0</v>
      </c>
      <c r="EV64">
        <v>0</v>
      </c>
      <c r="EW64">
        <v>0</v>
      </c>
      <c r="FA64">
        <v>0</v>
      </c>
      <c r="FE64">
        <v>0</v>
      </c>
      <c r="FI64">
        <v>0</v>
      </c>
      <c r="FJ64">
        <v>5441.7550000000001</v>
      </c>
      <c r="FK64">
        <v>34415</v>
      </c>
      <c r="FL64">
        <v>30254.840023390832</v>
      </c>
      <c r="FM64">
        <v>28973.244999999999</v>
      </c>
    </row>
    <row r="65" spans="1:169" x14ac:dyDescent="0.35">
      <c r="A65">
        <v>196728</v>
      </c>
      <c r="B65" t="s">
        <v>2100</v>
      </c>
      <c r="C65" t="s">
        <v>699</v>
      </c>
      <c r="D65" t="s">
        <v>2101</v>
      </c>
      <c r="E65" s="43" t="s">
        <v>2102</v>
      </c>
      <c r="F65">
        <v>1</v>
      </c>
      <c r="I65">
        <v>43804</v>
      </c>
      <c r="J65" t="s">
        <v>4242</v>
      </c>
      <c r="K65" t="s">
        <v>1715</v>
      </c>
      <c r="L65" s="43" t="s">
        <v>259</v>
      </c>
      <c r="M65" t="s">
        <v>2103</v>
      </c>
      <c r="N65" s="43" t="s">
        <v>2104</v>
      </c>
      <c r="O65" s="43" t="s">
        <v>2105</v>
      </c>
      <c r="P65" s="43" t="s">
        <v>677</v>
      </c>
      <c r="Q65" s="43" t="s">
        <v>2106</v>
      </c>
      <c r="R65">
        <v>3.5415999999999999</v>
      </c>
      <c r="S65">
        <v>44109</v>
      </c>
      <c r="T65" t="s">
        <v>265</v>
      </c>
      <c r="U65" t="s">
        <v>266</v>
      </c>
      <c r="V65" t="s">
        <v>267</v>
      </c>
      <c r="W65" t="s">
        <v>1718</v>
      </c>
      <c r="X65" t="s">
        <v>1719</v>
      </c>
      <c r="Y65">
        <v>8772802835</v>
      </c>
      <c r="Z65" t="s">
        <v>270</v>
      </c>
      <c r="AA65" t="s">
        <v>271</v>
      </c>
      <c r="AB65">
        <v>24</v>
      </c>
      <c r="AC65">
        <v>0</v>
      </c>
      <c r="AD65">
        <v>111</v>
      </c>
      <c r="AE65" t="s">
        <v>364</v>
      </c>
      <c r="AF65">
        <v>3</v>
      </c>
      <c r="AG65" t="s">
        <v>275</v>
      </c>
      <c r="AK65" s="43" t="s">
        <v>259</v>
      </c>
      <c r="AL65" s="43" t="s">
        <v>259</v>
      </c>
      <c r="AO65" s="23"/>
      <c r="AP65" s="23"/>
      <c r="AQ65" s="23"/>
      <c r="BC65" t="s">
        <v>259</v>
      </c>
      <c r="BD65" s="43" t="s">
        <v>259</v>
      </c>
      <c r="BE65" s="43" t="s">
        <v>259</v>
      </c>
      <c r="BF65" s="43" t="s">
        <v>259</v>
      </c>
      <c r="BG65" s="43" t="s">
        <v>259</v>
      </c>
      <c r="BH65" t="s">
        <v>259</v>
      </c>
      <c r="BI65" s="43" t="s">
        <v>259</v>
      </c>
      <c r="BJ65">
        <v>0</v>
      </c>
      <c r="BK65">
        <v>44109</v>
      </c>
      <c r="BL65">
        <v>44356</v>
      </c>
      <c r="BM65">
        <v>8505</v>
      </c>
      <c r="BN65">
        <v>8505</v>
      </c>
      <c r="BO65">
        <v>8505</v>
      </c>
      <c r="BP65">
        <v>25515</v>
      </c>
      <c r="BQ65">
        <v>3300</v>
      </c>
      <c r="BR65">
        <v>400</v>
      </c>
      <c r="BS65">
        <v>400</v>
      </c>
      <c r="BT65">
        <v>4100</v>
      </c>
      <c r="BU65">
        <v>2100</v>
      </c>
      <c r="BV65">
        <v>2100</v>
      </c>
      <c r="BW65">
        <v>2100</v>
      </c>
      <c r="BX65">
        <v>6300</v>
      </c>
      <c r="BY65">
        <v>1200</v>
      </c>
      <c r="BZ65">
        <v>1200</v>
      </c>
      <c r="CA65">
        <v>1200</v>
      </c>
      <c r="CB65">
        <v>3600</v>
      </c>
      <c r="CC65">
        <v>0</v>
      </c>
      <c r="CD65">
        <v>0</v>
      </c>
      <c r="CE65">
        <v>0</v>
      </c>
      <c r="CF65">
        <v>0</v>
      </c>
      <c r="CG65">
        <v>39515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1300</v>
      </c>
      <c r="CU65">
        <v>1300</v>
      </c>
      <c r="CV65">
        <v>1300</v>
      </c>
      <c r="CW65">
        <v>3900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3900</v>
      </c>
      <c r="EE65">
        <v>0</v>
      </c>
      <c r="EF65">
        <v>0</v>
      </c>
      <c r="EG65">
        <v>0</v>
      </c>
      <c r="EH65">
        <v>0</v>
      </c>
      <c r="EI65">
        <v>1154</v>
      </c>
      <c r="EJ65">
        <v>1154</v>
      </c>
      <c r="EK65">
        <v>1155</v>
      </c>
      <c r="EL65">
        <v>3500</v>
      </c>
      <c r="EM65">
        <v>37.065000000000005</v>
      </c>
      <c r="EN65">
        <v>660</v>
      </c>
      <c r="EO65">
        <v>660</v>
      </c>
      <c r="EP65">
        <v>660</v>
      </c>
      <c r="EQ65">
        <v>2000</v>
      </c>
      <c r="ER65">
        <v>21.18</v>
      </c>
      <c r="ES65">
        <v>0</v>
      </c>
      <c r="ET65">
        <v>0</v>
      </c>
      <c r="EU65">
        <v>0</v>
      </c>
      <c r="EV65">
        <v>0</v>
      </c>
      <c r="EW65">
        <v>0</v>
      </c>
      <c r="FA65">
        <v>0</v>
      </c>
      <c r="FE65">
        <v>0</v>
      </c>
      <c r="FI65">
        <v>0</v>
      </c>
      <c r="FJ65">
        <v>5441.7550000000001</v>
      </c>
      <c r="FK65">
        <v>35615</v>
      </c>
      <c r="FL65">
        <v>31507.920512927612</v>
      </c>
      <c r="FM65">
        <v>30173.244999999999</v>
      </c>
    </row>
    <row r="66" spans="1:169" x14ac:dyDescent="0.35">
      <c r="A66">
        <v>196069</v>
      </c>
      <c r="B66" t="s">
        <v>2107</v>
      </c>
      <c r="C66" t="s">
        <v>2108</v>
      </c>
      <c r="D66" t="s">
        <v>2109</v>
      </c>
      <c r="E66" s="43" t="s">
        <v>2110</v>
      </c>
      <c r="F66">
        <v>1</v>
      </c>
      <c r="I66">
        <v>43804</v>
      </c>
      <c r="J66" t="s">
        <v>4246</v>
      </c>
      <c r="K66" t="s">
        <v>1715</v>
      </c>
      <c r="L66" s="43" t="s">
        <v>3204</v>
      </c>
      <c r="M66" t="s">
        <v>2111</v>
      </c>
      <c r="N66" s="43" t="s">
        <v>2112</v>
      </c>
      <c r="O66" s="43" t="s">
        <v>2113</v>
      </c>
      <c r="P66" s="43" t="s">
        <v>608</v>
      </c>
      <c r="Q66" s="43" t="s">
        <v>1763</v>
      </c>
      <c r="R66">
        <v>3.27</v>
      </c>
      <c r="S66">
        <v>44109</v>
      </c>
      <c r="T66" t="s">
        <v>311</v>
      </c>
      <c r="U66" t="s">
        <v>286</v>
      </c>
      <c r="V66" t="s">
        <v>267</v>
      </c>
      <c r="W66" t="s">
        <v>1718</v>
      </c>
      <c r="X66" t="s">
        <v>1719</v>
      </c>
      <c r="Y66">
        <v>8772802835</v>
      </c>
      <c r="Z66" t="s">
        <v>270</v>
      </c>
      <c r="AA66" t="s">
        <v>271</v>
      </c>
      <c r="AB66">
        <v>23</v>
      </c>
      <c r="AC66">
        <v>0</v>
      </c>
      <c r="AD66">
        <v>106</v>
      </c>
      <c r="AE66" t="s">
        <v>364</v>
      </c>
      <c r="AF66">
        <v>3</v>
      </c>
      <c r="AG66" t="s">
        <v>275</v>
      </c>
      <c r="AH66">
        <v>0</v>
      </c>
      <c r="AI66">
        <v>0</v>
      </c>
      <c r="AJ66">
        <v>43790</v>
      </c>
      <c r="AK66" s="43" t="s">
        <v>3208</v>
      </c>
      <c r="AL66" s="43" t="s">
        <v>3209</v>
      </c>
      <c r="AO66" s="23"/>
      <c r="AP66" s="23"/>
      <c r="AQ66" s="23"/>
      <c r="BC66" t="s">
        <v>2018</v>
      </c>
      <c r="BD66" s="43" t="s">
        <v>2018</v>
      </c>
      <c r="BE66" s="43" t="s">
        <v>2018</v>
      </c>
      <c r="BF66" s="43" t="s">
        <v>2018</v>
      </c>
      <c r="BG66" s="43" t="s">
        <v>2018</v>
      </c>
      <c r="BH66" t="s">
        <v>2018</v>
      </c>
      <c r="BI66" s="43" t="s">
        <v>2018</v>
      </c>
      <c r="BJ66">
        <v>0</v>
      </c>
      <c r="BK66">
        <v>44109</v>
      </c>
      <c r="BL66">
        <v>44356</v>
      </c>
      <c r="BM66">
        <v>8505</v>
      </c>
      <c r="BN66">
        <v>8505</v>
      </c>
      <c r="BO66">
        <v>8505</v>
      </c>
      <c r="BP66">
        <v>25515</v>
      </c>
      <c r="BQ66">
        <v>3300</v>
      </c>
      <c r="BR66">
        <v>400</v>
      </c>
      <c r="BS66">
        <v>400</v>
      </c>
      <c r="BT66">
        <v>4100</v>
      </c>
      <c r="BU66">
        <v>2100</v>
      </c>
      <c r="BV66">
        <v>2100</v>
      </c>
      <c r="BW66">
        <v>2100</v>
      </c>
      <c r="BX66">
        <v>6300</v>
      </c>
      <c r="BY66">
        <v>1200</v>
      </c>
      <c r="BZ66">
        <v>1200</v>
      </c>
      <c r="CA66">
        <v>1200</v>
      </c>
      <c r="CB66">
        <v>3600</v>
      </c>
      <c r="CC66">
        <v>0</v>
      </c>
      <c r="CD66">
        <v>0</v>
      </c>
      <c r="CE66">
        <v>0</v>
      </c>
      <c r="CF66">
        <v>0</v>
      </c>
      <c r="CG66">
        <v>39515</v>
      </c>
      <c r="CH66">
        <v>0</v>
      </c>
      <c r="CI66">
        <v>0</v>
      </c>
      <c r="CJ66">
        <v>0</v>
      </c>
      <c r="CK66">
        <v>0</v>
      </c>
      <c r="CL66">
        <v>2065</v>
      </c>
      <c r="CM66">
        <v>2065</v>
      </c>
      <c r="CN66">
        <v>2065</v>
      </c>
      <c r="CO66">
        <v>6195</v>
      </c>
      <c r="CP66">
        <v>500</v>
      </c>
      <c r="CQ66">
        <v>500</v>
      </c>
      <c r="CR66">
        <v>500</v>
      </c>
      <c r="CS66">
        <v>1500</v>
      </c>
      <c r="CT66">
        <v>1300</v>
      </c>
      <c r="CU66">
        <v>1300</v>
      </c>
      <c r="CV66">
        <v>1300</v>
      </c>
      <c r="CW66">
        <v>3900</v>
      </c>
      <c r="CX66">
        <v>0</v>
      </c>
      <c r="CY66">
        <v>0</v>
      </c>
      <c r="CZ66">
        <v>0</v>
      </c>
      <c r="DA66">
        <v>0</v>
      </c>
      <c r="DB66">
        <v>1000</v>
      </c>
      <c r="DC66">
        <v>1000</v>
      </c>
      <c r="DD66">
        <v>1000</v>
      </c>
      <c r="DE66">
        <v>3000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14595</v>
      </c>
      <c r="EE66">
        <v>0</v>
      </c>
      <c r="EF66">
        <v>0</v>
      </c>
      <c r="EG66">
        <v>0</v>
      </c>
      <c r="EH66">
        <v>0</v>
      </c>
      <c r="EI66">
        <v>1154</v>
      </c>
      <c r="EJ66">
        <v>1154</v>
      </c>
      <c r="EK66">
        <v>1155</v>
      </c>
      <c r="EL66">
        <v>3500</v>
      </c>
      <c r="EM66">
        <v>37.065000000000005</v>
      </c>
      <c r="EN66">
        <v>660</v>
      </c>
      <c r="EO66">
        <v>660</v>
      </c>
      <c r="EP66">
        <v>660</v>
      </c>
      <c r="EQ66">
        <v>2000</v>
      </c>
      <c r="ER66">
        <v>21.18</v>
      </c>
      <c r="ES66">
        <v>0</v>
      </c>
      <c r="ET66">
        <v>0</v>
      </c>
      <c r="EU66">
        <v>0</v>
      </c>
      <c r="EV66">
        <v>0</v>
      </c>
      <c r="EW66">
        <v>0</v>
      </c>
      <c r="FA66">
        <v>0</v>
      </c>
      <c r="FE66">
        <v>0</v>
      </c>
      <c r="FI66">
        <v>0</v>
      </c>
      <c r="FJ66">
        <v>5441.7550000000001</v>
      </c>
      <c r="FK66">
        <v>24920</v>
      </c>
      <c r="FL66">
        <v>20339.840649931077</v>
      </c>
      <c r="FM66">
        <v>19478.244999999999</v>
      </c>
    </row>
    <row r="67" spans="1:169" x14ac:dyDescent="0.35">
      <c r="A67">
        <v>196398</v>
      </c>
      <c r="B67" t="s">
        <v>2114</v>
      </c>
      <c r="C67" t="s">
        <v>2115</v>
      </c>
      <c r="D67" t="s">
        <v>2116</v>
      </c>
      <c r="E67" s="43" t="s">
        <v>2117</v>
      </c>
      <c r="F67">
        <v>1</v>
      </c>
      <c r="G67">
        <v>43788</v>
      </c>
      <c r="H67">
        <v>43788</v>
      </c>
      <c r="I67">
        <v>43788</v>
      </c>
      <c r="J67" t="s">
        <v>3335</v>
      </c>
      <c r="K67" t="s">
        <v>1715</v>
      </c>
      <c r="L67" s="43" t="s">
        <v>3204</v>
      </c>
      <c r="M67" t="s">
        <v>2118</v>
      </c>
      <c r="N67" s="43" t="s">
        <v>2119</v>
      </c>
      <c r="O67" s="43" t="s">
        <v>2120</v>
      </c>
      <c r="P67" s="43" t="s">
        <v>705</v>
      </c>
      <c r="Q67" s="43" t="s">
        <v>2121</v>
      </c>
      <c r="R67">
        <v>3.3024</v>
      </c>
      <c r="S67">
        <v>44109</v>
      </c>
      <c r="T67" t="s">
        <v>265</v>
      </c>
      <c r="U67" t="s">
        <v>266</v>
      </c>
      <c r="V67" t="s">
        <v>267</v>
      </c>
      <c r="W67" t="s">
        <v>1718</v>
      </c>
      <c r="X67" t="s">
        <v>1719</v>
      </c>
      <c r="Y67">
        <v>8772802835</v>
      </c>
      <c r="Z67" t="s">
        <v>270</v>
      </c>
      <c r="AA67" t="s">
        <v>271</v>
      </c>
      <c r="AB67">
        <v>0</v>
      </c>
      <c r="AC67">
        <v>1010</v>
      </c>
      <c r="AD67">
        <v>103</v>
      </c>
      <c r="AE67" t="s">
        <v>354</v>
      </c>
      <c r="AF67">
        <v>6</v>
      </c>
      <c r="AG67" t="s">
        <v>275</v>
      </c>
      <c r="AH67">
        <v>0</v>
      </c>
      <c r="AI67">
        <v>0</v>
      </c>
      <c r="AJ67">
        <v>43783</v>
      </c>
      <c r="AK67" s="43" t="s">
        <v>3208</v>
      </c>
      <c r="AL67" s="43" t="s">
        <v>3209</v>
      </c>
      <c r="AO67" s="23"/>
      <c r="AP67" s="23"/>
      <c r="AQ67" s="23"/>
      <c r="BC67" t="s">
        <v>2018</v>
      </c>
      <c r="BD67" s="43" t="s">
        <v>2018</v>
      </c>
      <c r="BE67" s="43" t="s">
        <v>2018</v>
      </c>
      <c r="BF67" s="43" t="s">
        <v>2018</v>
      </c>
      <c r="BG67" s="43" t="s">
        <v>2018</v>
      </c>
      <c r="BH67" t="s">
        <v>2018</v>
      </c>
      <c r="BI67" s="43" t="s">
        <v>2018</v>
      </c>
      <c r="BJ67">
        <v>0</v>
      </c>
      <c r="BK67">
        <v>44109</v>
      </c>
      <c r="BL67">
        <v>44356</v>
      </c>
      <c r="BM67">
        <v>8505</v>
      </c>
      <c r="BN67">
        <v>8505</v>
      </c>
      <c r="BO67">
        <v>8505</v>
      </c>
      <c r="BP67">
        <v>25515</v>
      </c>
      <c r="BQ67">
        <v>3300</v>
      </c>
      <c r="BR67">
        <v>400</v>
      </c>
      <c r="BS67">
        <v>400</v>
      </c>
      <c r="BT67">
        <v>4100</v>
      </c>
      <c r="BU67">
        <v>2100</v>
      </c>
      <c r="BV67">
        <v>2100</v>
      </c>
      <c r="BW67">
        <v>2100</v>
      </c>
      <c r="BX67">
        <v>6300</v>
      </c>
      <c r="BY67">
        <v>1200</v>
      </c>
      <c r="BZ67">
        <v>1200</v>
      </c>
      <c r="CA67">
        <v>1200</v>
      </c>
      <c r="CB67">
        <v>3600</v>
      </c>
      <c r="CC67">
        <v>0</v>
      </c>
      <c r="CD67">
        <v>0</v>
      </c>
      <c r="CE67">
        <v>0</v>
      </c>
      <c r="CF67">
        <v>0</v>
      </c>
      <c r="CG67">
        <v>39515</v>
      </c>
      <c r="CH67">
        <v>0</v>
      </c>
      <c r="CI67">
        <v>0</v>
      </c>
      <c r="CJ67">
        <v>0</v>
      </c>
      <c r="CK67">
        <v>0</v>
      </c>
      <c r="CL67">
        <v>2065</v>
      </c>
      <c r="CM67">
        <v>2065</v>
      </c>
      <c r="CN67">
        <v>2065</v>
      </c>
      <c r="CO67">
        <v>6195</v>
      </c>
      <c r="CP67">
        <v>500</v>
      </c>
      <c r="CQ67">
        <v>500</v>
      </c>
      <c r="CR67">
        <v>500</v>
      </c>
      <c r="CS67">
        <v>1500</v>
      </c>
      <c r="CT67">
        <v>750</v>
      </c>
      <c r="CU67">
        <v>750</v>
      </c>
      <c r="CV67">
        <v>750</v>
      </c>
      <c r="CW67">
        <v>2250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9945</v>
      </c>
      <c r="EE67">
        <v>0</v>
      </c>
      <c r="EF67">
        <v>0</v>
      </c>
      <c r="EG67">
        <v>0</v>
      </c>
      <c r="EH67">
        <v>0</v>
      </c>
      <c r="EI67">
        <v>1154</v>
      </c>
      <c r="EJ67">
        <v>1154</v>
      </c>
      <c r="EK67">
        <v>1155</v>
      </c>
      <c r="EL67">
        <v>3500</v>
      </c>
      <c r="EM67">
        <v>37.065000000000005</v>
      </c>
      <c r="EN67">
        <v>660</v>
      </c>
      <c r="EO67">
        <v>660</v>
      </c>
      <c r="EP67">
        <v>660</v>
      </c>
      <c r="EQ67">
        <v>2000</v>
      </c>
      <c r="ER67">
        <v>21.18</v>
      </c>
      <c r="ES67">
        <v>0</v>
      </c>
      <c r="ET67">
        <v>0</v>
      </c>
      <c r="EU67">
        <v>0</v>
      </c>
      <c r="EV67">
        <v>0</v>
      </c>
      <c r="EW67">
        <v>0</v>
      </c>
      <c r="FA67">
        <v>0</v>
      </c>
      <c r="FE67">
        <v>0</v>
      </c>
      <c r="FI67">
        <v>0</v>
      </c>
      <c r="FJ67">
        <v>5441.7550000000001</v>
      </c>
      <c r="FK67">
        <v>29570</v>
      </c>
      <c r="FL67">
        <v>25195.527546886093</v>
      </c>
      <c r="FM67">
        <v>24128.244999999999</v>
      </c>
    </row>
    <row r="68" spans="1:169" x14ac:dyDescent="0.35">
      <c r="A68">
        <v>196290</v>
      </c>
      <c r="B68" t="s">
        <v>3655</v>
      </c>
      <c r="C68" t="s">
        <v>3656</v>
      </c>
      <c r="D68" t="s">
        <v>3657</v>
      </c>
      <c r="E68" s="43" t="s">
        <v>3658</v>
      </c>
      <c r="F68">
        <v>1</v>
      </c>
      <c r="G68">
        <v>43802</v>
      </c>
      <c r="H68">
        <v>43802</v>
      </c>
      <c r="I68">
        <v>43802</v>
      </c>
      <c r="J68" t="s">
        <v>3335</v>
      </c>
      <c r="K68" t="s">
        <v>1715</v>
      </c>
      <c r="L68" s="43" t="s">
        <v>3204</v>
      </c>
      <c r="M68" t="s">
        <v>3659</v>
      </c>
      <c r="N68" s="43" t="s">
        <v>3660</v>
      </c>
      <c r="O68" s="43" t="s">
        <v>3661</v>
      </c>
      <c r="P68" s="43" t="s">
        <v>342</v>
      </c>
      <c r="Q68" s="43" t="s">
        <v>3662</v>
      </c>
      <c r="S68">
        <v>44109</v>
      </c>
      <c r="T68" t="s">
        <v>311</v>
      </c>
      <c r="U68" t="s">
        <v>266</v>
      </c>
      <c r="V68" t="s">
        <v>267</v>
      </c>
      <c r="W68" t="s">
        <v>1718</v>
      </c>
      <c r="X68" t="s">
        <v>1719</v>
      </c>
      <c r="Y68">
        <v>8772802835</v>
      </c>
      <c r="Z68" t="s">
        <v>270</v>
      </c>
      <c r="AA68" t="s">
        <v>271</v>
      </c>
      <c r="AB68">
        <v>0</v>
      </c>
      <c r="AC68">
        <v>970</v>
      </c>
      <c r="AD68">
        <v>108</v>
      </c>
      <c r="AE68" t="s">
        <v>445</v>
      </c>
      <c r="AF68">
        <v>4</v>
      </c>
      <c r="AG68" t="s">
        <v>3345</v>
      </c>
      <c r="AH68">
        <v>909</v>
      </c>
      <c r="AI68">
        <v>909</v>
      </c>
      <c r="AJ68">
        <v>43774</v>
      </c>
      <c r="AK68" s="43" t="s">
        <v>1715</v>
      </c>
      <c r="AL68" s="43" t="s">
        <v>259</v>
      </c>
      <c r="AO68" s="23">
        <v>43802</v>
      </c>
      <c r="AP68" s="23"/>
      <c r="AQ68" s="23"/>
      <c r="BC68" t="s">
        <v>259</v>
      </c>
      <c r="BD68" s="43" t="s">
        <v>259</v>
      </c>
      <c r="BE68" s="43" t="s">
        <v>259</v>
      </c>
      <c r="BF68" s="43" t="s">
        <v>259</v>
      </c>
      <c r="BG68" s="43" t="s">
        <v>259</v>
      </c>
      <c r="BH68" t="s">
        <v>259</v>
      </c>
      <c r="BI68" s="43" t="s">
        <v>259</v>
      </c>
      <c r="BJ68">
        <v>4.3478260869565188E-2</v>
      </c>
      <c r="BK68">
        <v>44109</v>
      </c>
      <c r="BL68">
        <v>44356</v>
      </c>
      <c r="BM68">
        <v>8505</v>
      </c>
      <c r="BN68">
        <v>8505</v>
      </c>
      <c r="BO68">
        <v>8505</v>
      </c>
      <c r="BP68">
        <v>25515</v>
      </c>
      <c r="BQ68">
        <v>3300</v>
      </c>
      <c r="BR68">
        <v>400</v>
      </c>
      <c r="BS68">
        <v>400</v>
      </c>
      <c r="BT68">
        <v>4100</v>
      </c>
      <c r="BU68">
        <v>2100</v>
      </c>
      <c r="BV68">
        <v>2100</v>
      </c>
      <c r="BW68">
        <v>2100</v>
      </c>
      <c r="BX68">
        <v>6300</v>
      </c>
      <c r="BY68">
        <v>1200</v>
      </c>
      <c r="BZ68">
        <v>1200</v>
      </c>
      <c r="CA68">
        <v>1200</v>
      </c>
      <c r="CB68">
        <v>3600</v>
      </c>
      <c r="CC68">
        <v>0</v>
      </c>
      <c r="CD68">
        <v>0</v>
      </c>
      <c r="CE68">
        <v>0</v>
      </c>
      <c r="CF68">
        <v>0</v>
      </c>
      <c r="CG68">
        <v>39515</v>
      </c>
      <c r="CH68">
        <v>0</v>
      </c>
      <c r="CI68">
        <v>0</v>
      </c>
      <c r="CJ68">
        <v>0</v>
      </c>
      <c r="CK68">
        <v>0</v>
      </c>
      <c r="CL68">
        <v>1749</v>
      </c>
      <c r="CM68">
        <v>1748</v>
      </c>
      <c r="CN68">
        <v>1748</v>
      </c>
      <c r="CO68">
        <v>5245</v>
      </c>
      <c r="CP68">
        <v>500</v>
      </c>
      <c r="CQ68">
        <v>500</v>
      </c>
      <c r="CR68">
        <v>500</v>
      </c>
      <c r="CS68">
        <v>1500</v>
      </c>
      <c r="CT68">
        <v>1250</v>
      </c>
      <c r="CU68">
        <v>1250</v>
      </c>
      <c r="CV68">
        <v>1250</v>
      </c>
      <c r="CW68">
        <v>3750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10495</v>
      </c>
      <c r="EE68">
        <v>0</v>
      </c>
      <c r="EF68">
        <v>0</v>
      </c>
      <c r="EG68">
        <v>0</v>
      </c>
      <c r="EH68">
        <v>0</v>
      </c>
      <c r="EI68">
        <v>1154</v>
      </c>
      <c r="EJ68">
        <v>1154</v>
      </c>
      <c r="EK68">
        <v>1155</v>
      </c>
      <c r="EL68">
        <v>3500</v>
      </c>
      <c r="EM68">
        <v>37.065000000000005</v>
      </c>
      <c r="EN68">
        <v>660</v>
      </c>
      <c r="EO68">
        <v>660</v>
      </c>
      <c r="EP68">
        <v>660</v>
      </c>
      <c r="EQ68">
        <v>2000</v>
      </c>
      <c r="ER68">
        <v>21.18</v>
      </c>
      <c r="ES68">
        <v>0</v>
      </c>
      <c r="ET68">
        <v>0</v>
      </c>
      <c r="EU68">
        <v>0</v>
      </c>
      <c r="EW68">
        <v>0</v>
      </c>
      <c r="FA68">
        <v>0</v>
      </c>
      <c r="FE68">
        <v>0</v>
      </c>
      <c r="FI68">
        <v>0</v>
      </c>
      <c r="FJ68">
        <v>5441.7550000000001</v>
      </c>
      <c r="FK68">
        <v>29020</v>
      </c>
      <c r="FL68">
        <v>24621.198989181736</v>
      </c>
      <c r="FM68">
        <v>23578.244999999999</v>
      </c>
    </row>
    <row r="69" spans="1:169" x14ac:dyDescent="0.35">
      <c r="A69">
        <v>192121</v>
      </c>
      <c r="B69" t="s">
        <v>2122</v>
      </c>
      <c r="C69" t="s">
        <v>2123</v>
      </c>
      <c r="D69" t="s">
        <v>2124</v>
      </c>
      <c r="E69" s="43" t="s">
        <v>2125</v>
      </c>
      <c r="F69">
        <v>1</v>
      </c>
      <c r="I69">
        <v>43804</v>
      </c>
      <c r="J69" t="s">
        <v>4242</v>
      </c>
      <c r="K69" t="s">
        <v>1715</v>
      </c>
      <c r="L69" s="43" t="s">
        <v>259</v>
      </c>
      <c r="M69" t="s">
        <v>2126</v>
      </c>
      <c r="N69" s="43" t="s">
        <v>2127</v>
      </c>
      <c r="O69" s="43" t="s">
        <v>2128</v>
      </c>
      <c r="P69" s="43" t="s">
        <v>1370</v>
      </c>
      <c r="Q69" s="43" t="s">
        <v>2129</v>
      </c>
      <c r="R69">
        <v>2.6579999999999999</v>
      </c>
      <c r="S69">
        <v>44109</v>
      </c>
      <c r="T69" t="s">
        <v>265</v>
      </c>
      <c r="U69" t="s">
        <v>286</v>
      </c>
      <c r="V69" t="s">
        <v>267</v>
      </c>
      <c r="W69" t="s">
        <v>1718</v>
      </c>
      <c r="X69" t="s">
        <v>1719</v>
      </c>
      <c r="Y69">
        <v>8772802835</v>
      </c>
      <c r="Z69" t="s">
        <v>270</v>
      </c>
      <c r="AA69" t="s">
        <v>271</v>
      </c>
      <c r="AB69">
        <v>0</v>
      </c>
      <c r="AC69">
        <v>0</v>
      </c>
      <c r="AD69">
        <v>0</v>
      </c>
      <c r="AE69" t="s">
        <v>324</v>
      </c>
      <c r="AF69">
        <v>8</v>
      </c>
      <c r="AG69" t="s">
        <v>275</v>
      </c>
      <c r="AK69" s="43" t="s">
        <v>259</v>
      </c>
      <c r="AL69" s="43" t="s">
        <v>259</v>
      </c>
      <c r="AO69" s="23"/>
      <c r="AP69" s="23"/>
      <c r="AQ69" s="23"/>
      <c r="BC69" t="s">
        <v>259</v>
      </c>
      <c r="BD69" s="43" t="s">
        <v>259</v>
      </c>
      <c r="BE69" s="43" t="s">
        <v>259</v>
      </c>
      <c r="BF69" s="43" t="s">
        <v>259</v>
      </c>
      <c r="BG69" s="43" t="s">
        <v>259</v>
      </c>
      <c r="BH69" t="s">
        <v>259</v>
      </c>
      <c r="BI69" s="43" t="s">
        <v>259</v>
      </c>
      <c r="BJ69">
        <v>0</v>
      </c>
      <c r="BK69">
        <v>44109</v>
      </c>
      <c r="BL69">
        <v>44356</v>
      </c>
      <c r="BM69">
        <v>8505</v>
      </c>
      <c r="BN69">
        <v>8505</v>
      </c>
      <c r="BO69">
        <v>8505</v>
      </c>
      <c r="BP69">
        <v>25515</v>
      </c>
      <c r="BQ69">
        <v>3300</v>
      </c>
      <c r="BR69">
        <v>400</v>
      </c>
      <c r="BS69">
        <v>400</v>
      </c>
      <c r="BT69">
        <v>4100</v>
      </c>
      <c r="BU69">
        <v>2100</v>
      </c>
      <c r="BV69">
        <v>2100</v>
      </c>
      <c r="BW69">
        <v>2100</v>
      </c>
      <c r="BX69">
        <v>6300</v>
      </c>
      <c r="BY69">
        <v>1200</v>
      </c>
      <c r="BZ69">
        <v>1200</v>
      </c>
      <c r="CA69">
        <v>1200</v>
      </c>
      <c r="CB69">
        <v>3600</v>
      </c>
      <c r="CC69">
        <v>0</v>
      </c>
      <c r="CD69">
        <v>0</v>
      </c>
      <c r="CE69">
        <v>0</v>
      </c>
      <c r="CF69">
        <v>0</v>
      </c>
      <c r="CG69">
        <v>39515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1000</v>
      </c>
      <c r="DC69">
        <v>1000</v>
      </c>
      <c r="DD69">
        <v>1000</v>
      </c>
      <c r="DE69">
        <v>3000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3000</v>
      </c>
      <c r="EE69">
        <v>0</v>
      </c>
      <c r="EF69">
        <v>0</v>
      </c>
      <c r="EG69">
        <v>0</v>
      </c>
      <c r="EH69">
        <v>0</v>
      </c>
      <c r="EI69">
        <v>1154</v>
      </c>
      <c r="EJ69">
        <v>1154</v>
      </c>
      <c r="EK69">
        <v>1155</v>
      </c>
      <c r="EL69">
        <v>3500</v>
      </c>
      <c r="EM69">
        <v>37.065000000000005</v>
      </c>
      <c r="EN69">
        <v>660</v>
      </c>
      <c r="EO69">
        <v>660</v>
      </c>
      <c r="EP69">
        <v>660</v>
      </c>
      <c r="EQ69">
        <v>2000</v>
      </c>
      <c r="ER69">
        <v>21.18</v>
      </c>
      <c r="ES69">
        <v>0</v>
      </c>
      <c r="ET69">
        <v>0</v>
      </c>
      <c r="EU69">
        <v>0</v>
      </c>
      <c r="EV69">
        <v>0</v>
      </c>
      <c r="EW69">
        <v>0</v>
      </c>
      <c r="FA69">
        <v>0</v>
      </c>
      <c r="FE69">
        <v>0</v>
      </c>
      <c r="FI69">
        <v>0</v>
      </c>
      <c r="FJ69">
        <v>5441.7550000000001</v>
      </c>
      <c r="FK69">
        <v>36515</v>
      </c>
      <c r="FL69">
        <v>32447.730880080198</v>
      </c>
      <c r="FM69">
        <v>31073.245000000003</v>
      </c>
    </row>
    <row r="70" spans="1:169" x14ac:dyDescent="0.35">
      <c r="A70">
        <v>198213</v>
      </c>
      <c r="B70" t="s">
        <v>2130</v>
      </c>
      <c r="C70" t="s">
        <v>1339</v>
      </c>
      <c r="D70" t="s">
        <v>2131</v>
      </c>
      <c r="E70" s="43" t="s">
        <v>2132</v>
      </c>
      <c r="F70">
        <v>1</v>
      </c>
      <c r="I70">
        <v>43781</v>
      </c>
      <c r="J70" t="s">
        <v>3305</v>
      </c>
      <c r="K70" t="s">
        <v>1715</v>
      </c>
      <c r="L70" s="43" t="s">
        <v>3204</v>
      </c>
      <c r="M70" t="s">
        <v>2133</v>
      </c>
      <c r="N70" s="43" t="s">
        <v>2134</v>
      </c>
      <c r="O70" s="43" t="s">
        <v>739</v>
      </c>
      <c r="P70" s="43" t="s">
        <v>442</v>
      </c>
      <c r="Q70" s="43" t="s">
        <v>2135</v>
      </c>
      <c r="R70">
        <v>3.5455000000000001</v>
      </c>
      <c r="S70">
        <v>44109</v>
      </c>
      <c r="T70" t="s">
        <v>311</v>
      </c>
      <c r="U70" t="s">
        <v>266</v>
      </c>
      <c r="V70" t="s">
        <v>267</v>
      </c>
      <c r="W70" t="s">
        <v>1718</v>
      </c>
      <c r="X70" t="s">
        <v>1719</v>
      </c>
      <c r="Y70">
        <v>8772802835</v>
      </c>
      <c r="Z70" t="s">
        <v>270</v>
      </c>
      <c r="AA70" t="s">
        <v>271</v>
      </c>
      <c r="AB70">
        <v>0</v>
      </c>
      <c r="AC70">
        <v>0</v>
      </c>
      <c r="AD70">
        <v>0</v>
      </c>
      <c r="AE70" t="s">
        <v>416</v>
      </c>
      <c r="AF70">
        <v>5</v>
      </c>
      <c r="AG70" t="s">
        <v>275</v>
      </c>
      <c r="AH70">
        <v>0</v>
      </c>
      <c r="AI70">
        <v>0</v>
      </c>
      <c r="AJ70">
        <v>43774</v>
      </c>
      <c r="AK70" s="43" t="s">
        <v>3208</v>
      </c>
      <c r="AL70" s="43" t="s">
        <v>3209</v>
      </c>
      <c r="AO70" s="23">
        <v>43767</v>
      </c>
      <c r="AP70" s="23">
        <v>43765</v>
      </c>
      <c r="AQ70" s="23">
        <v>43767</v>
      </c>
      <c r="BC70" t="s">
        <v>2018</v>
      </c>
      <c r="BD70" s="43" t="s">
        <v>2018</v>
      </c>
      <c r="BE70" s="43" t="s">
        <v>2018</v>
      </c>
      <c r="BF70" s="43" t="s">
        <v>2018</v>
      </c>
      <c r="BG70" s="43" t="s">
        <v>2018</v>
      </c>
      <c r="BH70" t="s">
        <v>2018</v>
      </c>
      <c r="BI70" s="43" t="s">
        <v>2018</v>
      </c>
      <c r="BJ70">
        <v>0.1875</v>
      </c>
      <c r="BK70">
        <v>44109</v>
      </c>
      <c r="BL70">
        <v>44356</v>
      </c>
      <c r="BM70">
        <v>8505</v>
      </c>
      <c r="BN70">
        <v>8505</v>
      </c>
      <c r="BO70">
        <v>8505</v>
      </c>
      <c r="BP70">
        <v>25515</v>
      </c>
      <c r="BQ70">
        <v>3300</v>
      </c>
      <c r="BR70">
        <v>400</v>
      </c>
      <c r="BS70">
        <v>400</v>
      </c>
      <c r="BT70">
        <v>4100</v>
      </c>
      <c r="BU70">
        <v>2100</v>
      </c>
      <c r="BV70">
        <v>2100</v>
      </c>
      <c r="BW70">
        <v>2100</v>
      </c>
      <c r="BX70">
        <v>6300</v>
      </c>
      <c r="BY70">
        <v>1200</v>
      </c>
      <c r="BZ70">
        <v>1200</v>
      </c>
      <c r="CA70">
        <v>1200</v>
      </c>
      <c r="CB70">
        <v>3600</v>
      </c>
      <c r="CC70">
        <v>0</v>
      </c>
      <c r="CD70">
        <v>0</v>
      </c>
      <c r="CE70">
        <v>0</v>
      </c>
      <c r="CF70">
        <v>0</v>
      </c>
      <c r="CG70">
        <v>39515</v>
      </c>
      <c r="CH70">
        <v>0</v>
      </c>
      <c r="CI70">
        <v>0</v>
      </c>
      <c r="CJ70">
        <v>0</v>
      </c>
      <c r="CK70">
        <v>0</v>
      </c>
      <c r="CL70">
        <v>2065</v>
      </c>
      <c r="CM70">
        <v>2065</v>
      </c>
      <c r="CN70">
        <v>2065</v>
      </c>
      <c r="CO70">
        <v>6195</v>
      </c>
      <c r="CP70">
        <v>500</v>
      </c>
      <c r="CQ70">
        <v>500</v>
      </c>
      <c r="CR70">
        <v>500</v>
      </c>
      <c r="CS70">
        <v>1500</v>
      </c>
      <c r="CT70">
        <v>1000</v>
      </c>
      <c r="CU70">
        <v>1000</v>
      </c>
      <c r="CV70">
        <v>1000</v>
      </c>
      <c r="CW70">
        <v>3000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10695</v>
      </c>
      <c r="EE70">
        <v>0</v>
      </c>
      <c r="EF70">
        <v>0</v>
      </c>
      <c r="EG70">
        <v>0</v>
      </c>
      <c r="EH70">
        <v>0</v>
      </c>
      <c r="EI70">
        <v>1154</v>
      </c>
      <c r="EJ70">
        <v>1154</v>
      </c>
      <c r="EK70">
        <v>1155</v>
      </c>
      <c r="EL70">
        <v>3500</v>
      </c>
      <c r="EM70">
        <v>37.065000000000005</v>
      </c>
      <c r="EN70">
        <v>660</v>
      </c>
      <c r="EO70">
        <v>660</v>
      </c>
      <c r="EP70">
        <v>660</v>
      </c>
      <c r="EQ70">
        <v>2000</v>
      </c>
      <c r="ER70">
        <v>21.18</v>
      </c>
      <c r="ES70">
        <v>0</v>
      </c>
      <c r="ET70">
        <v>0</v>
      </c>
      <c r="EU70">
        <v>0</v>
      </c>
      <c r="EV70">
        <v>0</v>
      </c>
      <c r="EW70">
        <v>0</v>
      </c>
      <c r="FA70">
        <v>0</v>
      </c>
      <c r="FE70">
        <v>0</v>
      </c>
      <c r="FI70">
        <v>0</v>
      </c>
      <c r="FJ70">
        <v>5441.7550000000001</v>
      </c>
      <c r="FK70">
        <v>28820</v>
      </c>
      <c r="FL70">
        <v>24412.352240925607</v>
      </c>
      <c r="FM70">
        <v>23378.244999999999</v>
      </c>
    </row>
    <row r="71" spans="1:169" x14ac:dyDescent="0.35">
      <c r="A71">
        <v>199303</v>
      </c>
      <c r="B71" t="s">
        <v>3980</v>
      </c>
      <c r="C71" t="s">
        <v>3981</v>
      </c>
      <c r="D71" t="s">
        <v>3982</v>
      </c>
      <c r="E71" s="43" t="s">
        <v>3983</v>
      </c>
      <c r="F71">
        <v>1</v>
      </c>
      <c r="I71">
        <v>43803</v>
      </c>
      <c r="J71" t="s">
        <v>3304</v>
      </c>
      <c r="K71" t="s">
        <v>1715</v>
      </c>
      <c r="L71" s="43" t="s">
        <v>3204</v>
      </c>
      <c r="M71" t="s">
        <v>3984</v>
      </c>
      <c r="N71" s="43" t="s">
        <v>3985</v>
      </c>
      <c r="O71" s="43" t="s">
        <v>3986</v>
      </c>
      <c r="P71" s="43" t="s">
        <v>813</v>
      </c>
      <c r="Q71" s="43" t="s">
        <v>3987</v>
      </c>
      <c r="S71">
        <v>44109</v>
      </c>
      <c r="T71" t="s">
        <v>265</v>
      </c>
      <c r="U71" t="s">
        <v>266</v>
      </c>
      <c r="V71" t="s">
        <v>1028</v>
      </c>
      <c r="W71" t="s">
        <v>1718</v>
      </c>
      <c r="X71" t="s">
        <v>1719</v>
      </c>
      <c r="Y71">
        <v>8772802835</v>
      </c>
      <c r="Z71" t="s">
        <v>270</v>
      </c>
      <c r="AA71" t="s">
        <v>271</v>
      </c>
      <c r="AB71">
        <v>21</v>
      </c>
      <c r="AC71">
        <v>0</v>
      </c>
      <c r="AD71">
        <v>103</v>
      </c>
      <c r="AE71" t="s">
        <v>301</v>
      </c>
      <c r="AF71">
        <v>1</v>
      </c>
      <c r="AG71" t="s">
        <v>3345</v>
      </c>
      <c r="AH71">
        <v>0</v>
      </c>
      <c r="AI71">
        <v>0</v>
      </c>
      <c r="AJ71">
        <v>43783</v>
      </c>
      <c r="AK71" s="43" t="s">
        <v>1715</v>
      </c>
      <c r="AL71" s="43" t="s">
        <v>259</v>
      </c>
      <c r="AO71" s="23"/>
      <c r="AP71" s="23"/>
      <c r="AQ71" s="23"/>
      <c r="BC71" t="s">
        <v>259</v>
      </c>
      <c r="BD71" s="43" t="s">
        <v>259</v>
      </c>
      <c r="BE71" s="43" t="s">
        <v>259</v>
      </c>
      <c r="BF71" s="43" t="s">
        <v>259</v>
      </c>
      <c r="BG71" s="43" t="s">
        <v>259</v>
      </c>
      <c r="BH71" t="s">
        <v>259</v>
      </c>
      <c r="BI71" s="43" t="s">
        <v>259</v>
      </c>
      <c r="BJ71">
        <v>0</v>
      </c>
      <c r="BK71">
        <v>44109</v>
      </c>
      <c r="BL71">
        <v>44356</v>
      </c>
      <c r="BM71">
        <v>8505</v>
      </c>
      <c r="BN71">
        <v>8505</v>
      </c>
      <c r="BO71">
        <v>8505</v>
      </c>
      <c r="BP71">
        <v>25515</v>
      </c>
      <c r="BQ71">
        <v>3300</v>
      </c>
      <c r="BR71">
        <v>400</v>
      </c>
      <c r="BS71">
        <v>400</v>
      </c>
      <c r="BT71">
        <v>4100</v>
      </c>
      <c r="BU71">
        <v>2100</v>
      </c>
      <c r="BV71">
        <v>2100</v>
      </c>
      <c r="BW71">
        <v>2100</v>
      </c>
      <c r="BX71">
        <v>6300</v>
      </c>
      <c r="BY71">
        <v>1200</v>
      </c>
      <c r="BZ71">
        <v>1200</v>
      </c>
      <c r="CA71">
        <v>1200</v>
      </c>
      <c r="CB71">
        <v>3600</v>
      </c>
      <c r="CC71">
        <v>0</v>
      </c>
      <c r="CD71">
        <v>0</v>
      </c>
      <c r="CE71">
        <v>0</v>
      </c>
      <c r="CF71">
        <v>0</v>
      </c>
      <c r="CG71">
        <v>39515</v>
      </c>
      <c r="CH71">
        <v>0</v>
      </c>
      <c r="CI71">
        <v>0</v>
      </c>
      <c r="CJ71">
        <v>0</v>
      </c>
      <c r="CK71">
        <v>0</v>
      </c>
      <c r="CL71">
        <v>2065</v>
      </c>
      <c r="CM71">
        <v>2065</v>
      </c>
      <c r="CN71">
        <v>2065</v>
      </c>
      <c r="CO71">
        <v>6195</v>
      </c>
      <c r="CP71">
        <v>500</v>
      </c>
      <c r="CQ71">
        <v>500</v>
      </c>
      <c r="CR71">
        <v>500</v>
      </c>
      <c r="CS71">
        <v>1500</v>
      </c>
      <c r="CT71">
        <v>1700</v>
      </c>
      <c r="CU71">
        <v>1700</v>
      </c>
      <c r="CV71">
        <v>1700</v>
      </c>
      <c r="CW71">
        <v>5100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12795</v>
      </c>
      <c r="EE71">
        <v>0</v>
      </c>
      <c r="EF71">
        <v>0</v>
      </c>
      <c r="EG71">
        <v>0</v>
      </c>
      <c r="EH71">
        <v>0</v>
      </c>
      <c r="EI71">
        <v>1154</v>
      </c>
      <c r="EJ71">
        <v>1154</v>
      </c>
      <c r="EK71">
        <v>1155</v>
      </c>
      <c r="EL71">
        <v>3500</v>
      </c>
      <c r="EM71">
        <v>37.065000000000005</v>
      </c>
      <c r="EN71">
        <v>660</v>
      </c>
      <c r="EO71">
        <v>660</v>
      </c>
      <c r="EP71">
        <v>660</v>
      </c>
      <c r="EQ71">
        <v>2000</v>
      </c>
      <c r="ER71">
        <v>21.18</v>
      </c>
      <c r="ES71">
        <v>0</v>
      </c>
      <c r="ET71">
        <v>0</v>
      </c>
      <c r="EU71">
        <v>0</v>
      </c>
      <c r="EV71">
        <v>0</v>
      </c>
      <c r="EW71">
        <v>0</v>
      </c>
      <c r="FA71">
        <v>0</v>
      </c>
      <c r="FE71">
        <v>0</v>
      </c>
      <c r="FI71">
        <v>0</v>
      </c>
      <c r="FJ71">
        <v>5441.7550000000001</v>
      </c>
      <c r="FK71">
        <v>26720</v>
      </c>
      <c r="FL71">
        <v>22219.461384236245</v>
      </c>
      <c r="FM71">
        <v>21278.244999999999</v>
      </c>
    </row>
    <row r="72" spans="1:169" x14ac:dyDescent="0.35">
      <c r="A72">
        <v>197321</v>
      </c>
      <c r="B72" t="s">
        <v>2136</v>
      </c>
      <c r="C72" t="s">
        <v>2137</v>
      </c>
      <c r="D72" t="s">
        <v>2138</v>
      </c>
      <c r="E72" s="43" t="s">
        <v>2139</v>
      </c>
      <c r="F72">
        <v>1</v>
      </c>
      <c r="I72">
        <v>43804</v>
      </c>
      <c r="J72" t="s">
        <v>4242</v>
      </c>
      <c r="K72" t="s">
        <v>1715</v>
      </c>
      <c r="L72" s="43" t="s">
        <v>259</v>
      </c>
      <c r="M72" t="s">
        <v>2140</v>
      </c>
      <c r="N72" s="43" t="s">
        <v>2141</v>
      </c>
      <c r="O72" s="43" t="s">
        <v>2142</v>
      </c>
      <c r="P72" s="43" t="s">
        <v>1172</v>
      </c>
      <c r="Q72" s="43" t="s">
        <v>2143</v>
      </c>
      <c r="R72">
        <v>3.92</v>
      </c>
      <c r="S72">
        <v>44109</v>
      </c>
      <c r="T72" t="s">
        <v>311</v>
      </c>
      <c r="U72" t="s">
        <v>266</v>
      </c>
      <c r="V72" t="s">
        <v>267</v>
      </c>
      <c r="W72" t="s">
        <v>1718</v>
      </c>
      <c r="X72" t="s">
        <v>1719</v>
      </c>
      <c r="Y72">
        <v>8772802835</v>
      </c>
      <c r="Z72" t="s">
        <v>270</v>
      </c>
      <c r="AA72" t="s">
        <v>271</v>
      </c>
      <c r="AB72">
        <v>25</v>
      </c>
      <c r="AC72">
        <v>0</v>
      </c>
      <c r="AD72">
        <v>120</v>
      </c>
      <c r="AE72" t="s">
        <v>301</v>
      </c>
      <c r="AF72">
        <v>1</v>
      </c>
      <c r="AG72" t="s">
        <v>275</v>
      </c>
      <c r="AK72" s="43" t="s">
        <v>259</v>
      </c>
      <c r="AL72" s="43" t="s">
        <v>259</v>
      </c>
      <c r="AO72" s="23"/>
      <c r="AP72" s="23"/>
      <c r="AQ72" s="23"/>
      <c r="BC72" t="s">
        <v>259</v>
      </c>
      <c r="BD72" s="43" t="s">
        <v>259</v>
      </c>
      <c r="BE72" s="43" t="s">
        <v>259</v>
      </c>
      <c r="BF72" s="43" t="s">
        <v>259</v>
      </c>
      <c r="BG72" s="43" t="s">
        <v>259</v>
      </c>
      <c r="BH72" t="s">
        <v>259</v>
      </c>
      <c r="BI72" s="43" t="s">
        <v>259</v>
      </c>
      <c r="BJ72">
        <v>0</v>
      </c>
      <c r="BK72">
        <v>44109</v>
      </c>
      <c r="BL72">
        <v>44356</v>
      </c>
      <c r="BM72">
        <v>8505</v>
      </c>
      <c r="BN72">
        <v>8505</v>
      </c>
      <c r="BO72">
        <v>8505</v>
      </c>
      <c r="BP72">
        <v>25515</v>
      </c>
      <c r="BQ72">
        <v>3300</v>
      </c>
      <c r="BR72">
        <v>400</v>
      </c>
      <c r="BS72">
        <v>400</v>
      </c>
      <c r="BT72">
        <v>4100</v>
      </c>
      <c r="BU72">
        <v>2100</v>
      </c>
      <c r="BV72">
        <v>2100</v>
      </c>
      <c r="BW72">
        <v>2100</v>
      </c>
      <c r="BX72">
        <v>6300</v>
      </c>
      <c r="BY72">
        <v>1200</v>
      </c>
      <c r="BZ72">
        <v>1200</v>
      </c>
      <c r="CA72">
        <v>1200</v>
      </c>
      <c r="CB72">
        <v>3600</v>
      </c>
      <c r="CC72">
        <v>0</v>
      </c>
      <c r="CD72">
        <v>0</v>
      </c>
      <c r="CE72">
        <v>0</v>
      </c>
      <c r="CF72">
        <v>0</v>
      </c>
      <c r="CG72">
        <v>39515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1700</v>
      </c>
      <c r="CU72">
        <v>1700</v>
      </c>
      <c r="CV72">
        <v>1700</v>
      </c>
      <c r="CW72">
        <v>5100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5100</v>
      </c>
      <c r="EE72">
        <v>0</v>
      </c>
      <c r="EF72">
        <v>0</v>
      </c>
      <c r="EG72">
        <v>0</v>
      </c>
      <c r="EH72">
        <v>0</v>
      </c>
      <c r="EI72">
        <v>1154</v>
      </c>
      <c r="EJ72">
        <v>1154</v>
      </c>
      <c r="EK72">
        <v>1155</v>
      </c>
      <c r="EL72">
        <v>3500</v>
      </c>
      <c r="EM72">
        <v>37.065000000000005</v>
      </c>
      <c r="EN72">
        <v>660</v>
      </c>
      <c r="EO72">
        <v>660</v>
      </c>
      <c r="EP72">
        <v>660</v>
      </c>
      <c r="EQ72">
        <v>2000</v>
      </c>
      <c r="ER72">
        <v>21.18</v>
      </c>
      <c r="ES72">
        <v>0</v>
      </c>
      <c r="ET72">
        <v>0</v>
      </c>
      <c r="EU72">
        <v>0</v>
      </c>
      <c r="EV72">
        <v>0</v>
      </c>
      <c r="EW72">
        <v>0</v>
      </c>
      <c r="FA72">
        <v>0</v>
      </c>
      <c r="FE72">
        <v>0</v>
      </c>
      <c r="FI72">
        <v>0</v>
      </c>
      <c r="FJ72">
        <v>5441.7550000000001</v>
      </c>
      <c r="FK72">
        <v>34415</v>
      </c>
      <c r="FL72">
        <v>30254.840023390832</v>
      </c>
      <c r="FM72">
        <v>28973.244999999999</v>
      </c>
    </row>
    <row r="73" spans="1:169" x14ac:dyDescent="0.35">
      <c r="A73">
        <v>198667</v>
      </c>
      <c r="B73" t="s">
        <v>2144</v>
      </c>
      <c r="C73" t="s">
        <v>2145</v>
      </c>
      <c r="D73" t="s">
        <v>2146</v>
      </c>
      <c r="E73" s="43" t="s">
        <v>2147</v>
      </c>
      <c r="F73">
        <v>1</v>
      </c>
      <c r="I73">
        <v>43804</v>
      </c>
      <c r="J73" t="s">
        <v>4242</v>
      </c>
      <c r="K73" t="s">
        <v>1715</v>
      </c>
      <c r="L73" s="43" t="s">
        <v>259</v>
      </c>
      <c r="M73" t="s">
        <v>2148</v>
      </c>
      <c r="N73" s="43" t="s">
        <v>2149</v>
      </c>
      <c r="O73" s="43" t="s">
        <v>2150</v>
      </c>
      <c r="P73" s="43" t="s">
        <v>263</v>
      </c>
      <c r="Q73" s="43" t="s">
        <v>2151</v>
      </c>
      <c r="S73">
        <v>44109</v>
      </c>
      <c r="T73" t="s">
        <v>265</v>
      </c>
      <c r="U73" t="s">
        <v>266</v>
      </c>
      <c r="V73" t="s">
        <v>267</v>
      </c>
      <c r="W73" t="s">
        <v>1718</v>
      </c>
      <c r="X73" t="s">
        <v>1719</v>
      </c>
      <c r="Y73">
        <v>8772802835</v>
      </c>
      <c r="Z73" t="s">
        <v>270</v>
      </c>
      <c r="AA73" t="s">
        <v>271</v>
      </c>
      <c r="AB73">
        <v>18</v>
      </c>
      <c r="AC73">
        <v>0</v>
      </c>
      <c r="AD73">
        <v>93</v>
      </c>
      <c r="AE73" t="s">
        <v>354</v>
      </c>
      <c r="AF73">
        <v>6</v>
      </c>
      <c r="AG73" t="s">
        <v>446</v>
      </c>
      <c r="AK73" s="43" t="s">
        <v>259</v>
      </c>
      <c r="AL73" s="43" t="s">
        <v>259</v>
      </c>
      <c r="AO73" s="23"/>
      <c r="AP73" s="23"/>
      <c r="AQ73" s="23"/>
      <c r="BC73" t="s">
        <v>259</v>
      </c>
      <c r="BD73" s="43" t="s">
        <v>259</v>
      </c>
      <c r="BE73" s="43" t="s">
        <v>259</v>
      </c>
      <c r="BF73" s="43" t="s">
        <v>259</v>
      </c>
      <c r="BG73" s="43" t="s">
        <v>259</v>
      </c>
      <c r="BH73" t="s">
        <v>259</v>
      </c>
      <c r="BI73" s="43" t="s">
        <v>259</v>
      </c>
      <c r="BJ73">
        <v>0</v>
      </c>
      <c r="BK73">
        <v>44109</v>
      </c>
      <c r="BL73">
        <v>44356</v>
      </c>
      <c r="BM73">
        <v>8505</v>
      </c>
      <c r="BN73">
        <v>8505</v>
      </c>
      <c r="BO73">
        <v>8505</v>
      </c>
      <c r="BP73">
        <v>25515</v>
      </c>
      <c r="BQ73">
        <v>3300</v>
      </c>
      <c r="BR73">
        <v>400</v>
      </c>
      <c r="BS73">
        <v>400</v>
      </c>
      <c r="BT73">
        <v>4100</v>
      </c>
      <c r="BU73">
        <v>2100</v>
      </c>
      <c r="BV73">
        <v>2100</v>
      </c>
      <c r="BW73">
        <v>2100</v>
      </c>
      <c r="BX73">
        <v>6300</v>
      </c>
      <c r="BY73">
        <v>1200</v>
      </c>
      <c r="BZ73">
        <v>1200</v>
      </c>
      <c r="CA73">
        <v>1200</v>
      </c>
      <c r="CB73">
        <v>3600</v>
      </c>
      <c r="CC73">
        <v>0</v>
      </c>
      <c r="CD73">
        <v>0</v>
      </c>
      <c r="CE73">
        <v>0</v>
      </c>
      <c r="CF73">
        <v>0</v>
      </c>
      <c r="CG73">
        <v>39515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750</v>
      </c>
      <c r="CU73">
        <v>750</v>
      </c>
      <c r="CV73">
        <v>750</v>
      </c>
      <c r="CW73">
        <v>2250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2250</v>
      </c>
      <c r="EE73">
        <v>0</v>
      </c>
      <c r="EF73">
        <v>0</v>
      </c>
      <c r="EG73">
        <v>0</v>
      </c>
      <c r="EH73">
        <v>0</v>
      </c>
      <c r="EI73">
        <v>1154</v>
      </c>
      <c r="EJ73">
        <v>1154</v>
      </c>
      <c r="EK73">
        <v>1155</v>
      </c>
      <c r="EL73">
        <v>3500</v>
      </c>
      <c r="EM73">
        <v>37.065000000000005</v>
      </c>
      <c r="EN73">
        <v>660</v>
      </c>
      <c r="EO73">
        <v>660</v>
      </c>
      <c r="EP73">
        <v>660</v>
      </c>
      <c r="EQ73">
        <v>2000</v>
      </c>
      <c r="ER73">
        <v>21.18</v>
      </c>
      <c r="ES73">
        <v>0</v>
      </c>
      <c r="ET73">
        <v>0</v>
      </c>
      <c r="EU73">
        <v>0</v>
      </c>
      <c r="EV73">
        <v>0</v>
      </c>
      <c r="EW73">
        <v>0</v>
      </c>
      <c r="FA73">
        <v>0</v>
      </c>
      <c r="FE73">
        <v>0</v>
      </c>
      <c r="FI73">
        <v>0</v>
      </c>
      <c r="FJ73">
        <v>5441.7550000000001</v>
      </c>
      <c r="FK73">
        <v>37265</v>
      </c>
      <c r="FL73">
        <v>33230.906186040687</v>
      </c>
      <c r="FM73">
        <v>31823.245000000003</v>
      </c>
    </row>
    <row r="74" spans="1:169" x14ac:dyDescent="0.35">
      <c r="A74">
        <v>197971</v>
      </c>
      <c r="B74" t="s">
        <v>1923</v>
      </c>
      <c r="C74" t="s">
        <v>690</v>
      </c>
      <c r="D74" t="s">
        <v>2152</v>
      </c>
      <c r="E74" s="43" t="s">
        <v>2153</v>
      </c>
      <c r="F74">
        <v>1</v>
      </c>
      <c r="G74">
        <v>43783</v>
      </c>
      <c r="H74">
        <v>43783</v>
      </c>
      <c r="I74">
        <v>43783</v>
      </c>
      <c r="J74" t="s">
        <v>4247</v>
      </c>
      <c r="K74" t="s">
        <v>1715</v>
      </c>
      <c r="L74" s="43" t="s">
        <v>3204</v>
      </c>
      <c r="M74" t="s">
        <v>2154</v>
      </c>
      <c r="N74" s="43" t="s">
        <v>2155</v>
      </c>
      <c r="O74" s="43" t="s">
        <v>2156</v>
      </c>
      <c r="P74" s="43" t="s">
        <v>342</v>
      </c>
      <c r="Q74" s="43" t="s">
        <v>2157</v>
      </c>
      <c r="R74">
        <v>3.83</v>
      </c>
      <c r="S74">
        <v>44109</v>
      </c>
      <c r="T74" t="s">
        <v>311</v>
      </c>
      <c r="U74" t="s">
        <v>266</v>
      </c>
      <c r="V74" t="s">
        <v>267</v>
      </c>
      <c r="W74" t="s">
        <v>1718</v>
      </c>
      <c r="X74" t="s">
        <v>1719</v>
      </c>
      <c r="Y74">
        <v>8772802835</v>
      </c>
      <c r="Z74" t="s">
        <v>270</v>
      </c>
      <c r="AA74" t="s">
        <v>271</v>
      </c>
      <c r="AB74">
        <v>25</v>
      </c>
      <c r="AC74">
        <v>1400</v>
      </c>
      <c r="AD74">
        <v>131</v>
      </c>
      <c r="AE74" t="s">
        <v>301</v>
      </c>
      <c r="AF74">
        <v>1</v>
      </c>
      <c r="AG74" t="s">
        <v>275</v>
      </c>
      <c r="AH74">
        <v>0</v>
      </c>
      <c r="AI74">
        <v>0</v>
      </c>
      <c r="AJ74">
        <v>43774</v>
      </c>
      <c r="AK74" s="43" t="s">
        <v>3208</v>
      </c>
      <c r="AL74" s="43" t="s">
        <v>3209</v>
      </c>
      <c r="AO74" s="23"/>
      <c r="AP74" s="23"/>
      <c r="AQ74" s="23"/>
      <c r="BC74" t="s">
        <v>2018</v>
      </c>
      <c r="BD74" s="43" t="s">
        <v>2018</v>
      </c>
      <c r="BE74" s="43" t="s">
        <v>2018</v>
      </c>
      <c r="BF74" s="43" t="s">
        <v>2018</v>
      </c>
      <c r="BG74" s="43" t="s">
        <v>2018</v>
      </c>
      <c r="BH74" t="s">
        <v>2018</v>
      </c>
      <c r="BI74" s="43" t="s">
        <v>2018</v>
      </c>
      <c r="BJ74">
        <v>0</v>
      </c>
      <c r="BK74">
        <v>44109</v>
      </c>
      <c r="BL74">
        <v>44356</v>
      </c>
      <c r="BM74">
        <v>8505</v>
      </c>
      <c r="BN74">
        <v>8505</v>
      </c>
      <c r="BO74">
        <v>8505</v>
      </c>
      <c r="BP74">
        <v>25515</v>
      </c>
      <c r="BQ74">
        <v>3300</v>
      </c>
      <c r="BR74">
        <v>400</v>
      </c>
      <c r="BS74">
        <v>400</v>
      </c>
      <c r="BT74">
        <v>4100</v>
      </c>
      <c r="BU74">
        <v>2100</v>
      </c>
      <c r="BV74">
        <v>2100</v>
      </c>
      <c r="BW74">
        <v>2100</v>
      </c>
      <c r="BX74">
        <v>6300</v>
      </c>
      <c r="BY74">
        <v>1200</v>
      </c>
      <c r="BZ74">
        <v>1200</v>
      </c>
      <c r="CA74">
        <v>1200</v>
      </c>
      <c r="CB74">
        <v>3600</v>
      </c>
      <c r="CC74">
        <v>0</v>
      </c>
      <c r="CD74">
        <v>0</v>
      </c>
      <c r="CE74">
        <v>0</v>
      </c>
      <c r="CF74">
        <v>0</v>
      </c>
      <c r="CG74">
        <v>39515</v>
      </c>
      <c r="CH74">
        <v>0</v>
      </c>
      <c r="CI74">
        <v>0</v>
      </c>
      <c r="CJ74">
        <v>0</v>
      </c>
      <c r="CK74">
        <v>0</v>
      </c>
      <c r="CL74">
        <v>2065</v>
      </c>
      <c r="CM74">
        <v>2065</v>
      </c>
      <c r="CN74">
        <v>2065</v>
      </c>
      <c r="CO74">
        <v>6195</v>
      </c>
      <c r="CP74">
        <v>500</v>
      </c>
      <c r="CQ74">
        <v>500</v>
      </c>
      <c r="CR74">
        <v>500</v>
      </c>
      <c r="CS74">
        <v>1500</v>
      </c>
      <c r="CT74">
        <v>1700</v>
      </c>
      <c r="CU74">
        <v>1700</v>
      </c>
      <c r="CV74">
        <v>1700</v>
      </c>
      <c r="CW74">
        <v>5100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12795</v>
      </c>
      <c r="EE74">
        <v>0</v>
      </c>
      <c r="EF74">
        <v>0</v>
      </c>
      <c r="EG74">
        <v>0</v>
      </c>
      <c r="EH74">
        <v>0</v>
      </c>
      <c r="EI74">
        <v>1154</v>
      </c>
      <c r="EJ74">
        <v>1154</v>
      </c>
      <c r="EK74">
        <v>1155</v>
      </c>
      <c r="EL74">
        <v>3500</v>
      </c>
      <c r="EM74">
        <v>37.065000000000005</v>
      </c>
      <c r="EN74">
        <v>660</v>
      </c>
      <c r="EO74">
        <v>660</v>
      </c>
      <c r="EP74">
        <v>660</v>
      </c>
      <c r="EQ74">
        <v>2000</v>
      </c>
      <c r="ER74">
        <v>21.18</v>
      </c>
      <c r="ES74">
        <v>0</v>
      </c>
      <c r="ET74">
        <v>0</v>
      </c>
      <c r="EU74">
        <v>0</v>
      </c>
      <c r="EV74">
        <v>0</v>
      </c>
      <c r="EW74">
        <v>0</v>
      </c>
      <c r="FA74">
        <v>0</v>
      </c>
      <c r="FE74">
        <v>0</v>
      </c>
      <c r="FI74">
        <v>0</v>
      </c>
      <c r="FJ74">
        <v>5441.7550000000001</v>
      </c>
      <c r="FK74">
        <v>26720</v>
      </c>
      <c r="FL74">
        <v>22219.461384236245</v>
      </c>
      <c r="FM74">
        <v>21278.244999999999</v>
      </c>
    </row>
    <row r="75" spans="1:169" x14ac:dyDescent="0.35">
      <c r="A75">
        <v>195635</v>
      </c>
      <c r="B75" t="s">
        <v>2158</v>
      </c>
      <c r="C75" t="s">
        <v>2159</v>
      </c>
      <c r="D75" t="s">
        <v>2160</v>
      </c>
      <c r="E75" s="43" t="s">
        <v>2161</v>
      </c>
      <c r="F75">
        <v>1</v>
      </c>
      <c r="I75">
        <v>43804</v>
      </c>
      <c r="J75" t="s">
        <v>4242</v>
      </c>
      <c r="K75" t="s">
        <v>1715</v>
      </c>
      <c r="L75" s="43" t="s">
        <v>259</v>
      </c>
      <c r="M75" t="s">
        <v>2162</v>
      </c>
      <c r="N75" s="43" t="s">
        <v>2163</v>
      </c>
      <c r="O75" s="43" t="s">
        <v>2164</v>
      </c>
      <c r="P75" s="43" t="s">
        <v>1892</v>
      </c>
      <c r="Q75" s="43" t="s">
        <v>2165</v>
      </c>
      <c r="R75">
        <v>4</v>
      </c>
      <c r="S75">
        <v>44109</v>
      </c>
      <c r="T75" t="s">
        <v>311</v>
      </c>
      <c r="U75" t="s">
        <v>266</v>
      </c>
      <c r="V75" t="s">
        <v>267</v>
      </c>
      <c r="W75" t="s">
        <v>1718</v>
      </c>
      <c r="X75" t="s">
        <v>1719</v>
      </c>
      <c r="Y75">
        <v>8772802835</v>
      </c>
      <c r="Z75" t="s">
        <v>270</v>
      </c>
      <c r="AA75" t="s">
        <v>271</v>
      </c>
      <c r="AB75">
        <v>30</v>
      </c>
      <c r="AC75">
        <v>0</v>
      </c>
      <c r="AD75">
        <v>131</v>
      </c>
      <c r="AE75" t="s">
        <v>301</v>
      </c>
      <c r="AF75">
        <v>1</v>
      </c>
      <c r="AG75" t="s">
        <v>275</v>
      </c>
      <c r="AK75" s="43" t="s">
        <v>259</v>
      </c>
      <c r="AL75" s="43" t="s">
        <v>259</v>
      </c>
      <c r="AO75" s="23"/>
      <c r="AP75" s="23"/>
      <c r="AQ75" s="23"/>
      <c r="BC75" t="s">
        <v>259</v>
      </c>
      <c r="BD75" s="43" t="s">
        <v>259</v>
      </c>
      <c r="BE75" s="43" t="s">
        <v>259</v>
      </c>
      <c r="BF75" s="43" t="s">
        <v>259</v>
      </c>
      <c r="BG75" s="43" t="s">
        <v>259</v>
      </c>
      <c r="BH75" t="s">
        <v>259</v>
      </c>
      <c r="BI75" s="43" t="s">
        <v>259</v>
      </c>
      <c r="BJ75">
        <v>0</v>
      </c>
      <c r="BK75">
        <v>44109</v>
      </c>
      <c r="BL75">
        <v>44356</v>
      </c>
      <c r="BM75">
        <v>8505</v>
      </c>
      <c r="BN75">
        <v>8505</v>
      </c>
      <c r="BO75">
        <v>8505</v>
      </c>
      <c r="BP75">
        <v>25515</v>
      </c>
      <c r="BQ75">
        <v>3300</v>
      </c>
      <c r="BR75">
        <v>400</v>
      </c>
      <c r="BS75">
        <v>400</v>
      </c>
      <c r="BT75">
        <v>4100</v>
      </c>
      <c r="BU75">
        <v>2100</v>
      </c>
      <c r="BV75">
        <v>2100</v>
      </c>
      <c r="BW75">
        <v>2100</v>
      </c>
      <c r="BX75">
        <v>6300</v>
      </c>
      <c r="BY75">
        <v>1200</v>
      </c>
      <c r="BZ75">
        <v>1200</v>
      </c>
      <c r="CA75">
        <v>1200</v>
      </c>
      <c r="CB75">
        <v>3600</v>
      </c>
      <c r="CC75">
        <v>0</v>
      </c>
      <c r="CD75">
        <v>0</v>
      </c>
      <c r="CE75">
        <v>0</v>
      </c>
      <c r="CF75">
        <v>0</v>
      </c>
      <c r="CG75">
        <v>39515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1700</v>
      </c>
      <c r="CU75">
        <v>1700</v>
      </c>
      <c r="CV75">
        <v>1700</v>
      </c>
      <c r="CW75">
        <v>5100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5100</v>
      </c>
      <c r="EE75">
        <v>0</v>
      </c>
      <c r="EF75">
        <v>0</v>
      </c>
      <c r="EG75">
        <v>0</v>
      </c>
      <c r="EH75">
        <v>0</v>
      </c>
      <c r="EI75">
        <v>1154</v>
      </c>
      <c r="EJ75">
        <v>1154</v>
      </c>
      <c r="EK75">
        <v>1155</v>
      </c>
      <c r="EL75">
        <v>3500</v>
      </c>
      <c r="EM75">
        <v>37.065000000000005</v>
      </c>
      <c r="EN75">
        <v>660</v>
      </c>
      <c r="EO75">
        <v>660</v>
      </c>
      <c r="EP75">
        <v>660</v>
      </c>
      <c r="EQ75">
        <v>2000</v>
      </c>
      <c r="ER75">
        <v>21.18</v>
      </c>
      <c r="ES75">
        <v>0</v>
      </c>
      <c r="ET75">
        <v>0</v>
      </c>
      <c r="EU75">
        <v>0</v>
      </c>
      <c r="EV75">
        <v>0</v>
      </c>
      <c r="EW75">
        <v>0</v>
      </c>
      <c r="FA75">
        <v>0</v>
      </c>
      <c r="FE75">
        <v>0</v>
      </c>
      <c r="FI75">
        <v>0</v>
      </c>
      <c r="FJ75">
        <v>5441.7550000000001</v>
      </c>
      <c r="FK75">
        <v>34415</v>
      </c>
      <c r="FL75">
        <v>30254.840023390832</v>
      </c>
      <c r="FM75">
        <v>28973.244999999999</v>
      </c>
    </row>
    <row r="76" spans="1:169" x14ac:dyDescent="0.35">
      <c r="A76">
        <v>192420</v>
      </c>
      <c r="B76" t="s">
        <v>2166</v>
      </c>
      <c r="C76" t="s">
        <v>547</v>
      </c>
      <c r="D76" t="s">
        <v>2167</v>
      </c>
      <c r="E76" s="43" t="s">
        <v>2168</v>
      </c>
      <c r="F76">
        <v>1</v>
      </c>
      <c r="I76">
        <v>43804</v>
      </c>
      <c r="J76" t="s">
        <v>4240</v>
      </c>
      <c r="K76" t="s">
        <v>1715</v>
      </c>
      <c r="L76" s="43" t="s">
        <v>3204</v>
      </c>
      <c r="M76" t="s">
        <v>2169</v>
      </c>
      <c r="N76" s="43" t="s">
        <v>2170</v>
      </c>
      <c r="O76" s="43" t="s">
        <v>2171</v>
      </c>
      <c r="P76" s="43" t="s">
        <v>342</v>
      </c>
      <c r="Q76" s="43" t="s">
        <v>2172</v>
      </c>
      <c r="R76">
        <v>3.4</v>
      </c>
      <c r="S76">
        <v>44109</v>
      </c>
      <c r="T76" t="s">
        <v>311</v>
      </c>
      <c r="U76" t="s">
        <v>266</v>
      </c>
      <c r="V76" t="s">
        <v>267</v>
      </c>
      <c r="W76" t="s">
        <v>1718</v>
      </c>
      <c r="X76" t="s">
        <v>1719</v>
      </c>
      <c r="Y76">
        <v>8772802835</v>
      </c>
      <c r="Z76" t="s">
        <v>270</v>
      </c>
      <c r="AA76" t="s">
        <v>271</v>
      </c>
      <c r="AB76">
        <v>0</v>
      </c>
      <c r="AC76">
        <v>1160</v>
      </c>
      <c r="AD76">
        <v>112</v>
      </c>
      <c r="AE76" t="s">
        <v>301</v>
      </c>
      <c r="AF76">
        <v>1</v>
      </c>
      <c r="AG76" t="s">
        <v>275</v>
      </c>
      <c r="AH76">
        <v>0</v>
      </c>
      <c r="AI76">
        <v>0</v>
      </c>
      <c r="AJ76">
        <v>43804</v>
      </c>
      <c r="AK76" s="43" t="s">
        <v>3208</v>
      </c>
      <c r="AL76" s="43" t="s">
        <v>3209</v>
      </c>
      <c r="AO76" s="23"/>
      <c r="AP76" s="23"/>
      <c r="AQ76" s="23"/>
      <c r="BC76" t="s">
        <v>2018</v>
      </c>
      <c r="BD76" s="43" t="s">
        <v>2018</v>
      </c>
      <c r="BE76" s="43" t="s">
        <v>2018</v>
      </c>
      <c r="BF76" s="43" t="s">
        <v>2018</v>
      </c>
      <c r="BG76" s="43" t="s">
        <v>2018</v>
      </c>
      <c r="BH76" t="s">
        <v>2018</v>
      </c>
      <c r="BI76" s="43" t="s">
        <v>2018</v>
      </c>
      <c r="BJ76">
        <v>0</v>
      </c>
      <c r="BK76">
        <v>44109</v>
      </c>
      <c r="BL76">
        <v>44356</v>
      </c>
      <c r="BM76">
        <v>8505</v>
      </c>
      <c r="BN76">
        <v>8505</v>
      </c>
      <c r="BO76">
        <v>8505</v>
      </c>
      <c r="BP76">
        <v>25515</v>
      </c>
      <c r="BQ76">
        <v>3300</v>
      </c>
      <c r="BR76">
        <v>400</v>
      </c>
      <c r="BS76">
        <v>400</v>
      </c>
      <c r="BT76">
        <v>4100</v>
      </c>
      <c r="BU76">
        <v>2100</v>
      </c>
      <c r="BV76">
        <v>2100</v>
      </c>
      <c r="BW76">
        <v>2100</v>
      </c>
      <c r="BX76">
        <v>6300</v>
      </c>
      <c r="BY76">
        <v>1200</v>
      </c>
      <c r="BZ76">
        <v>1200</v>
      </c>
      <c r="CA76">
        <v>1200</v>
      </c>
      <c r="CB76">
        <v>3600</v>
      </c>
      <c r="CC76">
        <v>0</v>
      </c>
      <c r="CD76">
        <v>0</v>
      </c>
      <c r="CE76">
        <v>0</v>
      </c>
      <c r="CF76">
        <v>0</v>
      </c>
      <c r="CG76">
        <v>39515</v>
      </c>
      <c r="CH76">
        <v>0</v>
      </c>
      <c r="CI76">
        <v>0</v>
      </c>
      <c r="CJ76">
        <v>0</v>
      </c>
      <c r="CK76">
        <v>0</v>
      </c>
      <c r="CL76">
        <v>2065</v>
      </c>
      <c r="CM76">
        <v>2065</v>
      </c>
      <c r="CN76">
        <v>2065</v>
      </c>
      <c r="CO76">
        <v>6195</v>
      </c>
      <c r="CP76">
        <v>500</v>
      </c>
      <c r="CQ76">
        <v>500</v>
      </c>
      <c r="CR76">
        <v>500</v>
      </c>
      <c r="CS76">
        <v>1500</v>
      </c>
      <c r="CT76">
        <v>1700</v>
      </c>
      <c r="CU76">
        <v>1700</v>
      </c>
      <c r="CV76">
        <v>1700</v>
      </c>
      <c r="CW76">
        <v>5100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12795</v>
      </c>
      <c r="EE76">
        <v>0</v>
      </c>
      <c r="EF76">
        <v>0</v>
      </c>
      <c r="EG76">
        <v>0</v>
      </c>
      <c r="EH76">
        <v>0</v>
      </c>
      <c r="EI76">
        <v>1154</v>
      </c>
      <c r="EJ76">
        <v>1154</v>
      </c>
      <c r="EK76">
        <v>1155</v>
      </c>
      <c r="EL76">
        <v>3500</v>
      </c>
      <c r="EM76">
        <v>37.065000000000005</v>
      </c>
      <c r="EN76">
        <v>660</v>
      </c>
      <c r="EO76">
        <v>660</v>
      </c>
      <c r="EP76">
        <v>660</v>
      </c>
      <c r="EQ76">
        <v>2000</v>
      </c>
      <c r="ER76">
        <v>21.18</v>
      </c>
      <c r="ES76">
        <v>0</v>
      </c>
      <c r="ET76">
        <v>0</v>
      </c>
      <c r="EU76">
        <v>0</v>
      </c>
      <c r="EV76">
        <v>0</v>
      </c>
      <c r="EW76">
        <v>0</v>
      </c>
      <c r="FA76">
        <v>0</v>
      </c>
      <c r="FE76">
        <v>0</v>
      </c>
      <c r="FI76">
        <v>0</v>
      </c>
      <c r="FJ76">
        <v>5441.7550000000001</v>
      </c>
      <c r="FK76">
        <v>26720</v>
      </c>
      <c r="FL76">
        <v>22219.461384236245</v>
      </c>
      <c r="FM76">
        <v>21278.244999999999</v>
      </c>
    </row>
    <row r="77" spans="1:169" x14ac:dyDescent="0.35">
      <c r="A77">
        <v>198730</v>
      </c>
      <c r="B77" t="s">
        <v>2166</v>
      </c>
      <c r="C77" t="s">
        <v>2173</v>
      </c>
      <c r="D77" t="s">
        <v>2174</v>
      </c>
      <c r="E77" s="43" t="s">
        <v>2175</v>
      </c>
      <c r="F77">
        <v>1</v>
      </c>
      <c r="I77">
        <v>43775</v>
      </c>
      <c r="J77" t="s">
        <v>3305</v>
      </c>
      <c r="K77" t="s">
        <v>1715</v>
      </c>
      <c r="L77" s="43" t="s">
        <v>3204</v>
      </c>
      <c r="M77" t="s">
        <v>2176</v>
      </c>
      <c r="N77" s="43" t="s">
        <v>2177</v>
      </c>
      <c r="O77" s="43" t="s">
        <v>1205</v>
      </c>
      <c r="P77" s="43" t="s">
        <v>403</v>
      </c>
      <c r="Q77" s="43" t="s">
        <v>2178</v>
      </c>
      <c r="S77">
        <v>44109</v>
      </c>
      <c r="T77" t="s">
        <v>285</v>
      </c>
      <c r="U77" t="s">
        <v>266</v>
      </c>
      <c r="V77" t="s">
        <v>267</v>
      </c>
      <c r="W77" t="s">
        <v>1718</v>
      </c>
      <c r="X77" t="s">
        <v>1719</v>
      </c>
      <c r="Y77">
        <v>8772802835</v>
      </c>
      <c r="Z77" t="s">
        <v>270</v>
      </c>
      <c r="AA77" t="s">
        <v>271</v>
      </c>
      <c r="AB77">
        <v>0</v>
      </c>
      <c r="AC77">
        <v>0</v>
      </c>
      <c r="AD77">
        <v>0</v>
      </c>
      <c r="AE77" t="s">
        <v>364</v>
      </c>
      <c r="AF77">
        <v>3</v>
      </c>
      <c r="AG77" t="s">
        <v>446</v>
      </c>
      <c r="AH77">
        <v>0</v>
      </c>
      <c r="AI77">
        <v>0</v>
      </c>
      <c r="AJ77">
        <v>43790</v>
      </c>
      <c r="AK77" s="43" t="s">
        <v>3208</v>
      </c>
      <c r="AL77" s="43" t="s">
        <v>3209</v>
      </c>
      <c r="AO77" s="23"/>
      <c r="AP77" s="23"/>
      <c r="AQ77" s="23"/>
      <c r="BC77" t="s">
        <v>2018</v>
      </c>
      <c r="BD77" s="43" t="s">
        <v>2018</v>
      </c>
      <c r="BE77" s="43" t="s">
        <v>2018</v>
      </c>
      <c r="BF77" s="43" t="s">
        <v>2018</v>
      </c>
      <c r="BG77" s="43" t="s">
        <v>2018</v>
      </c>
      <c r="BH77" t="s">
        <v>2018</v>
      </c>
      <c r="BI77" s="43" t="s">
        <v>2018</v>
      </c>
      <c r="BJ77">
        <v>0</v>
      </c>
      <c r="BK77">
        <v>44109</v>
      </c>
      <c r="BL77">
        <v>44356</v>
      </c>
      <c r="BM77">
        <v>8505</v>
      </c>
      <c r="BN77">
        <v>8505</v>
      </c>
      <c r="BO77">
        <v>8505</v>
      </c>
      <c r="BP77">
        <v>25515</v>
      </c>
      <c r="BQ77">
        <v>3300</v>
      </c>
      <c r="BR77">
        <v>400</v>
      </c>
      <c r="BS77">
        <v>400</v>
      </c>
      <c r="BT77">
        <v>4100</v>
      </c>
      <c r="BU77">
        <v>2100</v>
      </c>
      <c r="BV77">
        <v>2100</v>
      </c>
      <c r="BW77">
        <v>2100</v>
      </c>
      <c r="BX77">
        <v>6300</v>
      </c>
      <c r="BY77">
        <v>1200</v>
      </c>
      <c r="BZ77">
        <v>1200</v>
      </c>
      <c r="CA77">
        <v>1200</v>
      </c>
      <c r="CB77">
        <v>3600</v>
      </c>
      <c r="CC77">
        <v>0</v>
      </c>
      <c r="CD77">
        <v>0</v>
      </c>
      <c r="CE77">
        <v>0</v>
      </c>
      <c r="CF77">
        <v>0</v>
      </c>
      <c r="CG77">
        <v>39515</v>
      </c>
      <c r="CH77">
        <v>0</v>
      </c>
      <c r="CI77">
        <v>0</v>
      </c>
      <c r="CJ77">
        <v>0</v>
      </c>
      <c r="CK77">
        <v>0</v>
      </c>
      <c r="CL77">
        <v>2065</v>
      </c>
      <c r="CM77">
        <v>2065</v>
      </c>
      <c r="CN77">
        <v>2065</v>
      </c>
      <c r="CO77">
        <v>6195</v>
      </c>
      <c r="CP77">
        <v>500</v>
      </c>
      <c r="CQ77">
        <v>500</v>
      </c>
      <c r="CR77">
        <v>500</v>
      </c>
      <c r="CS77">
        <v>1500</v>
      </c>
      <c r="CT77">
        <v>1300</v>
      </c>
      <c r="CU77">
        <v>1300</v>
      </c>
      <c r="CV77">
        <v>1300</v>
      </c>
      <c r="CW77">
        <v>3900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11595</v>
      </c>
      <c r="EE77">
        <v>0</v>
      </c>
      <c r="EF77">
        <v>0</v>
      </c>
      <c r="EG77">
        <v>0</v>
      </c>
      <c r="EH77">
        <v>0</v>
      </c>
      <c r="EI77">
        <v>1154</v>
      </c>
      <c r="EJ77">
        <v>1154</v>
      </c>
      <c r="EK77">
        <v>1155</v>
      </c>
      <c r="EL77">
        <v>3500</v>
      </c>
      <c r="EM77">
        <v>37.065000000000005</v>
      </c>
      <c r="EN77">
        <v>660</v>
      </c>
      <c r="EO77">
        <v>660</v>
      </c>
      <c r="EP77">
        <v>660</v>
      </c>
      <c r="EQ77">
        <v>2000</v>
      </c>
      <c r="ER77">
        <v>21.18</v>
      </c>
      <c r="ES77">
        <v>0</v>
      </c>
      <c r="ET77">
        <v>0</v>
      </c>
      <c r="EU77">
        <v>0</v>
      </c>
      <c r="EV77">
        <v>0</v>
      </c>
      <c r="EW77">
        <v>0</v>
      </c>
      <c r="FA77">
        <v>0</v>
      </c>
      <c r="FE77">
        <v>0</v>
      </c>
      <c r="FI77">
        <v>0</v>
      </c>
      <c r="FJ77">
        <v>5441.7550000000001</v>
      </c>
      <c r="FK77">
        <v>27920</v>
      </c>
      <c r="FL77">
        <v>23472.541873773025</v>
      </c>
      <c r="FM77">
        <v>22478.244999999999</v>
      </c>
    </row>
    <row r="78" spans="1:169" x14ac:dyDescent="0.35">
      <c r="A78">
        <v>198383</v>
      </c>
      <c r="B78" t="s">
        <v>2179</v>
      </c>
      <c r="C78" t="s">
        <v>2180</v>
      </c>
      <c r="D78" t="s">
        <v>2181</v>
      </c>
      <c r="E78" s="43" t="s">
        <v>2182</v>
      </c>
      <c r="F78">
        <v>1</v>
      </c>
      <c r="I78">
        <v>43804</v>
      </c>
      <c r="J78" t="s">
        <v>4240</v>
      </c>
      <c r="K78" t="s">
        <v>1715</v>
      </c>
      <c r="L78" s="43" t="s">
        <v>3204</v>
      </c>
      <c r="M78" t="s">
        <v>2183</v>
      </c>
      <c r="N78" s="43" t="s">
        <v>4228</v>
      </c>
      <c r="O78" s="43" t="s">
        <v>2184</v>
      </c>
      <c r="P78" s="43" t="s">
        <v>297</v>
      </c>
      <c r="Q78" s="43" t="s">
        <v>2185</v>
      </c>
      <c r="R78">
        <v>3.5</v>
      </c>
      <c r="S78">
        <v>44109</v>
      </c>
      <c r="T78" t="s">
        <v>311</v>
      </c>
      <c r="U78" t="s">
        <v>286</v>
      </c>
      <c r="V78" t="s">
        <v>267</v>
      </c>
      <c r="W78" t="s">
        <v>1718</v>
      </c>
      <c r="X78" t="s">
        <v>1719</v>
      </c>
      <c r="Y78">
        <v>8772802835</v>
      </c>
      <c r="Z78" t="s">
        <v>270</v>
      </c>
      <c r="AA78" t="s">
        <v>271</v>
      </c>
      <c r="AB78">
        <v>0</v>
      </c>
      <c r="AC78">
        <v>0</v>
      </c>
      <c r="AD78">
        <v>0</v>
      </c>
      <c r="AE78" t="s">
        <v>445</v>
      </c>
      <c r="AF78">
        <v>4</v>
      </c>
      <c r="AG78" t="s">
        <v>275</v>
      </c>
      <c r="AH78">
        <v>15483</v>
      </c>
      <c r="AI78">
        <v>15483</v>
      </c>
      <c r="AJ78">
        <v>43801</v>
      </c>
      <c r="AK78" s="43" t="s">
        <v>3208</v>
      </c>
      <c r="AL78" s="43" t="s">
        <v>3209</v>
      </c>
      <c r="AO78" s="23">
        <v>43804</v>
      </c>
      <c r="AP78" s="23"/>
      <c r="AQ78" s="23"/>
      <c r="BC78" t="s">
        <v>2018</v>
      </c>
      <c r="BD78" s="43" t="s">
        <v>2018</v>
      </c>
      <c r="BE78" s="43" t="s">
        <v>2018</v>
      </c>
      <c r="BF78" s="43" t="s">
        <v>2018</v>
      </c>
      <c r="BG78" s="43" t="s">
        <v>2018</v>
      </c>
      <c r="BH78" t="s">
        <v>2018</v>
      </c>
      <c r="BI78" s="43" t="s">
        <v>2018</v>
      </c>
      <c r="BJ78">
        <v>6.25E-2</v>
      </c>
      <c r="BK78">
        <v>44109</v>
      </c>
      <c r="BL78">
        <v>44356</v>
      </c>
      <c r="BM78">
        <v>8505</v>
      </c>
      <c r="BN78">
        <v>8505</v>
      </c>
      <c r="BO78">
        <v>8505</v>
      </c>
      <c r="BP78">
        <v>25515</v>
      </c>
      <c r="BQ78">
        <v>3300</v>
      </c>
      <c r="BR78">
        <v>400</v>
      </c>
      <c r="BS78">
        <v>400</v>
      </c>
      <c r="BT78">
        <v>4100</v>
      </c>
      <c r="BU78">
        <v>2100</v>
      </c>
      <c r="BV78">
        <v>2100</v>
      </c>
      <c r="BW78">
        <v>2100</v>
      </c>
      <c r="BX78">
        <v>6300</v>
      </c>
      <c r="BY78">
        <v>1200</v>
      </c>
      <c r="BZ78">
        <v>1200</v>
      </c>
      <c r="CA78">
        <v>1200</v>
      </c>
      <c r="CB78">
        <v>3600</v>
      </c>
      <c r="CC78">
        <v>0</v>
      </c>
      <c r="CD78">
        <v>0</v>
      </c>
      <c r="CE78">
        <v>0</v>
      </c>
      <c r="CF78">
        <v>0</v>
      </c>
      <c r="CG78">
        <v>39515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1250</v>
      </c>
      <c r="CU78">
        <v>1250</v>
      </c>
      <c r="CV78">
        <v>1250</v>
      </c>
      <c r="CW78">
        <v>3750</v>
      </c>
      <c r="CX78">
        <v>0</v>
      </c>
      <c r="CY78">
        <v>0</v>
      </c>
      <c r="CZ78">
        <v>0</v>
      </c>
      <c r="DA78">
        <v>0</v>
      </c>
      <c r="DB78">
        <v>1000</v>
      </c>
      <c r="DC78">
        <v>1000</v>
      </c>
      <c r="DD78">
        <v>1000</v>
      </c>
      <c r="DE78">
        <v>3000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6750</v>
      </c>
      <c r="EE78">
        <v>0</v>
      </c>
      <c r="EF78">
        <v>0</v>
      </c>
      <c r="EG78">
        <v>0</v>
      </c>
      <c r="EH78">
        <v>0</v>
      </c>
      <c r="EI78">
        <v>1154</v>
      </c>
      <c r="EJ78">
        <v>1154</v>
      </c>
      <c r="EK78">
        <v>1155</v>
      </c>
      <c r="EL78">
        <v>3500</v>
      </c>
      <c r="EM78">
        <v>37.065000000000005</v>
      </c>
      <c r="EN78">
        <v>660</v>
      </c>
      <c r="EO78">
        <v>660</v>
      </c>
      <c r="EP78">
        <v>660</v>
      </c>
      <c r="EQ78">
        <v>2000</v>
      </c>
      <c r="ER78">
        <v>21.18</v>
      </c>
      <c r="ES78">
        <v>0</v>
      </c>
      <c r="ET78">
        <v>0</v>
      </c>
      <c r="EU78">
        <v>0</v>
      </c>
      <c r="EV78">
        <v>0</v>
      </c>
      <c r="EW78">
        <v>0</v>
      </c>
      <c r="FA78">
        <v>0</v>
      </c>
      <c r="FE78">
        <v>0</v>
      </c>
      <c r="FI78">
        <v>0</v>
      </c>
      <c r="FJ78">
        <v>5441.7550000000001</v>
      </c>
      <c r="FK78">
        <v>32765</v>
      </c>
      <c r="FL78">
        <v>28531.854350277765</v>
      </c>
      <c r="FM78">
        <v>27323.244999999999</v>
      </c>
    </row>
    <row r="79" spans="1:169" x14ac:dyDescent="0.35">
      <c r="A79">
        <v>198483</v>
      </c>
      <c r="B79" t="s">
        <v>2186</v>
      </c>
      <c r="C79" t="s">
        <v>2187</v>
      </c>
      <c r="D79" t="s">
        <v>2188</v>
      </c>
      <c r="E79" s="43" t="s">
        <v>2189</v>
      </c>
      <c r="F79">
        <v>1</v>
      </c>
      <c r="I79">
        <v>43781</v>
      </c>
      <c r="J79" t="s">
        <v>3305</v>
      </c>
      <c r="K79" t="s">
        <v>1715</v>
      </c>
      <c r="L79" s="43" t="s">
        <v>3204</v>
      </c>
      <c r="M79" t="s">
        <v>3336</v>
      </c>
      <c r="N79" s="43" t="s">
        <v>2190</v>
      </c>
      <c r="O79" s="43" t="s">
        <v>2191</v>
      </c>
      <c r="P79" s="43" t="s">
        <v>297</v>
      </c>
      <c r="Q79" s="43" t="s">
        <v>2192</v>
      </c>
      <c r="S79">
        <v>44109</v>
      </c>
      <c r="T79" t="s">
        <v>285</v>
      </c>
      <c r="U79" t="s">
        <v>286</v>
      </c>
      <c r="V79" t="s">
        <v>267</v>
      </c>
      <c r="W79" t="s">
        <v>1718</v>
      </c>
      <c r="X79" t="s">
        <v>1719</v>
      </c>
      <c r="Y79">
        <v>8772802835</v>
      </c>
      <c r="Z79" t="s">
        <v>270</v>
      </c>
      <c r="AA79" t="s">
        <v>271</v>
      </c>
      <c r="AB79">
        <v>0</v>
      </c>
      <c r="AC79">
        <v>1240</v>
      </c>
      <c r="AD79">
        <v>105</v>
      </c>
      <c r="AE79" t="s">
        <v>289</v>
      </c>
      <c r="AF79">
        <v>2</v>
      </c>
      <c r="AG79" t="s">
        <v>446</v>
      </c>
      <c r="AH79">
        <v>878</v>
      </c>
      <c r="AI79">
        <v>878</v>
      </c>
      <c r="AJ79">
        <v>43776</v>
      </c>
      <c r="AK79" s="43" t="s">
        <v>1715</v>
      </c>
      <c r="AL79" s="43" t="s">
        <v>259</v>
      </c>
      <c r="AO79" s="23"/>
      <c r="AP79" s="23"/>
      <c r="AQ79" s="23"/>
      <c r="BC79" t="s">
        <v>259</v>
      </c>
      <c r="BD79" s="43" t="s">
        <v>259</v>
      </c>
      <c r="BE79" s="43" t="s">
        <v>259</v>
      </c>
      <c r="BF79" s="43" t="s">
        <v>2018</v>
      </c>
      <c r="BG79" s="43" t="s">
        <v>2018</v>
      </c>
      <c r="BH79">
        <v>43739</v>
      </c>
      <c r="BI79" s="43" t="s">
        <v>2018</v>
      </c>
      <c r="BJ79">
        <v>5.0000000000000044E-2</v>
      </c>
      <c r="BK79">
        <v>44109</v>
      </c>
      <c r="BL79">
        <v>44356</v>
      </c>
      <c r="BM79">
        <v>8505</v>
      </c>
      <c r="BN79">
        <v>8505</v>
      </c>
      <c r="BO79">
        <v>8505</v>
      </c>
      <c r="BP79">
        <v>25515</v>
      </c>
      <c r="BQ79">
        <v>3300</v>
      </c>
      <c r="BR79">
        <v>400</v>
      </c>
      <c r="BS79">
        <v>400</v>
      </c>
      <c r="BT79">
        <v>4100</v>
      </c>
      <c r="BU79">
        <v>2100</v>
      </c>
      <c r="BV79">
        <v>2100</v>
      </c>
      <c r="BW79">
        <v>2100</v>
      </c>
      <c r="BX79">
        <v>6300</v>
      </c>
      <c r="BY79">
        <v>1200</v>
      </c>
      <c r="BZ79">
        <v>1200</v>
      </c>
      <c r="CA79">
        <v>1200</v>
      </c>
      <c r="CB79">
        <v>3600</v>
      </c>
      <c r="CC79">
        <v>0</v>
      </c>
      <c r="CD79">
        <v>0</v>
      </c>
      <c r="CE79">
        <v>0</v>
      </c>
      <c r="CF79">
        <v>0</v>
      </c>
      <c r="CG79">
        <v>39515</v>
      </c>
      <c r="CH79">
        <v>0</v>
      </c>
      <c r="CI79">
        <v>0</v>
      </c>
      <c r="CJ79">
        <v>0</v>
      </c>
      <c r="CK79">
        <v>0</v>
      </c>
      <c r="CL79">
        <v>1782</v>
      </c>
      <c r="CM79">
        <v>1782</v>
      </c>
      <c r="CN79">
        <v>1781</v>
      </c>
      <c r="CO79">
        <v>5345</v>
      </c>
      <c r="CP79">
        <v>500</v>
      </c>
      <c r="CQ79">
        <v>500</v>
      </c>
      <c r="CR79">
        <v>500</v>
      </c>
      <c r="CS79">
        <v>1500</v>
      </c>
      <c r="CT79">
        <v>1500</v>
      </c>
      <c r="CU79">
        <v>1500</v>
      </c>
      <c r="CV79">
        <v>1500</v>
      </c>
      <c r="CW79">
        <v>4500</v>
      </c>
      <c r="CX79">
        <v>0</v>
      </c>
      <c r="CY79">
        <v>0</v>
      </c>
      <c r="CZ79">
        <v>0</v>
      </c>
      <c r="DA79">
        <v>0</v>
      </c>
      <c r="DB79">
        <v>1000</v>
      </c>
      <c r="DC79">
        <v>1000</v>
      </c>
      <c r="DD79">
        <v>1000</v>
      </c>
      <c r="DE79">
        <v>3000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14345</v>
      </c>
      <c r="EE79">
        <v>0</v>
      </c>
      <c r="EF79">
        <v>0</v>
      </c>
      <c r="EG79">
        <v>0</v>
      </c>
      <c r="EH79">
        <v>0</v>
      </c>
      <c r="EI79">
        <v>1154</v>
      </c>
      <c r="EJ79">
        <v>1154</v>
      </c>
      <c r="EK79">
        <v>1155</v>
      </c>
      <c r="EL79">
        <v>3500</v>
      </c>
      <c r="EM79">
        <v>37.065000000000005</v>
      </c>
      <c r="EN79">
        <v>660</v>
      </c>
      <c r="EO79">
        <v>660</v>
      </c>
      <c r="EP79">
        <v>660</v>
      </c>
      <c r="EQ79">
        <v>2000</v>
      </c>
      <c r="ER79">
        <v>21.18</v>
      </c>
      <c r="ES79">
        <v>0</v>
      </c>
      <c r="ET79">
        <v>0</v>
      </c>
      <c r="EU79">
        <v>0</v>
      </c>
      <c r="EV79">
        <v>0</v>
      </c>
      <c r="EW79">
        <v>0</v>
      </c>
      <c r="FA79">
        <v>0</v>
      </c>
      <c r="FE79">
        <v>0</v>
      </c>
      <c r="FI79">
        <v>0</v>
      </c>
      <c r="FJ79">
        <v>5441.7550000000001</v>
      </c>
      <c r="FK79">
        <v>25170</v>
      </c>
      <c r="FL79">
        <v>20600.89908525124</v>
      </c>
      <c r="FM79">
        <v>19728.244999999999</v>
      </c>
    </row>
    <row r="80" spans="1:169" x14ac:dyDescent="0.35">
      <c r="A80">
        <v>197958</v>
      </c>
      <c r="B80" t="s">
        <v>2193</v>
      </c>
      <c r="C80" t="s">
        <v>2194</v>
      </c>
      <c r="D80" t="s">
        <v>2195</v>
      </c>
      <c r="E80" s="43" t="s">
        <v>2196</v>
      </c>
      <c r="F80">
        <v>1</v>
      </c>
      <c r="I80">
        <v>43781</v>
      </c>
      <c r="J80" t="s">
        <v>3304</v>
      </c>
      <c r="K80" t="s">
        <v>1715</v>
      </c>
      <c r="L80" s="43" t="s">
        <v>3204</v>
      </c>
      <c r="M80" t="s">
        <v>2197</v>
      </c>
      <c r="N80" s="43" t="s">
        <v>2198</v>
      </c>
      <c r="O80" s="43" t="s">
        <v>2199</v>
      </c>
      <c r="P80" s="43" t="s">
        <v>542</v>
      </c>
      <c r="Q80" s="43" t="s">
        <v>2200</v>
      </c>
      <c r="R80">
        <v>3.6629999999999998</v>
      </c>
      <c r="S80">
        <v>44109</v>
      </c>
      <c r="T80" t="s">
        <v>544</v>
      </c>
      <c r="U80" t="s">
        <v>266</v>
      </c>
      <c r="V80" t="s">
        <v>267</v>
      </c>
      <c r="W80" t="s">
        <v>1718</v>
      </c>
      <c r="X80" t="s">
        <v>1719</v>
      </c>
      <c r="Y80">
        <v>8772802835</v>
      </c>
      <c r="Z80" t="s">
        <v>270</v>
      </c>
      <c r="AA80" t="s">
        <v>271</v>
      </c>
      <c r="AB80">
        <v>27</v>
      </c>
      <c r="AC80">
        <v>0</v>
      </c>
      <c r="AD80">
        <v>0</v>
      </c>
      <c r="AE80" t="s">
        <v>289</v>
      </c>
      <c r="AF80">
        <v>2</v>
      </c>
      <c r="AG80" t="s">
        <v>275</v>
      </c>
      <c r="AH80">
        <v>0</v>
      </c>
      <c r="AI80">
        <v>0</v>
      </c>
      <c r="AJ80">
        <v>43776</v>
      </c>
      <c r="AK80" s="43" t="s">
        <v>3208</v>
      </c>
      <c r="AL80" s="43" t="s">
        <v>3209</v>
      </c>
      <c r="AO80" s="23"/>
      <c r="AP80" s="23"/>
      <c r="AQ80" s="23"/>
      <c r="BC80" t="s">
        <v>2018</v>
      </c>
      <c r="BD80" s="43" t="s">
        <v>2018</v>
      </c>
      <c r="BE80" s="43" t="s">
        <v>2018</v>
      </c>
      <c r="BF80" s="43" t="s">
        <v>2018</v>
      </c>
      <c r="BG80" s="43" t="s">
        <v>2018</v>
      </c>
      <c r="BH80" t="s">
        <v>2018</v>
      </c>
      <c r="BI80" s="43" t="s">
        <v>2018</v>
      </c>
      <c r="BJ80">
        <v>0</v>
      </c>
      <c r="BK80">
        <v>44109</v>
      </c>
      <c r="BL80">
        <v>44356</v>
      </c>
      <c r="BM80">
        <v>8505</v>
      </c>
      <c r="BN80">
        <v>8505</v>
      </c>
      <c r="BO80">
        <v>8505</v>
      </c>
      <c r="BP80">
        <v>25515</v>
      </c>
      <c r="BQ80">
        <v>3300</v>
      </c>
      <c r="BR80">
        <v>400</v>
      </c>
      <c r="BS80">
        <v>400</v>
      </c>
      <c r="BT80">
        <v>4100</v>
      </c>
      <c r="BU80">
        <v>2100</v>
      </c>
      <c r="BV80">
        <v>2100</v>
      </c>
      <c r="BW80">
        <v>2100</v>
      </c>
      <c r="BX80">
        <v>6300</v>
      </c>
      <c r="BY80">
        <v>1200</v>
      </c>
      <c r="BZ80">
        <v>1200</v>
      </c>
      <c r="CA80">
        <v>1200</v>
      </c>
      <c r="CB80">
        <v>3600</v>
      </c>
      <c r="CC80">
        <v>0</v>
      </c>
      <c r="CD80">
        <v>0</v>
      </c>
      <c r="CE80">
        <v>0</v>
      </c>
      <c r="CF80">
        <v>0</v>
      </c>
      <c r="CG80">
        <v>39515</v>
      </c>
      <c r="CH80">
        <v>0</v>
      </c>
      <c r="CI80">
        <v>0</v>
      </c>
      <c r="CJ80">
        <v>0</v>
      </c>
      <c r="CK80">
        <v>0</v>
      </c>
      <c r="CL80">
        <v>2065</v>
      </c>
      <c r="CM80">
        <v>2065</v>
      </c>
      <c r="CN80">
        <v>2065</v>
      </c>
      <c r="CO80">
        <v>6195</v>
      </c>
      <c r="CP80">
        <v>500</v>
      </c>
      <c r="CQ80">
        <v>500</v>
      </c>
      <c r="CR80">
        <v>500</v>
      </c>
      <c r="CS80">
        <v>1500</v>
      </c>
      <c r="CT80">
        <v>1500</v>
      </c>
      <c r="CU80">
        <v>1500</v>
      </c>
      <c r="CV80">
        <v>1500</v>
      </c>
      <c r="CW80">
        <v>4500</v>
      </c>
      <c r="CX80">
        <v>3000</v>
      </c>
      <c r="CY80">
        <v>3000</v>
      </c>
      <c r="CZ80">
        <v>3000</v>
      </c>
      <c r="DA80">
        <v>9000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21195</v>
      </c>
      <c r="EE80">
        <v>0</v>
      </c>
      <c r="EF80">
        <v>0</v>
      </c>
      <c r="EG80">
        <v>0</v>
      </c>
      <c r="EH80">
        <v>0</v>
      </c>
      <c r="EI80">
        <v>1154</v>
      </c>
      <c r="EJ80">
        <v>1154</v>
      </c>
      <c r="EK80">
        <v>1155</v>
      </c>
      <c r="EL80">
        <v>3500</v>
      </c>
      <c r="EM80">
        <v>37.065000000000005</v>
      </c>
      <c r="EN80">
        <v>660</v>
      </c>
      <c r="EO80">
        <v>660</v>
      </c>
      <c r="EP80">
        <v>660</v>
      </c>
      <c r="EQ80">
        <v>2000</v>
      </c>
      <c r="ER80">
        <v>21.18</v>
      </c>
      <c r="ES80">
        <v>0</v>
      </c>
      <c r="ET80">
        <v>0</v>
      </c>
      <c r="EU80">
        <v>0</v>
      </c>
      <c r="EV80">
        <v>0</v>
      </c>
      <c r="EW80">
        <v>0</v>
      </c>
      <c r="FA80">
        <v>0</v>
      </c>
      <c r="FE80">
        <v>0</v>
      </c>
      <c r="FI80">
        <v>0</v>
      </c>
      <c r="FJ80">
        <v>5441.7550000000001</v>
      </c>
      <c r="FK80">
        <v>18320</v>
      </c>
      <c r="FL80">
        <v>13447.897957478805</v>
      </c>
      <c r="FM80">
        <v>12878.245000000001</v>
      </c>
    </row>
    <row r="81" spans="1:169" x14ac:dyDescent="0.35">
      <c r="A81">
        <v>192461</v>
      </c>
      <c r="B81" t="s">
        <v>2201</v>
      </c>
      <c r="C81" t="s">
        <v>2202</v>
      </c>
      <c r="D81" t="s">
        <v>2203</v>
      </c>
      <c r="E81" s="43" t="s">
        <v>2204</v>
      </c>
      <c r="F81">
        <v>1</v>
      </c>
      <c r="I81">
        <v>43804</v>
      </c>
      <c r="J81" t="s">
        <v>4242</v>
      </c>
      <c r="K81" t="s">
        <v>1715</v>
      </c>
      <c r="L81" s="43" t="s">
        <v>259</v>
      </c>
      <c r="M81" t="s">
        <v>2205</v>
      </c>
      <c r="N81" s="43" t="s">
        <v>2206</v>
      </c>
      <c r="O81" s="43" t="s">
        <v>2207</v>
      </c>
      <c r="P81" s="43" t="s">
        <v>822</v>
      </c>
      <c r="Q81" s="43" t="s">
        <v>2208</v>
      </c>
      <c r="R81">
        <v>3.2</v>
      </c>
      <c r="S81">
        <v>44109</v>
      </c>
      <c r="T81" t="s">
        <v>285</v>
      </c>
      <c r="U81" t="s">
        <v>266</v>
      </c>
      <c r="V81" t="s">
        <v>267</v>
      </c>
      <c r="W81" t="s">
        <v>1718</v>
      </c>
      <c r="X81" t="s">
        <v>1719</v>
      </c>
      <c r="Y81">
        <v>8772802835</v>
      </c>
      <c r="Z81" t="s">
        <v>270</v>
      </c>
      <c r="AA81" t="s">
        <v>271</v>
      </c>
      <c r="AB81">
        <v>0</v>
      </c>
      <c r="AC81">
        <v>1110</v>
      </c>
      <c r="AD81">
        <v>106</v>
      </c>
      <c r="AE81" t="s">
        <v>445</v>
      </c>
      <c r="AF81">
        <v>4</v>
      </c>
      <c r="AG81" t="s">
        <v>275</v>
      </c>
      <c r="AK81" s="43" t="s">
        <v>259</v>
      </c>
      <c r="AL81" s="43" t="s">
        <v>259</v>
      </c>
      <c r="AO81" s="23"/>
      <c r="AP81" s="23"/>
      <c r="AQ81" s="23"/>
      <c r="BC81" t="s">
        <v>259</v>
      </c>
      <c r="BD81" s="43" t="s">
        <v>259</v>
      </c>
      <c r="BE81" s="43" t="s">
        <v>259</v>
      </c>
      <c r="BF81" s="43" t="s">
        <v>259</v>
      </c>
      <c r="BG81" s="43" t="s">
        <v>259</v>
      </c>
      <c r="BH81" t="s">
        <v>259</v>
      </c>
      <c r="BI81" s="43" t="s">
        <v>259</v>
      </c>
      <c r="BJ81">
        <v>0</v>
      </c>
      <c r="BK81">
        <v>44109</v>
      </c>
      <c r="BL81">
        <v>44356</v>
      </c>
      <c r="BM81">
        <v>8505</v>
      </c>
      <c r="BN81">
        <v>8505</v>
      </c>
      <c r="BO81">
        <v>8505</v>
      </c>
      <c r="BP81">
        <v>25515</v>
      </c>
      <c r="BQ81">
        <v>3300</v>
      </c>
      <c r="BR81">
        <v>400</v>
      </c>
      <c r="BS81">
        <v>400</v>
      </c>
      <c r="BT81">
        <v>4100</v>
      </c>
      <c r="BU81">
        <v>2100</v>
      </c>
      <c r="BV81">
        <v>2100</v>
      </c>
      <c r="BW81">
        <v>2100</v>
      </c>
      <c r="BX81">
        <v>6300</v>
      </c>
      <c r="BY81">
        <v>1200</v>
      </c>
      <c r="BZ81">
        <v>1200</v>
      </c>
      <c r="CA81">
        <v>1200</v>
      </c>
      <c r="CB81">
        <v>3600</v>
      </c>
      <c r="CC81">
        <v>0</v>
      </c>
      <c r="CD81">
        <v>0</v>
      </c>
      <c r="CE81">
        <v>0</v>
      </c>
      <c r="CF81">
        <v>0</v>
      </c>
      <c r="CG81">
        <v>39515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1250</v>
      </c>
      <c r="CU81">
        <v>1250</v>
      </c>
      <c r="CV81">
        <v>1250</v>
      </c>
      <c r="CW81">
        <v>3750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3750</v>
      </c>
      <c r="EE81">
        <v>0</v>
      </c>
      <c r="EF81">
        <v>0</v>
      </c>
      <c r="EG81">
        <v>0</v>
      </c>
      <c r="EH81">
        <v>0</v>
      </c>
      <c r="EI81">
        <v>1154</v>
      </c>
      <c r="EJ81">
        <v>1154</v>
      </c>
      <c r="EK81">
        <v>1155</v>
      </c>
      <c r="EL81">
        <v>3500</v>
      </c>
      <c r="EM81">
        <v>37.065000000000005</v>
      </c>
      <c r="EN81">
        <v>660</v>
      </c>
      <c r="EO81">
        <v>660</v>
      </c>
      <c r="EP81">
        <v>660</v>
      </c>
      <c r="EQ81">
        <v>2000</v>
      </c>
      <c r="ER81">
        <v>21.18</v>
      </c>
      <c r="ES81">
        <v>0</v>
      </c>
      <c r="ET81">
        <v>0</v>
      </c>
      <c r="EU81">
        <v>0</v>
      </c>
      <c r="EV81">
        <v>0</v>
      </c>
      <c r="EW81">
        <v>0</v>
      </c>
      <c r="FA81">
        <v>0</v>
      </c>
      <c r="FE81">
        <v>0</v>
      </c>
      <c r="FI81">
        <v>0</v>
      </c>
      <c r="FJ81">
        <v>5441.7550000000001</v>
      </c>
      <c r="FK81">
        <v>35765</v>
      </c>
      <c r="FL81">
        <v>31664.555574119709</v>
      </c>
      <c r="FM81">
        <v>30323.244999999999</v>
      </c>
    </row>
    <row r="82" spans="1:169" x14ac:dyDescent="0.35">
      <c r="A82">
        <v>196262</v>
      </c>
      <c r="B82" t="s">
        <v>2209</v>
      </c>
      <c r="C82" t="s">
        <v>2210</v>
      </c>
      <c r="D82" t="s">
        <v>2211</v>
      </c>
      <c r="E82" s="43" t="s">
        <v>2212</v>
      </c>
      <c r="F82">
        <v>1</v>
      </c>
      <c r="I82">
        <v>43781</v>
      </c>
      <c r="K82" t="s">
        <v>1715</v>
      </c>
      <c r="L82" s="43" t="s">
        <v>3204</v>
      </c>
      <c r="M82" t="s">
        <v>2213</v>
      </c>
      <c r="N82" s="43" t="s">
        <v>1241</v>
      </c>
      <c r="O82" s="43" t="s">
        <v>2214</v>
      </c>
      <c r="P82" s="43" t="s">
        <v>2215</v>
      </c>
      <c r="Q82" s="43" t="s">
        <v>2216</v>
      </c>
      <c r="R82">
        <v>3.843</v>
      </c>
      <c r="S82">
        <v>44109</v>
      </c>
      <c r="T82" t="s">
        <v>311</v>
      </c>
      <c r="U82" t="s">
        <v>266</v>
      </c>
      <c r="V82" t="s">
        <v>267</v>
      </c>
      <c r="W82" t="s">
        <v>1718</v>
      </c>
      <c r="X82" t="s">
        <v>1719</v>
      </c>
      <c r="Y82">
        <v>8772802835</v>
      </c>
      <c r="Z82" t="s">
        <v>270</v>
      </c>
      <c r="AA82" t="s">
        <v>271</v>
      </c>
      <c r="AB82">
        <v>32</v>
      </c>
      <c r="AC82">
        <v>0</v>
      </c>
      <c r="AD82">
        <v>131</v>
      </c>
      <c r="AE82" t="s">
        <v>301</v>
      </c>
      <c r="AF82">
        <v>1</v>
      </c>
      <c r="AG82" t="s">
        <v>275</v>
      </c>
      <c r="AH82">
        <v>0</v>
      </c>
      <c r="AI82">
        <v>0</v>
      </c>
      <c r="AJ82">
        <v>43774</v>
      </c>
      <c r="AK82" s="43" t="s">
        <v>3208</v>
      </c>
      <c r="AL82" s="43" t="s">
        <v>3209</v>
      </c>
      <c r="AO82" s="23"/>
      <c r="AP82" s="23"/>
      <c r="AQ82" s="23"/>
      <c r="BC82" t="s">
        <v>2018</v>
      </c>
      <c r="BD82" s="43" t="s">
        <v>2018</v>
      </c>
      <c r="BE82" s="43" t="s">
        <v>2018</v>
      </c>
      <c r="BF82" s="43" t="s">
        <v>2018</v>
      </c>
      <c r="BG82" s="43" t="s">
        <v>2018</v>
      </c>
      <c r="BH82" t="s">
        <v>2018</v>
      </c>
      <c r="BI82" s="43" t="s">
        <v>2018</v>
      </c>
      <c r="BJ82">
        <v>0</v>
      </c>
      <c r="BK82">
        <v>44109</v>
      </c>
      <c r="BL82">
        <v>44356</v>
      </c>
      <c r="BM82">
        <v>8505</v>
      </c>
      <c r="BN82">
        <v>8505</v>
      </c>
      <c r="BO82">
        <v>8505</v>
      </c>
      <c r="BP82">
        <v>25515</v>
      </c>
      <c r="BQ82">
        <v>3300</v>
      </c>
      <c r="BR82">
        <v>400</v>
      </c>
      <c r="BS82">
        <v>400</v>
      </c>
      <c r="BT82">
        <v>4100</v>
      </c>
      <c r="BU82">
        <v>2100</v>
      </c>
      <c r="BV82">
        <v>2100</v>
      </c>
      <c r="BW82">
        <v>2100</v>
      </c>
      <c r="BX82">
        <v>6300</v>
      </c>
      <c r="BY82">
        <v>1200</v>
      </c>
      <c r="BZ82">
        <v>1200</v>
      </c>
      <c r="CA82">
        <v>1200</v>
      </c>
      <c r="CB82">
        <v>3600</v>
      </c>
      <c r="CC82">
        <v>0</v>
      </c>
      <c r="CD82">
        <v>0</v>
      </c>
      <c r="CE82">
        <v>0</v>
      </c>
      <c r="CF82">
        <v>0</v>
      </c>
      <c r="CG82">
        <v>39515</v>
      </c>
      <c r="CH82">
        <v>0</v>
      </c>
      <c r="CI82">
        <v>0</v>
      </c>
      <c r="CJ82">
        <v>0</v>
      </c>
      <c r="CK82">
        <v>0</v>
      </c>
      <c r="CL82">
        <v>2065</v>
      </c>
      <c r="CM82">
        <v>2065</v>
      </c>
      <c r="CN82">
        <v>2065</v>
      </c>
      <c r="CO82">
        <v>6195</v>
      </c>
      <c r="CP82">
        <v>500</v>
      </c>
      <c r="CQ82">
        <v>500</v>
      </c>
      <c r="CR82">
        <v>500</v>
      </c>
      <c r="CS82">
        <v>1500</v>
      </c>
      <c r="CT82">
        <v>1700</v>
      </c>
      <c r="CU82">
        <v>1700</v>
      </c>
      <c r="CV82">
        <v>1700</v>
      </c>
      <c r="CW82">
        <v>5100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12795</v>
      </c>
      <c r="EE82">
        <v>0</v>
      </c>
      <c r="EF82">
        <v>0</v>
      </c>
      <c r="EG82">
        <v>0</v>
      </c>
      <c r="EH82">
        <v>0</v>
      </c>
      <c r="EI82">
        <v>1154</v>
      </c>
      <c r="EJ82">
        <v>1154</v>
      </c>
      <c r="EK82">
        <v>1155</v>
      </c>
      <c r="EL82">
        <v>3500</v>
      </c>
      <c r="EM82">
        <v>37.065000000000005</v>
      </c>
      <c r="EN82">
        <v>660</v>
      </c>
      <c r="EO82">
        <v>660</v>
      </c>
      <c r="EP82">
        <v>660</v>
      </c>
      <c r="EQ82">
        <v>2000</v>
      </c>
      <c r="ER82">
        <v>21.18</v>
      </c>
      <c r="ES82">
        <v>0</v>
      </c>
      <c r="ET82">
        <v>0</v>
      </c>
      <c r="EU82">
        <v>0</v>
      </c>
      <c r="EV82">
        <v>0</v>
      </c>
      <c r="EW82">
        <v>0</v>
      </c>
      <c r="FA82">
        <v>0</v>
      </c>
      <c r="FE82">
        <v>0</v>
      </c>
      <c r="FI82">
        <v>0</v>
      </c>
      <c r="FJ82">
        <v>5441.7550000000001</v>
      </c>
      <c r="FK82">
        <v>26720</v>
      </c>
      <c r="FL82">
        <v>22219.461384236245</v>
      </c>
      <c r="FM82">
        <v>21278.244999999999</v>
      </c>
    </row>
    <row r="83" spans="1:169" x14ac:dyDescent="0.35">
      <c r="A83">
        <v>197551</v>
      </c>
      <c r="B83" t="s">
        <v>2217</v>
      </c>
      <c r="C83" t="s">
        <v>1780</v>
      </c>
      <c r="D83" t="s">
        <v>2218</v>
      </c>
      <c r="E83" s="43" t="s">
        <v>2219</v>
      </c>
      <c r="F83">
        <v>1</v>
      </c>
      <c r="I83">
        <v>43804</v>
      </c>
      <c r="J83" t="s">
        <v>4242</v>
      </c>
      <c r="K83" t="s">
        <v>1715</v>
      </c>
      <c r="L83" s="43" t="s">
        <v>259</v>
      </c>
      <c r="M83" t="s">
        <v>2220</v>
      </c>
      <c r="N83" s="43" t="s">
        <v>2221</v>
      </c>
      <c r="O83" s="43" t="s">
        <v>2222</v>
      </c>
      <c r="P83" s="43" t="s">
        <v>542</v>
      </c>
      <c r="Q83" s="43" t="s">
        <v>2223</v>
      </c>
      <c r="R83">
        <v>3.8820000000000001</v>
      </c>
      <c r="S83">
        <v>44109</v>
      </c>
      <c r="T83" t="s">
        <v>544</v>
      </c>
      <c r="U83" t="s">
        <v>266</v>
      </c>
      <c r="V83" t="s">
        <v>267</v>
      </c>
      <c r="W83" t="s">
        <v>1718</v>
      </c>
      <c r="X83" t="s">
        <v>1719</v>
      </c>
      <c r="Y83">
        <v>8772802835</v>
      </c>
      <c r="Z83" t="s">
        <v>270</v>
      </c>
      <c r="AA83" t="s">
        <v>271</v>
      </c>
      <c r="AB83">
        <v>27</v>
      </c>
      <c r="AC83">
        <v>0</v>
      </c>
      <c r="AD83">
        <v>0</v>
      </c>
      <c r="AE83" t="s">
        <v>364</v>
      </c>
      <c r="AF83">
        <v>3</v>
      </c>
      <c r="AG83" t="s">
        <v>275</v>
      </c>
      <c r="AK83" s="43" t="s">
        <v>259</v>
      </c>
      <c r="AL83" s="43" t="s">
        <v>259</v>
      </c>
      <c r="AO83" s="23"/>
      <c r="AP83" s="23"/>
      <c r="AQ83" s="23"/>
      <c r="BC83" t="s">
        <v>259</v>
      </c>
      <c r="BD83" s="43" t="s">
        <v>259</v>
      </c>
      <c r="BE83" s="43" t="s">
        <v>259</v>
      </c>
      <c r="BF83" s="43" t="s">
        <v>259</v>
      </c>
      <c r="BG83" s="43" t="s">
        <v>259</v>
      </c>
      <c r="BH83" t="s">
        <v>259</v>
      </c>
      <c r="BI83" s="43" t="s">
        <v>259</v>
      </c>
      <c r="BJ83">
        <v>0</v>
      </c>
      <c r="BK83">
        <v>44109</v>
      </c>
      <c r="BL83">
        <v>44356</v>
      </c>
      <c r="BM83">
        <v>8505</v>
      </c>
      <c r="BN83">
        <v>8505</v>
      </c>
      <c r="BO83">
        <v>8505</v>
      </c>
      <c r="BP83">
        <v>25515</v>
      </c>
      <c r="BQ83">
        <v>3300</v>
      </c>
      <c r="BR83">
        <v>400</v>
      </c>
      <c r="BS83">
        <v>400</v>
      </c>
      <c r="BT83">
        <v>4100</v>
      </c>
      <c r="BU83">
        <v>2100</v>
      </c>
      <c r="BV83">
        <v>2100</v>
      </c>
      <c r="BW83">
        <v>2100</v>
      </c>
      <c r="BX83">
        <v>6300</v>
      </c>
      <c r="BY83">
        <v>1200</v>
      </c>
      <c r="BZ83">
        <v>1200</v>
      </c>
      <c r="CA83">
        <v>1200</v>
      </c>
      <c r="CB83">
        <v>3600</v>
      </c>
      <c r="CC83">
        <v>0</v>
      </c>
      <c r="CD83">
        <v>0</v>
      </c>
      <c r="CE83">
        <v>0</v>
      </c>
      <c r="CF83">
        <v>0</v>
      </c>
      <c r="CG83">
        <v>39515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1300</v>
      </c>
      <c r="CU83">
        <v>1300</v>
      </c>
      <c r="CV83">
        <v>1300</v>
      </c>
      <c r="CW83">
        <v>3900</v>
      </c>
      <c r="CX83">
        <v>3000</v>
      </c>
      <c r="CY83">
        <v>3000</v>
      </c>
      <c r="CZ83">
        <v>3000</v>
      </c>
      <c r="DA83">
        <v>9000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12900</v>
      </c>
      <c r="EE83">
        <v>0</v>
      </c>
      <c r="EF83">
        <v>0</v>
      </c>
      <c r="EG83">
        <v>0</v>
      </c>
      <c r="EH83">
        <v>0</v>
      </c>
      <c r="EI83">
        <v>1154</v>
      </c>
      <c r="EJ83">
        <v>1154</v>
      </c>
      <c r="EK83">
        <v>1155</v>
      </c>
      <c r="EL83">
        <v>3500</v>
      </c>
      <c r="EM83">
        <v>37.065000000000005</v>
      </c>
      <c r="EN83">
        <v>660</v>
      </c>
      <c r="EO83">
        <v>660</v>
      </c>
      <c r="EP83">
        <v>660</v>
      </c>
      <c r="EQ83">
        <v>2000</v>
      </c>
      <c r="ER83">
        <v>21.18</v>
      </c>
      <c r="ES83">
        <v>0</v>
      </c>
      <c r="ET83">
        <v>0</v>
      </c>
      <c r="EU83">
        <v>0</v>
      </c>
      <c r="EV83">
        <v>0</v>
      </c>
      <c r="EW83">
        <v>0</v>
      </c>
      <c r="FA83">
        <v>0</v>
      </c>
      <c r="FE83">
        <v>0</v>
      </c>
      <c r="FI83">
        <v>0</v>
      </c>
      <c r="FJ83">
        <v>5441.7550000000001</v>
      </c>
      <c r="FK83">
        <v>26615</v>
      </c>
      <c r="FL83">
        <v>22109.816841401775</v>
      </c>
      <c r="FM83">
        <v>21173.244999999999</v>
      </c>
    </row>
    <row r="84" spans="1:169" x14ac:dyDescent="0.35">
      <c r="A84">
        <v>196094</v>
      </c>
      <c r="B84" t="s">
        <v>2224</v>
      </c>
      <c r="C84" t="s">
        <v>547</v>
      </c>
      <c r="D84" t="s">
        <v>2225</v>
      </c>
      <c r="E84" s="43" t="s">
        <v>2226</v>
      </c>
      <c r="F84">
        <v>1</v>
      </c>
      <c r="G84">
        <v>43787</v>
      </c>
      <c r="H84">
        <v>43794</v>
      </c>
      <c r="I84">
        <v>43794</v>
      </c>
      <c r="J84" t="s">
        <v>3421</v>
      </c>
      <c r="K84" t="s">
        <v>1715</v>
      </c>
      <c r="L84" s="43" t="s">
        <v>3204</v>
      </c>
      <c r="M84" t="s">
        <v>2227</v>
      </c>
      <c r="N84" s="43" t="s">
        <v>2228</v>
      </c>
      <c r="O84" s="43" t="s">
        <v>1426</v>
      </c>
      <c r="P84" s="43" t="s">
        <v>297</v>
      </c>
      <c r="Q84" s="43" t="s">
        <v>2229</v>
      </c>
      <c r="S84">
        <v>44109</v>
      </c>
      <c r="T84" t="s">
        <v>265</v>
      </c>
      <c r="U84" t="s">
        <v>266</v>
      </c>
      <c r="V84" t="s">
        <v>267</v>
      </c>
      <c r="W84" t="s">
        <v>1718</v>
      </c>
      <c r="X84" t="s">
        <v>1719</v>
      </c>
      <c r="Y84">
        <v>8772802835</v>
      </c>
      <c r="Z84" t="s">
        <v>270</v>
      </c>
      <c r="AA84" t="s">
        <v>271</v>
      </c>
      <c r="AB84">
        <v>27</v>
      </c>
      <c r="AC84">
        <v>0</v>
      </c>
      <c r="AD84">
        <v>114</v>
      </c>
      <c r="AE84" t="s">
        <v>301</v>
      </c>
      <c r="AF84">
        <v>1</v>
      </c>
      <c r="AG84" t="s">
        <v>275</v>
      </c>
      <c r="AH84">
        <v>101834</v>
      </c>
      <c r="AI84">
        <v>101834</v>
      </c>
      <c r="AJ84">
        <v>43774</v>
      </c>
      <c r="AK84" s="43" t="s">
        <v>3208</v>
      </c>
      <c r="AL84" s="43" t="s">
        <v>3209</v>
      </c>
      <c r="AM84">
        <v>43794</v>
      </c>
      <c r="AN84">
        <v>43794</v>
      </c>
      <c r="AO84" s="23">
        <v>43761</v>
      </c>
      <c r="AP84" s="23">
        <v>43761</v>
      </c>
      <c r="AQ84" s="23">
        <v>43761</v>
      </c>
      <c r="BC84" t="s">
        <v>2018</v>
      </c>
      <c r="BD84" s="43" t="s">
        <v>2018</v>
      </c>
      <c r="BE84" s="43" t="s">
        <v>2018</v>
      </c>
      <c r="BF84" s="43" t="s">
        <v>2018</v>
      </c>
      <c r="BG84" s="43" t="s">
        <v>2018</v>
      </c>
      <c r="BH84" t="s">
        <v>2018</v>
      </c>
      <c r="BI84" s="43" t="s">
        <v>2018</v>
      </c>
      <c r="BJ84">
        <v>0.3125</v>
      </c>
      <c r="BK84">
        <v>44109</v>
      </c>
      <c r="BL84">
        <v>44356</v>
      </c>
      <c r="BM84">
        <v>8505</v>
      </c>
      <c r="BN84">
        <v>8505</v>
      </c>
      <c r="BO84">
        <v>8505</v>
      </c>
      <c r="BP84">
        <v>25515</v>
      </c>
      <c r="BQ84">
        <v>3300</v>
      </c>
      <c r="BR84">
        <v>400</v>
      </c>
      <c r="BS84">
        <v>400</v>
      </c>
      <c r="BT84">
        <v>4100</v>
      </c>
      <c r="BU84">
        <v>2100</v>
      </c>
      <c r="BV84">
        <v>2100</v>
      </c>
      <c r="BW84">
        <v>2100</v>
      </c>
      <c r="BX84">
        <v>6300</v>
      </c>
      <c r="BY84">
        <v>1050</v>
      </c>
      <c r="BZ84">
        <v>1050</v>
      </c>
      <c r="CA84">
        <v>1050</v>
      </c>
      <c r="CB84">
        <v>3150</v>
      </c>
      <c r="CC84">
        <v>0</v>
      </c>
      <c r="CD84">
        <v>0</v>
      </c>
      <c r="CE84">
        <v>0</v>
      </c>
      <c r="CF84">
        <v>0</v>
      </c>
      <c r="CG84">
        <v>39065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1700</v>
      </c>
      <c r="CU84">
        <v>1700</v>
      </c>
      <c r="CV84">
        <v>1700</v>
      </c>
      <c r="CW84">
        <v>5100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5100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1814</v>
      </c>
      <c r="EO84">
        <v>1814</v>
      </c>
      <c r="EP84">
        <v>1814</v>
      </c>
      <c r="EQ84">
        <v>5500</v>
      </c>
      <c r="ER84">
        <v>58.245000000000005</v>
      </c>
      <c r="ES84">
        <v>9525</v>
      </c>
      <c r="ET84">
        <v>9525</v>
      </c>
      <c r="EU84">
        <v>9525</v>
      </c>
      <c r="EV84">
        <v>29785</v>
      </c>
      <c r="EW84">
        <v>1261.6926000000001</v>
      </c>
      <c r="FA84">
        <v>0</v>
      </c>
      <c r="FE84">
        <v>0</v>
      </c>
      <c r="FI84">
        <v>0</v>
      </c>
      <c r="FJ84">
        <v>33965.062400000003</v>
      </c>
      <c r="FK84">
        <v>33965</v>
      </c>
      <c r="FL84">
        <v>-6.5160185458550401E-2</v>
      </c>
      <c r="FM84">
        <v>-6.2400000002526206E-2</v>
      </c>
    </row>
    <row r="85" spans="1:169" x14ac:dyDescent="0.35">
      <c r="A85">
        <v>199255</v>
      </c>
      <c r="B85" t="s">
        <v>3663</v>
      </c>
      <c r="C85" t="s">
        <v>3664</v>
      </c>
      <c r="D85" t="s">
        <v>3665</v>
      </c>
      <c r="E85" s="43" t="s">
        <v>3666</v>
      </c>
      <c r="F85">
        <v>1</v>
      </c>
      <c r="G85">
        <v>43802</v>
      </c>
      <c r="H85">
        <v>43802</v>
      </c>
      <c r="I85">
        <v>43802</v>
      </c>
      <c r="J85" t="s">
        <v>4248</v>
      </c>
      <c r="K85" t="s">
        <v>1715</v>
      </c>
      <c r="L85" s="43" t="s">
        <v>3204</v>
      </c>
      <c r="M85" t="s">
        <v>3667</v>
      </c>
      <c r="N85" s="43" t="s">
        <v>3668</v>
      </c>
      <c r="O85" s="43" t="s">
        <v>3669</v>
      </c>
      <c r="P85" s="43" t="s">
        <v>3670</v>
      </c>
      <c r="Q85" s="43" t="s">
        <v>3671</v>
      </c>
      <c r="S85">
        <v>44109</v>
      </c>
      <c r="T85" t="s">
        <v>285</v>
      </c>
      <c r="U85" t="s">
        <v>266</v>
      </c>
      <c r="V85" t="s">
        <v>267</v>
      </c>
      <c r="W85" t="s">
        <v>1718</v>
      </c>
      <c r="X85" t="s">
        <v>1719</v>
      </c>
      <c r="Y85">
        <v>8772802835</v>
      </c>
      <c r="Z85" t="s">
        <v>270</v>
      </c>
      <c r="AA85" t="s">
        <v>271</v>
      </c>
      <c r="AB85">
        <v>0</v>
      </c>
      <c r="AC85">
        <v>1090</v>
      </c>
      <c r="AD85">
        <v>108</v>
      </c>
      <c r="AE85" t="s">
        <v>416</v>
      </c>
      <c r="AF85">
        <v>5</v>
      </c>
      <c r="AG85" t="s">
        <v>3345</v>
      </c>
      <c r="AH85">
        <v>91747</v>
      </c>
      <c r="AI85">
        <v>91747</v>
      </c>
      <c r="AJ85">
        <v>43774</v>
      </c>
      <c r="AK85" s="43" t="s">
        <v>3208</v>
      </c>
      <c r="AL85" s="43" t="s">
        <v>3209</v>
      </c>
      <c r="AM85">
        <v>43803</v>
      </c>
      <c r="AN85">
        <v>43803</v>
      </c>
      <c r="AO85" s="23">
        <v>43803</v>
      </c>
      <c r="AP85" s="23"/>
      <c r="AQ85" s="23"/>
      <c r="BC85" t="s">
        <v>2018</v>
      </c>
      <c r="BD85" s="43" t="s">
        <v>2018</v>
      </c>
      <c r="BE85" s="43" t="s">
        <v>2018</v>
      </c>
      <c r="BF85" s="43" t="s">
        <v>2018</v>
      </c>
      <c r="BG85" s="43" t="s">
        <v>2018</v>
      </c>
      <c r="BH85" t="s">
        <v>2018</v>
      </c>
      <c r="BI85" s="43" t="s">
        <v>2018</v>
      </c>
      <c r="BJ85">
        <v>0.1875</v>
      </c>
      <c r="BK85">
        <v>44109</v>
      </c>
      <c r="BL85">
        <v>44356</v>
      </c>
      <c r="BM85">
        <v>8505</v>
      </c>
      <c r="BN85">
        <v>8505</v>
      </c>
      <c r="BO85">
        <v>8505</v>
      </c>
      <c r="BP85">
        <v>25515</v>
      </c>
      <c r="BQ85">
        <v>3300</v>
      </c>
      <c r="BR85">
        <v>400</v>
      </c>
      <c r="BS85">
        <v>400</v>
      </c>
      <c r="BT85">
        <v>4100</v>
      </c>
      <c r="BU85">
        <v>2100</v>
      </c>
      <c r="BV85">
        <v>2100</v>
      </c>
      <c r="BW85">
        <v>2100</v>
      </c>
      <c r="BX85">
        <v>6300</v>
      </c>
      <c r="BY85">
        <v>1200</v>
      </c>
      <c r="BZ85">
        <v>1200</v>
      </c>
      <c r="CA85">
        <v>1200</v>
      </c>
      <c r="CB85">
        <v>3600</v>
      </c>
      <c r="CC85">
        <v>0</v>
      </c>
      <c r="CD85">
        <v>0</v>
      </c>
      <c r="CE85">
        <v>0</v>
      </c>
      <c r="CF85">
        <v>0</v>
      </c>
      <c r="CG85">
        <v>39515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1000</v>
      </c>
      <c r="CU85">
        <v>1000</v>
      </c>
      <c r="CV85">
        <v>1000</v>
      </c>
      <c r="CW85">
        <v>3000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3000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1814</v>
      </c>
      <c r="EO85">
        <v>1814</v>
      </c>
      <c r="EP85">
        <v>1814</v>
      </c>
      <c r="EQ85">
        <v>5500</v>
      </c>
      <c r="ER85">
        <v>58.245000000000005</v>
      </c>
      <c r="ES85">
        <v>10376</v>
      </c>
      <c r="ET85">
        <v>10376</v>
      </c>
      <c r="EU85">
        <v>10376</v>
      </c>
      <c r="EV85">
        <v>32448</v>
      </c>
      <c r="EW85">
        <v>1374.49728</v>
      </c>
      <c r="FA85">
        <v>0</v>
      </c>
      <c r="FE85">
        <v>0</v>
      </c>
      <c r="FI85">
        <v>0</v>
      </c>
      <c r="FJ85">
        <v>36515.257720000001</v>
      </c>
      <c r="FK85">
        <v>36515</v>
      </c>
      <c r="FL85">
        <v>-0.26911991980433903</v>
      </c>
      <c r="FM85">
        <v>-0.25772000000142725</v>
      </c>
    </row>
    <row r="86" spans="1:169" x14ac:dyDescent="0.35">
      <c r="A86">
        <v>198282</v>
      </c>
      <c r="B86" t="s">
        <v>1903</v>
      </c>
      <c r="C86" t="s">
        <v>1987</v>
      </c>
      <c r="D86" t="s">
        <v>2230</v>
      </c>
      <c r="E86" s="43" t="s">
        <v>2231</v>
      </c>
      <c r="F86">
        <v>1</v>
      </c>
      <c r="I86">
        <v>43781</v>
      </c>
      <c r="J86" t="s">
        <v>3305</v>
      </c>
      <c r="K86" t="s">
        <v>1715</v>
      </c>
      <c r="L86" s="43" t="s">
        <v>3204</v>
      </c>
      <c r="M86" t="s">
        <v>2232</v>
      </c>
      <c r="N86" s="43" t="s">
        <v>2233</v>
      </c>
      <c r="O86" s="43" t="s">
        <v>2234</v>
      </c>
      <c r="P86" s="43" t="s">
        <v>372</v>
      </c>
      <c r="Q86" s="43" t="s">
        <v>2235</v>
      </c>
      <c r="R86">
        <v>3.1</v>
      </c>
      <c r="S86">
        <v>44109</v>
      </c>
      <c r="T86" t="s">
        <v>285</v>
      </c>
      <c r="U86" t="s">
        <v>266</v>
      </c>
      <c r="V86" t="s">
        <v>267</v>
      </c>
      <c r="W86" t="s">
        <v>1718</v>
      </c>
      <c r="X86" t="s">
        <v>1719</v>
      </c>
      <c r="Y86">
        <v>8772802835</v>
      </c>
      <c r="Z86" t="s">
        <v>270</v>
      </c>
      <c r="AA86" t="s">
        <v>271</v>
      </c>
      <c r="AB86">
        <v>0</v>
      </c>
      <c r="AC86">
        <v>980</v>
      </c>
      <c r="AD86">
        <v>99</v>
      </c>
      <c r="AE86" t="s">
        <v>354</v>
      </c>
      <c r="AF86">
        <v>6</v>
      </c>
      <c r="AG86" t="s">
        <v>275</v>
      </c>
      <c r="AH86">
        <v>0</v>
      </c>
      <c r="AI86">
        <v>0</v>
      </c>
      <c r="AJ86">
        <v>43776</v>
      </c>
      <c r="AK86" s="43" t="s">
        <v>1715</v>
      </c>
      <c r="AL86" s="43" t="s">
        <v>259</v>
      </c>
      <c r="AO86" s="23"/>
      <c r="AP86" s="23"/>
      <c r="AQ86" s="23"/>
      <c r="BC86" t="s">
        <v>259</v>
      </c>
      <c r="BD86" s="43" t="s">
        <v>259</v>
      </c>
      <c r="BE86" s="43" t="s">
        <v>259</v>
      </c>
      <c r="BF86" s="43" t="s">
        <v>259</v>
      </c>
      <c r="BG86" s="43" t="s">
        <v>259</v>
      </c>
      <c r="BH86" t="s">
        <v>259</v>
      </c>
      <c r="BI86" s="43" t="s">
        <v>259</v>
      </c>
      <c r="BJ86">
        <v>0</v>
      </c>
      <c r="BK86">
        <v>44109</v>
      </c>
      <c r="BL86">
        <v>44356</v>
      </c>
      <c r="BM86">
        <v>8505</v>
      </c>
      <c r="BN86">
        <v>8505</v>
      </c>
      <c r="BO86">
        <v>8505</v>
      </c>
      <c r="BP86">
        <v>25515</v>
      </c>
      <c r="BQ86">
        <v>3300</v>
      </c>
      <c r="BR86">
        <v>400</v>
      </c>
      <c r="BS86">
        <v>400</v>
      </c>
      <c r="BT86">
        <v>4100</v>
      </c>
      <c r="BU86">
        <v>2100</v>
      </c>
      <c r="BV86">
        <v>2100</v>
      </c>
      <c r="BW86">
        <v>2100</v>
      </c>
      <c r="BX86">
        <v>6300</v>
      </c>
      <c r="BY86">
        <v>1200</v>
      </c>
      <c r="BZ86">
        <v>1200</v>
      </c>
      <c r="CA86">
        <v>1200</v>
      </c>
      <c r="CB86">
        <v>3600</v>
      </c>
      <c r="CC86">
        <v>0</v>
      </c>
      <c r="CD86">
        <v>0</v>
      </c>
      <c r="CE86">
        <v>0</v>
      </c>
      <c r="CF86">
        <v>0</v>
      </c>
      <c r="CG86">
        <v>39515</v>
      </c>
      <c r="CH86">
        <v>0</v>
      </c>
      <c r="CI86">
        <v>0</v>
      </c>
      <c r="CJ86">
        <v>0</v>
      </c>
      <c r="CK86">
        <v>0</v>
      </c>
      <c r="CL86">
        <v>2065</v>
      </c>
      <c r="CM86">
        <v>2065</v>
      </c>
      <c r="CN86">
        <v>2065</v>
      </c>
      <c r="CO86">
        <v>6195</v>
      </c>
      <c r="CP86">
        <v>500</v>
      </c>
      <c r="CQ86">
        <v>500</v>
      </c>
      <c r="CR86">
        <v>500</v>
      </c>
      <c r="CS86">
        <v>1500</v>
      </c>
      <c r="CT86">
        <v>750</v>
      </c>
      <c r="CU86">
        <v>750</v>
      </c>
      <c r="CV86">
        <v>750</v>
      </c>
      <c r="CW86">
        <v>2250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9945</v>
      </c>
      <c r="EE86">
        <v>0</v>
      </c>
      <c r="EF86">
        <v>0</v>
      </c>
      <c r="EG86">
        <v>0</v>
      </c>
      <c r="EH86">
        <v>0</v>
      </c>
      <c r="EI86">
        <v>1154</v>
      </c>
      <c r="EJ86">
        <v>1154</v>
      </c>
      <c r="EK86">
        <v>1155</v>
      </c>
      <c r="EL86">
        <v>3500</v>
      </c>
      <c r="EM86">
        <v>37.065000000000005</v>
      </c>
      <c r="EN86">
        <v>660</v>
      </c>
      <c r="EO86">
        <v>660</v>
      </c>
      <c r="EP86">
        <v>660</v>
      </c>
      <c r="EQ86">
        <v>2000</v>
      </c>
      <c r="ER86">
        <v>21.18</v>
      </c>
      <c r="ES86">
        <v>0</v>
      </c>
      <c r="ET86">
        <v>0</v>
      </c>
      <c r="EU86">
        <v>0</v>
      </c>
      <c r="EV86">
        <v>0</v>
      </c>
      <c r="EW86">
        <v>0</v>
      </c>
      <c r="FA86">
        <v>0</v>
      </c>
      <c r="FE86">
        <v>0</v>
      </c>
      <c r="FI86">
        <v>0</v>
      </c>
      <c r="FJ86">
        <v>5441.7550000000001</v>
      </c>
      <c r="FK86">
        <v>29570</v>
      </c>
      <c r="FL86">
        <v>25195.527546886093</v>
      </c>
      <c r="FM86">
        <v>24128.244999999999</v>
      </c>
    </row>
    <row r="87" spans="1:169" x14ac:dyDescent="0.35">
      <c r="A87">
        <v>196587</v>
      </c>
      <c r="B87" t="s">
        <v>2236</v>
      </c>
      <c r="C87" t="s">
        <v>2237</v>
      </c>
      <c r="D87" t="s">
        <v>2238</v>
      </c>
      <c r="E87" s="43" t="s">
        <v>2239</v>
      </c>
      <c r="F87">
        <v>1</v>
      </c>
      <c r="I87">
        <v>43804</v>
      </c>
      <c r="J87" t="s">
        <v>4242</v>
      </c>
      <c r="K87" t="s">
        <v>1715</v>
      </c>
      <c r="L87" s="43" t="s">
        <v>259</v>
      </c>
      <c r="M87" t="s">
        <v>2240</v>
      </c>
      <c r="N87" s="43" t="s">
        <v>2241</v>
      </c>
      <c r="O87" s="43" t="s">
        <v>2242</v>
      </c>
      <c r="P87" s="43" t="s">
        <v>524</v>
      </c>
      <c r="Q87" s="43" t="s">
        <v>2243</v>
      </c>
      <c r="R87">
        <v>3.6739000000000002</v>
      </c>
      <c r="S87">
        <v>44109</v>
      </c>
      <c r="T87" t="s">
        <v>311</v>
      </c>
      <c r="U87" t="s">
        <v>266</v>
      </c>
      <c r="V87" t="s">
        <v>267</v>
      </c>
      <c r="W87" t="s">
        <v>1718</v>
      </c>
      <c r="X87" t="s">
        <v>1719</v>
      </c>
      <c r="Y87">
        <v>8772802835</v>
      </c>
      <c r="Z87" t="s">
        <v>270</v>
      </c>
      <c r="AA87" t="s">
        <v>271</v>
      </c>
      <c r="AB87">
        <v>27</v>
      </c>
      <c r="AC87">
        <v>0</v>
      </c>
      <c r="AD87">
        <v>121</v>
      </c>
      <c r="AE87" t="s">
        <v>301</v>
      </c>
      <c r="AF87">
        <v>1</v>
      </c>
      <c r="AG87" t="s">
        <v>275</v>
      </c>
      <c r="AK87" s="43" t="s">
        <v>259</v>
      </c>
      <c r="AL87" s="43" t="s">
        <v>259</v>
      </c>
      <c r="AO87" s="23"/>
      <c r="AP87" s="23"/>
      <c r="AQ87" s="23"/>
      <c r="BC87" t="s">
        <v>259</v>
      </c>
      <c r="BD87" s="43" t="s">
        <v>259</v>
      </c>
      <c r="BE87" s="43" t="s">
        <v>259</v>
      </c>
      <c r="BF87" s="43" t="s">
        <v>259</v>
      </c>
      <c r="BG87" s="43" t="s">
        <v>259</v>
      </c>
      <c r="BH87" t="s">
        <v>259</v>
      </c>
      <c r="BI87" s="43" t="s">
        <v>259</v>
      </c>
      <c r="BJ87">
        <v>0</v>
      </c>
      <c r="BK87">
        <v>44109</v>
      </c>
      <c r="BL87">
        <v>44356</v>
      </c>
      <c r="BM87">
        <v>8505</v>
      </c>
      <c r="BN87">
        <v>8505</v>
      </c>
      <c r="BO87">
        <v>8505</v>
      </c>
      <c r="BP87">
        <v>25515</v>
      </c>
      <c r="BQ87">
        <v>3300</v>
      </c>
      <c r="BR87">
        <v>400</v>
      </c>
      <c r="BS87">
        <v>400</v>
      </c>
      <c r="BT87">
        <v>4100</v>
      </c>
      <c r="BU87">
        <v>2100</v>
      </c>
      <c r="BV87">
        <v>2100</v>
      </c>
      <c r="BW87">
        <v>2100</v>
      </c>
      <c r="BX87">
        <v>6300</v>
      </c>
      <c r="BY87">
        <v>1200</v>
      </c>
      <c r="BZ87">
        <v>1200</v>
      </c>
      <c r="CA87">
        <v>1200</v>
      </c>
      <c r="CB87">
        <v>3600</v>
      </c>
      <c r="CC87">
        <v>0</v>
      </c>
      <c r="CD87">
        <v>0</v>
      </c>
      <c r="CE87">
        <v>0</v>
      </c>
      <c r="CF87">
        <v>0</v>
      </c>
      <c r="CG87">
        <v>39515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1700</v>
      </c>
      <c r="CU87">
        <v>1700</v>
      </c>
      <c r="CV87">
        <v>1700</v>
      </c>
      <c r="CW87">
        <v>5100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5100</v>
      </c>
      <c r="EE87">
        <v>0</v>
      </c>
      <c r="EF87">
        <v>0</v>
      </c>
      <c r="EG87">
        <v>0</v>
      </c>
      <c r="EH87">
        <v>0</v>
      </c>
      <c r="EI87">
        <v>1154</v>
      </c>
      <c r="EJ87">
        <v>1154</v>
      </c>
      <c r="EK87">
        <v>1155</v>
      </c>
      <c r="EL87">
        <v>3500</v>
      </c>
      <c r="EM87">
        <v>37.065000000000005</v>
      </c>
      <c r="EN87">
        <v>660</v>
      </c>
      <c r="EO87">
        <v>660</v>
      </c>
      <c r="EP87">
        <v>660</v>
      </c>
      <c r="EQ87">
        <v>2000</v>
      </c>
      <c r="ER87">
        <v>21.18</v>
      </c>
      <c r="ES87">
        <v>0</v>
      </c>
      <c r="ET87">
        <v>0</v>
      </c>
      <c r="EU87">
        <v>0</v>
      </c>
      <c r="EV87">
        <v>0</v>
      </c>
      <c r="EW87">
        <v>0</v>
      </c>
      <c r="FA87">
        <v>0</v>
      </c>
      <c r="FE87">
        <v>0</v>
      </c>
      <c r="FI87">
        <v>0</v>
      </c>
      <c r="FJ87">
        <v>5441.7550000000001</v>
      </c>
      <c r="FK87">
        <v>34415</v>
      </c>
      <c r="FL87">
        <v>30254.840023390832</v>
      </c>
      <c r="FM87">
        <v>28973.244999999999</v>
      </c>
    </row>
    <row r="88" spans="1:169" x14ac:dyDescent="0.35">
      <c r="A88">
        <v>197855</v>
      </c>
      <c r="B88" t="s">
        <v>2244</v>
      </c>
      <c r="C88" t="s">
        <v>2115</v>
      </c>
      <c r="D88" t="s">
        <v>2245</v>
      </c>
      <c r="E88" s="43" t="s">
        <v>2246</v>
      </c>
      <c r="F88">
        <v>1</v>
      </c>
      <c r="I88">
        <v>43804</v>
      </c>
      <c r="J88" t="s">
        <v>4242</v>
      </c>
      <c r="K88" t="s">
        <v>1715</v>
      </c>
      <c r="L88" s="43" t="s">
        <v>259</v>
      </c>
      <c r="M88" t="s">
        <v>2247</v>
      </c>
      <c r="N88" s="43" t="s">
        <v>2248</v>
      </c>
      <c r="O88" s="43" t="s">
        <v>1600</v>
      </c>
      <c r="P88" s="43" t="s">
        <v>283</v>
      </c>
      <c r="Q88" s="43" t="s">
        <v>2249</v>
      </c>
      <c r="R88">
        <v>3.3</v>
      </c>
      <c r="S88">
        <v>44109</v>
      </c>
      <c r="T88" t="s">
        <v>285</v>
      </c>
      <c r="U88" t="s">
        <v>266</v>
      </c>
      <c r="V88" t="s">
        <v>267</v>
      </c>
      <c r="W88" t="s">
        <v>1718</v>
      </c>
      <c r="X88" t="s">
        <v>1719</v>
      </c>
      <c r="Y88">
        <v>8772802835</v>
      </c>
      <c r="Z88" t="s">
        <v>270</v>
      </c>
      <c r="AA88" t="s">
        <v>271</v>
      </c>
      <c r="AB88">
        <v>23</v>
      </c>
      <c r="AC88">
        <v>0</v>
      </c>
      <c r="AD88">
        <v>106</v>
      </c>
      <c r="AE88" t="s">
        <v>416</v>
      </c>
      <c r="AF88">
        <v>5</v>
      </c>
      <c r="AG88" t="s">
        <v>275</v>
      </c>
      <c r="AK88" s="43" t="s">
        <v>259</v>
      </c>
      <c r="AL88" s="43" t="s">
        <v>259</v>
      </c>
      <c r="AO88" s="23"/>
      <c r="AP88" s="23"/>
      <c r="AQ88" s="23"/>
      <c r="BC88" t="s">
        <v>259</v>
      </c>
      <c r="BD88" s="43" t="s">
        <v>259</v>
      </c>
      <c r="BE88" s="43" t="s">
        <v>259</v>
      </c>
      <c r="BF88" s="43" t="s">
        <v>259</v>
      </c>
      <c r="BG88" s="43" t="s">
        <v>259</v>
      </c>
      <c r="BH88" t="s">
        <v>259</v>
      </c>
      <c r="BI88" s="43" t="s">
        <v>259</v>
      </c>
      <c r="BJ88">
        <v>0</v>
      </c>
      <c r="BK88">
        <v>44109</v>
      </c>
      <c r="BL88">
        <v>44356</v>
      </c>
      <c r="BM88">
        <v>8505</v>
      </c>
      <c r="BN88">
        <v>8505</v>
      </c>
      <c r="BO88">
        <v>8505</v>
      </c>
      <c r="BP88">
        <v>25515</v>
      </c>
      <c r="BQ88">
        <v>3300</v>
      </c>
      <c r="BR88">
        <v>400</v>
      </c>
      <c r="BS88">
        <v>400</v>
      </c>
      <c r="BT88">
        <v>4100</v>
      </c>
      <c r="BU88">
        <v>2100</v>
      </c>
      <c r="BV88">
        <v>2100</v>
      </c>
      <c r="BW88">
        <v>2100</v>
      </c>
      <c r="BX88">
        <v>6300</v>
      </c>
      <c r="BY88">
        <v>1200</v>
      </c>
      <c r="BZ88">
        <v>1200</v>
      </c>
      <c r="CA88">
        <v>1200</v>
      </c>
      <c r="CB88">
        <v>3600</v>
      </c>
      <c r="CC88">
        <v>0</v>
      </c>
      <c r="CD88">
        <v>0</v>
      </c>
      <c r="CE88">
        <v>0</v>
      </c>
      <c r="CF88">
        <v>0</v>
      </c>
      <c r="CG88">
        <v>39515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1000</v>
      </c>
      <c r="CU88">
        <v>1000</v>
      </c>
      <c r="CV88">
        <v>1000</v>
      </c>
      <c r="CW88">
        <v>3000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3000</v>
      </c>
      <c r="EE88">
        <v>0</v>
      </c>
      <c r="EF88">
        <v>0</v>
      </c>
      <c r="EG88">
        <v>0</v>
      </c>
      <c r="EH88">
        <v>0</v>
      </c>
      <c r="EI88">
        <v>1154</v>
      </c>
      <c r="EJ88">
        <v>1154</v>
      </c>
      <c r="EK88">
        <v>1155</v>
      </c>
      <c r="EL88">
        <v>3500</v>
      </c>
      <c r="EM88">
        <v>37.065000000000005</v>
      </c>
      <c r="EN88">
        <v>660</v>
      </c>
      <c r="EO88">
        <v>660</v>
      </c>
      <c r="EP88">
        <v>660</v>
      </c>
      <c r="EQ88">
        <v>2000</v>
      </c>
      <c r="ER88">
        <v>21.18</v>
      </c>
      <c r="ES88">
        <v>0</v>
      </c>
      <c r="ET88">
        <v>0</v>
      </c>
      <c r="EU88">
        <v>0</v>
      </c>
      <c r="EV88">
        <v>0</v>
      </c>
      <c r="EW88">
        <v>0</v>
      </c>
      <c r="FA88">
        <v>0</v>
      </c>
      <c r="FE88">
        <v>0</v>
      </c>
      <c r="FI88">
        <v>0</v>
      </c>
      <c r="FJ88">
        <v>5441.7550000000001</v>
      </c>
      <c r="FK88">
        <v>36515</v>
      </c>
      <c r="FL88">
        <v>32447.730880080198</v>
      </c>
      <c r="FM88">
        <v>31073.245000000003</v>
      </c>
    </row>
    <row r="89" spans="1:169" x14ac:dyDescent="0.35">
      <c r="A89">
        <v>197514</v>
      </c>
      <c r="B89" t="s">
        <v>2244</v>
      </c>
      <c r="C89" t="s">
        <v>2250</v>
      </c>
      <c r="D89" t="s">
        <v>2251</v>
      </c>
      <c r="E89" s="43" t="s">
        <v>2252</v>
      </c>
      <c r="F89">
        <v>1</v>
      </c>
      <c r="I89">
        <v>43804</v>
      </c>
      <c r="J89" t="s">
        <v>4241</v>
      </c>
      <c r="K89" t="s">
        <v>1715</v>
      </c>
      <c r="L89" s="43" t="s">
        <v>259</v>
      </c>
      <c r="M89" t="s">
        <v>3310</v>
      </c>
      <c r="N89" s="43" t="s">
        <v>2253</v>
      </c>
      <c r="O89" s="43" t="s">
        <v>804</v>
      </c>
      <c r="P89" s="43" t="s">
        <v>283</v>
      </c>
      <c r="Q89" s="43" t="s">
        <v>2254</v>
      </c>
      <c r="R89">
        <v>3.3</v>
      </c>
      <c r="S89">
        <v>44109</v>
      </c>
      <c r="T89" t="s">
        <v>285</v>
      </c>
      <c r="U89" t="s">
        <v>286</v>
      </c>
      <c r="V89" t="s">
        <v>267</v>
      </c>
      <c r="W89" t="s">
        <v>1718</v>
      </c>
      <c r="X89" t="s">
        <v>1719</v>
      </c>
      <c r="Y89">
        <v>8772802835</v>
      </c>
      <c r="Z89" t="s">
        <v>270</v>
      </c>
      <c r="AA89" t="s">
        <v>271</v>
      </c>
      <c r="AB89">
        <v>25</v>
      </c>
      <c r="AC89">
        <v>0</v>
      </c>
      <c r="AD89">
        <v>110</v>
      </c>
      <c r="AE89" t="s">
        <v>364</v>
      </c>
      <c r="AF89">
        <v>3</v>
      </c>
      <c r="AG89" t="s">
        <v>275</v>
      </c>
      <c r="AK89" s="43" t="s">
        <v>259</v>
      </c>
      <c r="AL89" s="43" t="s">
        <v>259</v>
      </c>
      <c r="AO89" s="23"/>
      <c r="AP89" s="23"/>
      <c r="AQ89" s="23"/>
      <c r="BC89" t="s">
        <v>259</v>
      </c>
      <c r="BD89" s="43" t="s">
        <v>259</v>
      </c>
      <c r="BE89" s="43" t="s">
        <v>259</v>
      </c>
      <c r="BF89" s="43" t="s">
        <v>259</v>
      </c>
      <c r="BG89" s="43" t="s">
        <v>259</v>
      </c>
      <c r="BH89" t="s">
        <v>259</v>
      </c>
      <c r="BI89" s="43" t="s">
        <v>259</v>
      </c>
      <c r="BJ89">
        <v>0</v>
      </c>
      <c r="BK89">
        <v>44109</v>
      </c>
      <c r="BL89">
        <v>44356</v>
      </c>
      <c r="BM89">
        <v>8505</v>
      </c>
      <c r="BN89">
        <v>8505</v>
      </c>
      <c r="BO89">
        <v>8505</v>
      </c>
      <c r="BP89">
        <v>25515</v>
      </c>
      <c r="BQ89">
        <v>3300</v>
      </c>
      <c r="BR89">
        <v>400</v>
      </c>
      <c r="BS89">
        <v>400</v>
      </c>
      <c r="BT89">
        <v>4100</v>
      </c>
      <c r="BU89">
        <v>2100</v>
      </c>
      <c r="BV89">
        <v>2100</v>
      </c>
      <c r="BW89">
        <v>2100</v>
      </c>
      <c r="BX89">
        <v>6300</v>
      </c>
      <c r="BY89">
        <v>1200</v>
      </c>
      <c r="BZ89">
        <v>1200</v>
      </c>
      <c r="CA89">
        <v>1200</v>
      </c>
      <c r="CB89">
        <v>3600</v>
      </c>
      <c r="CC89">
        <v>0</v>
      </c>
      <c r="CD89">
        <v>0</v>
      </c>
      <c r="CE89">
        <v>0</v>
      </c>
      <c r="CF89">
        <v>0</v>
      </c>
      <c r="CG89">
        <v>39515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1300</v>
      </c>
      <c r="CU89">
        <v>1300</v>
      </c>
      <c r="CV89">
        <v>1300</v>
      </c>
      <c r="CW89">
        <v>3900</v>
      </c>
      <c r="CX89">
        <v>0</v>
      </c>
      <c r="CY89">
        <v>0</v>
      </c>
      <c r="CZ89">
        <v>0</v>
      </c>
      <c r="DA89">
        <v>0</v>
      </c>
      <c r="DB89">
        <v>1000</v>
      </c>
      <c r="DC89">
        <v>1000</v>
      </c>
      <c r="DD89">
        <v>1000</v>
      </c>
      <c r="DE89">
        <v>3000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6900</v>
      </c>
      <c r="EE89">
        <v>0</v>
      </c>
      <c r="EF89">
        <v>0</v>
      </c>
      <c r="EG89">
        <v>0</v>
      </c>
      <c r="EH89">
        <v>0</v>
      </c>
      <c r="EI89">
        <v>1154</v>
      </c>
      <c r="EJ89">
        <v>1154</v>
      </c>
      <c r="EK89">
        <v>1155</v>
      </c>
      <c r="EL89">
        <v>3500</v>
      </c>
      <c r="EM89">
        <v>37.065000000000005</v>
      </c>
      <c r="EN89">
        <v>660</v>
      </c>
      <c r="EO89">
        <v>660</v>
      </c>
      <c r="EP89">
        <v>660</v>
      </c>
      <c r="EQ89">
        <v>2000</v>
      </c>
      <c r="ER89">
        <v>21.18</v>
      </c>
      <c r="ES89">
        <v>0</v>
      </c>
      <c r="ET89">
        <v>0</v>
      </c>
      <c r="EU89">
        <v>0</v>
      </c>
      <c r="EV89">
        <v>0</v>
      </c>
      <c r="EW89">
        <v>0</v>
      </c>
      <c r="FA89">
        <v>0</v>
      </c>
      <c r="FE89">
        <v>0</v>
      </c>
      <c r="FI89">
        <v>0</v>
      </c>
      <c r="FJ89">
        <v>5441.7550000000001</v>
      </c>
      <c r="FK89">
        <v>32615</v>
      </c>
      <c r="FL89">
        <v>28375.219289085668</v>
      </c>
      <c r="FM89">
        <v>27173.244999999999</v>
      </c>
    </row>
    <row r="90" spans="1:169" x14ac:dyDescent="0.35">
      <c r="A90">
        <v>196302</v>
      </c>
      <c r="B90" t="s">
        <v>2255</v>
      </c>
      <c r="C90" t="s">
        <v>2256</v>
      </c>
      <c r="D90" t="s">
        <v>2257</v>
      </c>
      <c r="E90" s="43" t="s">
        <v>2258</v>
      </c>
      <c r="F90">
        <v>1</v>
      </c>
      <c r="I90">
        <v>43804</v>
      </c>
      <c r="J90" t="s">
        <v>4242</v>
      </c>
      <c r="K90" t="s">
        <v>1715</v>
      </c>
      <c r="L90" s="43" t="s">
        <v>259</v>
      </c>
      <c r="M90" t="s">
        <v>2259</v>
      </c>
      <c r="N90" s="43" t="s">
        <v>2260</v>
      </c>
      <c r="O90" s="43" t="s">
        <v>2261</v>
      </c>
      <c r="P90" s="43" t="s">
        <v>403</v>
      </c>
      <c r="Q90" s="43" t="s">
        <v>2262</v>
      </c>
      <c r="R90">
        <v>3.8</v>
      </c>
      <c r="S90">
        <v>44109</v>
      </c>
      <c r="T90" t="s">
        <v>285</v>
      </c>
      <c r="U90" t="s">
        <v>266</v>
      </c>
      <c r="V90" t="s">
        <v>267</v>
      </c>
      <c r="W90" t="s">
        <v>1718</v>
      </c>
      <c r="X90" t="s">
        <v>1719</v>
      </c>
      <c r="Y90">
        <v>8772802835</v>
      </c>
      <c r="Z90" t="s">
        <v>270</v>
      </c>
      <c r="AA90" t="s">
        <v>271</v>
      </c>
      <c r="AB90">
        <v>0</v>
      </c>
      <c r="AC90">
        <v>1210</v>
      </c>
      <c r="AD90">
        <v>123</v>
      </c>
      <c r="AE90" t="s">
        <v>301</v>
      </c>
      <c r="AF90">
        <v>1</v>
      </c>
      <c r="AG90" t="s">
        <v>275</v>
      </c>
      <c r="AK90" s="43" t="s">
        <v>259</v>
      </c>
      <c r="AL90" s="43" t="s">
        <v>259</v>
      </c>
      <c r="AO90" s="23"/>
      <c r="AP90" s="23"/>
      <c r="AQ90" s="23"/>
      <c r="BC90" t="s">
        <v>259</v>
      </c>
      <c r="BD90" s="43" t="s">
        <v>259</v>
      </c>
      <c r="BE90" s="43" t="s">
        <v>259</v>
      </c>
      <c r="BF90" s="43" t="s">
        <v>259</v>
      </c>
      <c r="BG90" s="43" t="s">
        <v>259</v>
      </c>
      <c r="BH90" t="s">
        <v>259</v>
      </c>
      <c r="BI90" s="43" t="s">
        <v>259</v>
      </c>
      <c r="BJ90">
        <v>0</v>
      </c>
      <c r="BK90">
        <v>44109</v>
      </c>
      <c r="BL90">
        <v>44356</v>
      </c>
      <c r="BM90">
        <v>8505</v>
      </c>
      <c r="BN90">
        <v>8505</v>
      </c>
      <c r="BO90">
        <v>8505</v>
      </c>
      <c r="BP90">
        <v>25515</v>
      </c>
      <c r="BQ90">
        <v>3300</v>
      </c>
      <c r="BR90">
        <v>400</v>
      </c>
      <c r="BS90">
        <v>400</v>
      </c>
      <c r="BT90">
        <v>4100</v>
      </c>
      <c r="BU90">
        <v>2100</v>
      </c>
      <c r="BV90">
        <v>2100</v>
      </c>
      <c r="BW90">
        <v>2100</v>
      </c>
      <c r="BX90">
        <v>6300</v>
      </c>
      <c r="BY90">
        <v>1200</v>
      </c>
      <c r="BZ90">
        <v>1200</v>
      </c>
      <c r="CA90">
        <v>1200</v>
      </c>
      <c r="CB90">
        <v>3600</v>
      </c>
      <c r="CC90">
        <v>0</v>
      </c>
      <c r="CD90">
        <v>0</v>
      </c>
      <c r="CE90">
        <v>0</v>
      </c>
      <c r="CF90">
        <v>0</v>
      </c>
      <c r="CG90">
        <v>39515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1700</v>
      </c>
      <c r="CU90">
        <v>1700</v>
      </c>
      <c r="CV90">
        <v>1700</v>
      </c>
      <c r="CW90">
        <v>5100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5100</v>
      </c>
      <c r="EE90">
        <v>0</v>
      </c>
      <c r="EF90">
        <v>0</v>
      </c>
      <c r="EG90">
        <v>0</v>
      </c>
      <c r="EH90">
        <v>0</v>
      </c>
      <c r="EI90">
        <v>1154</v>
      </c>
      <c r="EJ90">
        <v>1154</v>
      </c>
      <c r="EK90">
        <v>1155</v>
      </c>
      <c r="EL90">
        <v>3500</v>
      </c>
      <c r="EM90">
        <v>37.065000000000005</v>
      </c>
      <c r="EN90">
        <v>660</v>
      </c>
      <c r="EO90">
        <v>660</v>
      </c>
      <c r="EP90">
        <v>660</v>
      </c>
      <c r="EQ90">
        <v>2000</v>
      </c>
      <c r="ER90">
        <v>21.18</v>
      </c>
      <c r="ES90">
        <v>0</v>
      </c>
      <c r="ET90">
        <v>0</v>
      </c>
      <c r="EU90">
        <v>0</v>
      </c>
      <c r="EV90">
        <v>0</v>
      </c>
      <c r="EW90">
        <v>0</v>
      </c>
      <c r="FA90">
        <v>0</v>
      </c>
      <c r="FE90">
        <v>0</v>
      </c>
      <c r="FI90">
        <v>0</v>
      </c>
      <c r="FJ90">
        <v>5441.7550000000001</v>
      </c>
      <c r="FK90">
        <v>34415</v>
      </c>
      <c r="FL90">
        <v>30254.840023390832</v>
      </c>
      <c r="FM90">
        <v>28973.244999999999</v>
      </c>
    </row>
    <row r="91" spans="1:169" x14ac:dyDescent="0.35">
      <c r="A91">
        <v>195707</v>
      </c>
      <c r="B91" t="s">
        <v>2263</v>
      </c>
      <c r="C91" t="s">
        <v>2264</v>
      </c>
      <c r="D91" t="s">
        <v>2265</v>
      </c>
      <c r="E91" s="43" t="s">
        <v>2266</v>
      </c>
      <c r="F91">
        <v>1</v>
      </c>
      <c r="G91">
        <v>43801</v>
      </c>
      <c r="H91">
        <v>43804</v>
      </c>
      <c r="I91">
        <v>43804</v>
      </c>
      <c r="J91" t="s">
        <v>3421</v>
      </c>
      <c r="K91" t="s">
        <v>1715</v>
      </c>
      <c r="L91" s="43" t="s">
        <v>3204</v>
      </c>
      <c r="M91" t="s">
        <v>2267</v>
      </c>
      <c r="N91" s="43" t="s">
        <v>2268</v>
      </c>
      <c r="O91" s="43" t="s">
        <v>2269</v>
      </c>
      <c r="P91" s="43" t="s">
        <v>2270</v>
      </c>
      <c r="Q91" s="43" t="s">
        <v>2271</v>
      </c>
      <c r="R91">
        <v>3.3</v>
      </c>
      <c r="S91">
        <v>44109</v>
      </c>
      <c r="T91" t="s">
        <v>311</v>
      </c>
      <c r="U91" t="s">
        <v>266</v>
      </c>
      <c r="V91" t="s">
        <v>267</v>
      </c>
      <c r="W91" t="s">
        <v>1718</v>
      </c>
      <c r="X91" t="s">
        <v>1719</v>
      </c>
      <c r="Y91">
        <v>8772802835</v>
      </c>
      <c r="Z91" t="s">
        <v>270</v>
      </c>
      <c r="AA91" t="s">
        <v>271</v>
      </c>
      <c r="AB91">
        <v>28</v>
      </c>
      <c r="AC91">
        <v>0</v>
      </c>
      <c r="AD91">
        <v>115</v>
      </c>
      <c r="AE91" t="s">
        <v>301</v>
      </c>
      <c r="AF91">
        <v>1</v>
      </c>
      <c r="AG91" t="s">
        <v>275</v>
      </c>
      <c r="AH91">
        <v>2327</v>
      </c>
      <c r="AI91">
        <v>2327</v>
      </c>
      <c r="AJ91">
        <v>43774</v>
      </c>
      <c r="AK91" s="43" t="s">
        <v>1715</v>
      </c>
      <c r="AL91" s="43" t="s">
        <v>259</v>
      </c>
      <c r="AM91">
        <v>43804</v>
      </c>
      <c r="AN91">
        <v>43804</v>
      </c>
      <c r="AO91" s="23">
        <v>43784</v>
      </c>
      <c r="AP91" s="23"/>
      <c r="AQ91" s="23"/>
      <c r="BC91" t="s">
        <v>259</v>
      </c>
      <c r="BD91" s="43" t="s">
        <v>259</v>
      </c>
      <c r="BE91" s="43" t="s">
        <v>2018</v>
      </c>
      <c r="BF91" s="43" t="s">
        <v>2018</v>
      </c>
      <c r="BG91" s="43" t="s">
        <v>2018</v>
      </c>
      <c r="BH91">
        <v>43743</v>
      </c>
      <c r="BI91" s="43" t="s">
        <v>2018</v>
      </c>
      <c r="BJ91">
        <v>0.21052631578947367</v>
      </c>
      <c r="BK91">
        <v>44109</v>
      </c>
      <c r="BL91">
        <v>44356</v>
      </c>
      <c r="BM91">
        <v>8505</v>
      </c>
      <c r="BN91">
        <v>8505</v>
      </c>
      <c r="BO91">
        <v>8505</v>
      </c>
      <c r="BP91">
        <v>25515</v>
      </c>
      <c r="BQ91">
        <v>3300</v>
      </c>
      <c r="BR91">
        <v>400</v>
      </c>
      <c r="BS91">
        <v>400</v>
      </c>
      <c r="BT91">
        <v>4100</v>
      </c>
      <c r="BU91">
        <v>2100</v>
      </c>
      <c r="BV91">
        <v>2100</v>
      </c>
      <c r="BW91">
        <v>2100</v>
      </c>
      <c r="BX91">
        <v>6300</v>
      </c>
      <c r="BY91">
        <v>1200</v>
      </c>
      <c r="BZ91">
        <v>1200</v>
      </c>
      <c r="CA91">
        <v>1200</v>
      </c>
      <c r="CB91">
        <v>3600</v>
      </c>
      <c r="CC91">
        <v>0</v>
      </c>
      <c r="CD91">
        <v>0</v>
      </c>
      <c r="CE91">
        <v>0</v>
      </c>
      <c r="CF91">
        <v>0</v>
      </c>
      <c r="CG91">
        <v>39515</v>
      </c>
      <c r="CH91">
        <v>0</v>
      </c>
      <c r="CI91">
        <v>0</v>
      </c>
      <c r="CJ91">
        <v>0</v>
      </c>
      <c r="CK91">
        <v>0</v>
      </c>
      <c r="CL91">
        <v>1282</v>
      </c>
      <c r="CM91">
        <v>1282</v>
      </c>
      <c r="CN91">
        <v>1281</v>
      </c>
      <c r="CO91">
        <v>3845</v>
      </c>
      <c r="CP91">
        <v>500</v>
      </c>
      <c r="CQ91">
        <v>500</v>
      </c>
      <c r="CR91">
        <v>500</v>
      </c>
      <c r="CS91">
        <v>1500</v>
      </c>
      <c r="CT91">
        <v>1700</v>
      </c>
      <c r="CU91">
        <v>1700</v>
      </c>
      <c r="CV91">
        <v>1700</v>
      </c>
      <c r="CW91">
        <v>5100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10445</v>
      </c>
      <c r="EE91">
        <v>0</v>
      </c>
      <c r="EF91">
        <v>0</v>
      </c>
      <c r="EG91">
        <v>0</v>
      </c>
      <c r="EH91">
        <v>0</v>
      </c>
      <c r="EI91">
        <v>1154</v>
      </c>
      <c r="EJ91">
        <v>1154</v>
      </c>
      <c r="EK91">
        <v>1155</v>
      </c>
      <c r="EL91">
        <v>3500</v>
      </c>
      <c r="EM91">
        <v>37.065000000000005</v>
      </c>
      <c r="EN91">
        <v>660</v>
      </c>
      <c r="EO91">
        <v>660</v>
      </c>
      <c r="EP91">
        <v>660</v>
      </c>
      <c r="EQ91">
        <v>2000</v>
      </c>
      <c r="ER91">
        <v>21.18</v>
      </c>
      <c r="ES91">
        <v>7890</v>
      </c>
      <c r="ET91">
        <v>7890</v>
      </c>
      <c r="EU91">
        <v>7890</v>
      </c>
      <c r="EV91">
        <v>24673</v>
      </c>
      <c r="EW91">
        <v>1045.1482800000001</v>
      </c>
      <c r="FA91">
        <v>0</v>
      </c>
      <c r="FE91">
        <v>0</v>
      </c>
      <c r="FI91">
        <v>0</v>
      </c>
      <c r="FJ91">
        <v>29069.60672</v>
      </c>
      <c r="FK91">
        <v>29070</v>
      </c>
      <c r="FL91">
        <v>0.41067624577109518</v>
      </c>
      <c r="FM91">
        <v>0.39328000000023167</v>
      </c>
    </row>
    <row r="92" spans="1:169" x14ac:dyDescent="0.35">
      <c r="A92">
        <v>192303</v>
      </c>
      <c r="B92" t="s">
        <v>2272</v>
      </c>
      <c r="C92" t="s">
        <v>2273</v>
      </c>
      <c r="D92" t="s">
        <v>2274</v>
      </c>
      <c r="E92" s="43" t="s">
        <v>2275</v>
      </c>
      <c r="F92">
        <v>1</v>
      </c>
      <c r="G92">
        <v>43788</v>
      </c>
      <c r="H92">
        <v>43788</v>
      </c>
      <c r="I92">
        <v>43788</v>
      </c>
      <c r="J92" t="s">
        <v>4249</v>
      </c>
      <c r="K92" t="s">
        <v>1715</v>
      </c>
      <c r="L92" s="43" t="s">
        <v>3204</v>
      </c>
      <c r="M92" t="s">
        <v>2276</v>
      </c>
      <c r="N92" s="43" t="s">
        <v>2277</v>
      </c>
      <c r="O92" s="43" t="s">
        <v>2278</v>
      </c>
      <c r="P92" s="43" t="s">
        <v>2279</v>
      </c>
      <c r="Q92" s="43" t="s">
        <v>2280</v>
      </c>
      <c r="S92">
        <v>44109</v>
      </c>
      <c r="T92" t="s">
        <v>285</v>
      </c>
      <c r="U92" t="s">
        <v>266</v>
      </c>
      <c r="V92" t="s">
        <v>267</v>
      </c>
      <c r="W92" t="s">
        <v>1718</v>
      </c>
      <c r="X92" t="s">
        <v>1719</v>
      </c>
      <c r="Y92">
        <v>8772802835</v>
      </c>
      <c r="Z92" t="s">
        <v>270</v>
      </c>
      <c r="AA92" t="s">
        <v>271</v>
      </c>
      <c r="AB92">
        <v>0</v>
      </c>
      <c r="AC92">
        <v>0</v>
      </c>
      <c r="AD92">
        <v>0</v>
      </c>
      <c r="AE92" t="s">
        <v>301</v>
      </c>
      <c r="AF92">
        <v>1</v>
      </c>
      <c r="AG92" t="s">
        <v>446</v>
      </c>
      <c r="AH92">
        <v>67596</v>
      </c>
      <c r="AI92">
        <v>67596</v>
      </c>
      <c r="AJ92">
        <v>43783</v>
      </c>
      <c r="AK92" s="43" t="s">
        <v>3208</v>
      </c>
      <c r="AL92" s="43" t="s">
        <v>3209</v>
      </c>
      <c r="AO92" s="23">
        <v>43775</v>
      </c>
      <c r="AP92" s="23"/>
      <c r="AQ92" s="23"/>
      <c r="BC92" t="s">
        <v>2018</v>
      </c>
      <c r="BD92" s="43" t="s">
        <v>2018</v>
      </c>
      <c r="BE92" s="43" t="s">
        <v>2018</v>
      </c>
      <c r="BF92" s="43" t="s">
        <v>2018</v>
      </c>
      <c r="BG92" s="43" t="s">
        <v>2018</v>
      </c>
      <c r="BH92" t="s">
        <v>2018</v>
      </c>
      <c r="BI92" s="43" t="s">
        <v>2018</v>
      </c>
      <c r="BJ92">
        <v>6.25E-2</v>
      </c>
      <c r="BK92">
        <v>44109</v>
      </c>
      <c r="BL92">
        <v>44356</v>
      </c>
      <c r="BM92">
        <v>8505</v>
      </c>
      <c r="BN92">
        <v>8505</v>
      </c>
      <c r="BO92">
        <v>8505</v>
      </c>
      <c r="BP92">
        <v>25515</v>
      </c>
      <c r="BQ92">
        <v>3300</v>
      </c>
      <c r="BR92">
        <v>400</v>
      </c>
      <c r="BS92">
        <v>400</v>
      </c>
      <c r="BT92">
        <v>4100</v>
      </c>
      <c r="BU92">
        <v>2100</v>
      </c>
      <c r="BV92">
        <v>2100</v>
      </c>
      <c r="BW92">
        <v>2100</v>
      </c>
      <c r="BX92">
        <v>6300</v>
      </c>
      <c r="BY92">
        <v>1200</v>
      </c>
      <c r="BZ92">
        <v>1200</v>
      </c>
      <c r="CA92">
        <v>1200</v>
      </c>
      <c r="CB92">
        <v>3600</v>
      </c>
      <c r="CC92">
        <v>0</v>
      </c>
      <c r="CD92">
        <v>0</v>
      </c>
      <c r="CE92">
        <v>0</v>
      </c>
      <c r="CF92">
        <v>0</v>
      </c>
      <c r="CG92">
        <v>39515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1700</v>
      </c>
      <c r="CU92">
        <v>1700</v>
      </c>
      <c r="CV92">
        <v>1700</v>
      </c>
      <c r="CW92">
        <v>5100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5100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1814</v>
      </c>
      <c r="EO92">
        <v>1814</v>
      </c>
      <c r="EP92">
        <v>1814</v>
      </c>
      <c r="EQ92">
        <v>5500</v>
      </c>
      <c r="ER92">
        <v>58.245000000000005</v>
      </c>
      <c r="ES92">
        <v>0</v>
      </c>
      <c r="ET92">
        <v>0</v>
      </c>
      <c r="EU92">
        <v>0</v>
      </c>
      <c r="EV92">
        <v>0</v>
      </c>
      <c r="EW92">
        <v>0</v>
      </c>
      <c r="FA92">
        <v>0</v>
      </c>
      <c r="FE92">
        <v>0</v>
      </c>
      <c r="FI92">
        <v>0</v>
      </c>
      <c r="FJ92">
        <v>5441.7550000000001</v>
      </c>
      <c r="FK92">
        <v>34415</v>
      </c>
      <c r="FL92">
        <v>30254.840023390832</v>
      </c>
      <c r="FM92">
        <v>28973.244999999999</v>
      </c>
    </row>
    <row r="93" spans="1:169" x14ac:dyDescent="0.35">
      <c r="A93">
        <v>197730</v>
      </c>
      <c r="B93" t="s">
        <v>2281</v>
      </c>
      <c r="C93" t="s">
        <v>1457</v>
      </c>
      <c r="D93" t="s">
        <v>2282</v>
      </c>
      <c r="E93" s="43" t="s">
        <v>2283</v>
      </c>
      <c r="F93">
        <v>1</v>
      </c>
      <c r="I93">
        <v>43781</v>
      </c>
      <c r="J93" t="s">
        <v>3305</v>
      </c>
      <c r="K93" t="s">
        <v>1715</v>
      </c>
      <c r="L93" s="43" t="s">
        <v>3204</v>
      </c>
      <c r="M93" t="s">
        <v>2284</v>
      </c>
      <c r="N93" s="43" t="s">
        <v>2285</v>
      </c>
      <c r="O93" s="43" t="s">
        <v>2286</v>
      </c>
      <c r="P93" s="43" t="s">
        <v>1108</v>
      </c>
      <c r="Q93" s="43" t="s">
        <v>2287</v>
      </c>
      <c r="R93">
        <v>3.1589999999999998</v>
      </c>
      <c r="S93">
        <v>44109</v>
      </c>
      <c r="T93" t="s">
        <v>311</v>
      </c>
      <c r="U93" t="s">
        <v>266</v>
      </c>
      <c r="V93" t="s">
        <v>267</v>
      </c>
      <c r="W93" t="s">
        <v>1718</v>
      </c>
      <c r="X93" t="s">
        <v>1719</v>
      </c>
      <c r="Y93">
        <v>8772802835</v>
      </c>
      <c r="Z93" t="s">
        <v>270</v>
      </c>
      <c r="AA93" t="s">
        <v>271</v>
      </c>
      <c r="AB93">
        <v>22</v>
      </c>
      <c r="AC93">
        <v>0</v>
      </c>
      <c r="AD93">
        <v>103</v>
      </c>
      <c r="AE93" t="s">
        <v>416</v>
      </c>
      <c r="AF93">
        <v>5</v>
      </c>
      <c r="AG93" t="s">
        <v>275</v>
      </c>
      <c r="AH93">
        <v>17221</v>
      </c>
      <c r="AI93">
        <v>17221</v>
      </c>
      <c r="AJ93">
        <v>43774</v>
      </c>
      <c r="AK93" s="43" t="s">
        <v>3208</v>
      </c>
      <c r="AL93" s="43" t="s">
        <v>3209</v>
      </c>
      <c r="AO93" s="23">
        <v>43782</v>
      </c>
      <c r="AP93" s="23"/>
      <c r="AQ93" s="23"/>
      <c r="BC93" t="s">
        <v>2018</v>
      </c>
      <c r="BD93" s="43" t="s">
        <v>2018</v>
      </c>
      <c r="BE93" s="43" t="s">
        <v>2018</v>
      </c>
      <c r="BF93" s="43" t="s">
        <v>2018</v>
      </c>
      <c r="BG93" s="43" t="s">
        <v>2018</v>
      </c>
      <c r="BH93" t="s">
        <v>2018</v>
      </c>
      <c r="BI93" s="43" t="s">
        <v>2018</v>
      </c>
      <c r="BJ93">
        <v>6.25E-2</v>
      </c>
      <c r="BK93">
        <v>44109</v>
      </c>
      <c r="BL93">
        <v>44356</v>
      </c>
      <c r="BM93">
        <v>8505</v>
      </c>
      <c r="BN93">
        <v>8505</v>
      </c>
      <c r="BO93">
        <v>8505</v>
      </c>
      <c r="BP93">
        <v>25515</v>
      </c>
      <c r="BQ93">
        <v>3300</v>
      </c>
      <c r="BR93">
        <v>400</v>
      </c>
      <c r="BS93">
        <v>400</v>
      </c>
      <c r="BT93">
        <v>4100</v>
      </c>
      <c r="BU93">
        <v>2100</v>
      </c>
      <c r="BV93">
        <v>2100</v>
      </c>
      <c r="BW93">
        <v>2100</v>
      </c>
      <c r="BX93">
        <v>6300</v>
      </c>
      <c r="BY93">
        <v>1200</v>
      </c>
      <c r="BZ93">
        <v>1200</v>
      </c>
      <c r="CA93">
        <v>1200</v>
      </c>
      <c r="CB93">
        <v>3600</v>
      </c>
      <c r="CC93">
        <v>0</v>
      </c>
      <c r="CD93">
        <v>0</v>
      </c>
      <c r="CE93">
        <v>0</v>
      </c>
      <c r="CF93">
        <v>0</v>
      </c>
      <c r="CG93">
        <v>39515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1000</v>
      </c>
      <c r="CU93">
        <v>1000</v>
      </c>
      <c r="CV93">
        <v>1000</v>
      </c>
      <c r="CW93">
        <v>3000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3000</v>
      </c>
      <c r="EE93">
        <v>0</v>
      </c>
      <c r="EF93">
        <v>0</v>
      </c>
      <c r="EG93">
        <v>0</v>
      </c>
      <c r="EH93">
        <v>0</v>
      </c>
      <c r="EI93">
        <v>1154</v>
      </c>
      <c r="EJ93">
        <v>1154</v>
      </c>
      <c r="EK93">
        <v>1155</v>
      </c>
      <c r="EL93">
        <v>3500</v>
      </c>
      <c r="EM93">
        <v>37.065000000000005</v>
      </c>
      <c r="EN93">
        <v>660</v>
      </c>
      <c r="EO93">
        <v>660</v>
      </c>
      <c r="EP93">
        <v>660</v>
      </c>
      <c r="EQ93">
        <v>2000</v>
      </c>
      <c r="ER93">
        <v>21.18</v>
      </c>
      <c r="ES93">
        <v>0</v>
      </c>
      <c r="ET93">
        <v>0</v>
      </c>
      <c r="EU93">
        <v>0</v>
      </c>
      <c r="EV93">
        <v>0</v>
      </c>
      <c r="EW93">
        <v>0</v>
      </c>
      <c r="FA93">
        <v>0</v>
      </c>
      <c r="FE93">
        <v>0</v>
      </c>
      <c r="FI93">
        <v>0</v>
      </c>
      <c r="FJ93">
        <v>5441.7550000000001</v>
      </c>
      <c r="FK93">
        <v>36515</v>
      </c>
      <c r="FL93">
        <v>32447.730880080198</v>
      </c>
      <c r="FM93">
        <v>31073.245000000003</v>
      </c>
    </row>
    <row r="94" spans="1:169" x14ac:dyDescent="0.35">
      <c r="A94">
        <v>195135</v>
      </c>
      <c r="B94" t="s">
        <v>2288</v>
      </c>
      <c r="C94" t="s">
        <v>2289</v>
      </c>
      <c r="D94" t="s">
        <v>2290</v>
      </c>
      <c r="E94" s="43" t="s">
        <v>2291</v>
      </c>
      <c r="F94">
        <v>1</v>
      </c>
      <c r="I94">
        <v>43804</v>
      </c>
      <c r="J94" t="s">
        <v>4242</v>
      </c>
      <c r="K94" t="s">
        <v>1715</v>
      </c>
      <c r="L94" s="43" t="s">
        <v>259</v>
      </c>
      <c r="M94" t="s">
        <v>2292</v>
      </c>
      <c r="N94" s="43" t="s">
        <v>2293</v>
      </c>
      <c r="O94" s="43" t="s">
        <v>2294</v>
      </c>
      <c r="P94" s="43" t="s">
        <v>524</v>
      </c>
      <c r="Q94" s="43" t="s">
        <v>2295</v>
      </c>
      <c r="R94">
        <v>3.1080000000000001</v>
      </c>
      <c r="S94">
        <v>44109</v>
      </c>
      <c r="T94" t="s">
        <v>311</v>
      </c>
      <c r="U94" t="s">
        <v>286</v>
      </c>
      <c r="V94" t="s">
        <v>267</v>
      </c>
      <c r="W94" t="s">
        <v>1718</v>
      </c>
      <c r="X94" t="s">
        <v>1719</v>
      </c>
      <c r="Y94">
        <v>8772802835</v>
      </c>
      <c r="Z94" t="s">
        <v>270</v>
      </c>
      <c r="AA94" t="s">
        <v>271</v>
      </c>
      <c r="AB94">
        <v>20</v>
      </c>
      <c r="AC94">
        <v>0</v>
      </c>
      <c r="AD94">
        <v>97</v>
      </c>
      <c r="AE94" t="s">
        <v>445</v>
      </c>
      <c r="AF94">
        <v>4</v>
      </c>
      <c r="AG94" t="s">
        <v>275</v>
      </c>
      <c r="AK94" s="43" t="s">
        <v>259</v>
      </c>
      <c r="AL94" s="43" t="s">
        <v>259</v>
      </c>
      <c r="AO94" s="23"/>
      <c r="AP94" s="23"/>
      <c r="AQ94" s="23"/>
      <c r="BC94" t="s">
        <v>259</v>
      </c>
      <c r="BD94" s="43" t="s">
        <v>259</v>
      </c>
      <c r="BE94" s="43" t="s">
        <v>259</v>
      </c>
      <c r="BF94" s="43" t="s">
        <v>259</v>
      </c>
      <c r="BG94" s="43" t="s">
        <v>259</v>
      </c>
      <c r="BH94" t="s">
        <v>259</v>
      </c>
      <c r="BI94" s="43" t="s">
        <v>259</v>
      </c>
      <c r="BJ94">
        <v>0</v>
      </c>
      <c r="BK94">
        <v>44109</v>
      </c>
      <c r="BL94">
        <v>44356</v>
      </c>
      <c r="BM94">
        <v>8505</v>
      </c>
      <c r="BN94">
        <v>8505</v>
      </c>
      <c r="BO94">
        <v>8505</v>
      </c>
      <c r="BP94">
        <v>25515</v>
      </c>
      <c r="BQ94">
        <v>3300</v>
      </c>
      <c r="BR94">
        <v>400</v>
      </c>
      <c r="BS94">
        <v>400</v>
      </c>
      <c r="BT94">
        <v>4100</v>
      </c>
      <c r="BU94">
        <v>2100</v>
      </c>
      <c r="BV94">
        <v>2100</v>
      </c>
      <c r="BW94">
        <v>2100</v>
      </c>
      <c r="BX94">
        <v>6300</v>
      </c>
      <c r="BY94">
        <v>1200</v>
      </c>
      <c r="BZ94">
        <v>1200</v>
      </c>
      <c r="CA94">
        <v>1200</v>
      </c>
      <c r="CB94">
        <v>3600</v>
      </c>
      <c r="CC94">
        <v>0</v>
      </c>
      <c r="CD94">
        <v>0</v>
      </c>
      <c r="CE94">
        <v>0</v>
      </c>
      <c r="CF94">
        <v>0</v>
      </c>
      <c r="CG94">
        <v>39515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1250</v>
      </c>
      <c r="CU94">
        <v>1250</v>
      </c>
      <c r="CV94">
        <v>1250</v>
      </c>
      <c r="CW94">
        <v>3750</v>
      </c>
      <c r="CX94">
        <v>0</v>
      </c>
      <c r="CY94">
        <v>0</v>
      </c>
      <c r="CZ94">
        <v>0</v>
      </c>
      <c r="DA94">
        <v>0</v>
      </c>
      <c r="DB94">
        <v>1000</v>
      </c>
      <c r="DC94">
        <v>1000</v>
      </c>
      <c r="DD94">
        <v>1000</v>
      </c>
      <c r="DE94">
        <v>3000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6750</v>
      </c>
      <c r="EE94">
        <v>0</v>
      </c>
      <c r="EF94">
        <v>0</v>
      </c>
      <c r="EG94">
        <v>0</v>
      </c>
      <c r="EH94">
        <v>0</v>
      </c>
      <c r="EI94">
        <v>1154</v>
      </c>
      <c r="EJ94">
        <v>1154</v>
      </c>
      <c r="EK94">
        <v>1155</v>
      </c>
      <c r="EL94">
        <v>3500</v>
      </c>
      <c r="EM94">
        <v>37.065000000000005</v>
      </c>
      <c r="EN94">
        <v>660</v>
      </c>
      <c r="EO94">
        <v>660</v>
      </c>
      <c r="EP94">
        <v>660</v>
      </c>
      <c r="EQ94">
        <v>2000</v>
      </c>
      <c r="ER94">
        <v>21.18</v>
      </c>
      <c r="ES94">
        <v>0</v>
      </c>
      <c r="ET94">
        <v>0</v>
      </c>
      <c r="EU94">
        <v>0</v>
      </c>
      <c r="EV94">
        <v>0</v>
      </c>
      <c r="EW94">
        <v>0</v>
      </c>
      <c r="FA94">
        <v>0</v>
      </c>
      <c r="FE94">
        <v>0</v>
      </c>
      <c r="FI94">
        <v>0</v>
      </c>
      <c r="FJ94">
        <v>5441.7550000000001</v>
      </c>
      <c r="FK94">
        <v>32765</v>
      </c>
      <c r="FL94">
        <v>28531.854350277765</v>
      </c>
      <c r="FM94">
        <v>27323.244999999999</v>
      </c>
    </row>
    <row r="95" spans="1:169" x14ac:dyDescent="0.35">
      <c r="A95">
        <v>197686</v>
      </c>
      <c r="B95" t="s">
        <v>2296</v>
      </c>
      <c r="C95" t="s">
        <v>2297</v>
      </c>
      <c r="D95" t="s">
        <v>2298</v>
      </c>
      <c r="E95" s="43" t="s">
        <v>2299</v>
      </c>
      <c r="F95">
        <v>1</v>
      </c>
      <c r="I95">
        <v>43804</v>
      </c>
      <c r="J95" t="s">
        <v>4242</v>
      </c>
      <c r="K95" t="s">
        <v>1715</v>
      </c>
      <c r="L95" s="43" t="s">
        <v>259</v>
      </c>
      <c r="M95" t="s">
        <v>2300</v>
      </c>
      <c r="N95" s="43" t="s">
        <v>2301</v>
      </c>
      <c r="O95" s="43" t="s">
        <v>2302</v>
      </c>
      <c r="P95" s="43" t="s">
        <v>705</v>
      </c>
      <c r="Q95" s="43" t="s">
        <v>2303</v>
      </c>
      <c r="R95">
        <v>3.0556000000000001</v>
      </c>
      <c r="S95">
        <v>44109</v>
      </c>
      <c r="T95" t="s">
        <v>265</v>
      </c>
      <c r="U95" t="s">
        <v>266</v>
      </c>
      <c r="V95" t="s">
        <v>267</v>
      </c>
      <c r="W95" t="s">
        <v>1718</v>
      </c>
      <c r="X95" t="s">
        <v>1719</v>
      </c>
      <c r="Y95">
        <v>8772802835</v>
      </c>
      <c r="Z95" t="s">
        <v>270</v>
      </c>
      <c r="AA95" t="s">
        <v>271</v>
      </c>
      <c r="AB95">
        <v>0</v>
      </c>
      <c r="AC95">
        <v>930</v>
      </c>
      <c r="AD95">
        <v>95</v>
      </c>
      <c r="AE95" t="s">
        <v>324</v>
      </c>
      <c r="AF95">
        <v>8</v>
      </c>
      <c r="AG95" t="s">
        <v>275</v>
      </c>
      <c r="AK95" s="43" t="s">
        <v>259</v>
      </c>
      <c r="AL95" s="43" t="s">
        <v>259</v>
      </c>
      <c r="AO95" s="23"/>
      <c r="AP95" s="23"/>
      <c r="AQ95" s="23"/>
      <c r="BC95" t="s">
        <v>259</v>
      </c>
      <c r="BD95" s="43" t="s">
        <v>259</v>
      </c>
      <c r="BE95" s="43" t="s">
        <v>259</v>
      </c>
      <c r="BF95" s="43" t="s">
        <v>259</v>
      </c>
      <c r="BG95" s="43" t="s">
        <v>259</v>
      </c>
      <c r="BH95" t="s">
        <v>259</v>
      </c>
      <c r="BI95" s="43" t="s">
        <v>259</v>
      </c>
      <c r="BJ95">
        <v>0</v>
      </c>
      <c r="BK95">
        <v>44109</v>
      </c>
      <c r="BL95">
        <v>44356</v>
      </c>
      <c r="BM95">
        <v>8505</v>
      </c>
      <c r="BN95">
        <v>8505</v>
      </c>
      <c r="BO95">
        <v>8505</v>
      </c>
      <c r="BP95">
        <v>25515</v>
      </c>
      <c r="BQ95">
        <v>3300</v>
      </c>
      <c r="BR95">
        <v>400</v>
      </c>
      <c r="BS95">
        <v>400</v>
      </c>
      <c r="BT95">
        <v>4100</v>
      </c>
      <c r="BU95">
        <v>2100</v>
      </c>
      <c r="BV95">
        <v>2100</v>
      </c>
      <c r="BW95">
        <v>2100</v>
      </c>
      <c r="BX95">
        <v>6300</v>
      </c>
      <c r="BY95">
        <v>1200</v>
      </c>
      <c r="BZ95">
        <v>1200</v>
      </c>
      <c r="CA95">
        <v>1200</v>
      </c>
      <c r="CB95">
        <v>3600</v>
      </c>
      <c r="CC95">
        <v>0</v>
      </c>
      <c r="CD95">
        <v>0</v>
      </c>
      <c r="CE95">
        <v>0</v>
      </c>
      <c r="CF95">
        <v>0</v>
      </c>
      <c r="CG95">
        <v>39515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1154</v>
      </c>
      <c r="EJ95">
        <v>1154</v>
      </c>
      <c r="EK95">
        <v>1155</v>
      </c>
      <c r="EL95">
        <v>3500</v>
      </c>
      <c r="EM95">
        <v>37.065000000000005</v>
      </c>
      <c r="EN95">
        <v>660</v>
      </c>
      <c r="EO95">
        <v>660</v>
      </c>
      <c r="EP95">
        <v>660</v>
      </c>
      <c r="EQ95">
        <v>2000</v>
      </c>
      <c r="ER95">
        <v>21.18</v>
      </c>
      <c r="ES95">
        <v>0</v>
      </c>
      <c r="ET95">
        <v>0</v>
      </c>
      <c r="EU95">
        <v>0</v>
      </c>
      <c r="EV95">
        <v>0</v>
      </c>
      <c r="EW95">
        <v>0</v>
      </c>
      <c r="FA95">
        <v>0</v>
      </c>
      <c r="FE95">
        <v>0</v>
      </c>
      <c r="FI95">
        <v>0</v>
      </c>
      <c r="FJ95">
        <v>5441.7550000000001</v>
      </c>
      <c r="FK95">
        <v>39515</v>
      </c>
      <c r="FL95">
        <v>35580.43210392214</v>
      </c>
      <c r="FM95">
        <v>34073.245000000003</v>
      </c>
    </row>
    <row r="96" spans="1:169" x14ac:dyDescent="0.35">
      <c r="A96">
        <v>196242</v>
      </c>
      <c r="B96" t="s">
        <v>2304</v>
      </c>
      <c r="C96" t="s">
        <v>2305</v>
      </c>
      <c r="D96" t="s">
        <v>2306</v>
      </c>
      <c r="E96" s="43" t="s">
        <v>2307</v>
      </c>
      <c r="F96">
        <v>1</v>
      </c>
      <c r="G96">
        <v>43783</v>
      </c>
      <c r="H96">
        <v>43783</v>
      </c>
      <c r="I96">
        <v>43783</v>
      </c>
      <c r="J96" t="s">
        <v>3672</v>
      </c>
      <c r="K96" t="s">
        <v>1715</v>
      </c>
      <c r="L96" s="43" t="s">
        <v>259</v>
      </c>
      <c r="M96" t="s">
        <v>2308</v>
      </c>
      <c r="N96" s="43" t="s">
        <v>2309</v>
      </c>
      <c r="O96" s="43" t="s">
        <v>2310</v>
      </c>
      <c r="P96" s="43" t="s">
        <v>553</v>
      </c>
      <c r="Q96" s="43" t="s">
        <v>2311</v>
      </c>
      <c r="R96">
        <v>2.7082999999999999</v>
      </c>
      <c r="S96">
        <v>44109</v>
      </c>
      <c r="T96" t="s">
        <v>265</v>
      </c>
      <c r="U96" t="s">
        <v>266</v>
      </c>
      <c r="V96" t="s">
        <v>267</v>
      </c>
      <c r="W96" t="s">
        <v>1718</v>
      </c>
      <c r="X96" t="s">
        <v>1719</v>
      </c>
      <c r="Y96">
        <v>8772802835</v>
      </c>
      <c r="Z96" t="s">
        <v>270</v>
      </c>
      <c r="AA96" t="s">
        <v>271</v>
      </c>
      <c r="AB96">
        <v>0</v>
      </c>
      <c r="AC96">
        <v>0</v>
      </c>
      <c r="AD96">
        <v>0</v>
      </c>
      <c r="AE96" t="s">
        <v>274</v>
      </c>
      <c r="AF96">
        <v>9</v>
      </c>
      <c r="AG96" t="s">
        <v>275</v>
      </c>
      <c r="AK96" s="43" t="s">
        <v>259</v>
      </c>
      <c r="AL96" s="43" t="s">
        <v>259</v>
      </c>
      <c r="AO96" s="23">
        <v>43779</v>
      </c>
      <c r="AP96" s="23"/>
      <c r="AQ96" s="23"/>
      <c r="BC96" t="s">
        <v>259</v>
      </c>
      <c r="BD96" s="43" t="s">
        <v>259</v>
      </c>
      <c r="BE96" s="43" t="s">
        <v>259</v>
      </c>
      <c r="BF96" s="43" t="s">
        <v>259</v>
      </c>
      <c r="BG96" s="43" t="s">
        <v>259</v>
      </c>
      <c r="BH96" t="s">
        <v>259</v>
      </c>
      <c r="BI96" s="43" t="s">
        <v>259</v>
      </c>
      <c r="BJ96">
        <v>4.3478260869565188E-2</v>
      </c>
      <c r="BK96">
        <v>44109</v>
      </c>
      <c r="BL96">
        <v>44356</v>
      </c>
      <c r="BM96">
        <v>8505</v>
      </c>
      <c r="BN96">
        <v>8505</v>
      </c>
      <c r="BO96">
        <v>8505</v>
      </c>
      <c r="BP96">
        <v>25515</v>
      </c>
      <c r="BQ96">
        <v>3300</v>
      </c>
      <c r="BR96">
        <v>400</v>
      </c>
      <c r="BS96">
        <v>400</v>
      </c>
      <c r="BT96">
        <v>4100</v>
      </c>
      <c r="BU96">
        <v>2100</v>
      </c>
      <c r="BV96">
        <v>2100</v>
      </c>
      <c r="BW96">
        <v>2100</v>
      </c>
      <c r="BX96">
        <v>6300</v>
      </c>
      <c r="BY96">
        <v>1200</v>
      </c>
      <c r="BZ96">
        <v>1200</v>
      </c>
      <c r="CA96">
        <v>1200</v>
      </c>
      <c r="CB96">
        <v>3600</v>
      </c>
      <c r="CC96">
        <v>0</v>
      </c>
      <c r="CD96">
        <v>0</v>
      </c>
      <c r="CE96">
        <v>0</v>
      </c>
      <c r="CF96">
        <v>0</v>
      </c>
      <c r="CG96">
        <v>39515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1154</v>
      </c>
      <c r="EJ96">
        <v>1154</v>
      </c>
      <c r="EK96">
        <v>1155</v>
      </c>
      <c r="EL96">
        <v>3500</v>
      </c>
      <c r="EM96">
        <v>37.065000000000005</v>
      </c>
      <c r="EN96">
        <v>660</v>
      </c>
      <c r="EO96">
        <v>660</v>
      </c>
      <c r="EP96">
        <v>660</v>
      </c>
      <c r="EQ96">
        <v>2000</v>
      </c>
      <c r="ER96">
        <v>21.18</v>
      </c>
      <c r="ES96">
        <v>0</v>
      </c>
      <c r="ET96">
        <v>0</v>
      </c>
      <c r="EU96">
        <v>0</v>
      </c>
      <c r="EV96">
        <v>0</v>
      </c>
      <c r="EW96">
        <v>0</v>
      </c>
      <c r="FA96">
        <v>0</v>
      </c>
      <c r="FE96">
        <v>0</v>
      </c>
      <c r="FI96">
        <v>0</v>
      </c>
      <c r="FJ96">
        <v>5441.7550000000001</v>
      </c>
      <c r="FK96">
        <v>39515</v>
      </c>
      <c r="FL96">
        <v>35580.43210392214</v>
      </c>
      <c r="FM96">
        <v>34073.245000000003</v>
      </c>
    </row>
    <row r="97" spans="1:169" x14ac:dyDescent="0.35">
      <c r="A97">
        <v>196800</v>
      </c>
      <c r="B97" t="s">
        <v>2312</v>
      </c>
      <c r="C97" t="s">
        <v>2313</v>
      </c>
      <c r="D97" t="s">
        <v>2314</v>
      </c>
      <c r="E97" s="43" t="s">
        <v>2315</v>
      </c>
      <c r="F97">
        <v>1</v>
      </c>
      <c r="G97">
        <v>43783</v>
      </c>
      <c r="H97">
        <v>43794</v>
      </c>
      <c r="I97">
        <v>43794</v>
      </c>
      <c r="J97" t="s">
        <v>3421</v>
      </c>
      <c r="K97" t="s">
        <v>1715</v>
      </c>
      <c r="L97" s="43" t="s">
        <v>3204</v>
      </c>
      <c r="M97" t="s">
        <v>2316</v>
      </c>
      <c r="N97" s="43" t="s">
        <v>2317</v>
      </c>
      <c r="O97" s="43" t="s">
        <v>2318</v>
      </c>
      <c r="P97" s="43" t="s">
        <v>412</v>
      </c>
      <c r="Q97" s="43" t="s">
        <v>2319</v>
      </c>
      <c r="R97">
        <v>3.98</v>
      </c>
      <c r="S97">
        <v>44109</v>
      </c>
      <c r="T97" t="s">
        <v>311</v>
      </c>
      <c r="U97" t="s">
        <v>266</v>
      </c>
      <c r="V97" t="s">
        <v>267</v>
      </c>
      <c r="W97" t="s">
        <v>1718</v>
      </c>
      <c r="X97" t="s">
        <v>1719</v>
      </c>
      <c r="Y97">
        <v>8772802835</v>
      </c>
      <c r="Z97" t="s">
        <v>270</v>
      </c>
      <c r="AA97" t="s">
        <v>271</v>
      </c>
      <c r="AB97">
        <v>0</v>
      </c>
      <c r="AC97">
        <v>1420</v>
      </c>
      <c r="AD97">
        <v>134</v>
      </c>
      <c r="AE97" t="s">
        <v>301</v>
      </c>
      <c r="AF97">
        <v>1</v>
      </c>
      <c r="AG97" t="s">
        <v>275</v>
      </c>
      <c r="AH97">
        <v>19353</v>
      </c>
      <c r="AI97">
        <v>19353</v>
      </c>
      <c r="AJ97">
        <v>43776</v>
      </c>
      <c r="AK97" s="43" t="s">
        <v>3208</v>
      </c>
      <c r="AL97" s="43" t="s">
        <v>3209</v>
      </c>
      <c r="AM97">
        <v>43794</v>
      </c>
      <c r="AN97">
        <v>43794</v>
      </c>
      <c r="AO97" s="23">
        <v>43786</v>
      </c>
      <c r="AP97" s="23"/>
      <c r="AQ97" s="23"/>
      <c r="BC97" t="s">
        <v>2018</v>
      </c>
      <c r="BD97" s="43" t="s">
        <v>2018</v>
      </c>
      <c r="BE97" s="43" t="s">
        <v>2018</v>
      </c>
      <c r="BF97" s="43" t="s">
        <v>2018</v>
      </c>
      <c r="BG97" s="43" t="s">
        <v>2018</v>
      </c>
      <c r="BH97" t="s">
        <v>2018</v>
      </c>
      <c r="BI97" s="43" t="s">
        <v>2018</v>
      </c>
      <c r="BJ97">
        <v>0.1875</v>
      </c>
      <c r="BK97">
        <v>44109</v>
      </c>
      <c r="BL97">
        <v>44356</v>
      </c>
      <c r="BM97">
        <v>8505</v>
      </c>
      <c r="BN97">
        <v>8505</v>
      </c>
      <c r="BO97">
        <v>8505</v>
      </c>
      <c r="BP97">
        <v>25515</v>
      </c>
      <c r="BQ97">
        <v>3300</v>
      </c>
      <c r="BR97">
        <v>400</v>
      </c>
      <c r="BS97">
        <v>400</v>
      </c>
      <c r="BT97">
        <v>4100</v>
      </c>
      <c r="BU97">
        <v>2100</v>
      </c>
      <c r="BV97">
        <v>2100</v>
      </c>
      <c r="BW97">
        <v>2100</v>
      </c>
      <c r="BX97">
        <v>6300</v>
      </c>
      <c r="BY97">
        <v>1200</v>
      </c>
      <c r="BZ97">
        <v>1200</v>
      </c>
      <c r="CA97">
        <v>1200</v>
      </c>
      <c r="CB97">
        <v>3600</v>
      </c>
      <c r="CC97">
        <v>0</v>
      </c>
      <c r="CD97">
        <v>0</v>
      </c>
      <c r="CE97">
        <v>0</v>
      </c>
      <c r="CF97">
        <v>0</v>
      </c>
      <c r="CG97">
        <v>39515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1700</v>
      </c>
      <c r="CU97">
        <v>1700</v>
      </c>
      <c r="CV97">
        <v>1700</v>
      </c>
      <c r="CW97">
        <v>5100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5100</v>
      </c>
      <c r="EE97">
        <v>0</v>
      </c>
      <c r="EF97">
        <v>0</v>
      </c>
      <c r="EG97">
        <v>0</v>
      </c>
      <c r="EH97">
        <v>0</v>
      </c>
      <c r="EI97">
        <v>1154</v>
      </c>
      <c r="EJ97">
        <v>1154</v>
      </c>
      <c r="EK97">
        <v>1155</v>
      </c>
      <c r="EL97">
        <v>3500</v>
      </c>
      <c r="EM97">
        <v>37.065000000000005</v>
      </c>
      <c r="EN97">
        <v>660</v>
      </c>
      <c r="EO97">
        <v>660</v>
      </c>
      <c r="EP97">
        <v>660</v>
      </c>
      <c r="EQ97">
        <v>2000</v>
      </c>
      <c r="ER97">
        <v>21.18</v>
      </c>
      <c r="ES97">
        <v>9675</v>
      </c>
      <c r="ET97">
        <v>9675</v>
      </c>
      <c r="EU97">
        <v>9675</v>
      </c>
      <c r="EV97">
        <v>30255</v>
      </c>
      <c r="EW97">
        <v>1281.6018000000001</v>
      </c>
      <c r="FA97">
        <v>0</v>
      </c>
      <c r="FE97">
        <v>0</v>
      </c>
      <c r="FI97">
        <v>0</v>
      </c>
      <c r="FJ97">
        <v>34415.153200000001</v>
      </c>
      <c r="FK97">
        <v>34415</v>
      </c>
      <c r="FL97">
        <v>-0.15997660916487608</v>
      </c>
      <c r="FM97">
        <v>-0.15320000000065193</v>
      </c>
    </row>
    <row r="98" spans="1:169" x14ac:dyDescent="0.35">
      <c r="A98">
        <v>197630</v>
      </c>
      <c r="B98" t="s">
        <v>2320</v>
      </c>
      <c r="C98" t="s">
        <v>1193</v>
      </c>
      <c r="D98" t="s">
        <v>2321</v>
      </c>
      <c r="E98" s="43" t="s">
        <v>2322</v>
      </c>
      <c r="F98">
        <v>1</v>
      </c>
      <c r="G98">
        <v>43781</v>
      </c>
      <c r="H98">
        <v>43781</v>
      </c>
      <c r="I98">
        <v>43781</v>
      </c>
      <c r="J98" t="s">
        <v>3421</v>
      </c>
      <c r="K98" t="s">
        <v>1715</v>
      </c>
      <c r="L98" s="43" t="s">
        <v>3204</v>
      </c>
      <c r="M98" t="s">
        <v>2323</v>
      </c>
      <c r="N98" s="43" t="s">
        <v>3673</v>
      </c>
      <c r="O98" s="43" t="s">
        <v>634</v>
      </c>
      <c r="P98" s="43" t="s">
        <v>297</v>
      </c>
      <c r="Q98" s="43" t="s">
        <v>2324</v>
      </c>
      <c r="S98">
        <v>44109</v>
      </c>
      <c r="T98" t="s">
        <v>311</v>
      </c>
      <c r="U98" t="s">
        <v>266</v>
      </c>
      <c r="V98" t="s">
        <v>267</v>
      </c>
      <c r="W98" t="s">
        <v>1718</v>
      </c>
      <c r="X98" t="s">
        <v>1719</v>
      </c>
      <c r="Y98">
        <v>8772802835</v>
      </c>
      <c r="Z98" t="s">
        <v>270</v>
      </c>
      <c r="AA98" t="s">
        <v>271</v>
      </c>
      <c r="AB98">
        <v>0</v>
      </c>
      <c r="AC98">
        <v>1050</v>
      </c>
      <c r="AD98">
        <v>109</v>
      </c>
      <c r="AE98" t="s">
        <v>289</v>
      </c>
      <c r="AF98">
        <v>2</v>
      </c>
      <c r="AG98" t="s">
        <v>275</v>
      </c>
      <c r="AH98">
        <v>0</v>
      </c>
      <c r="AI98">
        <v>0</v>
      </c>
      <c r="AJ98">
        <v>43776</v>
      </c>
      <c r="AK98" s="43" t="s">
        <v>3208</v>
      </c>
      <c r="AL98" s="43" t="s">
        <v>3209</v>
      </c>
      <c r="AM98">
        <v>43781</v>
      </c>
      <c r="AN98">
        <v>43781</v>
      </c>
      <c r="AO98" s="23">
        <v>43781</v>
      </c>
      <c r="AP98" s="23"/>
      <c r="AQ98" s="23"/>
      <c r="BB98" t="s">
        <v>2018</v>
      </c>
      <c r="BC98" t="s">
        <v>2018</v>
      </c>
      <c r="BD98" s="43" t="s">
        <v>2018</v>
      </c>
      <c r="BE98" s="43" t="s">
        <v>2018</v>
      </c>
      <c r="BF98" s="43" t="s">
        <v>2018</v>
      </c>
      <c r="BG98" s="43" t="s">
        <v>2018</v>
      </c>
      <c r="BH98" t="s">
        <v>2018</v>
      </c>
      <c r="BI98" s="43" t="s">
        <v>2018</v>
      </c>
      <c r="BJ98">
        <v>0.19999999999999996</v>
      </c>
      <c r="BK98">
        <v>44109</v>
      </c>
      <c r="BL98">
        <v>44356</v>
      </c>
      <c r="BM98">
        <v>8505</v>
      </c>
      <c r="BN98">
        <v>8505</v>
      </c>
      <c r="BO98">
        <v>8505</v>
      </c>
      <c r="BP98">
        <v>25515</v>
      </c>
      <c r="BQ98">
        <v>3300</v>
      </c>
      <c r="BR98">
        <v>400</v>
      </c>
      <c r="BS98">
        <v>400</v>
      </c>
      <c r="BT98">
        <v>4100</v>
      </c>
      <c r="BU98">
        <v>2100</v>
      </c>
      <c r="BV98">
        <v>2100</v>
      </c>
      <c r="BW98">
        <v>2100</v>
      </c>
      <c r="BX98">
        <v>6300</v>
      </c>
      <c r="BY98">
        <v>1200</v>
      </c>
      <c r="BZ98">
        <v>1200</v>
      </c>
      <c r="CA98">
        <v>1200</v>
      </c>
      <c r="CB98">
        <v>3600</v>
      </c>
      <c r="CC98">
        <v>0</v>
      </c>
      <c r="CD98">
        <v>0</v>
      </c>
      <c r="CE98">
        <v>0</v>
      </c>
      <c r="CF98">
        <v>0</v>
      </c>
      <c r="CG98">
        <v>39515</v>
      </c>
      <c r="CH98">
        <v>0</v>
      </c>
      <c r="CI98">
        <v>0</v>
      </c>
      <c r="CJ98">
        <v>0</v>
      </c>
      <c r="CK98">
        <v>0</v>
      </c>
      <c r="CL98">
        <v>2065</v>
      </c>
      <c r="CM98">
        <v>2065</v>
      </c>
      <c r="CN98">
        <v>2065</v>
      </c>
      <c r="CO98">
        <v>6195</v>
      </c>
      <c r="CP98">
        <v>500</v>
      </c>
      <c r="CQ98">
        <v>500</v>
      </c>
      <c r="CR98">
        <v>500</v>
      </c>
      <c r="CS98">
        <v>1500</v>
      </c>
      <c r="CT98">
        <v>1500</v>
      </c>
      <c r="CU98">
        <v>1500</v>
      </c>
      <c r="CV98">
        <v>1500</v>
      </c>
      <c r="CW98">
        <v>4500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12195</v>
      </c>
      <c r="EE98">
        <v>0</v>
      </c>
      <c r="EF98">
        <v>0</v>
      </c>
      <c r="EG98">
        <v>0</v>
      </c>
      <c r="EH98">
        <v>0</v>
      </c>
      <c r="EI98">
        <v>1154</v>
      </c>
      <c r="EJ98">
        <v>1154</v>
      </c>
      <c r="EK98">
        <v>1155</v>
      </c>
      <c r="EL98">
        <v>3500</v>
      </c>
      <c r="EM98">
        <v>37.065000000000005</v>
      </c>
      <c r="EN98">
        <v>660</v>
      </c>
      <c r="EO98">
        <v>660</v>
      </c>
      <c r="EP98">
        <v>660</v>
      </c>
      <c r="EQ98">
        <v>2000</v>
      </c>
      <c r="ER98">
        <v>21.18</v>
      </c>
      <c r="ES98">
        <v>7306</v>
      </c>
      <c r="ET98">
        <v>7306</v>
      </c>
      <c r="EU98">
        <v>7306</v>
      </c>
      <c r="EV98">
        <v>22846</v>
      </c>
      <c r="EW98">
        <v>967.75656000000004</v>
      </c>
      <c r="FA98">
        <v>0</v>
      </c>
      <c r="FE98">
        <v>0</v>
      </c>
      <c r="FI98">
        <v>0</v>
      </c>
      <c r="FJ98">
        <v>27319.998439999999</v>
      </c>
      <c r="FK98">
        <v>27320</v>
      </c>
      <c r="FL98">
        <v>1.6290046370335952E-3</v>
      </c>
      <c r="FM98">
        <v>1.5600000006088519E-3</v>
      </c>
    </row>
    <row r="99" spans="1:169" x14ac:dyDescent="0.35">
      <c r="A99">
        <v>194366</v>
      </c>
      <c r="B99" t="s">
        <v>2325</v>
      </c>
      <c r="C99" t="s">
        <v>2326</v>
      </c>
      <c r="D99" t="s">
        <v>2327</v>
      </c>
      <c r="E99" s="43" t="s">
        <v>2328</v>
      </c>
      <c r="F99">
        <v>1</v>
      </c>
      <c r="I99">
        <v>43804</v>
      </c>
      <c r="J99" t="s">
        <v>4242</v>
      </c>
      <c r="K99" t="s">
        <v>1715</v>
      </c>
      <c r="L99" s="43" t="s">
        <v>259</v>
      </c>
      <c r="M99" t="s">
        <v>2329</v>
      </c>
      <c r="N99" s="43" t="s">
        <v>2330</v>
      </c>
      <c r="O99" s="43" t="s">
        <v>2331</v>
      </c>
      <c r="P99" s="43" t="s">
        <v>1172</v>
      </c>
      <c r="Q99" s="43" t="s">
        <v>2332</v>
      </c>
      <c r="R99">
        <v>3.6093000000000002</v>
      </c>
      <c r="S99">
        <v>44109</v>
      </c>
      <c r="T99" t="s">
        <v>265</v>
      </c>
      <c r="U99" t="s">
        <v>266</v>
      </c>
      <c r="V99" t="s">
        <v>267</v>
      </c>
      <c r="W99" t="s">
        <v>1718</v>
      </c>
      <c r="X99" t="s">
        <v>1719</v>
      </c>
      <c r="Y99">
        <v>8772802835</v>
      </c>
      <c r="Z99" t="s">
        <v>270</v>
      </c>
      <c r="AA99" t="s">
        <v>271</v>
      </c>
      <c r="AB99">
        <v>28</v>
      </c>
      <c r="AC99">
        <v>0</v>
      </c>
      <c r="AD99">
        <v>120</v>
      </c>
      <c r="AE99" t="s">
        <v>301</v>
      </c>
      <c r="AF99">
        <v>1</v>
      </c>
      <c r="AG99" t="s">
        <v>275</v>
      </c>
      <c r="AK99" s="43" t="s">
        <v>259</v>
      </c>
      <c r="AL99" s="43" t="s">
        <v>259</v>
      </c>
      <c r="AO99" s="23"/>
      <c r="AP99" s="23"/>
      <c r="AQ99" s="23"/>
      <c r="BC99" t="s">
        <v>259</v>
      </c>
      <c r="BD99" s="43" t="s">
        <v>259</v>
      </c>
      <c r="BE99" s="43" t="s">
        <v>259</v>
      </c>
      <c r="BF99" s="43" t="s">
        <v>259</v>
      </c>
      <c r="BG99" s="43" t="s">
        <v>259</v>
      </c>
      <c r="BH99" t="s">
        <v>259</v>
      </c>
      <c r="BI99" s="43" t="s">
        <v>259</v>
      </c>
      <c r="BJ99">
        <v>0</v>
      </c>
      <c r="BK99">
        <v>44109</v>
      </c>
      <c r="BL99">
        <v>44356</v>
      </c>
      <c r="BM99">
        <v>8505</v>
      </c>
      <c r="BN99">
        <v>8505</v>
      </c>
      <c r="BO99">
        <v>8505</v>
      </c>
      <c r="BP99">
        <v>25515</v>
      </c>
      <c r="BQ99">
        <v>3300</v>
      </c>
      <c r="BR99">
        <v>400</v>
      </c>
      <c r="BS99">
        <v>400</v>
      </c>
      <c r="BT99">
        <v>4100</v>
      </c>
      <c r="BU99">
        <v>2100</v>
      </c>
      <c r="BV99">
        <v>2100</v>
      </c>
      <c r="BW99">
        <v>2100</v>
      </c>
      <c r="BX99">
        <v>6300</v>
      </c>
      <c r="BY99">
        <v>1200</v>
      </c>
      <c r="BZ99">
        <v>1200</v>
      </c>
      <c r="CA99">
        <v>1200</v>
      </c>
      <c r="CB99">
        <v>3600</v>
      </c>
      <c r="CC99">
        <v>0</v>
      </c>
      <c r="CD99">
        <v>0</v>
      </c>
      <c r="CE99">
        <v>0</v>
      </c>
      <c r="CF99">
        <v>0</v>
      </c>
      <c r="CG99">
        <v>39515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1700</v>
      </c>
      <c r="CU99">
        <v>1700</v>
      </c>
      <c r="CV99">
        <v>1700</v>
      </c>
      <c r="CW99">
        <v>5100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5100</v>
      </c>
      <c r="EE99">
        <v>0</v>
      </c>
      <c r="EF99">
        <v>0</v>
      </c>
      <c r="EG99">
        <v>0</v>
      </c>
      <c r="EH99">
        <v>0</v>
      </c>
      <c r="EI99">
        <v>1154</v>
      </c>
      <c r="EJ99">
        <v>1154</v>
      </c>
      <c r="EK99">
        <v>1155</v>
      </c>
      <c r="EL99">
        <v>3500</v>
      </c>
      <c r="EM99">
        <v>37.065000000000005</v>
      </c>
      <c r="EN99">
        <v>660</v>
      </c>
      <c r="EO99">
        <v>660</v>
      </c>
      <c r="EP99">
        <v>660</v>
      </c>
      <c r="EQ99">
        <v>2000</v>
      </c>
      <c r="ER99">
        <v>21.18</v>
      </c>
      <c r="ES99">
        <v>0</v>
      </c>
      <c r="ET99">
        <v>0</v>
      </c>
      <c r="EU99">
        <v>0</v>
      </c>
      <c r="EV99">
        <v>0</v>
      </c>
      <c r="EW99">
        <v>0</v>
      </c>
      <c r="FA99">
        <v>0</v>
      </c>
      <c r="FE99">
        <v>0</v>
      </c>
      <c r="FI99">
        <v>0</v>
      </c>
      <c r="FJ99">
        <v>5441.7550000000001</v>
      </c>
      <c r="FK99">
        <v>34415</v>
      </c>
      <c r="FL99">
        <v>30254.840023390832</v>
      </c>
      <c r="FM99">
        <v>28973.244999999999</v>
      </c>
    </row>
    <row r="100" spans="1:169" x14ac:dyDescent="0.35">
      <c r="A100">
        <v>194134</v>
      </c>
      <c r="B100" t="s">
        <v>2325</v>
      </c>
      <c r="C100" t="s">
        <v>2333</v>
      </c>
      <c r="D100" t="s">
        <v>2334</v>
      </c>
      <c r="E100" s="43" t="s">
        <v>2335</v>
      </c>
      <c r="F100">
        <v>1</v>
      </c>
      <c r="I100">
        <v>43804</v>
      </c>
      <c r="J100" t="s">
        <v>4242</v>
      </c>
      <c r="K100" t="s">
        <v>1715</v>
      </c>
      <c r="L100" s="43" t="s">
        <v>259</v>
      </c>
      <c r="M100" t="s">
        <v>3337</v>
      </c>
      <c r="N100" s="43" t="s">
        <v>2336</v>
      </c>
      <c r="O100" s="43" t="s">
        <v>2337</v>
      </c>
      <c r="P100" s="43" t="s">
        <v>911</v>
      </c>
      <c r="Q100" s="43" t="s">
        <v>2338</v>
      </c>
      <c r="R100">
        <v>3</v>
      </c>
      <c r="S100">
        <v>44109</v>
      </c>
      <c r="T100" t="s">
        <v>285</v>
      </c>
      <c r="U100" t="s">
        <v>266</v>
      </c>
      <c r="V100" t="s">
        <v>267</v>
      </c>
      <c r="W100" t="s">
        <v>1718</v>
      </c>
      <c r="X100" t="s">
        <v>1719</v>
      </c>
      <c r="Y100">
        <v>8772802835</v>
      </c>
      <c r="Z100" t="s">
        <v>270</v>
      </c>
      <c r="AA100" t="s">
        <v>271</v>
      </c>
      <c r="AB100">
        <v>0</v>
      </c>
      <c r="AC100">
        <v>0</v>
      </c>
      <c r="AD100">
        <v>0</v>
      </c>
      <c r="AE100" t="s">
        <v>324</v>
      </c>
      <c r="AF100">
        <v>8</v>
      </c>
      <c r="AG100" t="s">
        <v>275</v>
      </c>
      <c r="AK100" s="43" t="s">
        <v>259</v>
      </c>
      <c r="AL100" s="43" t="s">
        <v>259</v>
      </c>
      <c r="AO100" s="23"/>
      <c r="AP100" s="23"/>
      <c r="AQ100" s="23"/>
      <c r="BC100" t="s">
        <v>259</v>
      </c>
      <c r="BD100" s="43" t="s">
        <v>259</v>
      </c>
      <c r="BE100" s="43" t="s">
        <v>259</v>
      </c>
      <c r="BF100" s="43" t="s">
        <v>259</v>
      </c>
      <c r="BG100" s="43" t="s">
        <v>259</v>
      </c>
      <c r="BH100" t="s">
        <v>259</v>
      </c>
      <c r="BI100" s="43" t="s">
        <v>259</v>
      </c>
      <c r="BJ100">
        <v>0</v>
      </c>
      <c r="BK100">
        <v>44109</v>
      </c>
      <c r="BL100">
        <v>44356</v>
      </c>
      <c r="BM100">
        <v>8505</v>
      </c>
      <c r="BN100">
        <v>8505</v>
      </c>
      <c r="BO100">
        <v>8505</v>
      </c>
      <c r="BP100">
        <v>25515</v>
      </c>
      <c r="BQ100">
        <v>3300</v>
      </c>
      <c r="BR100">
        <v>400</v>
      </c>
      <c r="BS100">
        <v>400</v>
      </c>
      <c r="BT100">
        <v>4100</v>
      </c>
      <c r="BU100">
        <v>2100</v>
      </c>
      <c r="BV100">
        <v>2100</v>
      </c>
      <c r="BW100">
        <v>2100</v>
      </c>
      <c r="BX100">
        <v>6300</v>
      </c>
      <c r="BY100">
        <v>1200</v>
      </c>
      <c r="BZ100">
        <v>1200</v>
      </c>
      <c r="CA100">
        <v>1200</v>
      </c>
      <c r="CB100">
        <v>3600</v>
      </c>
      <c r="CC100">
        <v>0</v>
      </c>
      <c r="CD100">
        <v>0</v>
      </c>
      <c r="CE100">
        <v>0</v>
      </c>
      <c r="CF100">
        <v>0</v>
      </c>
      <c r="CG100">
        <v>39515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1154</v>
      </c>
      <c r="EJ100">
        <v>1154</v>
      </c>
      <c r="EK100">
        <v>1155</v>
      </c>
      <c r="EL100">
        <v>3500</v>
      </c>
      <c r="EM100">
        <v>37.065000000000005</v>
      </c>
      <c r="EN100">
        <v>660</v>
      </c>
      <c r="EO100">
        <v>660</v>
      </c>
      <c r="EP100">
        <v>660</v>
      </c>
      <c r="EQ100">
        <v>2000</v>
      </c>
      <c r="ER100">
        <v>21.18</v>
      </c>
      <c r="ES100">
        <v>0</v>
      </c>
      <c r="ET100">
        <v>0</v>
      </c>
      <c r="EU100">
        <v>0</v>
      </c>
      <c r="EV100">
        <v>0</v>
      </c>
      <c r="EW100">
        <v>0</v>
      </c>
      <c r="FA100">
        <v>0</v>
      </c>
      <c r="FE100">
        <v>0</v>
      </c>
      <c r="FI100">
        <v>0</v>
      </c>
      <c r="FJ100">
        <v>5441.7550000000001</v>
      </c>
      <c r="FK100">
        <v>39515</v>
      </c>
      <c r="FL100">
        <v>35580.43210392214</v>
      </c>
      <c r="FM100">
        <v>34073.245000000003</v>
      </c>
    </row>
    <row r="101" spans="1:169" x14ac:dyDescent="0.35">
      <c r="A101">
        <v>195130</v>
      </c>
      <c r="B101" t="s">
        <v>2339</v>
      </c>
      <c r="C101" t="s">
        <v>2340</v>
      </c>
      <c r="D101" t="s">
        <v>2341</v>
      </c>
      <c r="E101" s="43" t="s">
        <v>2342</v>
      </c>
      <c r="F101">
        <v>1</v>
      </c>
      <c r="I101">
        <v>43781</v>
      </c>
      <c r="J101" t="s">
        <v>3305</v>
      </c>
      <c r="K101" t="s">
        <v>1715</v>
      </c>
      <c r="L101" s="43" t="s">
        <v>3204</v>
      </c>
      <c r="M101" t="s">
        <v>2343</v>
      </c>
      <c r="N101" s="43" t="s">
        <v>2344</v>
      </c>
      <c r="O101" s="43" t="s">
        <v>2345</v>
      </c>
      <c r="P101" s="43" t="s">
        <v>677</v>
      </c>
      <c r="Q101" s="43" t="s">
        <v>2346</v>
      </c>
      <c r="R101">
        <v>3.7970000000000002</v>
      </c>
      <c r="S101">
        <v>44109</v>
      </c>
      <c r="T101" t="s">
        <v>265</v>
      </c>
      <c r="U101" t="s">
        <v>266</v>
      </c>
      <c r="V101" t="s">
        <v>267</v>
      </c>
      <c r="W101" t="s">
        <v>1718</v>
      </c>
      <c r="X101" t="s">
        <v>1719</v>
      </c>
      <c r="Y101">
        <v>8772802835</v>
      </c>
      <c r="Z101" t="s">
        <v>270</v>
      </c>
      <c r="AA101" t="s">
        <v>271</v>
      </c>
      <c r="AB101">
        <v>22</v>
      </c>
      <c r="AC101">
        <v>0</v>
      </c>
      <c r="AD101">
        <v>114</v>
      </c>
      <c r="AE101" t="s">
        <v>289</v>
      </c>
      <c r="AF101">
        <v>2</v>
      </c>
      <c r="AG101" t="s">
        <v>275</v>
      </c>
      <c r="AH101">
        <v>0</v>
      </c>
      <c r="AI101">
        <v>0</v>
      </c>
      <c r="AJ101">
        <v>43774</v>
      </c>
      <c r="AK101" s="43" t="s">
        <v>3208</v>
      </c>
      <c r="AL101" s="43" t="s">
        <v>3209</v>
      </c>
      <c r="AO101" s="23">
        <v>43775</v>
      </c>
      <c r="AP101" s="23"/>
      <c r="AQ101" s="23"/>
      <c r="BC101" t="s">
        <v>2018</v>
      </c>
      <c r="BD101" s="43" t="s">
        <v>2018</v>
      </c>
      <c r="BE101" s="43" t="s">
        <v>2018</v>
      </c>
      <c r="BF101" s="43" t="s">
        <v>2018</v>
      </c>
      <c r="BG101" s="43" t="s">
        <v>2018</v>
      </c>
      <c r="BH101" t="s">
        <v>2018</v>
      </c>
      <c r="BI101" s="43" t="s">
        <v>2018</v>
      </c>
      <c r="BJ101">
        <v>6.25E-2</v>
      </c>
      <c r="BK101">
        <v>44109</v>
      </c>
      <c r="BL101">
        <v>44356</v>
      </c>
      <c r="BM101">
        <v>8505</v>
      </c>
      <c r="BN101">
        <v>8505</v>
      </c>
      <c r="BO101">
        <v>8505</v>
      </c>
      <c r="BP101">
        <v>25515</v>
      </c>
      <c r="BQ101">
        <v>3300</v>
      </c>
      <c r="BR101">
        <v>400</v>
      </c>
      <c r="BS101">
        <v>400</v>
      </c>
      <c r="BT101">
        <v>4100</v>
      </c>
      <c r="BU101">
        <v>2100</v>
      </c>
      <c r="BV101">
        <v>2100</v>
      </c>
      <c r="BW101">
        <v>2100</v>
      </c>
      <c r="BX101">
        <v>6300</v>
      </c>
      <c r="BY101">
        <v>1200</v>
      </c>
      <c r="BZ101">
        <v>1200</v>
      </c>
      <c r="CA101">
        <v>1200</v>
      </c>
      <c r="CB101">
        <v>3600</v>
      </c>
      <c r="CC101">
        <v>0</v>
      </c>
      <c r="CD101">
        <v>0</v>
      </c>
      <c r="CE101">
        <v>0</v>
      </c>
      <c r="CF101">
        <v>0</v>
      </c>
      <c r="CG101">
        <v>39515</v>
      </c>
      <c r="CH101">
        <v>0</v>
      </c>
      <c r="CI101">
        <v>0</v>
      </c>
      <c r="CJ101">
        <v>0</v>
      </c>
      <c r="CK101">
        <v>0</v>
      </c>
      <c r="CL101">
        <v>2065</v>
      </c>
      <c r="CM101">
        <v>2065</v>
      </c>
      <c r="CN101">
        <v>2065</v>
      </c>
      <c r="CO101">
        <v>6195</v>
      </c>
      <c r="CP101">
        <v>500</v>
      </c>
      <c r="CQ101">
        <v>500</v>
      </c>
      <c r="CR101">
        <v>500</v>
      </c>
      <c r="CS101">
        <v>1500</v>
      </c>
      <c r="CT101">
        <v>1500</v>
      </c>
      <c r="CU101">
        <v>1500</v>
      </c>
      <c r="CV101">
        <v>1500</v>
      </c>
      <c r="CW101">
        <v>4500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12195</v>
      </c>
      <c r="EE101">
        <v>0</v>
      </c>
      <c r="EF101">
        <v>0</v>
      </c>
      <c r="EG101">
        <v>0</v>
      </c>
      <c r="EH101">
        <v>0</v>
      </c>
      <c r="EI101">
        <v>1154</v>
      </c>
      <c r="EJ101">
        <v>1154</v>
      </c>
      <c r="EK101">
        <v>1155</v>
      </c>
      <c r="EL101">
        <v>3500</v>
      </c>
      <c r="EM101">
        <v>37.065000000000005</v>
      </c>
      <c r="EN101">
        <v>660</v>
      </c>
      <c r="EO101">
        <v>660</v>
      </c>
      <c r="EP101">
        <v>660</v>
      </c>
      <c r="EQ101">
        <v>2000</v>
      </c>
      <c r="ER101">
        <v>21.18</v>
      </c>
      <c r="ES101">
        <v>0</v>
      </c>
      <c r="ET101">
        <v>0</v>
      </c>
      <c r="EU101">
        <v>0</v>
      </c>
      <c r="EV101">
        <v>0</v>
      </c>
      <c r="EW101">
        <v>0</v>
      </c>
      <c r="FA101">
        <v>0</v>
      </c>
      <c r="FE101">
        <v>0</v>
      </c>
      <c r="FI101">
        <v>0</v>
      </c>
      <c r="FJ101">
        <v>5441.7550000000001</v>
      </c>
      <c r="FK101">
        <v>27320</v>
      </c>
      <c r="FL101">
        <v>22846.001629004633</v>
      </c>
      <c r="FM101">
        <v>21878.244999999999</v>
      </c>
    </row>
    <row r="102" spans="1:169" x14ac:dyDescent="0.35">
      <c r="A102">
        <v>198617</v>
      </c>
      <c r="B102" t="s">
        <v>2347</v>
      </c>
      <c r="C102" t="s">
        <v>2348</v>
      </c>
      <c r="D102" t="s">
        <v>2349</v>
      </c>
      <c r="E102" s="43" t="s">
        <v>2350</v>
      </c>
      <c r="F102">
        <v>1</v>
      </c>
      <c r="I102">
        <v>43804</v>
      </c>
      <c r="J102" t="s">
        <v>4242</v>
      </c>
      <c r="K102" t="s">
        <v>1715</v>
      </c>
      <c r="L102" s="43" t="s">
        <v>259</v>
      </c>
      <c r="M102" t="s">
        <v>2351</v>
      </c>
      <c r="N102" s="43" t="s">
        <v>2352</v>
      </c>
      <c r="O102" s="43" t="s">
        <v>2353</v>
      </c>
      <c r="P102" s="43" t="s">
        <v>297</v>
      </c>
      <c r="Q102" s="43" t="s">
        <v>2354</v>
      </c>
      <c r="R102">
        <v>3.1269999999999998</v>
      </c>
      <c r="S102">
        <v>44109</v>
      </c>
      <c r="T102" t="s">
        <v>311</v>
      </c>
      <c r="U102" t="s">
        <v>266</v>
      </c>
      <c r="V102" t="s">
        <v>267</v>
      </c>
      <c r="W102" t="s">
        <v>1718</v>
      </c>
      <c r="X102" t="s">
        <v>1719</v>
      </c>
      <c r="Y102">
        <v>8772802835</v>
      </c>
      <c r="Z102" t="s">
        <v>270</v>
      </c>
      <c r="AA102" t="s">
        <v>271</v>
      </c>
      <c r="AB102">
        <v>0</v>
      </c>
      <c r="AC102">
        <v>0</v>
      </c>
      <c r="AD102">
        <v>0</v>
      </c>
      <c r="AE102" t="s">
        <v>376</v>
      </c>
      <c r="AF102">
        <v>7</v>
      </c>
      <c r="AG102" t="s">
        <v>275</v>
      </c>
      <c r="AK102" s="43" t="s">
        <v>259</v>
      </c>
      <c r="AL102" s="43" t="s">
        <v>259</v>
      </c>
      <c r="AO102" s="23"/>
      <c r="AP102" s="23"/>
      <c r="AQ102" s="23"/>
      <c r="BC102" t="s">
        <v>259</v>
      </c>
      <c r="BD102" s="43" t="s">
        <v>259</v>
      </c>
      <c r="BE102" s="43" t="s">
        <v>259</v>
      </c>
      <c r="BF102" s="43" t="s">
        <v>259</v>
      </c>
      <c r="BG102" s="43" t="s">
        <v>259</v>
      </c>
      <c r="BH102" t="s">
        <v>259</v>
      </c>
      <c r="BI102" s="43" t="s">
        <v>259</v>
      </c>
      <c r="BJ102">
        <v>0</v>
      </c>
      <c r="BK102">
        <v>44109</v>
      </c>
      <c r="BL102">
        <v>44356</v>
      </c>
      <c r="BM102">
        <v>8505</v>
      </c>
      <c r="BN102">
        <v>8505</v>
      </c>
      <c r="BO102">
        <v>8505</v>
      </c>
      <c r="BP102">
        <v>25515</v>
      </c>
      <c r="BQ102">
        <v>3300</v>
      </c>
      <c r="BR102">
        <v>400</v>
      </c>
      <c r="BS102">
        <v>400</v>
      </c>
      <c r="BT102">
        <v>4100</v>
      </c>
      <c r="BU102">
        <v>2100</v>
      </c>
      <c r="BV102">
        <v>2100</v>
      </c>
      <c r="BW102">
        <v>2100</v>
      </c>
      <c r="BX102">
        <v>6300</v>
      </c>
      <c r="BY102">
        <v>1200</v>
      </c>
      <c r="BZ102">
        <v>1200</v>
      </c>
      <c r="CA102">
        <v>1200</v>
      </c>
      <c r="CB102">
        <v>3600</v>
      </c>
      <c r="CC102">
        <v>0</v>
      </c>
      <c r="CD102">
        <v>0</v>
      </c>
      <c r="CE102">
        <v>0</v>
      </c>
      <c r="CF102">
        <v>0</v>
      </c>
      <c r="CG102">
        <v>39515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1154</v>
      </c>
      <c r="EJ102">
        <v>1154</v>
      </c>
      <c r="EK102">
        <v>1155</v>
      </c>
      <c r="EL102">
        <v>3500</v>
      </c>
      <c r="EM102">
        <v>37.065000000000005</v>
      </c>
      <c r="EN102">
        <v>660</v>
      </c>
      <c r="EO102">
        <v>660</v>
      </c>
      <c r="EP102">
        <v>660</v>
      </c>
      <c r="EQ102">
        <v>2000</v>
      </c>
      <c r="ER102">
        <v>21.18</v>
      </c>
      <c r="ES102">
        <v>0</v>
      </c>
      <c r="ET102">
        <v>0</v>
      </c>
      <c r="EU102">
        <v>0</v>
      </c>
      <c r="EV102">
        <v>0</v>
      </c>
      <c r="EW102">
        <v>0</v>
      </c>
      <c r="FA102">
        <v>0</v>
      </c>
      <c r="FE102">
        <v>0</v>
      </c>
      <c r="FI102">
        <v>0</v>
      </c>
      <c r="FJ102">
        <v>5441.7550000000001</v>
      </c>
      <c r="FK102">
        <v>39515</v>
      </c>
      <c r="FL102">
        <v>35580.43210392214</v>
      </c>
      <c r="FM102">
        <v>34073.245000000003</v>
      </c>
    </row>
    <row r="103" spans="1:169" x14ac:dyDescent="0.35">
      <c r="A103">
        <v>198736</v>
      </c>
      <c r="B103" t="s">
        <v>3988</v>
      </c>
      <c r="C103" t="s">
        <v>995</v>
      </c>
      <c r="D103" t="s">
        <v>3989</v>
      </c>
      <c r="E103" s="43" t="s">
        <v>3990</v>
      </c>
      <c r="F103">
        <v>1</v>
      </c>
      <c r="I103">
        <v>43802</v>
      </c>
      <c r="J103" t="s">
        <v>3304</v>
      </c>
      <c r="K103" t="s">
        <v>1715</v>
      </c>
      <c r="L103" s="43" t="s">
        <v>3204</v>
      </c>
      <c r="M103" t="s">
        <v>3991</v>
      </c>
      <c r="N103" s="43" t="s">
        <v>3992</v>
      </c>
      <c r="O103" s="43" t="s">
        <v>3993</v>
      </c>
      <c r="P103" s="43" t="s">
        <v>1370</v>
      </c>
      <c r="Q103" s="43" t="s">
        <v>3994</v>
      </c>
      <c r="S103">
        <v>44109</v>
      </c>
      <c r="T103" t="s">
        <v>265</v>
      </c>
      <c r="U103" t="s">
        <v>266</v>
      </c>
      <c r="V103" t="s">
        <v>267</v>
      </c>
      <c r="W103" t="s">
        <v>1718</v>
      </c>
      <c r="X103" t="s">
        <v>1719</v>
      </c>
      <c r="Y103">
        <v>8772802835</v>
      </c>
      <c r="Z103" t="s">
        <v>270</v>
      </c>
      <c r="AA103" t="s">
        <v>271</v>
      </c>
      <c r="AB103">
        <v>0</v>
      </c>
      <c r="AC103">
        <v>1050</v>
      </c>
      <c r="AD103">
        <v>99</v>
      </c>
      <c r="AE103" t="s">
        <v>376</v>
      </c>
      <c r="AF103">
        <v>7</v>
      </c>
      <c r="AG103" t="s">
        <v>3345</v>
      </c>
      <c r="AH103">
        <v>19723</v>
      </c>
      <c r="AI103">
        <v>19723</v>
      </c>
      <c r="AJ103">
        <v>43774</v>
      </c>
      <c r="AK103" s="43" t="s">
        <v>3208</v>
      </c>
      <c r="AL103" s="43" t="s">
        <v>3209</v>
      </c>
      <c r="AO103" s="23"/>
      <c r="AP103" s="23"/>
      <c r="AQ103" s="23"/>
      <c r="BC103" t="s">
        <v>2018</v>
      </c>
      <c r="BD103" s="43" t="s">
        <v>2018</v>
      </c>
      <c r="BE103" s="43" t="s">
        <v>2018</v>
      </c>
      <c r="BF103" s="43" t="s">
        <v>2018</v>
      </c>
      <c r="BG103" s="43" t="s">
        <v>2018</v>
      </c>
      <c r="BH103" t="s">
        <v>2018</v>
      </c>
      <c r="BI103" s="43" t="s">
        <v>2018</v>
      </c>
      <c r="BJ103">
        <v>0</v>
      </c>
      <c r="BK103">
        <v>44109</v>
      </c>
      <c r="BL103">
        <v>44356</v>
      </c>
      <c r="BM103">
        <v>8505</v>
      </c>
      <c r="BN103">
        <v>8505</v>
      </c>
      <c r="BO103">
        <v>8505</v>
      </c>
      <c r="BP103">
        <v>25515</v>
      </c>
      <c r="BQ103">
        <v>3300</v>
      </c>
      <c r="BR103">
        <v>400</v>
      </c>
      <c r="BS103">
        <v>400</v>
      </c>
      <c r="BT103">
        <v>4100</v>
      </c>
      <c r="BU103">
        <v>2100</v>
      </c>
      <c r="BV103">
        <v>2100</v>
      </c>
      <c r="BW103">
        <v>2100</v>
      </c>
      <c r="BX103">
        <v>6300</v>
      </c>
      <c r="BY103">
        <v>1200</v>
      </c>
      <c r="BZ103">
        <v>1200</v>
      </c>
      <c r="CA103">
        <v>1200</v>
      </c>
      <c r="CB103">
        <v>3600</v>
      </c>
      <c r="CC103">
        <v>0</v>
      </c>
      <c r="CD103">
        <v>0</v>
      </c>
      <c r="CE103">
        <v>0</v>
      </c>
      <c r="CF103">
        <v>0</v>
      </c>
      <c r="CG103">
        <v>39515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1154</v>
      </c>
      <c r="EJ103">
        <v>1154</v>
      </c>
      <c r="EK103">
        <v>1155</v>
      </c>
      <c r="EL103">
        <v>3500</v>
      </c>
      <c r="EM103">
        <v>37.065000000000005</v>
      </c>
      <c r="EN103">
        <v>660</v>
      </c>
      <c r="EO103">
        <v>660</v>
      </c>
      <c r="EP103">
        <v>660</v>
      </c>
      <c r="EQ103">
        <v>2000</v>
      </c>
      <c r="ER103">
        <v>21.18</v>
      </c>
      <c r="ES103">
        <v>0</v>
      </c>
      <c r="ET103">
        <v>0</v>
      </c>
      <c r="EU103">
        <v>0</v>
      </c>
      <c r="EV103">
        <v>0</v>
      </c>
      <c r="EW103">
        <v>0</v>
      </c>
      <c r="FA103">
        <v>0</v>
      </c>
      <c r="FE103">
        <v>0</v>
      </c>
      <c r="FI103">
        <v>0</v>
      </c>
      <c r="FJ103">
        <v>5441.7550000000001</v>
      </c>
      <c r="FK103">
        <v>39515</v>
      </c>
      <c r="FL103">
        <v>35580.43210392214</v>
      </c>
      <c r="FM103">
        <v>34073.245000000003</v>
      </c>
    </row>
    <row r="104" spans="1:169" x14ac:dyDescent="0.35">
      <c r="A104">
        <v>198127</v>
      </c>
      <c r="B104" t="s">
        <v>2355</v>
      </c>
      <c r="C104" t="s">
        <v>1987</v>
      </c>
      <c r="D104" t="s">
        <v>2356</v>
      </c>
      <c r="E104" s="43" t="s">
        <v>2357</v>
      </c>
      <c r="F104">
        <v>1</v>
      </c>
      <c r="I104">
        <v>43804</v>
      </c>
      <c r="J104" t="s">
        <v>4242</v>
      </c>
      <c r="K104" t="s">
        <v>1715</v>
      </c>
      <c r="L104" s="43" t="s">
        <v>259</v>
      </c>
      <c r="M104" t="s">
        <v>2358</v>
      </c>
      <c r="N104" s="43" t="s">
        <v>2359</v>
      </c>
      <c r="O104" s="43" t="s">
        <v>1454</v>
      </c>
      <c r="P104" s="43" t="s">
        <v>1091</v>
      </c>
      <c r="Q104" s="43" t="s">
        <v>2360</v>
      </c>
      <c r="R104">
        <v>3.8439999999999999</v>
      </c>
      <c r="S104">
        <v>44109</v>
      </c>
      <c r="T104" t="s">
        <v>265</v>
      </c>
      <c r="U104" t="s">
        <v>266</v>
      </c>
      <c r="V104" t="s">
        <v>267</v>
      </c>
      <c r="W104" t="s">
        <v>1718</v>
      </c>
      <c r="X104" t="s">
        <v>1719</v>
      </c>
      <c r="Y104">
        <v>8772802835</v>
      </c>
      <c r="Z104" t="s">
        <v>270</v>
      </c>
      <c r="AA104" t="s">
        <v>271</v>
      </c>
      <c r="AB104">
        <v>0</v>
      </c>
      <c r="AC104">
        <v>0</v>
      </c>
      <c r="AD104">
        <v>0</v>
      </c>
      <c r="AE104" t="s">
        <v>289</v>
      </c>
      <c r="AF104">
        <v>2</v>
      </c>
      <c r="AG104" t="s">
        <v>275</v>
      </c>
      <c r="AK104" s="43" t="s">
        <v>259</v>
      </c>
      <c r="AL104" s="43" t="s">
        <v>259</v>
      </c>
      <c r="AO104" s="23"/>
      <c r="AP104" s="23"/>
      <c r="AQ104" s="23"/>
      <c r="BC104" t="s">
        <v>259</v>
      </c>
      <c r="BD104" s="43" t="s">
        <v>259</v>
      </c>
      <c r="BE104" s="43" t="s">
        <v>259</v>
      </c>
      <c r="BF104" s="43" t="s">
        <v>259</v>
      </c>
      <c r="BG104" s="43" t="s">
        <v>259</v>
      </c>
      <c r="BH104" t="s">
        <v>259</v>
      </c>
      <c r="BI104" s="43" t="s">
        <v>259</v>
      </c>
      <c r="BJ104">
        <v>0</v>
      </c>
      <c r="BK104">
        <v>44109</v>
      </c>
      <c r="BL104">
        <v>44356</v>
      </c>
      <c r="BM104">
        <v>8505</v>
      </c>
      <c r="BN104">
        <v>8505</v>
      </c>
      <c r="BO104">
        <v>8505</v>
      </c>
      <c r="BP104">
        <v>25515</v>
      </c>
      <c r="BQ104">
        <v>3300</v>
      </c>
      <c r="BR104">
        <v>400</v>
      </c>
      <c r="BS104">
        <v>400</v>
      </c>
      <c r="BT104">
        <v>4100</v>
      </c>
      <c r="BU104">
        <v>2100</v>
      </c>
      <c r="BV104">
        <v>2100</v>
      </c>
      <c r="BW104">
        <v>2100</v>
      </c>
      <c r="BX104">
        <v>6300</v>
      </c>
      <c r="BY104">
        <v>1200</v>
      </c>
      <c r="BZ104">
        <v>1200</v>
      </c>
      <c r="CA104">
        <v>1200</v>
      </c>
      <c r="CB104">
        <v>3600</v>
      </c>
      <c r="CC104">
        <v>0</v>
      </c>
      <c r="CD104">
        <v>0</v>
      </c>
      <c r="CE104">
        <v>0</v>
      </c>
      <c r="CF104">
        <v>0</v>
      </c>
      <c r="CG104">
        <v>39515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1500</v>
      </c>
      <c r="CU104">
        <v>1500</v>
      </c>
      <c r="CV104">
        <v>1500</v>
      </c>
      <c r="CW104">
        <v>4500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4500</v>
      </c>
      <c r="EE104">
        <v>0</v>
      </c>
      <c r="EF104">
        <v>0</v>
      </c>
      <c r="EG104">
        <v>0</v>
      </c>
      <c r="EH104">
        <v>0</v>
      </c>
      <c r="EI104">
        <v>1154</v>
      </c>
      <c r="EJ104">
        <v>1154</v>
      </c>
      <c r="EK104">
        <v>1155</v>
      </c>
      <c r="EL104">
        <v>3500</v>
      </c>
      <c r="EM104">
        <v>37.065000000000005</v>
      </c>
      <c r="EN104">
        <v>660</v>
      </c>
      <c r="EO104">
        <v>660</v>
      </c>
      <c r="EP104">
        <v>660</v>
      </c>
      <c r="EQ104">
        <v>2000</v>
      </c>
      <c r="ER104">
        <v>21.18</v>
      </c>
      <c r="ES104">
        <v>0</v>
      </c>
      <c r="ET104">
        <v>0</v>
      </c>
      <c r="EU104">
        <v>0</v>
      </c>
      <c r="EV104">
        <v>0</v>
      </c>
      <c r="EW104">
        <v>0</v>
      </c>
      <c r="FA104">
        <v>0</v>
      </c>
      <c r="FE104">
        <v>0</v>
      </c>
      <c r="FI104">
        <v>0</v>
      </c>
      <c r="FJ104">
        <v>5441.7550000000001</v>
      </c>
      <c r="FK104">
        <v>35015</v>
      </c>
      <c r="FL104">
        <v>30881.380268159221</v>
      </c>
      <c r="FM104">
        <v>29573.244999999999</v>
      </c>
    </row>
    <row r="105" spans="1:169" x14ac:dyDescent="0.35">
      <c r="A105">
        <v>196031</v>
      </c>
      <c r="B105" t="s">
        <v>2361</v>
      </c>
      <c r="C105" t="s">
        <v>1184</v>
      </c>
      <c r="D105" t="s">
        <v>2362</v>
      </c>
      <c r="E105" s="43" t="s">
        <v>2363</v>
      </c>
      <c r="F105">
        <v>1</v>
      </c>
      <c r="I105">
        <v>43804</v>
      </c>
      <c r="J105" t="s">
        <v>4242</v>
      </c>
      <c r="K105" t="s">
        <v>1715</v>
      </c>
      <c r="L105" s="43" t="s">
        <v>259</v>
      </c>
      <c r="M105" t="s">
        <v>2364</v>
      </c>
      <c r="N105" s="43" t="s">
        <v>2365</v>
      </c>
      <c r="O105" s="43" t="s">
        <v>2366</v>
      </c>
      <c r="P105" s="43" t="s">
        <v>1172</v>
      </c>
      <c r="Q105" s="43" t="s">
        <v>2367</v>
      </c>
      <c r="R105">
        <v>2.1395</v>
      </c>
      <c r="S105">
        <v>44109</v>
      </c>
      <c r="T105" t="s">
        <v>311</v>
      </c>
      <c r="U105" t="s">
        <v>266</v>
      </c>
      <c r="V105" t="s">
        <v>267</v>
      </c>
      <c r="W105" t="s">
        <v>1718</v>
      </c>
      <c r="X105" t="s">
        <v>1719</v>
      </c>
      <c r="Y105">
        <v>8772802835</v>
      </c>
      <c r="Z105" t="s">
        <v>270</v>
      </c>
      <c r="AA105" t="s">
        <v>271</v>
      </c>
      <c r="AB105">
        <v>19</v>
      </c>
      <c r="AC105">
        <v>0</v>
      </c>
      <c r="AD105">
        <v>77</v>
      </c>
      <c r="AE105" t="s">
        <v>344</v>
      </c>
      <c r="AF105">
        <v>10</v>
      </c>
      <c r="AG105" t="s">
        <v>275</v>
      </c>
      <c r="AK105" s="43" t="s">
        <v>259</v>
      </c>
      <c r="AL105" s="43" t="s">
        <v>259</v>
      </c>
      <c r="AO105" s="23"/>
      <c r="AP105" s="23"/>
      <c r="AQ105" s="23"/>
      <c r="BC105" t="s">
        <v>259</v>
      </c>
      <c r="BD105" s="43" t="s">
        <v>259</v>
      </c>
      <c r="BE105" s="43" t="s">
        <v>259</v>
      </c>
      <c r="BF105" s="43" t="s">
        <v>259</v>
      </c>
      <c r="BG105" s="43" t="s">
        <v>259</v>
      </c>
      <c r="BH105" t="s">
        <v>259</v>
      </c>
      <c r="BI105" s="43" t="s">
        <v>259</v>
      </c>
      <c r="BJ105">
        <v>0</v>
      </c>
      <c r="BK105">
        <v>44109</v>
      </c>
      <c r="BL105">
        <v>44356</v>
      </c>
      <c r="BM105">
        <v>8505</v>
      </c>
      <c r="BN105">
        <v>8505</v>
      </c>
      <c r="BO105">
        <v>8505</v>
      </c>
      <c r="BP105">
        <v>25515</v>
      </c>
      <c r="BQ105">
        <v>3300</v>
      </c>
      <c r="BR105">
        <v>400</v>
      </c>
      <c r="BS105">
        <v>400</v>
      </c>
      <c r="BT105">
        <v>4100</v>
      </c>
      <c r="BU105">
        <v>2100</v>
      </c>
      <c r="BV105">
        <v>2100</v>
      </c>
      <c r="BW105">
        <v>2100</v>
      </c>
      <c r="BX105">
        <v>6300</v>
      </c>
      <c r="BY105">
        <v>1200</v>
      </c>
      <c r="BZ105">
        <v>1200</v>
      </c>
      <c r="CA105">
        <v>1200</v>
      </c>
      <c r="CB105">
        <v>3600</v>
      </c>
      <c r="CC105">
        <v>0</v>
      </c>
      <c r="CD105">
        <v>0</v>
      </c>
      <c r="CE105">
        <v>0</v>
      </c>
      <c r="CF105">
        <v>0</v>
      </c>
      <c r="CG105">
        <v>39515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1154</v>
      </c>
      <c r="EJ105">
        <v>1154</v>
      </c>
      <c r="EK105">
        <v>1155</v>
      </c>
      <c r="EL105">
        <v>3500</v>
      </c>
      <c r="EM105">
        <v>37.065000000000005</v>
      </c>
      <c r="EN105">
        <v>660</v>
      </c>
      <c r="EO105">
        <v>660</v>
      </c>
      <c r="EP105">
        <v>660</v>
      </c>
      <c r="EQ105">
        <v>2000</v>
      </c>
      <c r="ER105">
        <v>21.18</v>
      </c>
      <c r="ES105">
        <v>0</v>
      </c>
      <c r="ET105">
        <v>0</v>
      </c>
      <c r="EU105">
        <v>0</v>
      </c>
      <c r="EV105">
        <v>0</v>
      </c>
      <c r="EW105">
        <v>0</v>
      </c>
      <c r="FA105">
        <v>0</v>
      </c>
      <c r="FE105">
        <v>0</v>
      </c>
      <c r="FI105">
        <v>0</v>
      </c>
      <c r="FJ105">
        <v>5441.7550000000001</v>
      </c>
      <c r="FK105">
        <v>39515</v>
      </c>
      <c r="FL105">
        <v>35580.43210392214</v>
      </c>
      <c r="FM105">
        <v>34073.245000000003</v>
      </c>
    </row>
    <row r="106" spans="1:169" x14ac:dyDescent="0.35">
      <c r="A106">
        <v>193590</v>
      </c>
      <c r="B106" t="s">
        <v>2368</v>
      </c>
      <c r="C106" t="s">
        <v>1970</v>
      </c>
      <c r="D106" t="s">
        <v>2369</v>
      </c>
      <c r="E106" s="43" t="s">
        <v>2370</v>
      </c>
      <c r="F106">
        <v>1</v>
      </c>
      <c r="I106">
        <v>43783</v>
      </c>
      <c r="J106" t="s">
        <v>3304</v>
      </c>
      <c r="K106" t="s">
        <v>1715</v>
      </c>
      <c r="L106" s="43" t="s">
        <v>3204</v>
      </c>
      <c r="M106" t="s">
        <v>2371</v>
      </c>
      <c r="N106" s="43" t="s">
        <v>2372</v>
      </c>
      <c r="O106" s="43" t="s">
        <v>1454</v>
      </c>
      <c r="P106" s="43" t="s">
        <v>1091</v>
      </c>
      <c r="Q106" s="43" t="s">
        <v>2373</v>
      </c>
      <c r="R106">
        <v>3.41</v>
      </c>
      <c r="S106">
        <v>44109</v>
      </c>
      <c r="T106" t="s">
        <v>265</v>
      </c>
      <c r="U106" t="s">
        <v>266</v>
      </c>
      <c r="V106" t="s">
        <v>267</v>
      </c>
      <c r="W106" t="s">
        <v>1718</v>
      </c>
      <c r="X106" t="s">
        <v>1719</v>
      </c>
      <c r="Y106">
        <v>8772802835</v>
      </c>
      <c r="Z106" t="s">
        <v>270</v>
      </c>
      <c r="AA106" t="s">
        <v>271</v>
      </c>
      <c r="AB106">
        <v>26</v>
      </c>
      <c r="AC106">
        <v>0</v>
      </c>
      <c r="AD106">
        <v>114</v>
      </c>
      <c r="AE106" t="s">
        <v>364</v>
      </c>
      <c r="AF106">
        <v>3</v>
      </c>
      <c r="AG106" t="s">
        <v>275</v>
      </c>
      <c r="AH106">
        <v>90688</v>
      </c>
      <c r="AI106">
        <v>90688</v>
      </c>
      <c r="AJ106">
        <v>43774</v>
      </c>
      <c r="AK106" s="43" t="s">
        <v>3208</v>
      </c>
      <c r="AL106" s="43" t="s">
        <v>3209</v>
      </c>
      <c r="AO106" s="23"/>
      <c r="AP106" s="23"/>
      <c r="AQ106" s="23"/>
      <c r="BC106" t="s">
        <v>2018</v>
      </c>
      <c r="BD106" s="43" t="s">
        <v>2018</v>
      </c>
      <c r="BE106" s="43" t="s">
        <v>2018</v>
      </c>
      <c r="BF106" s="43" t="s">
        <v>2018</v>
      </c>
      <c r="BG106" s="43" t="s">
        <v>2018</v>
      </c>
      <c r="BH106" t="s">
        <v>2018</v>
      </c>
      <c r="BI106" s="43" t="s">
        <v>2018</v>
      </c>
      <c r="BJ106">
        <v>0</v>
      </c>
      <c r="BK106">
        <v>44109</v>
      </c>
      <c r="BL106">
        <v>44356</v>
      </c>
      <c r="BM106">
        <v>8505</v>
      </c>
      <c r="BN106">
        <v>8505</v>
      </c>
      <c r="BO106">
        <v>8505</v>
      </c>
      <c r="BP106">
        <v>25515</v>
      </c>
      <c r="BQ106">
        <v>3300</v>
      </c>
      <c r="BR106">
        <v>400</v>
      </c>
      <c r="BS106">
        <v>400</v>
      </c>
      <c r="BT106">
        <v>4100</v>
      </c>
      <c r="BU106">
        <v>2100</v>
      </c>
      <c r="BV106">
        <v>2100</v>
      </c>
      <c r="BW106">
        <v>2100</v>
      </c>
      <c r="BX106">
        <v>6300</v>
      </c>
      <c r="BY106">
        <v>1200</v>
      </c>
      <c r="BZ106">
        <v>1200</v>
      </c>
      <c r="CA106">
        <v>1200</v>
      </c>
      <c r="CB106">
        <v>3600</v>
      </c>
      <c r="CC106">
        <v>0</v>
      </c>
      <c r="CD106">
        <v>0</v>
      </c>
      <c r="CE106">
        <v>0</v>
      </c>
      <c r="CF106">
        <v>0</v>
      </c>
      <c r="CG106">
        <v>39515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1300</v>
      </c>
      <c r="CU106">
        <v>1300</v>
      </c>
      <c r="CV106">
        <v>1300</v>
      </c>
      <c r="CW106">
        <v>3900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3900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1814</v>
      </c>
      <c r="EO106">
        <v>1814</v>
      </c>
      <c r="EP106">
        <v>1814</v>
      </c>
      <c r="EQ106">
        <v>5500</v>
      </c>
      <c r="ER106">
        <v>58.245000000000005</v>
      </c>
      <c r="ES106">
        <v>0</v>
      </c>
      <c r="ET106">
        <v>0</v>
      </c>
      <c r="EU106">
        <v>0</v>
      </c>
      <c r="EV106">
        <v>0</v>
      </c>
      <c r="EW106">
        <v>0</v>
      </c>
      <c r="FA106">
        <v>0</v>
      </c>
      <c r="FE106">
        <v>0</v>
      </c>
      <c r="FI106">
        <v>0</v>
      </c>
      <c r="FJ106">
        <v>5441.7550000000001</v>
      </c>
      <c r="FK106">
        <v>35615</v>
      </c>
      <c r="FL106">
        <v>31507.920512927612</v>
      </c>
      <c r="FM106">
        <v>30173.244999999999</v>
      </c>
    </row>
    <row r="107" spans="1:169" x14ac:dyDescent="0.35">
      <c r="A107">
        <v>194205</v>
      </c>
      <c r="B107" t="s">
        <v>2374</v>
      </c>
      <c r="C107" t="s">
        <v>2375</v>
      </c>
      <c r="D107" t="s">
        <v>2376</v>
      </c>
      <c r="E107" s="43" t="s">
        <v>2377</v>
      </c>
      <c r="F107">
        <v>1</v>
      </c>
      <c r="I107">
        <v>43775</v>
      </c>
      <c r="J107" t="s">
        <v>3304</v>
      </c>
      <c r="K107" t="s">
        <v>1715</v>
      </c>
      <c r="L107" s="43" t="s">
        <v>3204</v>
      </c>
      <c r="M107" t="s">
        <v>2378</v>
      </c>
      <c r="N107" s="43" t="s">
        <v>2379</v>
      </c>
      <c r="O107" s="43" t="s">
        <v>2380</v>
      </c>
      <c r="P107" s="43" t="s">
        <v>553</v>
      </c>
      <c r="Q107" s="43" t="s">
        <v>2381</v>
      </c>
      <c r="R107">
        <v>3.75</v>
      </c>
      <c r="S107">
        <v>44109</v>
      </c>
      <c r="T107" t="s">
        <v>311</v>
      </c>
      <c r="U107" t="s">
        <v>266</v>
      </c>
      <c r="V107" t="s">
        <v>267</v>
      </c>
      <c r="W107" t="s">
        <v>1718</v>
      </c>
      <c r="X107" t="s">
        <v>1719</v>
      </c>
      <c r="Y107">
        <v>8772802835</v>
      </c>
      <c r="Z107" t="s">
        <v>270</v>
      </c>
      <c r="AA107" t="s">
        <v>271</v>
      </c>
      <c r="AB107">
        <v>33</v>
      </c>
      <c r="AC107">
        <v>0</v>
      </c>
      <c r="AD107">
        <v>135</v>
      </c>
      <c r="AE107" t="s">
        <v>301</v>
      </c>
      <c r="AF107">
        <v>1</v>
      </c>
      <c r="AG107" t="s">
        <v>275</v>
      </c>
      <c r="AH107">
        <v>0</v>
      </c>
      <c r="AI107">
        <v>0</v>
      </c>
      <c r="AJ107">
        <v>43774</v>
      </c>
      <c r="AK107" s="43" t="s">
        <v>3208</v>
      </c>
      <c r="AL107" s="43" t="s">
        <v>3209</v>
      </c>
      <c r="AO107" s="23"/>
      <c r="AP107" s="23"/>
      <c r="AQ107" s="23"/>
      <c r="BC107" t="s">
        <v>2018</v>
      </c>
      <c r="BD107" s="43" t="s">
        <v>2018</v>
      </c>
      <c r="BE107" s="43" t="s">
        <v>2018</v>
      </c>
      <c r="BF107" s="43" t="s">
        <v>2018</v>
      </c>
      <c r="BG107" s="43" t="s">
        <v>2018</v>
      </c>
      <c r="BH107" t="s">
        <v>2018</v>
      </c>
      <c r="BI107" s="43" t="s">
        <v>2018</v>
      </c>
      <c r="BJ107">
        <v>0</v>
      </c>
      <c r="BK107">
        <v>44109</v>
      </c>
      <c r="BL107">
        <v>44356</v>
      </c>
      <c r="BM107">
        <v>8505</v>
      </c>
      <c r="BN107">
        <v>8505</v>
      </c>
      <c r="BO107">
        <v>8505</v>
      </c>
      <c r="BP107">
        <v>25515</v>
      </c>
      <c r="BQ107">
        <v>3300</v>
      </c>
      <c r="BR107">
        <v>400</v>
      </c>
      <c r="BS107">
        <v>400</v>
      </c>
      <c r="BT107">
        <v>4100</v>
      </c>
      <c r="BU107">
        <v>2100</v>
      </c>
      <c r="BV107">
        <v>2100</v>
      </c>
      <c r="BW107">
        <v>2100</v>
      </c>
      <c r="BX107">
        <v>6300</v>
      </c>
      <c r="BY107">
        <v>1200</v>
      </c>
      <c r="BZ107">
        <v>1200</v>
      </c>
      <c r="CA107">
        <v>1200</v>
      </c>
      <c r="CB107">
        <v>3600</v>
      </c>
      <c r="CC107">
        <v>0</v>
      </c>
      <c r="CD107">
        <v>0</v>
      </c>
      <c r="CE107">
        <v>0</v>
      </c>
      <c r="CF107">
        <v>0</v>
      </c>
      <c r="CG107">
        <v>39515</v>
      </c>
      <c r="CH107">
        <v>0</v>
      </c>
      <c r="CI107">
        <v>0</v>
      </c>
      <c r="CJ107">
        <v>0</v>
      </c>
      <c r="CK107">
        <v>0</v>
      </c>
      <c r="CL107">
        <v>2065</v>
      </c>
      <c r="CM107">
        <v>2065</v>
      </c>
      <c r="CN107">
        <v>2065</v>
      </c>
      <c r="CO107">
        <v>6195</v>
      </c>
      <c r="CP107">
        <v>500</v>
      </c>
      <c r="CQ107">
        <v>500</v>
      </c>
      <c r="CR107">
        <v>500</v>
      </c>
      <c r="CS107">
        <v>1500</v>
      </c>
      <c r="CT107">
        <v>1700</v>
      </c>
      <c r="CU107">
        <v>1700</v>
      </c>
      <c r="CV107">
        <v>1700</v>
      </c>
      <c r="CW107">
        <v>5100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12795</v>
      </c>
      <c r="EE107">
        <v>0</v>
      </c>
      <c r="EF107">
        <v>0</v>
      </c>
      <c r="EG107">
        <v>0</v>
      </c>
      <c r="EH107">
        <v>0</v>
      </c>
      <c r="EI107">
        <v>1154</v>
      </c>
      <c r="EJ107">
        <v>1154</v>
      </c>
      <c r="EK107">
        <v>1155</v>
      </c>
      <c r="EL107">
        <v>3500</v>
      </c>
      <c r="EM107">
        <v>37.065000000000005</v>
      </c>
      <c r="EN107">
        <v>660</v>
      </c>
      <c r="EO107">
        <v>660</v>
      </c>
      <c r="EP107">
        <v>660</v>
      </c>
      <c r="EQ107">
        <v>2000</v>
      </c>
      <c r="ER107">
        <v>21.18</v>
      </c>
      <c r="ES107">
        <v>0</v>
      </c>
      <c r="ET107">
        <v>0</v>
      </c>
      <c r="EU107">
        <v>0</v>
      </c>
      <c r="EV107">
        <v>0</v>
      </c>
      <c r="EW107">
        <v>0</v>
      </c>
      <c r="FA107">
        <v>0</v>
      </c>
      <c r="FE107">
        <v>0</v>
      </c>
      <c r="FI107">
        <v>0</v>
      </c>
      <c r="FJ107">
        <v>5441.7550000000001</v>
      </c>
      <c r="FK107">
        <v>26720</v>
      </c>
      <c r="FL107">
        <v>22219.461384236245</v>
      </c>
      <c r="FM107">
        <v>21278.244999999999</v>
      </c>
    </row>
    <row r="108" spans="1:169" x14ac:dyDescent="0.35">
      <c r="A108">
        <v>198032</v>
      </c>
      <c r="B108" t="s">
        <v>2382</v>
      </c>
      <c r="C108" t="s">
        <v>2383</v>
      </c>
      <c r="D108" t="s">
        <v>2384</v>
      </c>
      <c r="E108" s="43" t="s">
        <v>2385</v>
      </c>
      <c r="F108">
        <v>1</v>
      </c>
      <c r="I108">
        <v>43782</v>
      </c>
      <c r="J108" t="s">
        <v>3305</v>
      </c>
      <c r="K108" t="s">
        <v>1715</v>
      </c>
      <c r="L108" s="43" t="s">
        <v>3204</v>
      </c>
      <c r="M108" t="s">
        <v>2386</v>
      </c>
      <c r="N108" s="43" t="s">
        <v>2387</v>
      </c>
      <c r="O108" s="43" t="s">
        <v>704</v>
      </c>
      <c r="P108" s="43" t="s">
        <v>372</v>
      </c>
      <c r="Q108" s="43" t="s">
        <v>2388</v>
      </c>
      <c r="R108">
        <v>3.1</v>
      </c>
      <c r="S108">
        <v>44109</v>
      </c>
      <c r="T108" t="s">
        <v>285</v>
      </c>
      <c r="U108" t="s">
        <v>286</v>
      </c>
      <c r="V108" t="s">
        <v>267</v>
      </c>
      <c r="W108" t="s">
        <v>1718</v>
      </c>
      <c r="X108" t="s">
        <v>1719</v>
      </c>
      <c r="Y108">
        <v>8772802835</v>
      </c>
      <c r="Z108" t="s">
        <v>270</v>
      </c>
      <c r="AA108" t="s">
        <v>271</v>
      </c>
      <c r="AB108">
        <v>0</v>
      </c>
      <c r="AC108">
        <v>0</v>
      </c>
      <c r="AD108">
        <v>0</v>
      </c>
      <c r="AE108" t="s">
        <v>344</v>
      </c>
      <c r="AF108">
        <v>10</v>
      </c>
      <c r="AG108" t="s">
        <v>275</v>
      </c>
      <c r="AH108">
        <v>1732</v>
      </c>
      <c r="AI108">
        <v>1732</v>
      </c>
      <c r="AJ108">
        <v>43774</v>
      </c>
      <c r="AK108" s="43" t="s">
        <v>3208</v>
      </c>
      <c r="AL108" s="43" t="s">
        <v>3209</v>
      </c>
      <c r="AO108" s="23"/>
      <c r="AP108" s="23"/>
      <c r="AQ108" s="23"/>
      <c r="BC108" t="s">
        <v>2018</v>
      </c>
      <c r="BD108" s="43" t="s">
        <v>2018</v>
      </c>
      <c r="BE108" s="43" t="s">
        <v>2018</v>
      </c>
      <c r="BF108" s="43" t="s">
        <v>2018</v>
      </c>
      <c r="BG108" s="43" t="s">
        <v>2018</v>
      </c>
      <c r="BH108" t="s">
        <v>2018</v>
      </c>
      <c r="BI108" s="43" t="s">
        <v>2018</v>
      </c>
      <c r="BJ108">
        <v>0</v>
      </c>
      <c r="BK108">
        <v>44109</v>
      </c>
      <c r="BL108">
        <v>44356</v>
      </c>
      <c r="BM108">
        <v>8505</v>
      </c>
      <c r="BN108">
        <v>8505</v>
      </c>
      <c r="BO108">
        <v>8505</v>
      </c>
      <c r="BP108">
        <v>25515</v>
      </c>
      <c r="BQ108">
        <v>3300</v>
      </c>
      <c r="BR108">
        <v>400</v>
      </c>
      <c r="BS108">
        <v>400</v>
      </c>
      <c r="BT108">
        <v>4100</v>
      </c>
      <c r="BU108">
        <v>2100</v>
      </c>
      <c r="BV108">
        <v>2100</v>
      </c>
      <c r="BW108">
        <v>2100</v>
      </c>
      <c r="BX108">
        <v>6300</v>
      </c>
      <c r="BY108">
        <v>1200</v>
      </c>
      <c r="BZ108">
        <v>1200</v>
      </c>
      <c r="CA108">
        <v>1200</v>
      </c>
      <c r="CB108">
        <v>3600</v>
      </c>
      <c r="CC108">
        <v>0</v>
      </c>
      <c r="CD108">
        <v>0</v>
      </c>
      <c r="CE108">
        <v>0</v>
      </c>
      <c r="CF108">
        <v>0</v>
      </c>
      <c r="CG108">
        <v>39515</v>
      </c>
      <c r="CH108">
        <v>0</v>
      </c>
      <c r="CI108">
        <v>0</v>
      </c>
      <c r="CJ108">
        <v>0</v>
      </c>
      <c r="CK108">
        <v>0</v>
      </c>
      <c r="CL108">
        <v>1482</v>
      </c>
      <c r="CM108">
        <v>1482</v>
      </c>
      <c r="CN108">
        <v>1481</v>
      </c>
      <c r="CO108">
        <v>4445</v>
      </c>
      <c r="CP108">
        <v>500</v>
      </c>
      <c r="CQ108">
        <v>500</v>
      </c>
      <c r="CR108">
        <v>500</v>
      </c>
      <c r="CS108">
        <v>1500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1000</v>
      </c>
      <c r="DC108">
        <v>1000</v>
      </c>
      <c r="DD108">
        <v>1000</v>
      </c>
      <c r="DE108">
        <v>3000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8945</v>
      </c>
      <c r="EE108">
        <v>0</v>
      </c>
      <c r="EF108">
        <v>0</v>
      </c>
      <c r="EG108">
        <v>0</v>
      </c>
      <c r="EH108">
        <v>0</v>
      </c>
      <c r="EI108">
        <v>1154</v>
      </c>
      <c r="EJ108">
        <v>1154</v>
      </c>
      <c r="EK108">
        <v>1155</v>
      </c>
      <c r="EL108">
        <v>3500</v>
      </c>
      <c r="EM108">
        <v>37.065000000000005</v>
      </c>
      <c r="EN108">
        <v>660</v>
      </c>
      <c r="EO108">
        <v>660</v>
      </c>
      <c r="EP108">
        <v>660</v>
      </c>
      <c r="EQ108">
        <v>2000</v>
      </c>
      <c r="ER108">
        <v>21.18</v>
      </c>
      <c r="ES108">
        <v>0</v>
      </c>
      <c r="ET108">
        <v>0</v>
      </c>
      <c r="EU108">
        <v>0</v>
      </c>
      <c r="EV108">
        <v>0</v>
      </c>
      <c r="EW108">
        <v>0</v>
      </c>
      <c r="FA108">
        <v>0</v>
      </c>
      <c r="FE108">
        <v>0</v>
      </c>
      <c r="FI108">
        <v>0</v>
      </c>
      <c r="FJ108">
        <v>5441.7550000000001</v>
      </c>
      <c r="FK108">
        <v>30570</v>
      </c>
      <c r="FL108">
        <v>26239.761288166741</v>
      </c>
      <c r="FM108">
        <v>25128.244999999999</v>
      </c>
    </row>
    <row r="109" spans="1:169" x14ac:dyDescent="0.35">
      <c r="A109">
        <v>199425</v>
      </c>
      <c r="B109" t="s">
        <v>3995</v>
      </c>
      <c r="C109" t="s">
        <v>2520</v>
      </c>
      <c r="D109" t="s">
        <v>3996</v>
      </c>
      <c r="E109" s="43" t="s">
        <v>3997</v>
      </c>
      <c r="F109">
        <v>1</v>
      </c>
      <c r="I109">
        <v>43804</v>
      </c>
      <c r="J109" t="s">
        <v>4242</v>
      </c>
      <c r="K109" t="s">
        <v>1715</v>
      </c>
      <c r="L109" s="43" t="s">
        <v>259</v>
      </c>
      <c r="M109" t="s">
        <v>3998</v>
      </c>
      <c r="N109" s="43" t="s">
        <v>3999</v>
      </c>
      <c r="O109" s="43" t="s">
        <v>4000</v>
      </c>
      <c r="P109" s="43" t="s">
        <v>542</v>
      </c>
      <c r="Q109" s="43" t="s">
        <v>4001</v>
      </c>
      <c r="S109">
        <v>44109</v>
      </c>
      <c r="T109" t="s">
        <v>311</v>
      </c>
      <c r="U109" t="s">
        <v>266</v>
      </c>
      <c r="V109" t="s">
        <v>267</v>
      </c>
      <c r="W109" t="s">
        <v>1718</v>
      </c>
      <c r="X109" t="s">
        <v>1719</v>
      </c>
      <c r="Y109">
        <v>8772802835</v>
      </c>
      <c r="Z109" t="s">
        <v>270</v>
      </c>
      <c r="AA109" t="s">
        <v>271</v>
      </c>
      <c r="AB109">
        <v>25</v>
      </c>
      <c r="AC109">
        <v>0</v>
      </c>
      <c r="AD109">
        <v>119</v>
      </c>
      <c r="AE109" t="s">
        <v>301</v>
      </c>
      <c r="AF109">
        <v>1</v>
      </c>
      <c r="AG109" t="s">
        <v>3345</v>
      </c>
      <c r="AK109" s="43" t="s">
        <v>259</v>
      </c>
      <c r="AL109" s="43" t="s">
        <v>259</v>
      </c>
      <c r="AO109" s="23"/>
      <c r="AP109" s="23"/>
      <c r="AQ109" s="23"/>
      <c r="BC109" t="s">
        <v>259</v>
      </c>
      <c r="BD109" s="43" t="s">
        <v>259</v>
      </c>
      <c r="BE109" s="43" t="s">
        <v>259</v>
      </c>
      <c r="BF109" s="43" t="s">
        <v>259</v>
      </c>
      <c r="BG109" s="43" t="s">
        <v>259</v>
      </c>
      <c r="BH109" t="s">
        <v>259</v>
      </c>
      <c r="BI109" s="43" t="s">
        <v>259</v>
      </c>
      <c r="BJ109">
        <v>0</v>
      </c>
      <c r="BK109">
        <v>44109</v>
      </c>
      <c r="BL109">
        <v>44356</v>
      </c>
      <c r="BM109">
        <v>8505</v>
      </c>
      <c r="BN109">
        <v>8505</v>
      </c>
      <c r="BO109">
        <v>8505</v>
      </c>
      <c r="BP109">
        <v>25515</v>
      </c>
      <c r="BQ109">
        <v>3300</v>
      </c>
      <c r="BR109">
        <v>400</v>
      </c>
      <c r="BS109">
        <v>400</v>
      </c>
      <c r="BT109">
        <v>4100</v>
      </c>
      <c r="BU109">
        <v>2100</v>
      </c>
      <c r="BV109">
        <v>2100</v>
      </c>
      <c r="BW109">
        <v>2100</v>
      </c>
      <c r="BX109">
        <v>6300</v>
      </c>
      <c r="BY109">
        <v>1200</v>
      </c>
      <c r="BZ109">
        <v>1200</v>
      </c>
      <c r="CA109">
        <v>1200</v>
      </c>
      <c r="CB109">
        <v>3600</v>
      </c>
      <c r="CC109">
        <v>0</v>
      </c>
      <c r="CD109">
        <v>0</v>
      </c>
      <c r="CE109">
        <v>0</v>
      </c>
      <c r="CF109">
        <v>0</v>
      </c>
      <c r="CG109">
        <v>39515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1700</v>
      </c>
      <c r="CU109">
        <v>1700</v>
      </c>
      <c r="CV109">
        <v>1700</v>
      </c>
      <c r="CW109">
        <v>5100</v>
      </c>
      <c r="CX109">
        <v>3000</v>
      </c>
      <c r="CY109">
        <v>3000</v>
      </c>
      <c r="CZ109">
        <v>3000</v>
      </c>
      <c r="DA109">
        <v>9000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14100</v>
      </c>
      <c r="EE109">
        <v>0</v>
      </c>
      <c r="EF109">
        <v>0</v>
      </c>
      <c r="EG109">
        <v>0</v>
      </c>
      <c r="EH109">
        <v>0</v>
      </c>
      <c r="EI109">
        <v>1154</v>
      </c>
      <c r="EJ109">
        <v>1154</v>
      </c>
      <c r="EK109">
        <v>1155</v>
      </c>
      <c r="EL109">
        <v>3500</v>
      </c>
      <c r="EM109">
        <v>37.065000000000005</v>
      </c>
      <c r="EN109">
        <v>660</v>
      </c>
      <c r="EO109">
        <v>660</v>
      </c>
      <c r="EP109">
        <v>660</v>
      </c>
      <c r="EQ109">
        <v>2000</v>
      </c>
      <c r="ER109">
        <v>21.18</v>
      </c>
      <c r="ES109">
        <v>0</v>
      </c>
      <c r="ET109">
        <v>0</v>
      </c>
      <c r="EU109">
        <v>0</v>
      </c>
      <c r="EV109">
        <v>0</v>
      </c>
      <c r="EW109">
        <v>0</v>
      </c>
      <c r="FA109">
        <v>0</v>
      </c>
      <c r="FE109">
        <v>0</v>
      </c>
      <c r="FI109">
        <v>0</v>
      </c>
      <c r="FJ109">
        <v>5441.7550000000001</v>
      </c>
      <c r="FK109">
        <v>25415</v>
      </c>
      <c r="FL109">
        <v>20856.736351865002</v>
      </c>
      <c r="FM109">
        <v>19973.244999999999</v>
      </c>
    </row>
    <row r="110" spans="1:169" x14ac:dyDescent="0.35">
      <c r="A110">
        <v>197847</v>
      </c>
      <c r="B110" t="s">
        <v>2389</v>
      </c>
      <c r="C110" t="s">
        <v>426</v>
      </c>
      <c r="D110" t="s">
        <v>2390</v>
      </c>
      <c r="E110" s="43" t="s">
        <v>2391</v>
      </c>
      <c r="F110">
        <v>1</v>
      </c>
      <c r="I110">
        <v>43804</v>
      </c>
      <c r="J110" t="s">
        <v>4242</v>
      </c>
      <c r="K110" t="s">
        <v>1715</v>
      </c>
      <c r="L110" s="43" t="s">
        <v>259</v>
      </c>
      <c r="M110" t="s">
        <v>2392</v>
      </c>
      <c r="N110" s="43" t="s">
        <v>2393</v>
      </c>
      <c r="O110" s="43" t="s">
        <v>537</v>
      </c>
      <c r="P110" s="43" t="s">
        <v>813</v>
      </c>
      <c r="Q110" s="43" t="s">
        <v>2394</v>
      </c>
      <c r="R110">
        <v>3.891</v>
      </c>
      <c r="S110">
        <v>44109</v>
      </c>
      <c r="T110" t="s">
        <v>265</v>
      </c>
      <c r="U110" t="s">
        <v>266</v>
      </c>
      <c r="V110" t="s">
        <v>267</v>
      </c>
      <c r="W110" t="s">
        <v>1718</v>
      </c>
      <c r="X110" t="s">
        <v>1719</v>
      </c>
      <c r="Y110">
        <v>8772802835</v>
      </c>
      <c r="Z110" t="s">
        <v>270</v>
      </c>
      <c r="AA110" t="s">
        <v>271</v>
      </c>
      <c r="AB110">
        <v>0</v>
      </c>
      <c r="AC110">
        <v>0</v>
      </c>
      <c r="AD110">
        <v>0</v>
      </c>
      <c r="AE110" t="s">
        <v>445</v>
      </c>
      <c r="AF110">
        <v>4</v>
      </c>
      <c r="AG110" t="s">
        <v>275</v>
      </c>
      <c r="AK110" s="43" t="s">
        <v>259</v>
      </c>
      <c r="AL110" s="43" t="s">
        <v>259</v>
      </c>
      <c r="AO110" s="23"/>
      <c r="AP110" s="23"/>
      <c r="AQ110" s="23"/>
      <c r="BC110" t="s">
        <v>259</v>
      </c>
      <c r="BD110" s="43" t="s">
        <v>259</v>
      </c>
      <c r="BE110" s="43" t="s">
        <v>259</v>
      </c>
      <c r="BF110" s="43" t="s">
        <v>259</v>
      </c>
      <c r="BG110" s="43" t="s">
        <v>259</v>
      </c>
      <c r="BH110" t="s">
        <v>259</v>
      </c>
      <c r="BI110" s="43" t="s">
        <v>259</v>
      </c>
      <c r="BJ110">
        <v>0</v>
      </c>
      <c r="BK110">
        <v>44109</v>
      </c>
      <c r="BL110">
        <v>44356</v>
      </c>
      <c r="BM110">
        <v>8505</v>
      </c>
      <c r="BN110">
        <v>8505</v>
      </c>
      <c r="BO110">
        <v>8505</v>
      </c>
      <c r="BP110">
        <v>25515</v>
      </c>
      <c r="BQ110">
        <v>3300</v>
      </c>
      <c r="BR110">
        <v>400</v>
      </c>
      <c r="BS110">
        <v>400</v>
      </c>
      <c r="BT110">
        <v>4100</v>
      </c>
      <c r="BU110">
        <v>2100</v>
      </c>
      <c r="BV110">
        <v>2100</v>
      </c>
      <c r="BW110">
        <v>2100</v>
      </c>
      <c r="BX110">
        <v>6300</v>
      </c>
      <c r="BY110">
        <v>1200</v>
      </c>
      <c r="BZ110">
        <v>1200</v>
      </c>
      <c r="CA110">
        <v>1200</v>
      </c>
      <c r="CB110">
        <v>3600</v>
      </c>
      <c r="CC110">
        <v>0</v>
      </c>
      <c r="CD110">
        <v>0</v>
      </c>
      <c r="CE110">
        <v>0</v>
      </c>
      <c r="CF110">
        <v>0</v>
      </c>
      <c r="CG110">
        <v>39515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1250</v>
      </c>
      <c r="CU110">
        <v>1250</v>
      </c>
      <c r="CV110">
        <v>1250</v>
      </c>
      <c r="CW110">
        <v>3750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3750</v>
      </c>
      <c r="EE110">
        <v>0</v>
      </c>
      <c r="EF110">
        <v>0</v>
      </c>
      <c r="EG110">
        <v>0</v>
      </c>
      <c r="EH110">
        <v>0</v>
      </c>
      <c r="EI110">
        <v>1154</v>
      </c>
      <c r="EJ110">
        <v>1154</v>
      </c>
      <c r="EK110">
        <v>1155</v>
      </c>
      <c r="EL110">
        <v>3500</v>
      </c>
      <c r="EM110">
        <v>37.065000000000005</v>
      </c>
      <c r="EN110">
        <v>660</v>
      </c>
      <c r="EO110">
        <v>660</v>
      </c>
      <c r="EP110">
        <v>660</v>
      </c>
      <c r="EQ110">
        <v>2000</v>
      </c>
      <c r="ER110">
        <v>21.18</v>
      </c>
      <c r="ES110">
        <v>0</v>
      </c>
      <c r="ET110">
        <v>0</v>
      </c>
      <c r="EU110">
        <v>0</v>
      </c>
      <c r="EV110">
        <v>0</v>
      </c>
      <c r="EW110">
        <v>0</v>
      </c>
      <c r="FA110">
        <v>0</v>
      </c>
      <c r="FE110">
        <v>0</v>
      </c>
      <c r="FI110">
        <v>0</v>
      </c>
      <c r="FJ110">
        <v>5441.7550000000001</v>
      </c>
      <c r="FK110">
        <v>35765</v>
      </c>
      <c r="FL110">
        <v>31664.555574119709</v>
      </c>
      <c r="FM110">
        <v>30323.244999999999</v>
      </c>
    </row>
    <row r="111" spans="1:169" x14ac:dyDescent="0.35">
      <c r="A111">
        <v>199000</v>
      </c>
      <c r="B111" t="s">
        <v>3674</v>
      </c>
      <c r="C111" t="s">
        <v>3675</v>
      </c>
      <c r="D111" t="s">
        <v>3676</v>
      </c>
      <c r="E111" s="43" t="s">
        <v>3677</v>
      </c>
      <c r="F111">
        <v>1</v>
      </c>
      <c r="I111">
        <v>43804</v>
      </c>
      <c r="J111" t="s">
        <v>4242</v>
      </c>
      <c r="K111" t="s">
        <v>1715</v>
      </c>
      <c r="L111" s="43" t="s">
        <v>259</v>
      </c>
      <c r="M111" t="s">
        <v>3678</v>
      </c>
      <c r="N111" s="43" t="s">
        <v>3679</v>
      </c>
      <c r="O111" s="43" t="s">
        <v>3680</v>
      </c>
      <c r="P111" s="43" t="s">
        <v>297</v>
      </c>
      <c r="Q111" s="43" t="s">
        <v>2401</v>
      </c>
      <c r="S111">
        <v>44109</v>
      </c>
      <c r="T111" t="s">
        <v>311</v>
      </c>
      <c r="U111" t="s">
        <v>266</v>
      </c>
      <c r="V111" t="s">
        <v>267</v>
      </c>
      <c r="W111" t="s">
        <v>1718</v>
      </c>
      <c r="X111" t="s">
        <v>1719</v>
      </c>
      <c r="Y111">
        <v>8772802835</v>
      </c>
      <c r="Z111" t="s">
        <v>270</v>
      </c>
      <c r="AA111" t="s">
        <v>271</v>
      </c>
      <c r="AB111">
        <v>0</v>
      </c>
      <c r="AC111">
        <v>0</v>
      </c>
      <c r="AD111">
        <v>0</v>
      </c>
      <c r="AE111" t="s">
        <v>376</v>
      </c>
      <c r="AF111">
        <v>7</v>
      </c>
      <c r="AG111" t="s">
        <v>3345</v>
      </c>
      <c r="AK111" s="43" t="s">
        <v>259</v>
      </c>
      <c r="AL111" s="43" t="s">
        <v>259</v>
      </c>
      <c r="AO111" s="23"/>
      <c r="AP111" s="23"/>
      <c r="AQ111" s="23"/>
      <c r="BC111" t="s">
        <v>259</v>
      </c>
      <c r="BD111" s="43" t="s">
        <v>259</v>
      </c>
      <c r="BE111" s="43" t="s">
        <v>259</v>
      </c>
      <c r="BF111" s="43" t="s">
        <v>259</v>
      </c>
      <c r="BG111" s="43" t="s">
        <v>259</v>
      </c>
      <c r="BH111" t="s">
        <v>259</v>
      </c>
      <c r="BI111" s="43" t="s">
        <v>259</v>
      </c>
      <c r="BJ111">
        <v>0</v>
      </c>
      <c r="BK111">
        <v>44109</v>
      </c>
      <c r="BL111">
        <v>44356</v>
      </c>
      <c r="BM111">
        <v>8505</v>
      </c>
      <c r="BN111">
        <v>8505</v>
      </c>
      <c r="BO111">
        <v>8505</v>
      </c>
      <c r="BP111">
        <v>25515</v>
      </c>
      <c r="BQ111">
        <v>3300</v>
      </c>
      <c r="BR111">
        <v>400</v>
      </c>
      <c r="BS111">
        <v>400</v>
      </c>
      <c r="BT111">
        <v>4100</v>
      </c>
      <c r="BU111">
        <v>2100</v>
      </c>
      <c r="BV111">
        <v>2100</v>
      </c>
      <c r="BW111">
        <v>2100</v>
      </c>
      <c r="BX111">
        <v>6300</v>
      </c>
      <c r="BY111">
        <v>1200</v>
      </c>
      <c r="BZ111">
        <v>1200</v>
      </c>
      <c r="CA111">
        <v>1200</v>
      </c>
      <c r="CB111">
        <v>3600</v>
      </c>
      <c r="CC111">
        <v>0</v>
      </c>
      <c r="CD111">
        <v>0</v>
      </c>
      <c r="CE111">
        <v>0</v>
      </c>
      <c r="CF111">
        <v>0</v>
      </c>
      <c r="CG111">
        <v>39515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M111">
        <v>0</v>
      </c>
      <c r="EN111">
        <v>660</v>
      </c>
      <c r="EO111">
        <v>660</v>
      </c>
      <c r="EP111">
        <v>660</v>
      </c>
      <c r="EQ111">
        <v>2000</v>
      </c>
      <c r="ER111">
        <v>21.18</v>
      </c>
      <c r="ES111">
        <v>0</v>
      </c>
      <c r="ET111">
        <v>0</v>
      </c>
      <c r="EU111">
        <v>0</v>
      </c>
      <c r="EW111">
        <v>0</v>
      </c>
      <c r="FA111">
        <v>0</v>
      </c>
      <c r="FE111">
        <v>0</v>
      </c>
      <c r="FI111">
        <v>0</v>
      </c>
      <c r="FJ111">
        <v>1978.82</v>
      </c>
      <c r="FK111">
        <v>39515</v>
      </c>
      <c r="FL111">
        <v>39196.54567478384</v>
      </c>
      <c r="FM111">
        <v>37536.18</v>
      </c>
    </row>
    <row r="112" spans="1:169" x14ac:dyDescent="0.35">
      <c r="A112">
        <v>191895</v>
      </c>
      <c r="B112" t="s">
        <v>4002</v>
      </c>
      <c r="C112" t="s">
        <v>1955</v>
      </c>
      <c r="D112" t="s">
        <v>4003</v>
      </c>
      <c r="E112" s="43" t="s">
        <v>4004</v>
      </c>
      <c r="F112">
        <v>1</v>
      </c>
      <c r="I112">
        <v>43803</v>
      </c>
      <c r="J112" t="s">
        <v>3304</v>
      </c>
      <c r="K112" t="s">
        <v>1715</v>
      </c>
      <c r="L112" s="43" t="s">
        <v>3204</v>
      </c>
      <c r="M112" t="s">
        <v>4005</v>
      </c>
      <c r="N112" s="43" t="s">
        <v>4006</v>
      </c>
      <c r="O112" s="43" t="s">
        <v>2643</v>
      </c>
      <c r="P112" s="43" t="s">
        <v>309</v>
      </c>
      <c r="Q112" s="43" t="s">
        <v>4007</v>
      </c>
      <c r="S112">
        <v>44109</v>
      </c>
      <c r="T112" t="s">
        <v>285</v>
      </c>
      <c r="U112" t="s">
        <v>266</v>
      </c>
      <c r="V112" t="s">
        <v>267</v>
      </c>
      <c r="W112" t="s">
        <v>1718</v>
      </c>
      <c r="X112" t="s">
        <v>1719</v>
      </c>
      <c r="Y112">
        <v>8772802835</v>
      </c>
      <c r="Z112" t="s">
        <v>270</v>
      </c>
      <c r="AA112" t="s">
        <v>271</v>
      </c>
      <c r="AB112">
        <v>0</v>
      </c>
      <c r="AC112">
        <v>1340</v>
      </c>
      <c r="AD112">
        <v>131</v>
      </c>
      <c r="AE112" t="s">
        <v>301</v>
      </c>
      <c r="AF112">
        <v>1</v>
      </c>
      <c r="AG112" t="s">
        <v>3345</v>
      </c>
      <c r="AH112">
        <v>19571</v>
      </c>
      <c r="AI112">
        <v>19571</v>
      </c>
      <c r="AJ112">
        <v>43790</v>
      </c>
      <c r="AK112" s="43" t="s">
        <v>3208</v>
      </c>
      <c r="AL112" s="43" t="s">
        <v>3209</v>
      </c>
      <c r="AO112" s="23">
        <v>43795</v>
      </c>
      <c r="AP112" s="23"/>
      <c r="AQ112" s="23"/>
      <c r="BC112" t="s">
        <v>2018</v>
      </c>
      <c r="BD112" s="43" t="s">
        <v>2018</v>
      </c>
      <c r="BE112" s="43" t="s">
        <v>2018</v>
      </c>
      <c r="BF112" s="43" t="s">
        <v>2018</v>
      </c>
      <c r="BG112" s="43" t="s">
        <v>2018</v>
      </c>
      <c r="BH112" t="s">
        <v>2018</v>
      </c>
      <c r="BI112" s="43" t="s">
        <v>2018</v>
      </c>
      <c r="BJ112">
        <v>6.25E-2</v>
      </c>
      <c r="BK112">
        <v>44109</v>
      </c>
      <c r="BL112">
        <v>44356</v>
      </c>
      <c r="BM112">
        <v>8505</v>
      </c>
      <c r="BN112">
        <v>8505</v>
      </c>
      <c r="BO112">
        <v>8505</v>
      </c>
      <c r="BP112">
        <v>25515</v>
      </c>
      <c r="BQ112">
        <v>3300</v>
      </c>
      <c r="BR112">
        <v>400</v>
      </c>
      <c r="BS112">
        <v>400</v>
      </c>
      <c r="BT112">
        <v>4100</v>
      </c>
      <c r="BU112">
        <v>2100</v>
      </c>
      <c r="BV112">
        <v>2100</v>
      </c>
      <c r="BW112">
        <v>2100</v>
      </c>
      <c r="BX112">
        <v>6300</v>
      </c>
      <c r="BY112">
        <v>1200</v>
      </c>
      <c r="BZ112">
        <v>1200</v>
      </c>
      <c r="CA112">
        <v>1200</v>
      </c>
      <c r="CB112">
        <v>3600</v>
      </c>
      <c r="CC112">
        <v>0</v>
      </c>
      <c r="CD112">
        <v>0</v>
      </c>
      <c r="CE112">
        <v>0</v>
      </c>
      <c r="CF112">
        <v>0</v>
      </c>
      <c r="CG112">
        <v>39515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1700</v>
      </c>
      <c r="CU112">
        <v>1700</v>
      </c>
      <c r="CV112">
        <v>1700</v>
      </c>
      <c r="CW112">
        <v>5100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5100</v>
      </c>
      <c r="EE112">
        <v>0</v>
      </c>
      <c r="EF112">
        <v>0</v>
      </c>
      <c r="EG112">
        <v>0</v>
      </c>
      <c r="EH112">
        <v>0</v>
      </c>
      <c r="EI112">
        <v>1154</v>
      </c>
      <c r="EJ112">
        <v>1154</v>
      </c>
      <c r="EK112">
        <v>1155</v>
      </c>
      <c r="EL112">
        <v>3500</v>
      </c>
      <c r="EM112">
        <v>37.065000000000005</v>
      </c>
      <c r="EN112">
        <v>660</v>
      </c>
      <c r="EO112">
        <v>660</v>
      </c>
      <c r="EP112">
        <v>660</v>
      </c>
      <c r="EQ112">
        <v>2000</v>
      </c>
      <c r="ER112">
        <v>21.18</v>
      </c>
      <c r="ES112">
        <v>0</v>
      </c>
      <c r="ET112">
        <v>0</v>
      </c>
      <c r="EU112">
        <v>0</v>
      </c>
      <c r="EV112">
        <v>0</v>
      </c>
      <c r="EW112">
        <v>0</v>
      </c>
      <c r="FA112">
        <v>0</v>
      </c>
      <c r="FE112">
        <v>0</v>
      </c>
      <c r="FI112">
        <v>0</v>
      </c>
      <c r="FJ112">
        <v>5441.7550000000001</v>
      </c>
      <c r="FK112">
        <v>34415</v>
      </c>
      <c r="FL112">
        <v>30254.840023390832</v>
      </c>
      <c r="FM112">
        <v>28973.244999999999</v>
      </c>
    </row>
    <row r="113" spans="1:169" x14ac:dyDescent="0.35">
      <c r="A113">
        <v>199137</v>
      </c>
      <c r="B113" t="s">
        <v>4008</v>
      </c>
      <c r="C113" t="s">
        <v>4009</v>
      </c>
      <c r="D113" t="s">
        <v>4010</v>
      </c>
      <c r="E113" s="43" t="s">
        <v>4011</v>
      </c>
      <c r="F113">
        <v>1</v>
      </c>
      <c r="I113">
        <v>43804</v>
      </c>
      <c r="J113" t="s">
        <v>4242</v>
      </c>
      <c r="K113" t="s">
        <v>1715</v>
      </c>
      <c r="L113" s="43" t="s">
        <v>259</v>
      </c>
      <c r="M113" t="s">
        <v>4012</v>
      </c>
      <c r="N113" s="43" t="s">
        <v>4013</v>
      </c>
      <c r="O113" s="43" t="s">
        <v>3850</v>
      </c>
      <c r="P113" s="43" t="s">
        <v>372</v>
      </c>
      <c r="Q113" s="43" t="s">
        <v>4014</v>
      </c>
      <c r="S113">
        <v>44109</v>
      </c>
      <c r="T113" t="s">
        <v>311</v>
      </c>
      <c r="U113" t="s">
        <v>266</v>
      </c>
      <c r="V113" t="s">
        <v>267</v>
      </c>
      <c r="W113" t="s">
        <v>1718</v>
      </c>
      <c r="X113" t="s">
        <v>1719</v>
      </c>
      <c r="Y113">
        <v>8772802835</v>
      </c>
      <c r="Z113" t="s">
        <v>270</v>
      </c>
      <c r="AA113" t="s">
        <v>271</v>
      </c>
      <c r="AB113">
        <v>0</v>
      </c>
      <c r="AC113">
        <v>0</v>
      </c>
      <c r="AD113">
        <v>0</v>
      </c>
      <c r="AE113" t="s">
        <v>445</v>
      </c>
      <c r="AF113">
        <v>4</v>
      </c>
      <c r="AG113" t="s">
        <v>3345</v>
      </c>
      <c r="AK113" s="43" t="s">
        <v>259</v>
      </c>
      <c r="AL113" s="43" t="s">
        <v>259</v>
      </c>
      <c r="AO113" s="23"/>
      <c r="AP113" s="23"/>
      <c r="AQ113" s="23"/>
      <c r="BC113" t="s">
        <v>259</v>
      </c>
      <c r="BD113" s="43" t="s">
        <v>259</v>
      </c>
      <c r="BE113" s="43" t="s">
        <v>259</v>
      </c>
      <c r="BF113" s="43" t="s">
        <v>259</v>
      </c>
      <c r="BG113" s="43" t="s">
        <v>259</v>
      </c>
      <c r="BH113" t="s">
        <v>259</v>
      </c>
      <c r="BI113" s="43" t="s">
        <v>259</v>
      </c>
      <c r="BJ113">
        <v>0</v>
      </c>
      <c r="BK113">
        <v>44109</v>
      </c>
      <c r="BL113">
        <v>44356</v>
      </c>
      <c r="BM113">
        <v>8505</v>
      </c>
      <c r="BN113">
        <v>8505</v>
      </c>
      <c r="BO113">
        <v>8505</v>
      </c>
      <c r="BP113">
        <v>25515</v>
      </c>
      <c r="BQ113">
        <v>3300</v>
      </c>
      <c r="BR113">
        <v>400</v>
      </c>
      <c r="BS113">
        <v>400</v>
      </c>
      <c r="BT113">
        <v>4100</v>
      </c>
      <c r="BU113">
        <v>2100</v>
      </c>
      <c r="BV113">
        <v>2100</v>
      </c>
      <c r="BW113">
        <v>2100</v>
      </c>
      <c r="BX113">
        <v>6300</v>
      </c>
      <c r="BY113">
        <v>1200</v>
      </c>
      <c r="BZ113">
        <v>1200</v>
      </c>
      <c r="CA113">
        <v>1200</v>
      </c>
      <c r="CB113">
        <v>3600</v>
      </c>
      <c r="CC113">
        <v>0</v>
      </c>
      <c r="CD113">
        <v>0</v>
      </c>
      <c r="CE113">
        <v>0</v>
      </c>
      <c r="CF113">
        <v>0</v>
      </c>
      <c r="CG113">
        <v>39515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1250</v>
      </c>
      <c r="CU113">
        <v>1250</v>
      </c>
      <c r="CV113">
        <v>1250</v>
      </c>
      <c r="CW113">
        <v>3750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3750</v>
      </c>
      <c r="EE113">
        <v>0</v>
      </c>
      <c r="EF113">
        <v>0</v>
      </c>
      <c r="EG113">
        <v>0</v>
      </c>
      <c r="EH113">
        <v>0</v>
      </c>
      <c r="EI113">
        <v>1154</v>
      </c>
      <c r="EJ113">
        <v>1154</v>
      </c>
      <c r="EK113">
        <v>1155</v>
      </c>
      <c r="EL113">
        <v>3500</v>
      </c>
      <c r="EM113">
        <v>37.065000000000005</v>
      </c>
      <c r="EN113">
        <v>660</v>
      </c>
      <c r="EO113">
        <v>660</v>
      </c>
      <c r="EP113">
        <v>660</v>
      </c>
      <c r="EQ113">
        <v>2000</v>
      </c>
      <c r="ER113">
        <v>21.18</v>
      </c>
      <c r="ES113">
        <v>0</v>
      </c>
      <c r="ET113">
        <v>0</v>
      </c>
      <c r="EU113">
        <v>0</v>
      </c>
      <c r="EV113">
        <v>0</v>
      </c>
      <c r="EW113">
        <v>0</v>
      </c>
      <c r="FA113">
        <v>0</v>
      </c>
      <c r="FE113">
        <v>0</v>
      </c>
      <c r="FI113">
        <v>0</v>
      </c>
      <c r="FJ113">
        <v>5441.7550000000001</v>
      </c>
      <c r="FK113">
        <v>35765</v>
      </c>
      <c r="FL113">
        <v>31664.555574119709</v>
      </c>
      <c r="FM113">
        <v>30323.244999999999</v>
      </c>
    </row>
    <row r="114" spans="1:169" x14ac:dyDescent="0.35">
      <c r="A114">
        <v>194296</v>
      </c>
      <c r="B114" t="s">
        <v>2395</v>
      </c>
      <c r="C114" t="s">
        <v>2396</v>
      </c>
      <c r="D114" t="s">
        <v>2397</v>
      </c>
      <c r="E114" s="43" t="s">
        <v>2398</v>
      </c>
      <c r="F114">
        <v>1</v>
      </c>
      <c r="I114">
        <v>43782</v>
      </c>
      <c r="J114" t="s">
        <v>3304</v>
      </c>
      <c r="K114" t="s">
        <v>1715</v>
      </c>
      <c r="L114" s="43" t="s">
        <v>344</v>
      </c>
      <c r="M114" t="s">
        <v>2399</v>
      </c>
      <c r="N114" s="43" t="s">
        <v>2400</v>
      </c>
      <c r="O114" s="43" t="s">
        <v>777</v>
      </c>
      <c r="P114" s="43" t="s">
        <v>297</v>
      </c>
      <c r="Q114" s="43" t="s">
        <v>2401</v>
      </c>
      <c r="R114">
        <v>3.5</v>
      </c>
      <c r="S114">
        <v>44109</v>
      </c>
      <c r="T114" t="s">
        <v>311</v>
      </c>
      <c r="U114" t="s">
        <v>266</v>
      </c>
      <c r="V114" t="s">
        <v>267</v>
      </c>
      <c r="W114" t="s">
        <v>1718</v>
      </c>
      <c r="X114" t="s">
        <v>1719</v>
      </c>
      <c r="Y114">
        <v>8772802835</v>
      </c>
      <c r="Z114" t="s">
        <v>270</v>
      </c>
      <c r="AA114" t="s">
        <v>271</v>
      </c>
      <c r="AB114">
        <v>0</v>
      </c>
      <c r="AC114">
        <v>0</v>
      </c>
      <c r="AD114">
        <v>0</v>
      </c>
      <c r="AE114" t="s">
        <v>416</v>
      </c>
      <c r="AF114">
        <v>5</v>
      </c>
      <c r="AG114" t="s">
        <v>275</v>
      </c>
      <c r="AH114">
        <v>0</v>
      </c>
      <c r="AI114">
        <v>0</v>
      </c>
      <c r="AJ114">
        <v>43790</v>
      </c>
      <c r="AK114" s="43" t="s">
        <v>3208</v>
      </c>
      <c r="AL114" s="43" t="s">
        <v>3209</v>
      </c>
      <c r="AO114" s="23"/>
      <c r="AP114" s="23"/>
      <c r="AQ114" s="23"/>
      <c r="BC114" t="s">
        <v>2018</v>
      </c>
      <c r="BD114" s="43" t="s">
        <v>2018</v>
      </c>
      <c r="BE114" s="43" t="s">
        <v>2018</v>
      </c>
      <c r="BF114" s="43" t="s">
        <v>2018</v>
      </c>
      <c r="BG114" s="43" t="s">
        <v>2018</v>
      </c>
      <c r="BH114" t="s">
        <v>2018</v>
      </c>
      <c r="BI114" s="43" t="s">
        <v>2018</v>
      </c>
      <c r="BJ114">
        <v>0</v>
      </c>
      <c r="BK114">
        <v>44109</v>
      </c>
      <c r="BL114">
        <v>44356</v>
      </c>
      <c r="BM114">
        <v>8505</v>
      </c>
      <c r="BN114">
        <v>8505</v>
      </c>
      <c r="BO114">
        <v>8505</v>
      </c>
      <c r="BP114">
        <v>25515</v>
      </c>
      <c r="BQ114">
        <v>3300</v>
      </c>
      <c r="BR114">
        <v>400</v>
      </c>
      <c r="BS114">
        <v>400</v>
      </c>
      <c r="BT114">
        <v>4100</v>
      </c>
      <c r="BU114">
        <v>2100</v>
      </c>
      <c r="BV114">
        <v>2100</v>
      </c>
      <c r="BW114">
        <v>2100</v>
      </c>
      <c r="BX114">
        <v>6300</v>
      </c>
      <c r="BY114">
        <v>1200</v>
      </c>
      <c r="BZ114">
        <v>1200</v>
      </c>
      <c r="CA114">
        <v>1200</v>
      </c>
      <c r="CB114">
        <v>3600</v>
      </c>
      <c r="CC114">
        <v>0</v>
      </c>
      <c r="CD114">
        <v>0</v>
      </c>
      <c r="CE114">
        <v>0</v>
      </c>
      <c r="CF114">
        <v>0</v>
      </c>
      <c r="CG114">
        <v>39515</v>
      </c>
      <c r="CH114">
        <v>0</v>
      </c>
      <c r="CI114">
        <v>0</v>
      </c>
      <c r="CJ114">
        <v>0</v>
      </c>
      <c r="CK114">
        <v>0</v>
      </c>
      <c r="CL114">
        <v>2065</v>
      </c>
      <c r="CM114">
        <v>2065</v>
      </c>
      <c r="CN114">
        <v>2065</v>
      </c>
      <c r="CO114">
        <v>6195</v>
      </c>
      <c r="CP114">
        <v>500</v>
      </c>
      <c r="CQ114">
        <v>500</v>
      </c>
      <c r="CR114">
        <v>500</v>
      </c>
      <c r="CS114">
        <v>1500</v>
      </c>
      <c r="CT114">
        <v>1000</v>
      </c>
      <c r="CU114">
        <v>1000</v>
      </c>
      <c r="CV114">
        <v>1000</v>
      </c>
      <c r="CW114">
        <v>3000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10695</v>
      </c>
      <c r="EE114">
        <v>0</v>
      </c>
      <c r="EF114">
        <v>0</v>
      </c>
      <c r="EG114">
        <v>0</v>
      </c>
      <c r="EH114">
        <v>0</v>
      </c>
      <c r="EI114">
        <v>1154</v>
      </c>
      <c r="EJ114">
        <v>1154</v>
      </c>
      <c r="EK114">
        <v>1155</v>
      </c>
      <c r="EL114">
        <v>3500</v>
      </c>
      <c r="EM114">
        <v>37.065000000000005</v>
      </c>
      <c r="EN114">
        <v>660</v>
      </c>
      <c r="EO114">
        <v>660</v>
      </c>
      <c r="EP114">
        <v>660</v>
      </c>
      <c r="EQ114">
        <v>2000</v>
      </c>
      <c r="ER114">
        <v>21.18</v>
      </c>
      <c r="ES114">
        <v>0</v>
      </c>
      <c r="ET114">
        <v>0</v>
      </c>
      <c r="EU114">
        <v>0</v>
      </c>
      <c r="EV114">
        <v>0</v>
      </c>
      <c r="EW114">
        <v>0</v>
      </c>
      <c r="FA114">
        <v>0</v>
      </c>
      <c r="FE114">
        <v>0</v>
      </c>
      <c r="FI114">
        <v>0</v>
      </c>
      <c r="FJ114">
        <v>5441.7550000000001</v>
      </c>
      <c r="FK114">
        <v>28820</v>
      </c>
      <c r="FL114">
        <v>24412.352240925607</v>
      </c>
      <c r="FM114">
        <v>23378.244999999999</v>
      </c>
    </row>
    <row r="115" spans="1:169" x14ac:dyDescent="0.35">
      <c r="A115">
        <v>199354</v>
      </c>
      <c r="B115" t="s">
        <v>4015</v>
      </c>
      <c r="C115" t="s">
        <v>4016</v>
      </c>
      <c r="D115" t="s">
        <v>4017</v>
      </c>
      <c r="E115" s="43" t="s">
        <v>4018</v>
      </c>
      <c r="F115">
        <v>1</v>
      </c>
      <c r="I115">
        <v>43804</v>
      </c>
      <c r="J115" t="s">
        <v>4242</v>
      </c>
      <c r="K115" t="s">
        <v>1715</v>
      </c>
      <c r="L115" s="43" t="s">
        <v>259</v>
      </c>
      <c r="M115" t="s">
        <v>4019</v>
      </c>
      <c r="N115" s="43" t="s">
        <v>4020</v>
      </c>
      <c r="O115" s="43" t="s">
        <v>4021</v>
      </c>
      <c r="P115" s="43" t="s">
        <v>705</v>
      </c>
      <c r="Q115" s="43" t="s">
        <v>4022</v>
      </c>
      <c r="S115">
        <v>44109</v>
      </c>
      <c r="T115" t="s">
        <v>311</v>
      </c>
      <c r="U115" t="s">
        <v>266</v>
      </c>
      <c r="V115" t="s">
        <v>267</v>
      </c>
      <c r="W115" t="s">
        <v>1718</v>
      </c>
      <c r="X115" t="s">
        <v>1719</v>
      </c>
      <c r="Y115">
        <v>8772802835</v>
      </c>
      <c r="Z115" t="s">
        <v>270</v>
      </c>
      <c r="AA115" t="s">
        <v>271</v>
      </c>
      <c r="AB115">
        <v>0</v>
      </c>
      <c r="AC115">
        <v>950</v>
      </c>
      <c r="AD115">
        <v>95</v>
      </c>
      <c r="AE115" t="s">
        <v>324</v>
      </c>
      <c r="AF115">
        <v>8</v>
      </c>
      <c r="AG115" t="s">
        <v>3345</v>
      </c>
      <c r="AK115" s="43" t="s">
        <v>259</v>
      </c>
      <c r="AL115" s="43" t="s">
        <v>259</v>
      </c>
      <c r="AO115" s="23"/>
      <c r="AP115" s="23"/>
      <c r="AQ115" s="23"/>
      <c r="BC115" t="s">
        <v>259</v>
      </c>
      <c r="BD115" s="43" t="s">
        <v>259</v>
      </c>
      <c r="BE115" s="43" t="s">
        <v>259</v>
      </c>
      <c r="BF115" s="43" t="s">
        <v>259</v>
      </c>
      <c r="BG115" s="43" t="s">
        <v>259</v>
      </c>
      <c r="BH115" t="s">
        <v>259</v>
      </c>
      <c r="BI115" s="43" t="s">
        <v>259</v>
      </c>
      <c r="BJ115">
        <v>0</v>
      </c>
      <c r="BK115">
        <v>44109</v>
      </c>
      <c r="BL115">
        <v>44356</v>
      </c>
      <c r="BM115">
        <v>8505</v>
      </c>
      <c r="BN115">
        <v>8505</v>
      </c>
      <c r="BO115">
        <v>8505</v>
      </c>
      <c r="BP115">
        <v>25515</v>
      </c>
      <c r="BQ115">
        <v>3300</v>
      </c>
      <c r="BR115">
        <v>400</v>
      </c>
      <c r="BS115">
        <v>400</v>
      </c>
      <c r="BT115">
        <v>4100</v>
      </c>
      <c r="BU115">
        <v>2100</v>
      </c>
      <c r="BV115">
        <v>2100</v>
      </c>
      <c r="BW115">
        <v>2100</v>
      </c>
      <c r="BX115">
        <v>6300</v>
      </c>
      <c r="BY115">
        <v>1200</v>
      </c>
      <c r="BZ115">
        <v>1200</v>
      </c>
      <c r="CA115">
        <v>1200</v>
      </c>
      <c r="CB115">
        <v>3600</v>
      </c>
      <c r="CC115">
        <v>0</v>
      </c>
      <c r="CD115">
        <v>0</v>
      </c>
      <c r="CE115">
        <v>0</v>
      </c>
      <c r="CF115">
        <v>0</v>
      </c>
      <c r="CG115">
        <v>39515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1154</v>
      </c>
      <c r="EJ115">
        <v>1154</v>
      </c>
      <c r="EK115">
        <v>1155</v>
      </c>
      <c r="EL115">
        <v>3500</v>
      </c>
      <c r="EM115">
        <v>37.065000000000005</v>
      </c>
      <c r="EN115">
        <v>660</v>
      </c>
      <c r="EO115">
        <v>660</v>
      </c>
      <c r="EP115">
        <v>660</v>
      </c>
      <c r="EQ115">
        <v>2000</v>
      </c>
      <c r="ER115">
        <v>21.18</v>
      </c>
      <c r="ES115">
        <v>0</v>
      </c>
      <c r="ET115">
        <v>0</v>
      </c>
      <c r="EU115">
        <v>0</v>
      </c>
      <c r="EV115">
        <v>0</v>
      </c>
      <c r="EW115">
        <v>0</v>
      </c>
      <c r="FA115">
        <v>0</v>
      </c>
      <c r="FE115">
        <v>0</v>
      </c>
      <c r="FI115">
        <v>0</v>
      </c>
      <c r="FJ115">
        <v>5441.7550000000001</v>
      </c>
      <c r="FK115">
        <v>39515</v>
      </c>
      <c r="FL115">
        <v>35580.43210392214</v>
      </c>
      <c r="FM115">
        <v>34073.245000000003</v>
      </c>
    </row>
    <row r="116" spans="1:169" x14ac:dyDescent="0.35">
      <c r="A116">
        <v>192404</v>
      </c>
      <c r="B116" t="s">
        <v>2402</v>
      </c>
      <c r="C116" t="s">
        <v>699</v>
      </c>
      <c r="D116" t="s">
        <v>2403</v>
      </c>
      <c r="E116" s="43" t="s">
        <v>2404</v>
      </c>
      <c r="F116">
        <v>1</v>
      </c>
      <c r="I116">
        <v>43804</v>
      </c>
      <c r="J116" t="s">
        <v>4242</v>
      </c>
      <c r="K116" t="s">
        <v>1715</v>
      </c>
      <c r="L116" s="43" t="s">
        <v>259</v>
      </c>
      <c r="M116" t="s">
        <v>2405</v>
      </c>
      <c r="N116" s="43" t="s">
        <v>2406</v>
      </c>
      <c r="O116" s="43" t="s">
        <v>2407</v>
      </c>
      <c r="P116" s="43" t="s">
        <v>553</v>
      </c>
      <c r="Q116" s="43" t="s">
        <v>2408</v>
      </c>
      <c r="S116">
        <v>44109</v>
      </c>
      <c r="T116" t="s">
        <v>285</v>
      </c>
      <c r="U116" t="s">
        <v>266</v>
      </c>
      <c r="V116" t="s">
        <v>267</v>
      </c>
      <c r="W116" t="s">
        <v>1718</v>
      </c>
      <c r="X116" t="s">
        <v>1719</v>
      </c>
      <c r="Y116">
        <v>8772802835</v>
      </c>
      <c r="Z116" t="s">
        <v>270</v>
      </c>
      <c r="AA116" t="s">
        <v>271</v>
      </c>
      <c r="AB116">
        <v>0</v>
      </c>
      <c r="AC116">
        <v>0</v>
      </c>
      <c r="AD116">
        <v>0</v>
      </c>
      <c r="AE116" t="s">
        <v>301</v>
      </c>
      <c r="AF116">
        <v>1</v>
      </c>
      <c r="AG116" t="s">
        <v>446</v>
      </c>
      <c r="AK116" s="43" t="s">
        <v>259</v>
      </c>
      <c r="AL116" s="43" t="s">
        <v>259</v>
      </c>
      <c r="AO116" s="23"/>
      <c r="AP116" s="23"/>
      <c r="AQ116" s="23"/>
      <c r="BC116" t="s">
        <v>259</v>
      </c>
      <c r="BD116" s="43" t="s">
        <v>259</v>
      </c>
      <c r="BE116" s="43" t="s">
        <v>259</v>
      </c>
      <c r="BF116" s="43" t="s">
        <v>259</v>
      </c>
      <c r="BG116" s="43" t="s">
        <v>259</v>
      </c>
      <c r="BH116" t="s">
        <v>259</v>
      </c>
      <c r="BI116" s="43" t="s">
        <v>259</v>
      </c>
      <c r="BJ116">
        <v>0</v>
      </c>
      <c r="BK116">
        <v>44109</v>
      </c>
      <c r="BL116">
        <v>44356</v>
      </c>
      <c r="BM116">
        <v>8505</v>
      </c>
      <c r="BN116">
        <v>8505</v>
      </c>
      <c r="BO116">
        <v>8505</v>
      </c>
      <c r="BP116">
        <v>25515</v>
      </c>
      <c r="BQ116">
        <v>3300</v>
      </c>
      <c r="BR116">
        <v>400</v>
      </c>
      <c r="BS116">
        <v>400</v>
      </c>
      <c r="BT116">
        <v>4100</v>
      </c>
      <c r="BU116">
        <v>2100</v>
      </c>
      <c r="BV116">
        <v>2100</v>
      </c>
      <c r="BW116">
        <v>2100</v>
      </c>
      <c r="BX116">
        <v>6300</v>
      </c>
      <c r="BY116">
        <v>1200</v>
      </c>
      <c r="BZ116">
        <v>1200</v>
      </c>
      <c r="CA116">
        <v>1200</v>
      </c>
      <c r="CB116">
        <v>3600</v>
      </c>
      <c r="CC116">
        <v>0</v>
      </c>
      <c r="CD116">
        <v>0</v>
      </c>
      <c r="CE116">
        <v>0</v>
      </c>
      <c r="CF116">
        <v>0</v>
      </c>
      <c r="CG116">
        <v>39515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1700</v>
      </c>
      <c r="CU116">
        <v>1700</v>
      </c>
      <c r="CV116">
        <v>1700</v>
      </c>
      <c r="CW116">
        <v>5100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5100</v>
      </c>
      <c r="EE116">
        <v>0</v>
      </c>
      <c r="EF116">
        <v>0</v>
      </c>
      <c r="EG116">
        <v>0</v>
      </c>
      <c r="EH116">
        <v>0</v>
      </c>
      <c r="EI116">
        <v>1154</v>
      </c>
      <c r="EJ116">
        <v>1154</v>
      </c>
      <c r="EK116">
        <v>1155</v>
      </c>
      <c r="EL116">
        <v>3500</v>
      </c>
      <c r="EM116">
        <v>37.065000000000005</v>
      </c>
      <c r="EN116">
        <v>660</v>
      </c>
      <c r="EO116">
        <v>660</v>
      </c>
      <c r="EP116">
        <v>660</v>
      </c>
      <c r="EQ116">
        <v>2000</v>
      </c>
      <c r="ER116">
        <v>21.18</v>
      </c>
      <c r="ES116">
        <v>0</v>
      </c>
      <c r="ET116">
        <v>0</v>
      </c>
      <c r="EU116">
        <v>0</v>
      </c>
      <c r="EV116">
        <v>0</v>
      </c>
      <c r="EW116">
        <v>0</v>
      </c>
      <c r="FA116">
        <v>0</v>
      </c>
      <c r="FE116">
        <v>0</v>
      </c>
      <c r="FI116">
        <v>0</v>
      </c>
      <c r="FJ116">
        <v>5441.7550000000001</v>
      </c>
      <c r="FK116">
        <v>34415</v>
      </c>
      <c r="FL116">
        <v>30254.840023390832</v>
      </c>
      <c r="FM116">
        <v>28973.244999999999</v>
      </c>
    </row>
    <row r="117" spans="1:169" x14ac:dyDescent="0.35">
      <c r="A117">
        <v>198946</v>
      </c>
      <c r="B117" t="s">
        <v>4023</v>
      </c>
      <c r="C117" t="s">
        <v>763</v>
      </c>
      <c r="D117" t="s">
        <v>4024</v>
      </c>
      <c r="E117" s="43" t="s">
        <v>4025</v>
      </c>
      <c r="F117">
        <v>1</v>
      </c>
      <c r="I117">
        <v>43804</v>
      </c>
      <c r="J117" t="s">
        <v>4240</v>
      </c>
      <c r="K117" t="s">
        <v>1715</v>
      </c>
      <c r="L117" s="43" t="s">
        <v>3204</v>
      </c>
      <c r="M117" t="s">
        <v>4026</v>
      </c>
      <c r="N117" s="43" t="s">
        <v>4027</v>
      </c>
      <c r="O117" s="43" t="s">
        <v>3850</v>
      </c>
      <c r="P117" s="43" t="s">
        <v>372</v>
      </c>
      <c r="Q117" s="43" t="s">
        <v>4028</v>
      </c>
      <c r="S117">
        <v>44109</v>
      </c>
      <c r="T117" t="s">
        <v>311</v>
      </c>
      <c r="U117" t="s">
        <v>266</v>
      </c>
      <c r="V117" t="s">
        <v>267</v>
      </c>
      <c r="W117" t="s">
        <v>1718</v>
      </c>
      <c r="X117" t="s">
        <v>1719</v>
      </c>
      <c r="Y117">
        <v>8772802835</v>
      </c>
      <c r="Z117" t="s">
        <v>270</v>
      </c>
      <c r="AA117" t="s">
        <v>271</v>
      </c>
      <c r="AB117">
        <v>0</v>
      </c>
      <c r="AC117">
        <v>1050</v>
      </c>
      <c r="AD117">
        <v>113</v>
      </c>
      <c r="AE117" t="s">
        <v>301</v>
      </c>
      <c r="AF117">
        <v>1</v>
      </c>
      <c r="AG117" t="s">
        <v>3345</v>
      </c>
      <c r="AH117">
        <v>36506</v>
      </c>
      <c r="AI117">
        <v>36506</v>
      </c>
      <c r="AJ117">
        <v>43804</v>
      </c>
      <c r="AK117" s="43" t="s">
        <v>3208</v>
      </c>
      <c r="AL117" s="43" t="s">
        <v>3209</v>
      </c>
      <c r="AO117" s="23"/>
      <c r="AP117" s="23"/>
      <c r="AQ117" s="23"/>
      <c r="BC117" t="s">
        <v>2018</v>
      </c>
      <c r="BD117" s="43" t="s">
        <v>2018</v>
      </c>
      <c r="BE117" s="43" t="s">
        <v>2018</v>
      </c>
      <c r="BF117" s="43" t="s">
        <v>2018</v>
      </c>
      <c r="BG117" s="43" t="s">
        <v>2018</v>
      </c>
      <c r="BH117" t="s">
        <v>2018</v>
      </c>
      <c r="BI117" s="43" t="s">
        <v>2018</v>
      </c>
      <c r="BJ117">
        <v>0</v>
      </c>
      <c r="BK117">
        <v>44109</v>
      </c>
      <c r="BL117">
        <v>44356</v>
      </c>
      <c r="BM117">
        <v>8505</v>
      </c>
      <c r="BN117">
        <v>8505</v>
      </c>
      <c r="BO117">
        <v>8505</v>
      </c>
      <c r="BP117">
        <v>25515</v>
      </c>
      <c r="BQ117">
        <v>3300</v>
      </c>
      <c r="BR117">
        <v>400</v>
      </c>
      <c r="BS117">
        <v>400</v>
      </c>
      <c r="BT117">
        <v>4100</v>
      </c>
      <c r="BU117">
        <v>2100</v>
      </c>
      <c r="BV117">
        <v>2100</v>
      </c>
      <c r="BW117">
        <v>2100</v>
      </c>
      <c r="BX117">
        <v>6300</v>
      </c>
      <c r="BY117">
        <v>1200</v>
      </c>
      <c r="BZ117">
        <v>1200</v>
      </c>
      <c r="CA117">
        <v>1200</v>
      </c>
      <c r="CB117">
        <v>3600</v>
      </c>
      <c r="CC117">
        <v>0</v>
      </c>
      <c r="CD117">
        <v>0</v>
      </c>
      <c r="CE117">
        <v>0</v>
      </c>
      <c r="CF117">
        <v>0</v>
      </c>
      <c r="CG117">
        <v>39515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1700</v>
      </c>
      <c r="CU117">
        <v>1700</v>
      </c>
      <c r="CV117">
        <v>1700</v>
      </c>
      <c r="CW117">
        <v>5100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5100</v>
      </c>
      <c r="EE117">
        <v>0</v>
      </c>
      <c r="EF117">
        <v>0</v>
      </c>
      <c r="EG117">
        <v>0</v>
      </c>
      <c r="EH117">
        <v>0</v>
      </c>
      <c r="EI117">
        <v>1154</v>
      </c>
      <c r="EJ117">
        <v>1154</v>
      </c>
      <c r="EK117">
        <v>1155</v>
      </c>
      <c r="EL117">
        <v>3500</v>
      </c>
      <c r="EM117">
        <v>37.065000000000005</v>
      </c>
      <c r="EN117">
        <v>660</v>
      </c>
      <c r="EO117">
        <v>660</v>
      </c>
      <c r="EP117">
        <v>660</v>
      </c>
      <c r="EQ117">
        <v>2000</v>
      </c>
      <c r="ER117">
        <v>21.18</v>
      </c>
      <c r="ES117">
        <v>0</v>
      </c>
      <c r="ET117">
        <v>0</v>
      </c>
      <c r="EU117">
        <v>0</v>
      </c>
      <c r="EV117">
        <v>0</v>
      </c>
      <c r="EW117">
        <v>0</v>
      </c>
      <c r="FA117">
        <v>0</v>
      </c>
      <c r="FE117">
        <v>0</v>
      </c>
      <c r="FI117">
        <v>0</v>
      </c>
      <c r="FJ117">
        <v>5441.7550000000001</v>
      </c>
      <c r="FK117">
        <v>34415</v>
      </c>
      <c r="FL117">
        <v>30254.840023390832</v>
      </c>
      <c r="FM117">
        <v>28973.244999999999</v>
      </c>
    </row>
    <row r="118" spans="1:169" x14ac:dyDescent="0.35">
      <c r="A118">
        <v>195618</v>
      </c>
      <c r="B118" t="s">
        <v>2409</v>
      </c>
      <c r="C118" t="s">
        <v>2410</v>
      </c>
      <c r="D118" t="s">
        <v>2411</v>
      </c>
      <c r="E118" s="43" t="s">
        <v>2412</v>
      </c>
      <c r="F118">
        <v>1</v>
      </c>
      <c r="G118">
        <v>43775</v>
      </c>
      <c r="H118">
        <v>43775</v>
      </c>
      <c r="I118">
        <v>43775</v>
      </c>
      <c r="J118" t="s">
        <v>3639</v>
      </c>
      <c r="K118" t="s">
        <v>1715</v>
      </c>
      <c r="L118" s="43" t="s">
        <v>3204</v>
      </c>
      <c r="M118" t="s">
        <v>2413</v>
      </c>
      <c r="N118" s="43" t="s">
        <v>2414</v>
      </c>
      <c r="O118" s="43" t="s">
        <v>2415</v>
      </c>
      <c r="P118" s="43" t="s">
        <v>705</v>
      </c>
      <c r="Q118" s="43" t="s">
        <v>2416</v>
      </c>
      <c r="R118">
        <v>3.3330000000000002</v>
      </c>
      <c r="S118">
        <v>44109</v>
      </c>
      <c r="T118" t="s">
        <v>265</v>
      </c>
      <c r="U118" t="s">
        <v>266</v>
      </c>
      <c r="V118" t="s">
        <v>267</v>
      </c>
      <c r="W118" t="s">
        <v>1718</v>
      </c>
      <c r="X118" t="s">
        <v>1719</v>
      </c>
      <c r="Y118">
        <v>8772802835</v>
      </c>
      <c r="Z118" t="s">
        <v>270</v>
      </c>
      <c r="AA118" t="s">
        <v>271</v>
      </c>
      <c r="AB118">
        <v>0</v>
      </c>
      <c r="AC118">
        <v>1110</v>
      </c>
      <c r="AD118">
        <v>108</v>
      </c>
      <c r="AE118" t="s">
        <v>364</v>
      </c>
      <c r="AF118">
        <v>3</v>
      </c>
      <c r="AG118" t="s">
        <v>275</v>
      </c>
      <c r="AH118">
        <v>100</v>
      </c>
      <c r="AI118">
        <v>100</v>
      </c>
      <c r="AJ118">
        <v>43774</v>
      </c>
      <c r="AK118" s="43" t="s">
        <v>1715</v>
      </c>
      <c r="AL118" s="43" t="s">
        <v>259</v>
      </c>
      <c r="AO118" s="23"/>
      <c r="AP118" s="23"/>
      <c r="AQ118" s="23"/>
      <c r="BC118" t="s">
        <v>259</v>
      </c>
      <c r="BD118" s="43" t="s">
        <v>259</v>
      </c>
      <c r="BE118" s="43" t="s">
        <v>259</v>
      </c>
      <c r="BF118" s="43" t="s">
        <v>2018</v>
      </c>
      <c r="BG118" s="43" t="s">
        <v>2018</v>
      </c>
      <c r="BH118" t="s">
        <v>2018</v>
      </c>
      <c r="BI118" s="43" t="s">
        <v>259</v>
      </c>
      <c r="BJ118">
        <v>0</v>
      </c>
      <c r="BK118">
        <v>44109</v>
      </c>
      <c r="BL118">
        <v>44356</v>
      </c>
      <c r="BM118">
        <v>8505</v>
      </c>
      <c r="BN118">
        <v>8505</v>
      </c>
      <c r="BO118">
        <v>8505</v>
      </c>
      <c r="BP118">
        <v>25515</v>
      </c>
      <c r="BQ118">
        <v>3300</v>
      </c>
      <c r="BR118">
        <v>400</v>
      </c>
      <c r="BS118">
        <v>400</v>
      </c>
      <c r="BT118">
        <v>4100</v>
      </c>
      <c r="BU118">
        <v>2100</v>
      </c>
      <c r="BV118">
        <v>2100</v>
      </c>
      <c r="BW118">
        <v>2100</v>
      </c>
      <c r="BX118">
        <v>6300</v>
      </c>
      <c r="BY118">
        <v>1200</v>
      </c>
      <c r="BZ118">
        <v>1200</v>
      </c>
      <c r="CA118">
        <v>1200</v>
      </c>
      <c r="CB118">
        <v>3600</v>
      </c>
      <c r="CC118">
        <v>0</v>
      </c>
      <c r="CD118">
        <v>0</v>
      </c>
      <c r="CE118">
        <v>0</v>
      </c>
      <c r="CF118">
        <v>0</v>
      </c>
      <c r="CG118">
        <v>39515</v>
      </c>
      <c r="CH118">
        <v>0</v>
      </c>
      <c r="CI118">
        <v>0</v>
      </c>
      <c r="CJ118">
        <v>0</v>
      </c>
      <c r="CK118">
        <v>0</v>
      </c>
      <c r="CL118">
        <v>2049</v>
      </c>
      <c r="CM118">
        <v>2048</v>
      </c>
      <c r="CN118">
        <v>2048</v>
      </c>
      <c r="CO118">
        <v>6145</v>
      </c>
      <c r="CP118">
        <v>500</v>
      </c>
      <c r="CQ118">
        <v>500</v>
      </c>
      <c r="CR118">
        <v>500</v>
      </c>
      <c r="CS118">
        <v>1500</v>
      </c>
      <c r="CT118">
        <v>1300</v>
      </c>
      <c r="CU118">
        <v>1300</v>
      </c>
      <c r="CV118">
        <v>1300</v>
      </c>
      <c r="CW118">
        <v>3900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11545</v>
      </c>
      <c r="EE118">
        <v>0</v>
      </c>
      <c r="EF118">
        <v>0</v>
      </c>
      <c r="EG118">
        <v>0</v>
      </c>
      <c r="EH118">
        <v>0</v>
      </c>
      <c r="EI118">
        <v>1154</v>
      </c>
      <c r="EJ118">
        <v>1154</v>
      </c>
      <c r="EK118">
        <v>1155</v>
      </c>
      <c r="EL118">
        <v>3500</v>
      </c>
      <c r="EM118">
        <v>37.065000000000005</v>
      </c>
      <c r="EN118">
        <v>660</v>
      </c>
      <c r="EO118">
        <v>660</v>
      </c>
      <c r="EP118">
        <v>660</v>
      </c>
      <c r="EQ118">
        <v>2000</v>
      </c>
      <c r="ER118">
        <v>21.18</v>
      </c>
      <c r="ES118">
        <v>0</v>
      </c>
      <c r="ET118">
        <v>0</v>
      </c>
      <c r="EU118">
        <v>0</v>
      </c>
      <c r="EV118">
        <v>0</v>
      </c>
      <c r="EW118">
        <v>0</v>
      </c>
      <c r="FA118">
        <v>0</v>
      </c>
      <c r="FE118">
        <v>0</v>
      </c>
      <c r="FI118">
        <v>0</v>
      </c>
      <c r="FJ118">
        <v>5441.7550000000001</v>
      </c>
      <c r="FK118">
        <v>27970</v>
      </c>
      <c r="FL118">
        <v>23524.753560837056</v>
      </c>
      <c r="FM118">
        <v>22528.244999999999</v>
      </c>
    </row>
    <row r="119" spans="1:169" x14ac:dyDescent="0.35">
      <c r="A119">
        <v>192828</v>
      </c>
      <c r="B119" t="s">
        <v>2417</v>
      </c>
      <c r="C119" t="s">
        <v>2418</v>
      </c>
      <c r="D119" t="s">
        <v>2419</v>
      </c>
      <c r="E119" s="43" t="s">
        <v>2420</v>
      </c>
      <c r="F119">
        <v>1</v>
      </c>
      <c r="I119">
        <v>43804</v>
      </c>
      <c r="J119" t="s">
        <v>4242</v>
      </c>
      <c r="K119" t="s">
        <v>1715</v>
      </c>
      <c r="L119" s="43" t="s">
        <v>259</v>
      </c>
      <c r="M119" t="s">
        <v>2421</v>
      </c>
      <c r="N119" s="43" t="s">
        <v>2422</v>
      </c>
      <c r="O119" s="43" t="s">
        <v>2423</v>
      </c>
      <c r="P119" s="43" t="s">
        <v>372</v>
      </c>
      <c r="Q119" s="43" t="s">
        <v>2424</v>
      </c>
      <c r="R119">
        <v>3.5131999999999999</v>
      </c>
      <c r="S119">
        <v>44109</v>
      </c>
      <c r="T119" t="s">
        <v>265</v>
      </c>
      <c r="U119" t="s">
        <v>266</v>
      </c>
      <c r="V119" t="s">
        <v>267</v>
      </c>
      <c r="W119" t="s">
        <v>1718</v>
      </c>
      <c r="X119" t="s">
        <v>1719</v>
      </c>
      <c r="Y119">
        <v>8772802835</v>
      </c>
      <c r="Z119" t="s">
        <v>270</v>
      </c>
      <c r="AA119" t="s">
        <v>271</v>
      </c>
      <c r="AB119">
        <v>0</v>
      </c>
      <c r="AC119">
        <v>1100</v>
      </c>
      <c r="AD119">
        <v>111</v>
      </c>
      <c r="AE119" t="s">
        <v>445</v>
      </c>
      <c r="AF119">
        <v>4</v>
      </c>
      <c r="AG119" t="s">
        <v>275</v>
      </c>
      <c r="AK119" s="43" t="s">
        <v>259</v>
      </c>
      <c r="AL119" s="43" t="s">
        <v>259</v>
      </c>
      <c r="AO119" s="23"/>
      <c r="AP119" s="23"/>
      <c r="AQ119" s="23"/>
      <c r="BC119" t="s">
        <v>259</v>
      </c>
      <c r="BD119" s="43" t="s">
        <v>259</v>
      </c>
      <c r="BE119" s="43" t="s">
        <v>259</v>
      </c>
      <c r="BF119" s="43" t="s">
        <v>259</v>
      </c>
      <c r="BG119" s="43" t="s">
        <v>259</v>
      </c>
      <c r="BH119" t="s">
        <v>259</v>
      </c>
      <c r="BI119" s="43" t="s">
        <v>259</v>
      </c>
      <c r="BJ119">
        <v>0</v>
      </c>
      <c r="BK119">
        <v>44109</v>
      </c>
      <c r="BL119">
        <v>44356</v>
      </c>
      <c r="BM119">
        <v>8505</v>
      </c>
      <c r="BN119">
        <v>8505</v>
      </c>
      <c r="BO119">
        <v>8505</v>
      </c>
      <c r="BP119">
        <v>25515</v>
      </c>
      <c r="BQ119">
        <v>3300</v>
      </c>
      <c r="BR119">
        <v>400</v>
      </c>
      <c r="BS119">
        <v>400</v>
      </c>
      <c r="BT119">
        <v>4100</v>
      </c>
      <c r="BU119">
        <v>2100</v>
      </c>
      <c r="BV119">
        <v>2100</v>
      </c>
      <c r="BW119">
        <v>2100</v>
      </c>
      <c r="BX119">
        <v>6300</v>
      </c>
      <c r="BY119">
        <v>1200</v>
      </c>
      <c r="BZ119">
        <v>1200</v>
      </c>
      <c r="CA119">
        <v>1200</v>
      </c>
      <c r="CB119">
        <v>3600</v>
      </c>
      <c r="CC119">
        <v>0</v>
      </c>
      <c r="CD119">
        <v>0</v>
      </c>
      <c r="CE119">
        <v>0</v>
      </c>
      <c r="CF119">
        <v>0</v>
      </c>
      <c r="CG119">
        <v>39515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1250</v>
      </c>
      <c r="CU119">
        <v>1250</v>
      </c>
      <c r="CV119">
        <v>1250</v>
      </c>
      <c r="CW119">
        <v>3750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3750</v>
      </c>
      <c r="EE119">
        <v>0</v>
      </c>
      <c r="EF119">
        <v>0</v>
      </c>
      <c r="EG119">
        <v>0</v>
      </c>
      <c r="EH119">
        <v>0</v>
      </c>
      <c r="EI119">
        <v>1154</v>
      </c>
      <c r="EJ119">
        <v>1154</v>
      </c>
      <c r="EK119">
        <v>1155</v>
      </c>
      <c r="EL119">
        <v>3500</v>
      </c>
      <c r="EM119">
        <v>37.065000000000005</v>
      </c>
      <c r="EN119">
        <v>660</v>
      </c>
      <c r="EO119">
        <v>660</v>
      </c>
      <c r="EP119">
        <v>660</v>
      </c>
      <c r="EQ119">
        <v>2000</v>
      </c>
      <c r="ER119">
        <v>21.18</v>
      </c>
      <c r="ES119">
        <v>0</v>
      </c>
      <c r="ET119">
        <v>0</v>
      </c>
      <c r="EU119">
        <v>0</v>
      </c>
      <c r="EV119">
        <v>0</v>
      </c>
      <c r="EW119">
        <v>0</v>
      </c>
      <c r="FA119">
        <v>0</v>
      </c>
      <c r="FE119">
        <v>0</v>
      </c>
      <c r="FI119">
        <v>0</v>
      </c>
      <c r="FJ119">
        <v>5441.7550000000001</v>
      </c>
      <c r="FK119">
        <v>35765</v>
      </c>
      <c r="FL119">
        <v>31664.555574119709</v>
      </c>
      <c r="FM119">
        <v>30323.244999999999</v>
      </c>
    </row>
    <row r="120" spans="1:169" x14ac:dyDescent="0.35">
      <c r="A120">
        <v>198900</v>
      </c>
      <c r="B120" t="s">
        <v>4029</v>
      </c>
      <c r="C120" t="s">
        <v>4030</v>
      </c>
      <c r="D120" t="s">
        <v>4031</v>
      </c>
      <c r="E120" s="43" t="s">
        <v>4032</v>
      </c>
      <c r="F120">
        <v>1</v>
      </c>
      <c r="I120">
        <v>43804</v>
      </c>
      <c r="J120" t="s">
        <v>4240</v>
      </c>
      <c r="K120" t="s">
        <v>1715</v>
      </c>
      <c r="L120" s="43" t="s">
        <v>3204</v>
      </c>
      <c r="M120" t="s">
        <v>4033</v>
      </c>
      <c r="N120" s="43" t="s">
        <v>4034</v>
      </c>
      <c r="O120" s="43" t="s">
        <v>4035</v>
      </c>
      <c r="P120" s="43" t="s">
        <v>542</v>
      </c>
      <c r="Q120" s="43" t="s">
        <v>3465</v>
      </c>
      <c r="S120">
        <v>44109</v>
      </c>
      <c r="T120" t="s">
        <v>544</v>
      </c>
      <c r="U120" t="s">
        <v>266</v>
      </c>
      <c r="V120" t="s">
        <v>267</v>
      </c>
      <c r="W120" t="s">
        <v>1718</v>
      </c>
      <c r="X120" t="s">
        <v>1719</v>
      </c>
      <c r="Y120">
        <v>8772802835</v>
      </c>
      <c r="Z120" t="s">
        <v>270</v>
      </c>
      <c r="AA120" t="s">
        <v>271</v>
      </c>
      <c r="AB120">
        <v>19</v>
      </c>
      <c r="AC120">
        <v>0</v>
      </c>
      <c r="AD120">
        <v>101</v>
      </c>
      <c r="AE120" t="s">
        <v>445</v>
      </c>
      <c r="AF120">
        <v>4</v>
      </c>
      <c r="AG120" t="s">
        <v>3345</v>
      </c>
      <c r="AH120">
        <v>7726</v>
      </c>
      <c r="AI120">
        <v>7726</v>
      </c>
      <c r="AJ120">
        <v>43774</v>
      </c>
      <c r="AK120" s="43" t="s">
        <v>3208</v>
      </c>
      <c r="AL120" s="43" t="s">
        <v>3209</v>
      </c>
      <c r="AO120" s="23"/>
      <c r="AP120" s="23"/>
      <c r="AQ120" s="23"/>
      <c r="BC120" t="s">
        <v>2018</v>
      </c>
      <c r="BD120" s="43" t="s">
        <v>2018</v>
      </c>
      <c r="BE120" s="43" t="s">
        <v>2018</v>
      </c>
      <c r="BF120" s="43" t="s">
        <v>2018</v>
      </c>
      <c r="BG120" s="43" t="s">
        <v>2018</v>
      </c>
      <c r="BH120" t="s">
        <v>2018</v>
      </c>
      <c r="BI120" s="43" t="s">
        <v>2018</v>
      </c>
      <c r="BJ120">
        <v>0</v>
      </c>
      <c r="BK120">
        <v>44109</v>
      </c>
      <c r="BL120">
        <v>44356</v>
      </c>
      <c r="BM120">
        <v>8505</v>
      </c>
      <c r="BN120">
        <v>8505</v>
      </c>
      <c r="BO120">
        <v>8505</v>
      </c>
      <c r="BP120">
        <v>25515</v>
      </c>
      <c r="BQ120">
        <v>3300</v>
      </c>
      <c r="BR120">
        <v>400</v>
      </c>
      <c r="BS120">
        <v>400</v>
      </c>
      <c r="BT120">
        <v>4100</v>
      </c>
      <c r="BU120">
        <v>2100</v>
      </c>
      <c r="BV120">
        <v>2100</v>
      </c>
      <c r="BW120">
        <v>2100</v>
      </c>
      <c r="BX120">
        <v>6300</v>
      </c>
      <c r="BY120">
        <v>1200</v>
      </c>
      <c r="BZ120">
        <v>1200</v>
      </c>
      <c r="CA120">
        <v>1200</v>
      </c>
      <c r="CB120">
        <v>3600</v>
      </c>
      <c r="CC120">
        <v>0</v>
      </c>
      <c r="CD120">
        <v>0</v>
      </c>
      <c r="CE120">
        <v>0</v>
      </c>
      <c r="CF120">
        <v>0</v>
      </c>
      <c r="CG120">
        <v>39515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1250</v>
      </c>
      <c r="CU120">
        <v>1250</v>
      </c>
      <c r="CV120">
        <v>1250</v>
      </c>
      <c r="CW120">
        <v>3750</v>
      </c>
      <c r="CX120">
        <v>3000</v>
      </c>
      <c r="CY120">
        <v>3000</v>
      </c>
      <c r="CZ120">
        <v>3000</v>
      </c>
      <c r="DA120">
        <v>9000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12750</v>
      </c>
      <c r="EE120">
        <v>0</v>
      </c>
      <c r="EF120">
        <v>0</v>
      </c>
      <c r="EG120">
        <v>0</v>
      </c>
      <c r="EH120">
        <v>0</v>
      </c>
      <c r="EI120">
        <v>1154</v>
      </c>
      <c r="EJ120">
        <v>1154</v>
      </c>
      <c r="EK120">
        <v>1155</v>
      </c>
      <c r="EL120">
        <v>3500</v>
      </c>
      <c r="EM120">
        <v>37.065000000000005</v>
      </c>
      <c r="EN120">
        <v>660</v>
      </c>
      <c r="EO120">
        <v>660</v>
      </c>
      <c r="EP120">
        <v>660</v>
      </c>
      <c r="EQ120">
        <v>2000</v>
      </c>
      <c r="ER120">
        <v>21.18</v>
      </c>
      <c r="ES120">
        <v>0</v>
      </c>
      <c r="ET120">
        <v>0</v>
      </c>
      <c r="EU120">
        <v>0</v>
      </c>
      <c r="EV120">
        <v>0</v>
      </c>
      <c r="EW120">
        <v>0</v>
      </c>
      <c r="FA120">
        <v>0</v>
      </c>
      <c r="FE120">
        <v>0</v>
      </c>
      <c r="FI120">
        <v>0</v>
      </c>
      <c r="FJ120">
        <v>5441.7550000000001</v>
      </c>
      <c r="FK120">
        <v>26765</v>
      </c>
      <c r="FL120">
        <v>22266.451902593875</v>
      </c>
      <c r="FM120">
        <v>21323.244999999999</v>
      </c>
    </row>
    <row r="121" spans="1:169" x14ac:dyDescent="0.35">
      <c r="A121">
        <v>195150</v>
      </c>
      <c r="B121" t="s">
        <v>1566</v>
      </c>
      <c r="C121" t="s">
        <v>2425</v>
      </c>
      <c r="D121" t="s">
        <v>2426</v>
      </c>
      <c r="E121" s="43" t="s">
        <v>2427</v>
      </c>
      <c r="F121">
        <v>1</v>
      </c>
      <c r="I121">
        <v>43804</v>
      </c>
      <c r="J121" t="s">
        <v>4242</v>
      </c>
      <c r="K121" t="s">
        <v>1715</v>
      </c>
      <c r="L121" s="43" t="s">
        <v>259</v>
      </c>
      <c r="M121" t="s">
        <v>2428</v>
      </c>
      <c r="N121" s="43" t="s">
        <v>2429</v>
      </c>
      <c r="O121" s="43" t="s">
        <v>2430</v>
      </c>
      <c r="P121" s="43" t="s">
        <v>822</v>
      </c>
      <c r="Q121" s="43" t="s">
        <v>2431</v>
      </c>
      <c r="S121">
        <v>44109</v>
      </c>
      <c r="T121" t="s">
        <v>265</v>
      </c>
      <c r="U121" t="s">
        <v>266</v>
      </c>
      <c r="V121" t="s">
        <v>267</v>
      </c>
      <c r="W121" t="s">
        <v>1718</v>
      </c>
      <c r="X121" t="s">
        <v>1719</v>
      </c>
      <c r="Y121">
        <v>8772802835</v>
      </c>
      <c r="Z121" t="s">
        <v>270</v>
      </c>
      <c r="AA121" t="s">
        <v>271</v>
      </c>
      <c r="AB121">
        <v>0</v>
      </c>
      <c r="AC121">
        <v>0</v>
      </c>
      <c r="AD121">
        <v>0</v>
      </c>
      <c r="AE121" t="s">
        <v>445</v>
      </c>
      <c r="AF121">
        <v>4</v>
      </c>
      <c r="AG121" t="s">
        <v>446</v>
      </c>
      <c r="AK121" s="43" t="s">
        <v>259</v>
      </c>
      <c r="AL121" s="43" t="s">
        <v>259</v>
      </c>
      <c r="AO121" s="23"/>
      <c r="AP121" s="23"/>
      <c r="AQ121" s="23"/>
      <c r="BC121" t="s">
        <v>259</v>
      </c>
      <c r="BD121" s="43" t="s">
        <v>259</v>
      </c>
      <c r="BE121" s="43" t="s">
        <v>259</v>
      </c>
      <c r="BF121" s="43" t="s">
        <v>259</v>
      </c>
      <c r="BG121" s="43" t="s">
        <v>259</v>
      </c>
      <c r="BH121" t="s">
        <v>259</v>
      </c>
      <c r="BI121" s="43" t="s">
        <v>259</v>
      </c>
      <c r="BJ121">
        <v>0</v>
      </c>
      <c r="BK121">
        <v>44109</v>
      </c>
      <c r="BL121">
        <v>44356</v>
      </c>
      <c r="BM121">
        <v>8505</v>
      </c>
      <c r="BN121">
        <v>8505</v>
      </c>
      <c r="BO121">
        <v>8505</v>
      </c>
      <c r="BP121">
        <v>25515</v>
      </c>
      <c r="BQ121">
        <v>3300</v>
      </c>
      <c r="BR121">
        <v>400</v>
      </c>
      <c r="BS121">
        <v>400</v>
      </c>
      <c r="BT121">
        <v>4100</v>
      </c>
      <c r="BU121">
        <v>2100</v>
      </c>
      <c r="BV121">
        <v>2100</v>
      </c>
      <c r="BW121">
        <v>2100</v>
      </c>
      <c r="BX121">
        <v>6300</v>
      </c>
      <c r="BY121">
        <v>1200</v>
      </c>
      <c r="BZ121">
        <v>1200</v>
      </c>
      <c r="CA121">
        <v>1200</v>
      </c>
      <c r="CB121">
        <v>3600</v>
      </c>
      <c r="CC121">
        <v>0</v>
      </c>
      <c r="CD121">
        <v>0</v>
      </c>
      <c r="CE121">
        <v>0</v>
      </c>
      <c r="CF121">
        <v>0</v>
      </c>
      <c r="CG121">
        <v>39515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1250</v>
      </c>
      <c r="CU121">
        <v>1250</v>
      </c>
      <c r="CV121">
        <v>1250</v>
      </c>
      <c r="CW121">
        <v>3750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3750</v>
      </c>
      <c r="EE121">
        <v>0</v>
      </c>
      <c r="EF121">
        <v>0</v>
      </c>
      <c r="EG121">
        <v>0</v>
      </c>
      <c r="EH121">
        <v>0</v>
      </c>
      <c r="EI121">
        <v>1154</v>
      </c>
      <c r="EJ121">
        <v>1154</v>
      </c>
      <c r="EK121">
        <v>1155</v>
      </c>
      <c r="EL121">
        <v>3500</v>
      </c>
      <c r="EM121">
        <v>37.065000000000005</v>
      </c>
      <c r="EN121">
        <v>660</v>
      </c>
      <c r="EO121">
        <v>660</v>
      </c>
      <c r="EP121">
        <v>660</v>
      </c>
      <c r="EQ121">
        <v>2000</v>
      </c>
      <c r="ER121">
        <v>21.18</v>
      </c>
      <c r="ES121">
        <v>0</v>
      </c>
      <c r="ET121">
        <v>0</v>
      </c>
      <c r="EU121">
        <v>0</v>
      </c>
      <c r="EV121">
        <v>0</v>
      </c>
      <c r="EW121">
        <v>0</v>
      </c>
      <c r="FA121">
        <v>0</v>
      </c>
      <c r="FE121">
        <v>0</v>
      </c>
      <c r="FI121">
        <v>0</v>
      </c>
      <c r="FJ121">
        <v>5441.7550000000001</v>
      </c>
      <c r="FK121">
        <v>35765</v>
      </c>
      <c r="FL121">
        <v>31664.555574119709</v>
      </c>
      <c r="FM121">
        <v>30323.244999999999</v>
      </c>
    </row>
    <row r="122" spans="1:169" x14ac:dyDescent="0.35">
      <c r="A122">
        <v>198137</v>
      </c>
      <c r="B122" t="s">
        <v>2432</v>
      </c>
      <c r="C122" t="s">
        <v>590</v>
      </c>
      <c r="D122" t="s">
        <v>2433</v>
      </c>
      <c r="E122" s="43" t="s">
        <v>2434</v>
      </c>
      <c r="F122">
        <v>1</v>
      </c>
      <c r="G122">
        <v>43776</v>
      </c>
      <c r="H122">
        <v>43776</v>
      </c>
      <c r="I122">
        <v>43776</v>
      </c>
      <c r="J122" t="s">
        <v>3311</v>
      </c>
      <c r="K122" t="s">
        <v>1715</v>
      </c>
      <c r="L122" s="43" t="s">
        <v>3204</v>
      </c>
      <c r="M122" t="s">
        <v>2435</v>
      </c>
      <c r="N122" s="43" t="s">
        <v>2436</v>
      </c>
      <c r="O122" s="43" t="s">
        <v>2437</v>
      </c>
      <c r="P122" s="43" t="s">
        <v>454</v>
      </c>
      <c r="Q122" s="43" t="s">
        <v>2438</v>
      </c>
      <c r="S122">
        <v>44109</v>
      </c>
      <c r="T122" t="s">
        <v>311</v>
      </c>
      <c r="U122" t="s">
        <v>266</v>
      </c>
      <c r="V122" t="s">
        <v>267</v>
      </c>
      <c r="W122" t="s">
        <v>1718</v>
      </c>
      <c r="X122" t="s">
        <v>1719</v>
      </c>
      <c r="Y122">
        <v>8772802835</v>
      </c>
      <c r="Z122" t="s">
        <v>270</v>
      </c>
      <c r="AA122" t="s">
        <v>271</v>
      </c>
      <c r="AB122">
        <v>16</v>
      </c>
      <c r="AC122">
        <v>0</v>
      </c>
      <c r="AD122">
        <v>81</v>
      </c>
      <c r="AE122" t="s">
        <v>274</v>
      </c>
      <c r="AF122">
        <v>9</v>
      </c>
      <c r="AG122" t="s">
        <v>275</v>
      </c>
      <c r="AH122">
        <v>0</v>
      </c>
      <c r="AI122">
        <v>0</v>
      </c>
      <c r="AJ122">
        <v>43774</v>
      </c>
      <c r="AK122" s="43" t="s">
        <v>3208</v>
      </c>
      <c r="AL122" s="43" t="s">
        <v>3209</v>
      </c>
      <c r="AO122" s="23">
        <v>43776</v>
      </c>
      <c r="AP122" s="23"/>
      <c r="AQ122" s="23"/>
      <c r="BC122" t="s">
        <v>2018</v>
      </c>
      <c r="BD122" s="43" t="s">
        <v>2018</v>
      </c>
      <c r="BE122" s="43" t="s">
        <v>2018</v>
      </c>
      <c r="BF122" s="43" t="s">
        <v>2018</v>
      </c>
      <c r="BG122" s="43" t="s">
        <v>2018</v>
      </c>
      <c r="BH122" t="s">
        <v>2018</v>
      </c>
      <c r="BI122" s="43" t="s">
        <v>2018</v>
      </c>
      <c r="BJ122">
        <v>6.25E-2</v>
      </c>
      <c r="BK122">
        <v>44109</v>
      </c>
      <c r="BL122">
        <v>44356</v>
      </c>
      <c r="BM122">
        <v>8505</v>
      </c>
      <c r="BN122">
        <v>8505</v>
      </c>
      <c r="BO122">
        <v>8505</v>
      </c>
      <c r="BP122">
        <v>25515</v>
      </c>
      <c r="BQ122">
        <v>3300</v>
      </c>
      <c r="BR122">
        <v>400</v>
      </c>
      <c r="BS122">
        <v>400</v>
      </c>
      <c r="BT122">
        <v>4100</v>
      </c>
      <c r="BU122">
        <v>2100</v>
      </c>
      <c r="BV122">
        <v>2100</v>
      </c>
      <c r="BW122">
        <v>2100</v>
      </c>
      <c r="BX122">
        <v>6300</v>
      </c>
      <c r="BY122">
        <v>1200</v>
      </c>
      <c r="BZ122">
        <v>1200</v>
      </c>
      <c r="CA122">
        <v>1200</v>
      </c>
      <c r="CB122">
        <v>3600</v>
      </c>
      <c r="CC122">
        <v>0</v>
      </c>
      <c r="CD122">
        <v>0</v>
      </c>
      <c r="CE122">
        <v>0</v>
      </c>
      <c r="CF122">
        <v>0</v>
      </c>
      <c r="CG122">
        <v>39515</v>
      </c>
      <c r="CH122">
        <v>0</v>
      </c>
      <c r="CI122">
        <v>0</v>
      </c>
      <c r="CJ122">
        <v>0</v>
      </c>
      <c r="CK122">
        <v>0</v>
      </c>
      <c r="CL122">
        <v>2065</v>
      </c>
      <c r="CM122">
        <v>2065</v>
      </c>
      <c r="CN122">
        <v>2065</v>
      </c>
      <c r="CO122">
        <v>6195</v>
      </c>
      <c r="CP122">
        <v>500</v>
      </c>
      <c r="CQ122">
        <v>500</v>
      </c>
      <c r="CR122">
        <v>500</v>
      </c>
      <c r="CS122">
        <v>1500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7695</v>
      </c>
      <c r="EE122">
        <v>0</v>
      </c>
      <c r="EF122">
        <v>0</v>
      </c>
      <c r="EG122">
        <v>0</v>
      </c>
      <c r="EH122">
        <v>0</v>
      </c>
      <c r="EI122">
        <v>1154</v>
      </c>
      <c r="EJ122">
        <v>1154</v>
      </c>
      <c r="EK122">
        <v>1155</v>
      </c>
      <c r="EL122">
        <v>3500</v>
      </c>
      <c r="EM122">
        <v>37.065000000000005</v>
      </c>
      <c r="EN122">
        <v>660</v>
      </c>
      <c r="EO122">
        <v>660</v>
      </c>
      <c r="EP122">
        <v>660</v>
      </c>
      <c r="EQ122">
        <v>2000</v>
      </c>
      <c r="ER122">
        <v>21.18</v>
      </c>
      <c r="ES122">
        <v>8809</v>
      </c>
      <c r="ET122">
        <v>8809</v>
      </c>
      <c r="EU122">
        <v>8809</v>
      </c>
      <c r="EV122">
        <v>27545</v>
      </c>
      <c r="EW122">
        <v>1166.8062</v>
      </c>
      <c r="FA122">
        <v>0</v>
      </c>
      <c r="FE122">
        <v>0</v>
      </c>
      <c r="FI122">
        <v>0</v>
      </c>
      <c r="FJ122">
        <v>31819.948800000002</v>
      </c>
      <c r="FK122">
        <v>31820</v>
      </c>
      <c r="FL122">
        <v>5.3464767551545139E-2</v>
      </c>
      <c r="FM122">
        <v>5.1199999998061685E-2</v>
      </c>
    </row>
    <row r="123" spans="1:169" x14ac:dyDescent="0.35">
      <c r="A123">
        <v>198376</v>
      </c>
      <c r="B123" t="s">
        <v>2439</v>
      </c>
      <c r="C123" t="s">
        <v>2440</v>
      </c>
      <c r="D123" t="s">
        <v>2441</v>
      </c>
      <c r="E123" s="43" t="s">
        <v>2442</v>
      </c>
      <c r="F123">
        <v>1</v>
      </c>
      <c r="I123">
        <v>43804</v>
      </c>
      <c r="J123" t="s">
        <v>4241</v>
      </c>
      <c r="K123" t="s">
        <v>1715</v>
      </c>
      <c r="L123" s="43" t="s">
        <v>259</v>
      </c>
      <c r="M123" t="s">
        <v>2443</v>
      </c>
      <c r="N123" s="43" t="s">
        <v>2444</v>
      </c>
      <c r="O123" s="43" t="s">
        <v>1054</v>
      </c>
      <c r="P123" s="43" t="s">
        <v>297</v>
      </c>
      <c r="Q123" s="43" t="s">
        <v>1055</v>
      </c>
      <c r="R123">
        <v>3.8</v>
      </c>
      <c r="S123">
        <v>44109</v>
      </c>
      <c r="T123" t="s">
        <v>311</v>
      </c>
      <c r="U123" t="s">
        <v>286</v>
      </c>
      <c r="V123" t="s">
        <v>267</v>
      </c>
      <c r="W123" t="s">
        <v>1718</v>
      </c>
      <c r="X123" t="s">
        <v>1719</v>
      </c>
      <c r="Y123">
        <v>8772802835</v>
      </c>
      <c r="Z123" t="s">
        <v>270</v>
      </c>
      <c r="AA123" t="s">
        <v>271</v>
      </c>
      <c r="AB123">
        <v>0</v>
      </c>
      <c r="AC123">
        <v>0</v>
      </c>
      <c r="AD123">
        <v>0</v>
      </c>
      <c r="AE123" t="s">
        <v>354</v>
      </c>
      <c r="AF123">
        <v>6</v>
      </c>
      <c r="AG123" t="s">
        <v>275</v>
      </c>
      <c r="AK123" s="43" t="s">
        <v>259</v>
      </c>
      <c r="AL123" s="43" t="s">
        <v>259</v>
      </c>
      <c r="AO123" s="23"/>
      <c r="AP123" s="23"/>
      <c r="AQ123" s="23"/>
      <c r="BC123" t="s">
        <v>259</v>
      </c>
      <c r="BD123" s="43" t="s">
        <v>259</v>
      </c>
      <c r="BE123" s="43" t="s">
        <v>259</v>
      </c>
      <c r="BF123" s="43" t="s">
        <v>259</v>
      </c>
      <c r="BG123" s="43" t="s">
        <v>259</v>
      </c>
      <c r="BH123" t="s">
        <v>259</v>
      </c>
      <c r="BI123" s="43" t="s">
        <v>259</v>
      </c>
      <c r="BJ123">
        <v>0</v>
      </c>
      <c r="BK123">
        <v>44109</v>
      </c>
      <c r="BL123">
        <v>44356</v>
      </c>
      <c r="BM123">
        <v>8505</v>
      </c>
      <c r="BN123">
        <v>8505</v>
      </c>
      <c r="BO123">
        <v>8505</v>
      </c>
      <c r="BP123">
        <v>25515</v>
      </c>
      <c r="BQ123">
        <v>3300</v>
      </c>
      <c r="BR123">
        <v>400</v>
      </c>
      <c r="BS123">
        <v>400</v>
      </c>
      <c r="BT123">
        <v>4100</v>
      </c>
      <c r="BU123">
        <v>2100</v>
      </c>
      <c r="BV123">
        <v>2100</v>
      </c>
      <c r="BW123">
        <v>2100</v>
      </c>
      <c r="BX123">
        <v>6300</v>
      </c>
      <c r="BY123">
        <v>1200</v>
      </c>
      <c r="BZ123">
        <v>1200</v>
      </c>
      <c r="CA123">
        <v>1200</v>
      </c>
      <c r="CB123">
        <v>3600</v>
      </c>
      <c r="CC123">
        <v>0</v>
      </c>
      <c r="CD123">
        <v>0</v>
      </c>
      <c r="CE123">
        <v>0</v>
      </c>
      <c r="CF123">
        <v>0</v>
      </c>
      <c r="CG123">
        <v>39515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750</v>
      </c>
      <c r="CU123">
        <v>750</v>
      </c>
      <c r="CV123">
        <v>750</v>
      </c>
      <c r="CW123">
        <v>2250</v>
      </c>
      <c r="CX123">
        <v>0</v>
      </c>
      <c r="CY123">
        <v>0</v>
      </c>
      <c r="CZ123">
        <v>0</v>
      </c>
      <c r="DA123">
        <v>0</v>
      </c>
      <c r="DB123">
        <v>1000</v>
      </c>
      <c r="DC123">
        <v>1000</v>
      </c>
      <c r="DD123">
        <v>1000</v>
      </c>
      <c r="DE123">
        <v>3000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5250</v>
      </c>
      <c r="EE123">
        <v>0</v>
      </c>
      <c r="EF123">
        <v>0</v>
      </c>
      <c r="EG123">
        <v>0</v>
      </c>
      <c r="EH123">
        <v>0</v>
      </c>
      <c r="EI123">
        <v>1154</v>
      </c>
      <c r="EJ123">
        <v>1154</v>
      </c>
      <c r="EK123">
        <v>1155</v>
      </c>
      <c r="EL123">
        <v>3500</v>
      </c>
      <c r="EM123">
        <v>37.065000000000005</v>
      </c>
      <c r="EN123">
        <v>660</v>
      </c>
      <c r="EO123">
        <v>660</v>
      </c>
      <c r="EP123">
        <v>660</v>
      </c>
      <c r="EQ123">
        <v>2000</v>
      </c>
      <c r="ER123">
        <v>21.18</v>
      </c>
      <c r="ES123">
        <v>0</v>
      </c>
      <c r="ET123">
        <v>0</v>
      </c>
      <c r="EU123">
        <v>0</v>
      </c>
      <c r="EV123">
        <v>0</v>
      </c>
      <c r="EW123">
        <v>0</v>
      </c>
      <c r="FA123">
        <v>0</v>
      </c>
      <c r="FE123">
        <v>0</v>
      </c>
      <c r="FI123">
        <v>0</v>
      </c>
      <c r="FJ123">
        <v>5441.7550000000001</v>
      </c>
      <c r="FK123">
        <v>34265</v>
      </c>
      <c r="FL123">
        <v>30098.204962198735</v>
      </c>
      <c r="FM123">
        <v>28823.244999999999</v>
      </c>
    </row>
    <row r="124" spans="1:169" x14ac:dyDescent="0.35">
      <c r="A124">
        <v>198684</v>
      </c>
      <c r="B124" t="s">
        <v>3681</v>
      </c>
      <c r="C124" t="s">
        <v>3682</v>
      </c>
      <c r="D124" t="s">
        <v>3683</v>
      </c>
      <c r="E124" s="43" t="s">
        <v>3684</v>
      </c>
      <c r="F124">
        <v>1</v>
      </c>
      <c r="I124">
        <v>43804</v>
      </c>
      <c r="J124" t="s">
        <v>4242</v>
      </c>
      <c r="K124" t="s">
        <v>1715</v>
      </c>
      <c r="L124" s="43" t="s">
        <v>259</v>
      </c>
      <c r="M124" t="s">
        <v>3685</v>
      </c>
      <c r="N124" s="43" t="s">
        <v>3686</v>
      </c>
      <c r="O124" s="43" t="s">
        <v>3377</v>
      </c>
      <c r="P124" s="43" t="s">
        <v>542</v>
      </c>
      <c r="Q124" s="43" t="s">
        <v>2889</v>
      </c>
      <c r="S124">
        <v>44109</v>
      </c>
      <c r="T124" t="s">
        <v>544</v>
      </c>
      <c r="U124" t="s">
        <v>266</v>
      </c>
      <c r="V124" t="s">
        <v>267</v>
      </c>
      <c r="W124" t="s">
        <v>1718</v>
      </c>
      <c r="X124" t="s">
        <v>1719</v>
      </c>
      <c r="Y124">
        <v>8772802835</v>
      </c>
      <c r="Z124" t="s">
        <v>270</v>
      </c>
      <c r="AA124" t="s">
        <v>271</v>
      </c>
      <c r="AB124">
        <v>17</v>
      </c>
      <c r="AC124">
        <v>0</v>
      </c>
      <c r="AD124">
        <v>0</v>
      </c>
      <c r="AE124" t="s">
        <v>376</v>
      </c>
      <c r="AF124">
        <v>7</v>
      </c>
      <c r="AG124" t="s">
        <v>3345</v>
      </c>
      <c r="AK124" s="43" t="s">
        <v>259</v>
      </c>
      <c r="AL124" s="43" t="s">
        <v>259</v>
      </c>
      <c r="AO124" s="23"/>
      <c r="AP124" s="23"/>
      <c r="AQ124" s="23"/>
      <c r="BC124" t="s">
        <v>259</v>
      </c>
      <c r="BD124" s="43" t="s">
        <v>259</v>
      </c>
      <c r="BE124" s="43" t="s">
        <v>259</v>
      </c>
      <c r="BF124" s="43" t="s">
        <v>259</v>
      </c>
      <c r="BG124" s="43" t="s">
        <v>259</v>
      </c>
      <c r="BH124" t="s">
        <v>259</v>
      </c>
      <c r="BI124" s="43" t="s">
        <v>259</v>
      </c>
      <c r="BJ124">
        <v>0</v>
      </c>
      <c r="BK124">
        <v>44109</v>
      </c>
      <c r="BL124">
        <v>44356</v>
      </c>
      <c r="BM124">
        <v>8505</v>
      </c>
      <c r="BN124">
        <v>8505</v>
      </c>
      <c r="BO124">
        <v>8505</v>
      </c>
      <c r="BP124">
        <v>25515</v>
      </c>
      <c r="BQ124">
        <v>3300</v>
      </c>
      <c r="BR124">
        <v>400</v>
      </c>
      <c r="BS124">
        <v>400</v>
      </c>
      <c r="BT124">
        <v>4100</v>
      </c>
      <c r="BU124">
        <v>2100</v>
      </c>
      <c r="BV124">
        <v>2100</v>
      </c>
      <c r="BW124">
        <v>2100</v>
      </c>
      <c r="BX124">
        <v>6300</v>
      </c>
      <c r="BY124">
        <v>1200</v>
      </c>
      <c r="BZ124">
        <v>1200</v>
      </c>
      <c r="CA124">
        <v>1200</v>
      </c>
      <c r="CB124">
        <v>3600</v>
      </c>
      <c r="CC124">
        <v>0</v>
      </c>
      <c r="CD124">
        <v>0</v>
      </c>
      <c r="CE124">
        <v>0</v>
      </c>
      <c r="CF124">
        <v>0</v>
      </c>
      <c r="CG124">
        <v>39515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3000</v>
      </c>
      <c r="CY124">
        <v>3000</v>
      </c>
      <c r="CZ124">
        <v>3000</v>
      </c>
      <c r="DA124">
        <v>9000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9000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M124">
        <v>0</v>
      </c>
      <c r="EN124">
        <v>660</v>
      </c>
      <c r="EO124">
        <v>660</v>
      </c>
      <c r="EP124">
        <v>660</v>
      </c>
      <c r="EQ124">
        <v>2000</v>
      </c>
      <c r="ER124">
        <v>21.18</v>
      </c>
      <c r="ES124">
        <v>0</v>
      </c>
      <c r="ET124">
        <v>0</v>
      </c>
      <c r="EU124">
        <v>0</v>
      </c>
      <c r="EW124">
        <v>0</v>
      </c>
      <c r="FA124">
        <v>0</v>
      </c>
      <c r="FE124">
        <v>0</v>
      </c>
      <c r="FI124">
        <v>0</v>
      </c>
      <c r="FJ124">
        <v>1978.82</v>
      </c>
      <c r="FK124">
        <v>30515</v>
      </c>
      <c r="FL124">
        <v>29798.442003258009</v>
      </c>
      <c r="FM124">
        <v>28536.18</v>
      </c>
    </row>
    <row r="125" spans="1:169" x14ac:dyDescent="0.35">
      <c r="A125">
        <v>191622</v>
      </c>
      <c r="B125" t="s">
        <v>4036</v>
      </c>
      <c r="C125" t="s">
        <v>2505</v>
      </c>
      <c r="D125" t="s">
        <v>4037</v>
      </c>
      <c r="E125" s="43" t="s">
        <v>4038</v>
      </c>
      <c r="F125">
        <v>1</v>
      </c>
      <c r="I125">
        <v>43804</v>
      </c>
      <c r="J125" t="s">
        <v>4242</v>
      </c>
      <c r="K125" t="s">
        <v>1715</v>
      </c>
      <c r="L125" s="43" t="s">
        <v>259</v>
      </c>
      <c r="M125" t="s">
        <v>4039</v>
      </c>
      <c r="N125" s="43" t="s">
        <v>4040</v>
      </c>
      <c r="O125" s="43" t="s">
        <v>4041</v>
      </c>
      <c r="P125" s="43" t="s">
        <v>297</v>
      </c>
      <c r="Q125" s="43" t="s">
        <v>4042</v>
      </c>
      <c r="S125">
        <v>44109</v>
      </c>
      <c r="T125" t="s">
        <v>311</v>
      </c>
      <c r="U125" t="s">
        <v>266</v>
      </c>
      <c r="V125" t="s">
        <v>267</v>
      </c>
      <c r="W125" t="s">
        <v>1718</v>
      </c>
      <c r="X125" t="s">
        <v>1719</v>
      </c>
      <c r="Y125">
        <v>8772802835</v>
      </c>
      <c r="Z125" t="s">
        <v>270</v>
      </c>
      <c r="AA125" t="s">
        <v>271</v>
      </c>
      <c r="AB125">
        <v>0</v>
      </c>
      <c r="AC125">
        <v>1060</v>
      </c>
      <c r="AD125">
        <v>111</v>
      </c>
      <c r="AE125" t="s">
        <v>301</v>
      </c>
      <c r="AF125">
        <v>1</v>
      </c>
      <c r="AG125" t="s">
        <v>3345</v>
      </c>
      <c r="AK125" s="43" t="s">
        <v>259</v>
      </c>
      <c r="AL125" s="43" t="s">
        <v>259</v>
      </c>
      <c r="AO125" s="23"/>
      <c r="AP125" s="23"/>
      <c r="AQ125" s="23"/>
      <c r="BC125" t="s">
        <v>259</v>
      </c>
      <c r="BD125" s="43" t="s">
        <v>259</v>
      </c>
      <c r="BE125" s="43" t="s">
        <v>259</v>
      </c>
      <c r="BF125" s="43" t="s">
        <v>259</v>
      </c>
      <c r="BG125" s="43" t="s">
        <v>259</v>
      </c>
      <c r="BH125" t="s">
        <v>259</v>
      </c>
      <c r="BI125" s="43" t="s">
        <v>259</v>
      </c>
      <c r="BJ125">
        <v>0</v>
      </c>
      <c r="BK125">
        <v>44109</v>
      </c>
      <c r="BL125">
        <v>44356</v>
      </c>
      <c r="BM125">
        <v>8505</v>
      </c>
      <c r="BN125">
        <v>8505</v>
      </c>
      <c r="BO125">
        <v>8505</v>
      </c>
      <c r="BP125">
        <v>25515</v>
      </c>
      <c r="BQ125">
        <v>3300</v>
      </c>
      <c r="BR125">
        <v>400</v>
      </c>
      <c r="BS125">
        <v>400</v>
      </c>
      <c r="BT125">
        <v>4100</v>
      </c>
      <c r="BU125">
        <v>2100</v>
      </c>
      <c r="BV125">
        <v>2100</v>
      </c>
      <c r="BW125">
        <v>2100</v>
      </c>
      <c r="BX125">
        <v>6300</v>
      </c>
      <c r="BY125">
        <v>1200</v>
      </c>
      <c r="BZ125">
        <v>1200</v>
      </c>
      <c r="CA125">
        <v>1200</v>
      </c>
      <c r="CB125">
        <v>3600</v>
      </c>
      <c r="CC125">
        <v>0</v>
      </c>
      <c r="CD125">
        <v>0</v>
      </c>
      <c r="CE125">
        <v>0</v>
      </c>
      <c r="CF125">
        <v>0</v>
      </c>
      <c r="CG125">
        <v>39515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1700</v>
      </c>
      <c r="CU125">
        <v>1700</v>
      </c>
      <c r="CV125">
        <v>1700</v>
      </c>
      <c r="CW125">
        <v>5100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5100</v>
      </c>
      <c r="EE125">
        <v>0</v>
      </c>
      <c r="EF125">
        <v>0</v>
      </c>
      <c r="EG125">
        <v>0</v>
      </c>
      <c r="EH125">
        <v>0</v>
      </c>
      <c r="EI125">
        <v>1154</v>
      </c>
      <c r="EJ125">
        <v>1154</v>
      </c>
      <c r="EK125">
        <v>1155</v>
      </c>
      <c r="EL125">
        <v>3500</v>
      </c>
      <c r="EM125">
        <v>37.065000000000005</v>
      </c>
      <c r="EN125">
        <v>660</v>
      </c>
      <c r="EO125">
        <v>660</v>
      </c>
      <c r="EP125">
        <v>660</v>
      </c>
      <c r="EQ125">
        <v>2000</v>
      </c>
      <c r="ER125">
        <v>21.18</v>
      </c>
      <c r="ES125">
        <v>0</v>
      </c>
      <c r="ET125">
        <v>0</v>
      </c>
      <c r="EU125">
        <v>0</v>
      </c>
      <c r="EV125">
        <v>0</v>
      </c>
      <c r="EW125">
        <v>0</v>
      </c>
      <c r="FA125">
        <v>0</v>
      </c>
      <c r="FE125">
        <v>0</v>
      </c>
      <c r="FI125">
        <v>0</v>
      </c>
      <c r="FJ125">
        <v>5441.7550000000001</v>
      </c>
      <c r="FK125">
        <v>34415</v>
      </c>
      <c r="FL125">
        <v>30254.840023390832</v>
      </c>
      <c r="FM125">
        <v>28973.244999999999</v>
      </c>
    </row>
    <row r="126" spans="1:169" x14ac:dyDescent="0.35">
      <c r="A126">
        <v>197048</v>
      </c>
      <c r="B126" t="s">
        <v>2445</v>
      </c>
      <c r="C126" t="s">
        <v>915</v>
      </c>
      <c r="D126" t="s">
        <v>2446</v>
      </c>
      <c r="E126" s="43" t="s">
        <v>2447</v>
      </c>
      <c r="F126">
        <v>1</v>
      </c>
      <c r="I126">
        <v>43804</v>
      </c>
      <c r="J126" t="s">
        <v>4242</v>
      </c>
      <c r="K126" t="s">
        <v>1715</v>
      </c>
      <c r="L126" s="43" t="s">
        <v>259</v>
      </c>
      <c r="M126" t="s">
        <v>2448</v>
      </c>
      <c r="N126" s="43" t="s">
        <v>2449</v>
      </c>
      <c r="O126" s="43" t="s">
        <v>2450</v>
      </c>
      <c r="P126" s="43" t="s">
        <v>1018</v>
      </c>
      <c r="Q126" s="43" t="s">
        <v>2451</v>
      </c>
      <c r="R126">
        <v>4</v>
      </c>
      <c r="S126">
        <v>44109</v>
      </c>
      <c r="T126" t="s">
        <v>285</v>
      </c>
      <c r="U126" t="s">
        <v>266</v>
      </c>
      <c r="V126" t="s">
        <v>267</v>
      </c>
      <c r="W126" t="s">
        <v>1718</v>
      </c>
      <c r="X126" t="s">
        <v>1719</v>
      </c>
      <c r="Y126">
        <v>8772802835</v>
      </c>
      <c r="Z126" t="s">
        <v>270</v>
      </c>
      <c r="AA126" t="s">
        <v>271</v>
      </c>
      <c r="AB126">
        <v>0</v>
      </c>
      <c r="AC126">
        <v>1090</v>
      </c>
      <c r="AD126">
        <v>120</v>
      </c>
      <c r="AE126" t="s">
        <v>301</v>
      </c>
      <c r="AF126">
        <v>1</v>
      </c>
      <c r="AG126" t="s">
        <v>275</v>
      </c>
      <c r="AK126" s="43" t="s">
        <v>259</v>
      </c>
      <c r="AL126" s="43" t="s">
        <v>259</v>
      </c>
      <c r="AO126" s="23"/>
      <c r="AP126" s="23"/>
      <c r="AQ126" s="23"/>
      <c r="BC126" t="s">
        <v>259</v>
      </c>
      <c r="BD126" s="43" t="s">
        <v>259</v>
      </c>
      <c r="BE126" s="43" t="s">
        <v>259</v>
      </c>
      <c r="BF126" s="43" t="s">
        <v>259</v>
      </c>
      <c r="BG126" s="43" t="s">
        <v>259</v>
      </c>
      <c r="BH126" t="s">
        <v>259</v>
      </c>
      <c r="BI126" s="43" t="s">
        <v>259</v>
      </c>
      <c r="BJ126">
        <v>0</v>
      </c>
      <c r="BK126">
        <v>44109</v>
      </c>
      <c r="BL126">
        <v>44356</v>
      </c>
      <c r="BM126">
        <v>8505</v>
      </c>
      <c r="BN126">
        <v>8505</v>
      </c>
      <c r="BO126">
        <v>8505</v>
      </c>
      <c r="BP126">
        <v>25515</v>
      </c>
      <c r="BQ126">
        <v>3300</v>
      </c>
      <c r="BR126">
        <v>400</v>
      </c>
      <c r="BS126">
        <v>400</v>
      </c>
      <c r="BT126">
        <v>4100</v>
      </c>
      <c r="BU126">
        <v>2100</v>
      </c>
      <c r="BV126">
        <v>2100</v>
      </c>
      <c r="BW126">
        <v>2100</v>
      </c>
      <c r="BX126">
        <v>6300</v>
      </c>
      <c r="BY126">
        <v>1200</v>
      </c>
      <c r="BZ126">
        <v>1200</v>
      </c>
      <c r="CA126">
        <v>1200</v>
      </c>
      <c r="CB126">
        <v>3600</v>
      </c>
      <c r="CC126">
        <v>0</v>
      </c>
      <c r="CD126">
        <v>0</v>
      </c>
      <c r="CE126">
        <v>0</v>
      </c>
      <c r="CF126">
        <v>0</v>
      </c>
      <c r="CG126">
        <v>39515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1700</v>
      </c>
      <c r="CU126">
        <v>1700</v>
      </c>
      <c r="CV126">
        <v>1700</v>
      </c>
      <c r="CW126">
        <v>5100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5100</v>
      </c>
      <c r="EE126">
        <v>0</v>
      </c>
      <c r="EF126">
        <v>0</v>
      </c>
      <c r="EG126">
        <v>0</v>
      </c>
      <c r="EH126">
        <v>0</v>
      </c>
      <c r="EI126">
        <v>1154</v>
      </c>
      <c r="EJ126">
        <v>1154</v>
      </c>
      <c r="EK126">
        <v>1155</v>
      </c>
      <c r="EL126">
        <v>3500</v>
      </c>
      <c r="EM126">
        <v>37.065000000000005</v>
      </c>
      <c r="EN126">
        <v>660</v>
      </c>
      <c r="EO126">
        <v>660</v>
      </c>
      <c r="EP126">
        <v>660</v>
      </c>
      <c r="EQ126">
        <v>2000</v>
      </c>
      <c r="ER126">
        <v>21.18</v>
      </c>
      <c r="ES126">
        <v>0</v>
      </c>
      <c r="ET126">
        <v>0</v>
      </c>
      <c r="EU126">
        <v>0</v>
      </c>
      <c r="EV126">
        <v>0</v>
      </c>
      <c r="EW126">
        <v>0</v>
      </c>
      <c r="FA126">
        <v>0</v>
      </c>
      <c r="FE126">
        <v>0</v>
      </c>
      <c r="FI126">
        <v>0</v>
      </c>
      <c r="FJ126">
        <v>5441.7550000000001</v>
      </c>
      <c r="FK126">
        <v>34415</v>
      </c>
      <c r="FL126">
        <v>30254.840023390832</v>
      </c>
      <c r="FM126">
        <v>28973.244999999999</v>
      </c>
    </row>
    <row r="127" spans="1:169" x14ac:dyDescent="0.35">
      <c r="A127">
        <v>194426</v>
      </c>
      <c r="B127" t="s">
        <v>2452</v>
      </c>
      <c r="C127" t="s">
        <v>2453</v>
      </c>
      <c r="D127" t="s">
        <v>2454</v>
      </c>
      <c r="E127" s="43" t="s">
        <v>2455</v>
      </c>
      <c r="F127">
        <v>1</v>
      </c>
      <c r="I127">
        <v>43804</v>
      </c>
      <c r="J127" t="s">
        <v>4242</v>
      </c>
      <c r="K127" t="s">
        <v>1715</v>
      </c>
      <c r="L127" s="43" t="s">
        <v>259</v>
      </c>
      <c r="M127" t="s">
        <v>2456</v>
      </c>
      <c r="N127" s="43" t="s">
        <v>2457</v>
      </c>
      <c r="O127" s="43" t="s">
        <v>2458</v>
      </c>
      <c r="P127" s="43" t="s">
        <v>759</v>
      </c>
      <c r="Q127" s="43" t="s">
        <v>2459</v>
      </c>
      <c r="R127">
        <v>4</v>
      </c>
      <c r="S127">
        <v>44109</v>
      </c>
      <c r="T127" t="s">
        <v>265</v>
      </c>
      <c r="U127" t="s">
        <v>266</v>
      </c>
      <c r="V127" t="s">
        <v>267</v>
      </c>
      <c r="W127" t="s">
        <v>1718</v>
      </c>
      <c r="X127" t="s">
        <v>1719</v>
      </c>
      <c r="Y127">
        <v>8772802835</v>
      </c>
      <c r="Z127" t="s">
        <v>270</v>
      </c>
      <c r="AA127" t="s">
        <v>271</v>
      </c>
      <c r="AB127">
        <v>0</v>
      </c>
      <c r="AC127">
        <v>1270</v>
      </c>
      <c r="AD127">
        <v>127</v>
      </c>
      <c r="AE127" t="s">
        <v>301</v>
      </c>
      <c r="AF127">
        <v>1</v>
      </c>
      <c r="AG127" t="s">
        <v>275</v>
      </c>
      <c r="AK127" s="43" t="s">
        <v>259</v>
      </c>
      <c r="AL127" s="43" t="s">
        <v>259</v>
      </c>
      <c r="AO127" s="23"/>
      <c r="AP127" s="23"/>
      <c r="AQ127" s="23"/>
      <c r="BC127" t="s">
        <v>259</v>
      </c>
      <c r="BD127" s="43" t="s">
        <v>259</v>
      </c>
      <c r="BE127" s="43" t="s">
        <v>259</v>
      </c>
      <c r="BF127" s="43" t="s">
        <v>259</v>
      </c>
      <c r="BG127" s="43" t="s">
        <v>259</v>
      </c>
      <c r="BH127" t="s">
        <v>259</v>
      </c>
      <c r="BI127" s="43" t="s">
        <v>259</v>
      </c>
      <c r="BJ127">
        <v>0</v>
      </c>
      <c r="BK127">
        <v>44109</v>
      </c>
      <c r="BL127">
        <v>44356</v>
      </c>
      <c r="BM127">
        <v>8505</v>
      </c>
      <c r="BN127">
        <v>8505</v>
      </c>
      <c r="BO127">
        <v>8505</v>
      </c>
      <c r="BP127">
        <v>25515</v>
      </c>
      <c r="BQ127">
        <v>3300</v>
      </c>
      <c r="BR127">
        <v>400</v>
      </c>
      <c r="BS127">
        <v>400</v>
      </c>
      <c r="BT127">
        <v>4100</v>
      </c>
      <c r="BU127">
        <v>2100</v>
      </c>
      <c r="BV127">
        <v>2100</v>
      </c>
      <c r="BW127">
        <v>2100</v>
      </c>
      <c r="BX127">
        <v>6300</v>
      </c>
      <c r="BY127">
        <v>1200</v>
      </c>
      <c r="BZ127">
        <v>1200</v>
      </c>
      <c r="CA127">
        <v>1200</v>
      </c>
      <c r="CB127">
        <v>3600</v>
      </c>
      <c r="CC127">
        <v>0</v>
      </c>
      <c r="CD127">
        <v>0</v>
      </c>
      <c r="CE127">
        <v>0</v>
      </c>
      <c r="CF127">
        <v>0</v>
      </c>
      <c r="CG127">
        <v>39515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1700</v>
      </c>
      <c r="CU127">
        <v>1700</v>
      </c>
      <c r="CV127">
        <v>1700</v>
      </c>
      <c r="CW127">
        <v>5100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5100</v>
      </c>
      <c r="EE127">
        <v>0</v>
      </c>
      <c r="EF127">
        <v>0</v>
      </c>
      <c r="EG127">
        <v>0</v>
      </c>
      <c r="EH127">
        <v>0</v>
      </c>
      <c r="EI127">
        <v>1154</v>
      </c>
      <c r="EJ127">
        <v>1154</v>
      </c>
      <c r="EK127">
        <v>1155</v>
      </c>
      <c r="EL127">
        <v>3500</v>
      </c>
      <c r="EM127">
        <v>37.065000000000005</v>
      </c>
      <c r="EN127">
        <v>660</v>
      </c>
      <c r="EO127">
        <v>660</v>
      </c>
      <c r="EP127">
        <v>660</v>
      </c>
      <c r="EQ127">
        <v>2000</v>
      </c>
      <c r="ER127">
        <v>21.18</v>
      </c>
      <c r="ES127">
        <v>0</v>
      </c>
      <c r="ET127">
        <v>0</v>
      </c>
      <c r="EU127">
        <v>0</v>
      </c>
      <c r="EV127">
        <v>0</v>
      </c>
      <c r="EW127">
        <v>0</v>
      </c>
      <c r="FA127">
        <v>0</v>
      </c>
      <c r="FE127">
        <v>0</v>
      </c>
      <c r="FI127">
        <v>0</v>
      </c>
      <c r="FJ127">
        <v>5441.7550000000001</v>
      </c>
      <c r="FK127">
        <v>34415</v>
      </c>
      <c r="FL127">
        <v>30254.840023390832</v>
      </c>
      <c r="FM127">
        <v>28973.244999999999</v>
      </c>
    </row>
    <row r="128" spans="1:169" x14ac:dyDescent="0.35">
      <c r="A128">
        <v>192389</v>
      </c>
      <c r="B128" t="s">
        <v>2460</v>
      </c>
      <c r="C128" t="s">
        <v>2461</v>
      </c>
      <c r="D128" t="s">
        <v>2462</v>
      </c>
      <c r="E128" s="43" t="s">
        <v>2463</v>
      </c>
      <c r="F128">
        <v>1</v>
      </c>
      <c r="G128">
        <v>43776</v>
      </c>
      <c r="H128">
        <v>43776</v>
      </c>
      <c r="I128">
        <v>43781</v>
      </c>
      <c r="J128" t="s">
        <v>3580</v>
      </c>
      <c r="K128" t="s">
        <v>1715</v>
      </c>
      <c r="L128" s="43" t="s">
        <v>3204</v>
      </c>
      <c r="M128" t="s">
        <v>2464</v>
      </c>
      <c r="N128" s="43" t="s">
        <v>2465</v>
      </c>
      <c r="O128" s="43" t="s">
        <v>1394</v>
      </c>
      <c r="P128" s="43" t="s">
        <v>705</v>
      </c>
      <c r="Q128" s="43" t="s">
        <v>2466</v>
      </c>
      <c r="R128">
        <v>2.6</v>
      </c>
      <c r="S128">
        <v>44109</v>
      </c>
      <c r="T128" t="s">
        <v>285</v>
      </c>
      <c r="U128" t="s">
        <v>266</v>
      </c>
      <c r="V128" t="s">
        <v>267</v>
      </c>
      <c r="W128" t="s">
        <v>1718</v>
      </c>
      <c r="X128" t="s">
        <v>1719</v>
      </c>
      <c r="Y128">
        <v>8772802835</v>
      </c>
      <c r="Z128" t="s">
        <v>270</v>
      </c>
      <c r="AA128" t="s">
        <v>271</v>
      </c>
      <c r="AB128">
        <v>0</v>
      </c>
      <c r="AC128">
        <v>1110</v>
      </c>
      <c r="AD128">
        <v>95</v>
      </c>
      <c r="AE128" t="s">
        <v>376</v>
      </c>
      <c r="AF128">
        <v>7</v>
      </c>
      <c r="AG128" t="s">
        <v>275</v>
      </c>
      <c r="AH128">
        <v>0</v>
      </c>
      <c r="AI128">
        <v>0</v>
      </c>
      <c r="AJ128">
        <v>43774</v>
      </c>
      <c r="AK128" s="43" t="s">
        <v>3208</v>
      </c>
      <c r="AL128" s="43" t="s">
        <v>3209</v>
      </c>
      <c r="AO128" s="23">
        <v>43777</v>
      </c>
      <c r="AP128" s="23"/>
      <c r="AQ128" s="23"/>
      <c r="BC128" t="s">
        <v>2018</v>
      </c>
      <c r="BD128" s="43" t="s">
        <v>2018</v>
      </c>
      <c r="BE128" s="43" t="s">
        <v>2018</v>
      </c>
      <c r="BF128" s="43" t="s">
        <v>2018</v>
      </c>
      <c r="BG128" s="43" t="s">
        <v>2018</v>
      </c>
      <c r="BH128" t="s">
        <v>2018</v>
      </c>
      <c r="BI128" s="43" t="s">
        <v>2018</v>
      </c>
      <c r="BJ128">
        <v>6.25E-2</v>
      </c>
      <c r="BK128">
        <v>44109</v>
      </c>
      <c r="BL128">
        <v>44356</v>
      </c>
      <c r="BM128">
        <v>8505</v>
      </c>
      <c r="BN128">
        <v>8505</v>
      </c>
      <c r="BO128">
        <v>8505</v>
      </c>
      <c r="BP128">
        <v>25515</v>
      </c>
      <c r="BQ128">
        <v>3300</v>
      </c>
      <c r="BR128">
        <v>400</v>
      </c>
      <c r="BS128">
        <v>400</v>
      </c>
      <c r="BT128">
        <v>4100</v>
      </c>
      <c r="BU128">
        <v>2100</v>
      </c>
      <c r="BV128">
        <v>2100</v>
      </c>
      <c r="BW128">
        <v>2100</v>
      </c>
      <c r="BX128">
        <v>6300</v>
      </c>
      <c r="BY128">
        <v>1200</v>
      </c>
      <c r="BZ128">
        <v>1200</v>
      </c>
      <c r="CA128">
        <v>1200</v>
      </c>
      <c r="CB128">
        <v>3600</v>
      </c>
      <c r="CC128">
        <v>0</v>
      </c>
      <c r="CD128">
        <v>0</v>
      </c>
      <c r="CE128">
        <v>0</v>
      </c>
      <c r="CF128">
        <v>0</v>
      </c>
      <c r="CG128">
        <v>39515</v>
      </c>
      <c r="CH128">
        <v>0</v>
      </c>
      <c r="CI128">
        <v>0</v>
      </c>
      <c r="CJ128">
        <v>0</v>
      </c>
      <c r="CK128">
        <v>0</v>
      </c>
      <c r="CL128">
        <v>2065</v>
      </c>
      <c r="CM128">
        <v>2065</v>
      </c>
      <c r="CN128">
        <v>2065</v>
      </c>
      <c r="CO128">
        <v>6195</v>
      </c>
      <c r="CP128">
        <v>500</v>
      </c>
      <c r="CQ128">
        <v>500</v>
      </c>
      <c r="CR128">
        <v>500</v>
      </c>
      <c r="CS128">
        <v>1500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7695</v>
      </c>
      <c r="EE128">
        <v>0</v>
      </c>
      <c r="EF128">
        <v>0</v>
      </c>
      <c r="EG128">
        <v>0</v>
      </c>
      <c r="EH128">
        <v>0</v>
      </c>
      <c r="EI128">
        <v>1154</v>
      </c>
      <c r="EJ128">
        <v>1154</v>
      </c>
      <c r="EK128">
        <v>1155</v>
      </c>
      <c r="EL128">
        <v>3500</v>
      </c>
      <c r="EM128">
        <v>37.065000000000005</v>
      </c>
      <c r="EN128">
        <v>660</v>
      </c>
      <c r="EO128">
        <v>660</v>
      </c>
      <c r="EP128">
        <v>660</v>
      </c>
      <c r="EQ128">
        <v>2000</v>
      </c>
      <c r="ER128">
        <v>21.18</v>
      </c>
      <c r="ES128">
        <v>5469</v>
      </c>
      <c r="ET128">
        <v>5469</v>
      </c>
      <c r="EU128">
        <v>5469</v>
      </c>
      <c r="EV128">
        <v>17103</v>
      </c>
      <c r="EW128">
        <v>724.48308000000009</v>
      </c>
      <c r="FA128">
        <v>0</v>
      </c>
      <c r="FE128">
        <v>0</v>
      </c>
      <c r="FI128">
        <v>0</v>
      </c>
      <c r="FJ128">
        <v>21820.271919999999</v>
      </c>
      <c r="FK128">
        <v>31820</v>
      </c>
      <c r="FL128">
        <v>10442.053464767552</v>
      </c>
      <c r="FM128">
        <v>9999.7280800000008</v>
      </c>
    </row>
    <row r="129" spans="1:169" x14ac:dyDescent="0.35">
      <c r="A129">
        <v>197681</v>
      </c>
      <c r="B129" t="s">
        <v>2467</v>
      </c>
      <c r="C129" t="s">
        <v>2468</v>
      </c>
      <c r="D129" t="s">
        <v>2469</v>
      </c>
      <c r="E129" s="43" t="s">
        <v>2470</v>
      </c>
      <c r="F129">
        <v>1</v>
      </c>
      <c r="G129">
        <v>43781</v>
      </c>
      <c r="H129">
        <v>43787</v>
      </c>
      <c r="I129">
        <v>43787</v>
      </c>
      <c r="J129" t="s">
        <v>4250</v>
      </c>
      <c r="K129" t="s">
        <v>1715</v>
      </c>
      <c r="L129" s="43" t="s">
        <v>3204</v>
      </c>
      <c r="M129" t="s">
        <v>2471</v>
      </c>
      <c r="N129" s="43" t="s">
        <v>2472</v>
      </c>
      <c r="O129" s="43" t="s">
        <v>2473</v>
      </c>
      <c r="P129" s="43" t="s">
        <v>309</v>
      </c>
      <c r="Q129" s="43" t="s">
        <v>2474</v>
      </c>
      <c r="S129">
        <v>44109</v>
      </c>
      <c r="T129" t="s">
        <v>311</v>
      </c>
      <c r="U129" t="s">
        <v>266</v>
      </c>
      <c r="V129" t="s">
        <v>267</v>
      </c>
      <c r="W129" t="s">
        <v>1718</v>
      </c>
      <c r="X129" t="s">
        <v>1719</v>
      </c>
      <c r="Y129">
        <v>8772802835</v>
      </c>
      <c r="Z129" t="s">
        <v>508</v>
      </c>
      <c r="AA129" t="s">
        <v>271</v>
      </c>
      <c r="AB129">
        <v>0</v>
      </c>
      <c r="AC129">
        <v>1020</v>
      </c>
      <c r="AD129">
        <v>107</v>
      </c>
      <c r="AE129" t="s">
        <v>445</v>
      </c>
      <c r="AF129">
        <v>4</v>
      </c>
      <c r="AG129" t="s">
        <v>275</v>
      </c>
      <c r="AH129">
        <v>33534</v>
      </c>
      <c r="AI129">
        <v>33534</v>
      </c>
      <c r="AJ129">
        <v>43776</v>
      </c>
      <c r="AK129" s="43" t="s">
        <v>3208</v>
      </c>
      <c r="AL129" s="43" t="s">
        <v>3209</v>
      </c>
      <c r="AM129">
        <v>43788</v>
      </c>
      <c r="AN129">
        <v>43788</v>
      </c>
      <c r="AO129" s="23">
        <v>43788</v>
      </c>
      <c r="AP129" s="23"/>
      <c r="AQ129" s="23"/>
      <c r="BC129" t="s">
        <v>2018</v>
      </c>
      <c r="BD129" s="43" t="s">
        <v>2018</v>
      </c>
      <c r="BE129" s="43" t="s">
        <v>2018</v>
      </c>
      <c r="BF129" s="43" t="s">
        <v>2018</v>
      </c>
      <c r="BG129" s="43" t="s">
        <v>2018</v>
      </c>
      <c r="BH129" t="s">
        <v>2018</v>
      </c>
      <c r="BI129" s="43" t="s">
        <v>2018</v>
      </c>
      <c r="BJ129">
        <v>0.1875</v>
      </c>
      <c r="BK129">
        <v>44109</v>
      </c>
      <c r="BL129">
        <v>44356</v>
      </c>
      <c r="BM129">
        <v>8505</v>
      </c>
      <c r="BN129">
        <v>8505</v>
      </c>
      <c r="BO129">
        <v>8505</v>
      </c>
      <c r="BP129">
        <v>25515</v>
      </c>
      <c r="BQ129">
        <v>3300</v>
      </c>
      <c r="BR129">
        <v>400</v>
      </c>
      <c r="BS129">
        <v>400</v>
      </c>
      <c r="BT129">
        <v>4100</v>
      </c>
      <c r="BU129">
        <v>2100</v>
      </c>
      <c r="BV129">
        <v>2100</v>
      </c>
      <c r="BW129">
        <v>2100</v>
      </c>
      <c r="BX129">
        <v>6300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35915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1250</v>
      </c>
      <c r="CU129">
        <v>1250</v>
      </c>
      <c r="CV129">
        <v>1250</v>
      </c>
      <c r="CW129">
        <v>3750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3750</v>
      </c>
      <c r="EE129">
        <v>0</v>
      </c>
      <c r="EF129">
        <v>0</v>
      </c>
      <c r="EG129">
        <v>0</v>
      </c>
      <c r="EH129">
        <v>0</v>
      </c>
      <c r="EI129">
        <v>1154</v>
      </c>
      <c r="EJ129">
        <v>1154</v>
      </c>
      <c r="EK129">
        <v>1155</v>
      </c>
      <c r="EL129">
        <v>3500</v>
      </c>
      <c r="EM129">
        <v>37.065000000000005</v>
      </c>
      <c r="EN129">
        <v>660</v>
      </c>
      <c r="EO129">
        <v>660</v>
      </c>
      <c r="EP129">
        <v>660</v>
      </c>
      <c r="EQ129">
        <v>2000</v>
      </c>
      <c r="ER129">
        <v>21.18</v>
      </c>
      <c r="ES129">
        <v>8924</v>
      </c>
      <c r="ET129">
        <v>8924</v>
      </c>
      <c r="EU129">
        <v>8924</v>
      </c>
      <c r="EV129">
        <v>27905</v>
      </c>
      <c r="EW129">
        <v>1182.0558000000001</v>
      </c>
      <c r="FA129">
        <v>0</v>
      </c>
      <c r="FE129">
        <v>0</v>
      </c>
      <c r="FI129">
        <v>0</v>
      </c>
      <c r="FJ129">
        <v>32164.699199999999</v>
      </c>
      <c r="FK129">
        <v>32165</v>
      </c>
      <c r="FL129">
        <v>0.31410550937814896</v>
      </c>
      <c r="FM129">
        <v>0.30080000000089058</v>
      </c>
    </row>
    <row r="130" spans="1:169" x14ac:dyDescent="0.35">
      <c r="A130">
        <v>198155</v>
      </c>
      <c r="B130" t="s">
        <v>3338</v>
      </c>
      <c r="C130" t="s">
        <v>3339</v>
      </c>
      <c r="D130" t="s">
        <v>3340</v>
      </c>
      <c r="E130" s="43" t="s">
        <v>3341</v>
      </c>
      <c r="F130">
        <v>1</v>
      </c>
      <c r="I130">
        <v>43802</v>
      </c>
      <c r="J130" t="s">
        <v>3304</v>
      </c>
      <c r="K130" t="s">
        <v>1715</v>
      </c>
      <c r="L130" s="43" t="s">
        <v>3204</v>
      </c>
      <c r="M130" t="s">
        <v>3342</v>
      </c>
      <c r="N130" s="43" t="s">
        <v>3343</v>
      </c>
      <c r="O130" s="43" t="s">
        <v>2620</v>
      </c>
      <c r="P130" s="43" t="s">
        <v>705</v>
      </c>
      <c r="Q130" s="43" t="s">
        <v>3344</v>
      </c>
      <c r="S130">
        <v>44109</v>
      </c>
      <c r="T130" t="s">
        <v>311</v>
      </c>
      <c r="U130" t="s">
        <v>286</v>
      </c>
      <c r="V130" t="s">
        <v>267</v>
      </c>
      <c r="W130" t="s">
        <v>1718</v>
      </c>
      <c r="X130" t="s">
        <v>1719</v>
      </c>
      <c r="Y130">
        <v>8772802835</v>
      </c>
      <c r="Z130" t="s">
        <v>270</v>
      </c>
      <c r="AA130" t="s">
        <v>271</v>
      </c>
      <c r="AB130">
        <v>0</v>
      </c>
      <c r="AC130">
        <v>960</v>
      </c>
      <c r="AD130">
        <v>113</v>
      </c>
      <c r="AE130" t="s">
        <v>301</v>
      </c>
      <c r="AF130">
        <v>1</v>
      </c>
      <c r="AG130" t="s">
        <v>3345</v>
      </c>
      <c r="AH130">
        <v>0</v>
      </c>
      <c r="AI130">
        <v>0</v>
      </c>
      <c r="AJ130">
        <v>43790</v>
      </c>
      <c r="AK130" s="43" t="s">
        <v>3208</v>
      </c>
      <c r="AL130" s="43" t="s">
        <v>3209</v>
      </c>
      <c r="AO130" s="23"/>
      <c r="AP130" s="23"/>
      <c r="AQ130" s="23"/>
      <c r="BC130" t="s">
        <v>2018</v>
      </c>
      <c r="BD130" s="43" t="s">
        <v>2018</v>
      </c>
      <c r="BE130" s="43" t="s">
        <v>2018</v>
      </c>
      <c r="BF130" s="43" t="s">
        <v>2018</v>
      </c>
      <c r="BG130" s="43" t="s">
        <v>2018</v>
      </c>
      <c r="BH130" t="s">
        <v>2018</v>
      </c>
      <c r="BI130" s="43" t="s">
        <v>2018</v>
      </c>
      <c r="BJ130">
        <v>0</v>
      </c>
      <c r="BK130">
        <v>44109</v>
      </c>
      <c r="BL130">
        <v>44356</v>
      </c>
      <c r="BM130">
        <v>8505</v>
      </c>
      <c r="BN130">
        <v>8505</v>
      </c>
      <c r="BO130">
        <v>8505</v>
      </c>
      <c r="BP130">
        <v>25515</v>
      </c>
      <c r="BQ130">
        <v>3300</v>
      </c>
      <c r="BR130">
        <v>400</v>
      </c>
      <c r="BS130">
        <v>400</v>
      </c>
      <c r="BT130">
        <v>4100</v>
      </c>
      <c r="BU130">
        <v>2100</v>
      </c>
      <c r="BV130">
        <v>2100</v>
      </c>
      <c r="BW130">
        <v>2100</v>
      </c>
      <c r="BX130">
        <v>6300</v>
      </c>
      <c r="BY130">
        <v>1200</v>
      </c>
      <c r="BZ130">
        <v>1200</v>
      </c>
      <c r="CA130">
        <v>1200</v>
      </c>
      <c r="CB130">
        <v>3600</v>
      </c>
      <c r="CC130">
        <v>0</v>
      </c>
      <c r="CD130">
        <v>0</v>
      </c>
      <c r="CE130">
        <v>0</v>
      </c>
      <c r="CF130">
        <v>0</v>
      </c>
      <c r="CG130">
        <v>39515</v>
      </c>
      <c r="CH130">
        <v>0</v>
      </c>
      <c r="CI130">
        <v>0</v>
      </c>
      <c r="CJ130">
        <v>0</v>
      </c>
      <c r="CK130">
        <v>0</v>
      </c>
      <c r="CL130">
        <v>2065</v>
      </c>
      <c r="CM130">
        <v>2065</v>
      </c>
      <c r="CN130">
        <v>2065</v>
      </c>
      <c r="CO130">
        <v>6195</v>
      </c>
      <c r="CP130">
        <v>500</v>
      </c>
      <c r="CQ130">
        <v>500</v>
      </c>
      <c r="CR130">
        <v>500</v>
      </c>
      <c r="CS130">
        <v>1500</v>
      </c>
      <c r="CT130">
        <v>1700</v>
      </c>
      <c r="CU130">
        <v>1700</v>
      </c>
      <c r="CV130">
        <v>1700</v>
      </c>
      <c r="CW130">
        <v>5100</v>
      </c>
      <c r="CX130">
        <v>0</v>
      </c>
      <c r="CY130">
        <v>0</v>
      </c>
      <c r="CZ130">
        <v>0</v>
      </c>
      <c r="DA130">
        <v>0</v>
      </c>
      <c r="DB130">
        <v>1000</v>
      </c>
      <c r="DC130">
        <v>1000</v>
      </c>
      <c r="DD130">
        <v>1000</v>
      </c>
      <c r="DE130">
        <v>3000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15795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660</v>
      </c>
      <c r="EO130">
        <v>660</v>
      </c>
      <c r="EP130">
        <v>660</v>
      </c>
      <c r="EQ130">
        <v>2000</v>
      </c>
      <c r="ER130">
        <v>21.18</v>
      </c>
      <c r="ES130">
        <v>0</v>
      </c>
      <c r="ET130">
        <v>0</v>
      </c>
      <c r="EU130">
        <v>0</v>
      </c>
      <c r="EW130">
        <v>0</v>
      </c>
      <c r="FA130">
        <v>0</v>
      </c>
      <c r="FE130">
        <v>0</v>
      </c>
      <c r="FI130">
        <v>0</v>
      </c>
      <c r="FJ130">
        <v>1978.82</v>
      </c>
      <c r="FK130">
        <v>23720</v>
      </c>
      <c r="FL130">
        <v>22702.873731256004</v>
      </c>
      <c r="FM130">
        <v>21741.18</v>
      </c>
    </row>
    <row r="131" spans="1:169" x14ac:dyDescent="0.35">
      <c r="A131">
        <v>192291</v>
      </c>
      <c r="B131" t="s">
        <v>2475</v>
      </c>
      <c r="C131" t="s">
        <v>1244</v>
      </c>
      <c r="D131" t="s">
        <v>2476</v>
      </c>
      <c r="E131" s="43" t="s">
        <v>2477</v>
      </c>
      <c r="F131">
        <v>1</v>
      </c>
      <c r="I131">
        <v>43804</v>
      </c>
      <c r="J131" t="s">
        <v>4242</v>
      </c>
      <c r="K131" t="s">
        <v>1715</v>
      </c>
      <c r="L131" s="43" t="s">
        <v>259</v>
      </c>
      <c r="M131" t="s">
        <v>2478</v>
      </c>
      <c r="N131" s="43" t="s">
        <v>2479</v>
      </c>
      <c r="O131" s="43" t="s">
        <v>2480</v>
      </c>
      <c r="P131" s="43" t="s">
        <v>687</v>
      </c>
      <c r="Q131" s="43" t="s">
        <v>2481</v>
      </c>
      <c r="S131">
        <v>44109</v>
      </c>
      <c r="T131" t="s">
        <v>265</v>
      </c>
      <c r="U131" t="s">
        <v>266</v>
      </c>
      <c r="V131" t="s">
        <v>267</v>
      </c>
      <c r="W131" t="s">
        <v>1718</v>
      </c>
      <c r="X131" t="s">
        <v>1719</v>
      </c>
      <c r="Y131">
        <v>8772802835</v>
      </c>
      <c r="Z131" t="s">
        <v>270</v>
      </c>
      <c r="AA131" t="s">
        <v>271</v>
      </c>
      <c r="AB131">
        <v>0</v>
      </c>
      <c r="AC131">
        <v>0</v>
      </c>
      <c r="AD131">
        <v>0</v>
      </c>
      <c r="AE131" t="s">
        <v>301</v>
      </c>
      <c r="AF131">
        <v>1</v>
      </c>
      <c r="AG131" t="s">
        <v>275</v>
      </c>
      <c r="AK131" s="43" t="s">
        <v>259</v>
      </c>
      <c r="AL131" s="43" t="s">
        <v>259</v>
      </c>
      <c r="AO131" s="23"/>
      <c r="AP131" s="23"/>
      <c r="AQ131" s="23"/>
      <c r="BC131" t="s">
        <v>259</v>
      </c>
      <c r="BD131" s="43" t="s">
        <v>259</v>
      </c>
      <c r="BE131" s="43" t="s">
        <v>259</v>
      </c>
      <c r="BF131" s="43" t="s">
        <v>259</v>
      </c>
      <c r="BG131" s="43" t="s">
        <v>259</v>
      </c>
      <c r="BH131" t="s">
        <v>259</v>
      </c>
      <c r="BI131" s="43" t="s">
        <v>259</v>
      </c>
      <c r="BJ131">
        <v>0</v>
      </c>
      <c r="BK131">
        <v>44109</v>
      </c>
      <c r="BL131">
        <v>44356</v>
      </c>
      <c r="BM131">
        <v>8505</v>
      </c>
      <c r="BN131">
        <v>8505</v>
      </c>
      <c r="BO131">
        <v>8505</v>
      </c>
      <c r="BP131">
        <v>25515</v>
      </c>
      <c r="BQ131">
        <v>3300</v>
      </c>
      <c r="BR131">
        <v>400</v>
      </c>
      <c r="BS131">
        <v>400</v>
      </c>
      <c r="BT131">
        <v>4100</v>
      </c>
      <c r="BU131">
        <v>2100</v>
      </c>
      <c r="BV131">
        <v>2100</v>
      </c>
      <c r="BW131">
        <v>2100</v>
      </c>
      <c r="BX131">
        <v>6300</v>
      </c>
      <c r="BY131">
        <v>1200</v>
      </c>
      <c r="BZ131">
        <v>1200</v>
      </c>
      <c r="CA131">
        <v>1200</v>
      </c>
      <c r="CB131">
        <v>3600</v>
      </c>
      <c r="CC131">
        <v>0</v>
      </c>
      <c r="CD131">
        <v>0</v>
      </c>
      <c r="CE131">
        <v>0</v>
      </c>
      <c r="CF131">
        <v>0</v>
      </c>
      <c r="CG131">
        <v>39515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1700</v>
      </c>
      <c r="CU131">
        <v>1700</v>
      </c>
      <c r="CV131">
        <v>1700</v>
      </c>
      <c r="CW131">
        <v>5100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5100</v>
      </c>
      <c r="EE131">
        <v>0</v>
      </c>
      <c r="EF131">
        <v>0</v>
      </c>
      <c r="EG131">
        <v>0</v>
      </c>
      <c r="EH131">
        <v>0</v>
      </c>
      <c r="EI131">
        <v>1154</v>
      </c>
      <c r="EJ131">
        <v>1154</v>
      </c>
      <c r="EK131">
        <v>1155</v>
      </c>
      <c r="EL131">
        <v>3500</v>
      </c>
      <c r="EM131">
        <v>37.065000000000005</v>
      </c>
      <c r="EN131">
        <v>660</v>
      </c>
      <c r="EO131">
        <v>660</v>
      </c>
      <c r="EP131">
        <v>660</v>
      </c>
      <c r="EQ131">
        <v>2000</v>
      </c>
      <c r="ER131">
        <v>21.18</v>
      </c>
      <c r="ES131">
        <v>0</v>
      </c>
      <c r="ET131">
        <v>0</v>
      </c>
      <c r="EU131">
        <v>0</v>
      </c>
      <c r="EV131">
        <v>0</v>
      </c>
      <c r="EW131">
        <v>0</v>
      </c>
      <c r="FA131">
        <v>0</v>
      </c>
      <c r="FE131">
        <v>0</v>
      </c>
      <c r="FI131">
        <v>0</v>
      </c>
      <c r="FJ131">
        <v>5441.7550000000001</v>
      </c>
      <c r="FK131">
        <v>34415</v>
      </c>
      <c r="FL131">
        <v>30254.840023390832</v>
      </c>
      <c r="FM131">
        <v>28973.244999999999</v>
      </c>
    </row>
    <row r="132" spans="1:169" x14ac:dyDescent="0.35">
      <c r="A132">
        <v>198861</v>
      </c>
      <c r="B132" t="s">
        <v>3346</v>
      </c>
      <c r="C132" t="s">
        <v>3347</v>
      </c>
      <c r="D132" t="s">
        <v>3348</v>
      </c>
      <c r="E132" s="43" t="s">
        <v>3349</v>
      </c>
      <c r="F132">
        <v>1</v>
      </c>
      <c r="I132">
        <v>43802</v>
      </c>
      <c r="J132" t="s">
        <v>3304</v>
      </c>
      <c r="K132" t="s">
        <v>3350</v>
      </c>
      <c r="L132" s="43" t="s">
        <v>3204</v>
      </c>
      <c r="M132" t="s">
        <v>3351</v>
      </c>
      <c r="N132" s="43" t="s">
        <v>3352</v>
      </c>
      <c r="O132" s="43" t="s">
        <v>3353</v>
      </c>
      <c r="P132" s="43" t="s">
        <v>705</v>
      </c>
      <c r="Q132" s="43" t="s">
        <v>3354</v>
      </c>
      <c r="S132">
        <v>44109</v>
      </c>
      <c r="T132" t="s">
        <v>311</v>
      </c>
      <c r="U132" t="s">
        <v>266</v>
      </c>
      <c r="V132" t="s">
        <v>267</v>
      </c>
      <c r="W132" t="s">
        <v>1718</v>
      </c>
      <c r="X132" t="s">
        <v>1719</v>
      </c>
      <c r="Y132">
        <v>8772802835</v>
      </c>
      <c r="Z132" t="s">
        <v>270</v>
      </c>
      <c r="AA132" t="s">
        <v>271</v>
      </c>
      <c r="AB132">
        <v>0</v>
      </c>
      <c r="AC132">
        <v>1060</v>
      </c>
      <c r="AD132">
        <v>115</v>
      </c>
      <c r="AE132" t="s">
        <v>364</v>
      </c>
      <c r="AF132">
        <v>3</v>
      </c>
      <c r="AG132" t="s">
        <v>3345</v>
      </c>
      <c r="AH132">
        <v>0</v>
      </c>
      <c r="AI132">
        <v>0</v>
      </c>
      <c r="AJ132">
        <v>43783</v>
      </c>
      <c r="AK132" s="43" t="s">
        <v>3208</v>
      </c>
      <c r="AL132" s="43" t="s">
        <v>3209</v>
      </c>
      <c r="AO132" s="23"/>
      <c r="AP132" s="23"/>
      <c r="AQ132" s="23"/>
      <c r="BC132" t="s">
        <v>2018</v>
      </c>
      <c r="BD132" s="43" t="s">
        <v>2018</v>
      </c>
      <c r="BE132" s="43" t="s">
        <v>2018</v>
      </c>
      <c r="BF132" s="43" t="s">
        <v>2018</v>
      </c>
      <c r="BG132" s="43" t="s">
        <v>2018</v>
      </c>
      <c r="BH132" t="s">
        <v>2018</v>
      </c>
      <c r="BI132" s="43" t="s">
        <v>2018</v>
      </c>
      <c r="BJ132">
        <v>0</v>
      </c>
      <c r="BK132">
        <v>44109</v>
      </c>
      <c r="BL132">
        <v>44356</v>
      </c>
      <c r="BM132">
        <v>8505</v>
      </c>
      <c r="BN132">
        <v>8505</v>
      </c>
      <c r="BO132">
        <v>8505</v>
      </c>
      <c r="BP132">
        <v>25515</v>
      </c>
      <c r="BQ132">
        <v>3300</v>
      </c>
      <c r="BR132">
        <v>400</v>
      </c>
      <c r="BS132">
        <v>400</v>
      </c>
      <c r="BT132">
        <v>4100</v>
      </c>
      <c r="BU132">
        <v>2100</v>
      </c>
      <c r="BV132">
        <v>2100</v>
      </c>
      <c r="BW132">
        <v>2100</v>
      </c>
      <c r="BX132">
        <v>6300</v>
      </c>
      <c r="BY132">
        <v>1200</v>
      </c>
      <c r="BZ132">
        <v>1200</v>
      </c>
      <c r="CA132">
        <v>1200</v>
      </c>
      <c r="CB132">
        <v>3600</v>
      </c>
      <c r="CC132">
        <v>0</v>
      </c>
      <c r="CD132">
        <v>0</v>
      </c>
      <c r="CE132">
        <v>0</v>
      </c>
      <c r="CF132">
        <v>0</v>
      </c>
      <c r="CG132">
        <v>39515</v>
      </c>
      <c r="CH132">
        <v>0</v>
      </c>
      <c r="CI132">
        <v>0</v>
      </c>
      <c r="CJ132">
        <v>0</v>
      </c>
      <c r="CK132">
        <v>0</v>
      </c>
      <c r="CL132">
        <v>2065</v>
      </c>
      <c r="CM132">
        <v>2065</v>
      </c>
      <c r="CN132">
        <v>2065</v>
      </c>
      <c r="CO132">
        <v>6195</v>
      </c>
      <c r="CP132">
        <v>500</v>
      </c>
      <c r="CQ132">
        <v>500</v>
      </c>
      <c r="CR132">
        <v>500</v>
      </c>
      <c r="CS132">
        <v>1500</v>
      </c>
      <c r="CT132">
        <v>1300</v>
      </c>
      <c r="CU132">
        <v>1300</v>
      </c>
      <c r="CV132">
        <v>1300</v>
      </c>
      <c r="CW132">
        <v>3900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11595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M132">
        <v>0</v>
      </c>
      <c r="EN132">
        <v>660</v>
      </c>
      <c r="EO132">
        <v>660</v>
      </c>
      <c r="EP132">
        <v>660</v>
      </c>
      <c r="EQ132">
        <v>2000</v>
      </c>
      <c r="ER132">
        <v>21.18</v>
      </c>
      <c r="ES132">
        <v>0</v>
      </c>
      <c r="ET132">
        <v>0</v>
      </c>
      <c r="EU132">
        <v>0</v>
      </c>
      <c r="EW132">
        <v>0</v>
      </c>
      <c r="FA132">
        <v>0</v>
      </c>
      <c r="FE132">
        <v>0</v>
      </c>
      <c r="FI132">
        <v>0</v>
      </c>
      <c r="FJ132">
        <v>1978.82</v>
      </c>
      <c r="FK132">
        <v>27920</v>
      </c>
      <c r="FL132">
        <v>27088.655444634725</v>
      </c>
      <c r="FM132">
        <v>25941.18</v>
      </c>
    </row>
    <row r="133" spans="1:169" x14ac:dyDescent="0.35">
      <c r="A133">
        <v>197794</v>
      </c>
      <c r="B133" t="s">
        <v>2482</v>
      </c>
      <c r="C133" t="s">
        <v>2483</v>
      </c>
      <c r="D133" t="s">
        <v>2484</v>
      </c>
      <c r="E133" s="43" t="s">
        <v>2485</v>
      </c>
      <c r="F133">
        <v>1</v>
      </c>
      <c r="I133">
        <v>43804</v>
      </c>
      <c r="J133" t="s">
        <v>4242</v>
      </c>
      <c r="K133" t="s">
        <v>1715</v>
      </c>
      <c r="L133" s="43" t="s">
        <v>259</v>
      </c>
      <c r="M133" t="s">
        <v>2486</v>
      </c>
      <c r="N133" s="43" t="s">
        <v>2487</v>
      </c>
      <c r="O133" s="43" t="s">
        <v>2488</v>
      </c>
      <c r="P133" s="43" t="s">
        <v>1514</v>
      </c>
      <c r="Q133" s="43" t="s">
        <v>2489</v>
      </c>
      <c r="S133">
        <v>44109</v>
      </c>
      <c r="T133" t="s">
        <v>265</v>
      </c>
      <c r="U133" t="s">
        <v>266</v>
      </c>
      <c r="V133" t="s">
        <v>267</v>
      </c>
      <c r="W133" t="s">
        <v>1718</v>
      </c>
      <c r="X133" t="s">
        <v>1719</v>
      </c>
      <c r="Y133">
        <v>8772802835</v>
      </c>
      <c r="Z133" t="s">
        <v>270</v>
      </c>
      <c r="AA133" t="s">
        <v>271</v>
      </c>
      <c r="AB133">
        <v>26</v>
      </c>
      <c r="AC133">
        <v>0</v>
      </c>
      <c r="AD133">
        <v>117</v>
      </c>
      <c r="AE133" t="s">
        <v>364</v>
      </c>
      <c r="AF133">
        <v>3</v>
      </c>
      <c r="AG133" t="s">
        <v>275</v>
      </c>
      <c r="AK133" s="43" t="s">
        <v>259</v>
      </c>
      <c r="AL133" s="43" t="s">
        <v>259</v>
      </c>
      <c r="AO133" s="23"/>
      <c r="AP133" s="23"/>
      <c r="AQ133" s="23"/>
      <c r="BC133" t="s">
        <v>259</v>
      </c>
      <c r="BD133" s="43" t="s">
        <v>259</v>
      </c>
      <c r="BE133" s="43" t="s">
        <v>259</v>
      </c>
      <c r="BF133" s="43" t="s">
        <v>259</v>
      </c>
      <c r="BG133" s="43" t="s">
        <v>259</v>
      </c>
      <c r="BH133" t="s">
        <v>259</v>
      </c>
      <c r="BI133" s="43" t="s">
        <v>259</v>
      </c>
      <c r="BJ133">
        <v>0</v>
      </c>
      <c r="BK133">
        <v>44109</v>
      </c>
      <c r="BL133">
        <v>44356</v>
      </c>
      <c r="BM133">
        <v>8505</v>
      </c>
      <c r="BN133">
        <v>8505</v>
      </c>
      <c r="BO133">
        <v>8505</v>
      </c>
      <c r="BP133">
        <v>25515</v>
      </c>
      <c r="BQ133">
        <v>3300</v>
      </c>
      <c r="BR133">
        <v>400</v>
      </c>
      <c r="BS133">
        <v>400</v>
      </c>
      <c r="BT133">
        <v>4100</v>
      </c>
      <c r="BU133">
        <v>2100</v>
      </c>
      <c r="BV133">
        <v>2100</v>
      </c>
      <c r="BW133">
        <v>2100</v>
      </c>
      <c r="BX133">
        <v>6300</v>
      </c>
      <c r="BY133">
        <v>1200</v>
      </c>
      <c r="BZ133">
        <v>1200</v>
      </c>
      <c r="CA133">
        <v>1200</v>
      </c>
      <c r="CB133">
        <v>3600</v>
      </c>
      <c r="CC133">
        <v>0</v>
      </c>
      <c r="CD133">
        <v>0</v>
      </c>
      <c r="CE133">
        <v>0</v>
      </c>
      <c r="CF133">
        <v>0</v>
      </c>
      <c r="CG133">
        <v>39515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1300</v>
      </c>
      <c r="CU133">
        <v>1300</v>
      </c>
      <c r="CV133">
        <v>1300</v>
      </c>
      <c r="CW133">
        <v>3900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3900</v>
      </c>
      <c r="EE133">
        <v>0</v>
      </c>
      <c r="EF133">
        <v>0</v>
      </c>
      <c r="EG133">
        <v>0</v>
      </c>
      <c r="EH133">
        <v>0</v>
      </c>
      <c r="EI133">
        <v>1154</v>
      </c>
      <c r="EJ133">
        <v>1154</v>
      </c>
      <c r="EK133">
        <v>1155</v>
      </c>
      <c r="EL133">
        <v>3500</v>
      </c>
      <c r="EM133">
        <v>37.065000000000005</v>
      </c>
      <c r="EN133">
        <v>660</v>
      </c>
      <c r="EO133">
        <v>660</v>
      </c>
      <c r="EP133">
        <v>660</v>
      </c>
      <c r="EQ133">
        <v>2000</v>
      </c>
      <c r="ER133">
        <v>21.18</v>
      </c>
      <c r="ES133">
        <v>0</v>
      </c>
      <c r="ET133">
        <v>0</v>
      </c>
      <c r="EU133">
        <v>0</v>
      </c>
      <c r="EV133">
        <v>0</v>
      </c>
      <c r="EW133">
        <v>0</v>
      </c>
      <c r="FA133">
        <v>0</v>
      </c>
      <c r="FE133">
        <v>0</v>
      </c>
      <c r="FI133">
        <v>0</v>
      </c>
      <c r="FJ133">
        <v>5441.7550000000001</v>
      </c>
      <c r="FK133">
        <v>35615</v>
      </c>
      <c r="FL133">
        <v>31507.920512927612</v>
      </c>
      <c r="FM133">
        <v>30173.244999999999</v>
      </c>
    </row>
    <row r="134" spans="1:169" x14ac:dyDescent="0.35">
      <c r="A134">
        <v>198108</v>
      </c>
      <c r="B134" t="s">
        <v>2490</v>
      </c>
      <c r="C134" t="s">
        <v>2491</v>
      </c>
      <c r="D134" t="s">
        <v>2492</v>
      </c>
      <c r="E134" s="43" t="s">
        <v>2493</v>
      </c>
      <c r="F134">
        <v>1</v>
      </c>
      <c r="I134">
        <v>43804</v>
      </c>
      <c r="J134" t="s">
        <v>4241</v>
      </c>
      <c r="K134" t="s">
        <v>1715</v>
      </c>
      <c r="L134" s="43" t="s">
        <v>259</v>
      </c>
      <c r="M134" t="s">
        <v>2494</v>
      </c>
      <c r="N134" s="43" t="s">
        <v>2495</v>
      </c>
      <c r="O134" s="43" t="s">
        <v>2496</v>
      </c>
      <c r="P134" s="43" t="s">
        <v>297</v>
      </c>
      <c r="Q134" s="43" t="s">
        <v>2497</v>
      </c>
      <c r="S134">
        <v>44109</v>
      </c>
      <c r="T134" t="s">
        <v>311</v>
      </c>
      <c r="U134" t="s">
        <v>286</v>
      </c>
      <c r="V134" t="s">
        <v>267</v>
      </c>
      <c r="W134" t="s">
        <v>1718</v>
      </c>
      <c r="X134" t="s">
        <v>1719</v>
      </c>
      <c r="Y134">
        <v>8772802835</v>
      </c>
      <c r="Z134" t="s">
        <v>270</v>
      </c>
      <c r="AA134" t="s">
        <v>271</v>
      </c>
      <c r="AB134">
        <v>0</v>
      </c>
      <c r="AC134">
        <v>0</v>
      </c>
      <c r="AD134">
        <v>0</v>
      </c>
      <c r="AE134" t="s">
        <v>376</v>
      </c>
      <c r="AF134">
        <v>7</v>
      </c>
      <c r="AG134" t="s">
        <v>275</v>
      </c>
      <c r="AK134" s="43" t="s">
        <v>259</v>
      </c>
      <c r="AL134" s="43" t="s">
        <v>259</v>
      </c>
      <c r="AO134" s="23"/>
      <c r="AP134" s="23"/>
      <c r="AQ134" s="23"/>
      <c r="BC134" t="s">
        <v>259</v>
      </c>
      <c r="BD134" s="43" t="s">
        <v>259</v>
      </c>
      <c r="BE134" s="43" t="s">
        <v>259</v>
      </c>
      <c r="BF134" s="43" t="s">
        <v>259</v>
      </c>
      <c r="BG134" s="43" t="s">
        <v>259</v>
      </c>
      <c r="BH134" t="s">
        <v>259</v>
      </c>
      <c r="BI134" s="43" t="s">
        <v>259</v>
      </c>
      <c r="BJ134">
        <v>0</v>
      </c>
      <c r="BK134">
        <v>44109</v>
      </c>
      <c r="BL134">
        <v>44356</v>
      </c>
      <c r="BM134">
        <v>8505</v>
      </c>
      <c r="BN134">
        <v>8505</v>
      </c>
      <c r="BO134">
        <v>8505</v>
      </c>
      <c r="BP134">
        <v>25515</v>
      </c>
      <c r="BQ134">
        <v>3300</v>
      </c>
      <c r="BR134">
        <v>400</v>
      </c>
      <c r="BS134">
        <v>400</v>
      </c>
      <c r="BT134">
        <v>4100</v>
      </c>
      <c r="BU134">
        <v>2100</v>
      </c>
      <c r="BV134">
        <v>2100</v>
      </c>
      <c r="BW134">
        <v>2100</v>
      </c>
      <c r="BX134">
        <v>6300</v>
      </c>
      <c r="BY134">
        <v>1200</v>
      </c>
      <c r="BZ134">
        <v>1200</v>
      </c>
      <c r="CA134">
        <v>1200</v>
      </c>
      <c r="CB134">
        <v>3600</v>
      </c>
      <c r="CC134">
        <v>0</v>
      </c>
      <c r="CD134">
        <v>0</v>
      </c>
      <c r="CE134">
        <v>0</v>
      </c>
      <c r="CF134">
        <v>0</v>
      </c>
      <c r="CG134">
        <v>39515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1000</v>
      </c>
      <c r="DC134">
        <v>1000</v>
      </c>
      <c r="DD134">
        <v>1000</v>
      </c>
      <c r="DE134">
        <v>3000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3000</v>
      </c>
      <c r="EE134">
        <v>0</v>
      </c>
      <c r="EF134">
        <v>0</v>
      </c>
      <c r="EG134">
        <v>0</v>
      </c>
      <c r="EH134">
        <v>0</v>
      </c>
      <c r="EI134">
        <v>1154</v>
      </c>
      <c r="EJ134">
        <v>1154</v>
      </c>
      <c r="EK134">
        <v>1155</v>
      </c>
      <c r="EL134">
        <v>3500</v>
      </c>
      <c r="EM134">
        <v>37.065000000000005</v>
      </c>
      <c r="EN134">
        <v>660</v>
      </c>
      <c r="EO134">
        <v>660</v>
      </c>
      <c r="EP134">
        <v>660</v>
      </c>
      <c r="EQ134">
        <v>2000</v>
      </c>
      <c r="ER134">
        <v>21.18</v>
      </c>
      <c r="ES134">
        <v>0</v>
      </c>
      <c r="ET134">
        <v>0</v>
      </c>
      <c r="EU134">
        <v>0</v>
      </c>
      <c r="EV134">
        <v>0</v>
      </c>
      <c r="EW134">
        <v>0</v>
      </c>
      <c r="FA134">
        <v>0</v>
      </c>
      <c r="FE134">
        <v>0</v>
      </c>
      <c r="FI134">
        <v>0</v>
      </c>
      <c r="FJ134">
        <v>5441.7550000000001</v>
      </c>
      <c r="FK134">
        <v>36515</v>
      </c>
      <c r="FL134">
        <v>32447.730880080198</v>
      </c>
      <c r="FM134">
        <v>31073.245000000003</v>
      </c>
    </row>
    <row r="135" spans="1:169" x14ac:dyDescent="0.35">
      <c r="A135">
        <v>192488</v>
      </c>
      <c r="B135" t="s">
        <v>2498</v>
      </c>
      <c r="C135" t="s">
        <v>789</v>
      </c>
      <c r="D135" t="s">
        <v>2499</v>
      </c>
      <c r="E135" s="43" t="s">
        <v>2500</v>
      </c>
      <c r="F135">
        <v>1</v>
      </c>
      <c r="I135">
        <v>43804</v>
      </c>
      <c r="J135" t="s">
        <v>4242</v>
      </c>
      <c r="K135" t="s">
        <v>1715</v>
      </c>
      <c r="L135" s="43" t="s">
        <v>259</v>
      </c>
      <c r="M135" t="s">
        <v>2501</v>
      </c>
      <c r="N135" s="43" t="s">
        <v>2502</v>
      </c>
      <c r="O135" s="43" t="s">
        <v>2503</v>
      </c>
      <c r="P135" s="43" t="s">
        <v>553</v>
      </c>
      <c r="Q135" s="43" t="s">
        <v>2408</v>
      </c>
      <c r="S135">
        <v>44109</v>
      </c>
      <c r="T135" t="s">
        <v>285</v>
      </c>
      <c r="U135" t="s">
        <v>266</v>
      </c>
      <c r="V135" t="s">
        <v>267</v>
      </c>
      <c r="W135" t="s">
        <v>1718</v>
      </c>
      <c r="X135" t="s">
        <v>1719</v>
      </c>
      <c r="Y135">
        <v>8772802835</v>
      </c>
      <c r="Z135" t="s">
        <v>270</v>
      </c>
      <c r="AA135" t="s">
        <v>271</v>
      </c>
      <c r="AB135">
        <v>0</v>
      </c>
      <c r="AC135">
        <v>0</v>
      </c>
      <c r="AD135">
        <v>0</v>
      </c>
      <c r="AE135" t="s">
        <v>376</v>
      </c>
      <c r="AF135">
        <v>7</v>
      </c>
      <c r="AG135" t="s">
        <v>446</v>
      </c>
      <c r="AK135" s="43" t="s">
        <v>259</v>
      </c>
      <c r="AL135" s="43" t="s">
        <v>259</v>
      </c>
      <c r="AO135" s="23"/>
      <c r="AP135" s="23"/>
      <c r="AQ135" s="23"/>
      <c r="BC135" t="s">
        <v>259</v>
      </c>
      <c r="BD135" s="43" t="s">
        <v>259</v>
      </c>
      <c r="BE135" s="43" t="s">
        <v>259</v>
      </c>
      <c r="BF135" s="43" t="s">
        <v>259</v>
      </c>
      <c r="BG135" s="43" t="s">
        <v>259</v>
      </c>
      <c r="BH135" t="s">
        <v>259</v>
      </c>
      <c r="BI135" s="43" t="s">
        <v>259</v>
      </c>
      <c r="BJ135">
        <v>0</v>
      </c>
      <c r="BK135">
        <v>44109</v>
      </c>
      <c r="BL135">
        <v>44356</v>
      </c>
      <c r="BM135">
        <v>8505</v>
      </c>
      <c r="BN135">
        <v>8505</v>
      </c>
      <c r="BO135">
        <v>8505</v>
      </c>
      <c r="BP135">
        <v>25515</v>
      </c>
      <c r="BQ135">
        <v>3300</v>
      </c>
      <c r="BR135">
        <v>400</v>
      </c>
      <c r="BS135">
        <v>400</v>
      </c>
      <c r="BT135">
        <v>4100</v>
      </c>
      <c r="BU135">
        <v>2100</v>
      </c>
      <c r="BV135">
        <v>2100</v>
      </c>
      <c r="BW135">
        <v>2100</v>
      </c>
      <c r="BX135">
        <v>6300</v>
      </c>
      <c r="BY135">
        <v>1200</v>
      </c>
      <c r="BZ135">
        <v>1200</v>
      </c>
      <c r="CA135">
        <v>1200</v>
      </c>
      <c r="CB135">
        <v>3600</v>
      </c>
      <c r="CC135">
        <v>0</v>
      </c>
      <c r="CD135">
        <v>0</v>
      </c>
      <c r="CE135">
        <v>0</v>
      </c>
      <c r="CF135">
        <v>0</v>
      </c>
      <c r="CG135">
        <v>39515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1154</v>
      </c>
      <c r="EJ135">
        <v>1154</v>
      </c>
      <c r="EK135">
        <v>1155</v>
      </c>
      <c r="EL135">
        <v>3500</v>
      </c>
      <c r="EM135">
        <v>37.065000000000005</v>
      </c>
      <c r="EN135">
        <v>660</v>
      </c>
      <c r="EO135">
        <v>660</v>
      </c>
      <c r="EP135">
        <v>660</v>
      </c>
      <c r="EQ135">
        <v>2000</v>
      </c>
      <c r="ER135">
        <v>21.18</v>
      </c>
      <c r="ES135">
        <v>0</v>
      </c>
      <c r="ET135">
        <v>0</v>
      </c>
      <c r="EU135">
        <v>0</v>
      </c>
      <c r="EV135">
        <v>0</v>
      </c>
      <c r="EW135">
        <v>0</v>
      </c>
      <c r="FA135">
        <v>0</v>
      </c>
      <c r="FE135">
        <v>0</v>
      </c>
      <c r="FI135">
        <v>0</v>
      </c>
      <c r="FJ135">
        <v>5441.7550000000001</v>
      </c>
      <c r="FK135">
        <v>39515</v>
      </c>
      <c r="FL135">
        <v>35580.43210392214</v>
      </c>
      <c r="FM135">
        <v>34073.245000000003</v>
      </c>
    </row>
    <row r="136" spans="1:169" x14ac:dyDescent="0.35">
      <c r="A136">
        <v>199429</v>
      </c>
      <c r="B136" t="s">
        <v>4043</v>
      </c>
      <c r="C136" t="s">
        <v>2264</v>
      </c>
      <c r="D136" t="s">
        <v>4044</v>
      </c>
      <c r="E136" s="43" t="s">
        <v>4045</v>
      </c>
      <c r="F136">
        <v>1</v>
      </c>
      <c r="I136">
        <v>43804</v>
      </c>
      <c r="J136" t="s">
        <v>4242</v>
      </c>
      <c r="K136" t="s">
        <v>1715</v>
      </c>
      <c r="L136" s="43" t="s">
        <v>259</v>
      </c>
      <c r="M136" t="s">
        <v>4046</v>
      </c>
      <c r="N136" s="43" t="s">
        <v>4047</v>
      </c>
      <c r="O136" s="43" t="s">
        <v>4048</v>
      </c>
      <c r="P136" s="43" t="s">
        <v>297</v>
      </c>
      <c r="Q136" s="43" t="s">
        <v>4049</v>
      </c>
      <c r="S136">
        <v>44109</v>
      </c>
      <c r="T136" t="s">
        <v>285</v>
      </c>
      <c r="U136" t="s">
        <v>266</v>
      </c>
      <c r="V136" t="s">
        <v>267</v>
      </c>
      <c r="W136" t="s">
        <v>1718</v>
      </c>
      <c r="X136" t="s">
        <v>1719</v>
      </c>
      <c r="Y136">
        <v>8772802835</v>
      </c>
      <c r="Z136" t="s">
        <v>270</v>
      </c>
      <c r="AA136" t="s">
        <v>271</v>
      </c>
      <c r="AB136">
        <v>0</v>
      </c>
      <c r="AC136">
        <v>0</v>
      </c>
      <c r="AD136">
        <v>0</v>
      </c>
      <c r="AE136" t="s">
        <v>364</v>
      </c>
      <c r="AF136">
        <v>3</v>
      </c>
      <c r="AG136" t="s">
        <v>3345</v>
      </c>
      <c r="AK136" s="43" t="s">
        <v>259</v>
      </c>
      <c r="AL136" s="43" t="s">
        <v>259</v>
      </c>
      <c r="AO136" s="23"/>
      <c r="AP136" s="23"/>
      <c r="AQ136" s="23"/>
      <c r="BC136" t="s">
        <v>259</v>
      </c>
      <c r="BD136" s="43" t="s">
        <v>259</v>
      </c>
      <c r="BE136" s="43" t="s">
        <v>259</v>
      </c>
      <c r="BF136" s="43" t="s">
        <v>259</v>
      </c>
      <c r="BG136" s="43" t="s">
        <v>259</v>
      </c>
      <c r="BH136" t="s">
        <v>259</v>
      </c>
      <c r="BI136" s="43" t="s">
        <v>259</v>
      </c>
      <c r="BJ136">
        <v>0</v>
      </c>
      <c r="BK136">
        <v>44109</v>
      </c>
      <c r="BL136">
        <v>44356</v>
      </c>
      <c r="BM136">
        <v>8505</v>
      </c>
      <c r="BN136">
        <v>8505</v>
      </c>
      <c r="BO136">
        <v>8505</v>
      </c>
      <c r="BP136">
        <v>25515</v>
      </c>
      <c r="BQ136">
        <v>3300</v>
      </c>
      <c r="BR136">
        <v>400</v>
      </c>
      <c r="BS136">
        <v>400</v>
      </c>
      <c r="BT136">
        <v>4100</v>
      </c>
      <c r="BU136">
        <v>2100</v>
      </c>
      <c r="BV136">
        <v>2100</v>
      </c>
      <c r="BW136">
        <v>2100</v>
      </c>
      <c r="BX136">
        <v>6300</v>
      </c>
      <c r="BY136">
        <v>1200</v>
      </c>
      <c r="BZ136">
        <v>1200</v>
      </c>
      <c r="CA136">
        <v>1200</v>
      </c>
      <c r="CB136">
        <v>3600</v>
      </c>
      <c r="CC136">
        <v>0</v>
      </c>
      <c r="CD136">
        <v>0</v>
      </c>
      <c r="CE136">
        <v>0</v>
      </c>
      <c r="CF136">
        <v>0</v>
      </c>
      <c r="CG136">
        <v>39515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1300</v>
      </c>
      <c r="CU136">
        <v>1300</v>
      </c>
      <c r="CV136">
        <v>1300</v>
      </c>
      <c r="CW136">
        <v>3900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3900</v>
      </c>
      <c r="EE136">
        <v>0</v>
      </c>
      <c r="EF136">
        <v>0</v>
      </c>
      <c r="EG136">
        <v>0</v>
      </c>
      <c r="EH136">
        <v>0</v>
      </c>
      <c r="EI136">
        <v>1154</v>
      </c>
      <c r="EJ136">
        <v>1154</v>
      </c>
      <c r="EK136">
        <v>1155</v>
      </c>
      <c r="EL136">
        <v>3500</v>
      </c>
      <c r="EM136">
        <v>37.065000000000005</v>
      </c>
      <c r="EN136">
        <v>660</v>
      </c>
      <c r="EO136">
        <v>660</v>
      </c>
      <c r="EP136">
        <v>660</v>
      </c>
      <c r="EQ136">
        <v>2000</v>
      </c>
      <c r="ER136">
        <v>21.18</v>
      </c>
      <c r="ES136">
        <v>0</v>
      </c>
      <c r="ET136">
        <v>0</v>
      </c>
      <c r="EU136">
        <v>0</v>
      </c>
      <c r="EV136">
        <v>0</v>
      </c>
      <c r="EW136">
        <v>0</v>
      </c>
      <c r="FA136">
        <v>0</v>
      </c>
      <c r="FE136">
        <v>0</v>
      </c>
      <c r="FI136">
        <v>0</v>
      </c>
      <c r="FJ136">
        <v>5441.7550000000001</v>
      </c>
      <c r="FK136">
        <v>35615</v>
      </c>
      <c r="FL136">
        <v>31507.920512927612</v>
      </c>
      <c r="FM136">
        <v>30173.244999999999</v>
      </c>
    </row>
    <row r="137" spans="1:169" x14ac:dyDescent="0.35">
      <c r="A137">
        <v>197756</v>
      </c>
      <c r="B137" t="s">
        <v>3355</v>
      </c>
      <c r="C137" t="s">
        <v>3356</v>
      </c>
      <c r="D137" t="s">
        <v>3357</v>
      </c>
      <c r="E137" s="43" t="s">
        <v>3358</v>
      </c>
      <c r="F137">
        <v>1</v>
      </c>
      <c r="G137">
        <v>43790</v>
      </c>
      <c r="H137">
        <v>43795</v>
      </c>
      <c r="I137">
        <v>43795</v>
      </c>
      <c r="J137" t="s">
        <v>3421</v>
      </c>
      <c r="K137" t="s">
        <v>1715</v>
      </c>
      <c r="L137" s="43" t="s">
        <v>301</v>
      </c>
      <c r="M137" t="s">
        <v>3359</v>
      </c>
      <c r="N137" s="43" t="s">
        <v>3360</v>
      </c>
      <c r="O137" s="43" t="s">
        <v>3361</v>
      </c>
      <c r="P137" s="43" t="s">
        <v>813</v>
      </c>
      <c r="Q137" s="43" t="s">
        <v>3362</v>
      </c>
      <c r="S137">
        <v>44109</v>
      </c>
      <c r="T137" t="s">
        <v>311</v>
      </c>
      <c r="U137" t="s">
        <v>286</v>
      </c>
      <c r="V137" t="s">
        <v>267</v>
      </c>
      <c r="W137" t="s">
        <v>1718</v>
      </c>
      <c r="X137" t="s">
        <v>1719</v>
      </c>
      <c r="Y137">
        <v>8772802835</v>
      </c>
      <c r="Z137" t="s">
        <v>270</v>
      </c>
      <c r="AA137" t="s">
        <v>271</v>
      </c>
      <c r="AB137">
        <v>0</v>
      </c>
      <c r="AC137">
        <v>0</v>
      </c>
      <c r="AD137">
        <v>0</v>
      </c>
      <c r="AE137" t="s">
        <v>376</v>
      </c>
      <c r="AF137">
        <v>7</v>
      </c>
      <c r="AG137" t="s">
        <v>3345</v>
      </c>
      <c r="AH137">
        <v>0</v>
      </c>
      <c r="AI137">
        <v>0</v>
      </c>
      <c r="AJ137">
        <v>43774</v>
      </c>
      <c r="AK137" s="43" t="s">
        <v>1715</v>
      </c>
      <c r="AL137" s="43" t="s">
        <v>259</v>
      </c>
      <c r="AM137">
        <v>43795</v>
      </c>
      <c r="AN137">
        <v>43795</v>
      </c>
      <c r="AO137" s="23">
        <v>43791</v>
      </c>
      <c r="AP137" s="23"/>
      <c r="AQ137" s="23"/>
      <c r="BC137" t="s">
        <v>259</v>
      </c>
      <c r="BD137" s="43" t="s">
        <v>259</v>
      </c>
      <c r="BE137" s="43" t="s">
        <v>259</v>
      </c>
      <c r="BF137" s="43" t="s">
        <v>259</v>
      </c>
      <c r="BG137" s="43" t="s">
        <v>259</v>
      </c>
      <c r="BH137" t="s">
        <v>259</v>
      </c>
      <c r="BI137" s="43" t="s">
        <v>259</v>
      </c>
      <c r="BJ137">
        <v>0.13043478260869568</v>
      </c>
      <c r="BK137">
        <v>44109</v>
      </c>
      <c r="BL137">
        <v>44356</v>
      </c>
      <c r="BM137">
        <v>8505</v>
      </c>
      <c r="BN137">
        <v>8505</v>
      </c>
      <c r="BO137">
        <v>8505</v>
      </c>
      <c r="BP137">
        <v>25515</v>
      </c>
      <c r="BQ137">
        <v>3300</v>
      </c>
      <c r="BR137">
        <v>400</v>
      </c>
      <c r="BS137">
        <v>400</v>
      </c>
      <c r="BT137">
        <v>4100</v>
      </c>
      <c r="BU137">
        <v>2100</v>
      </c>
      <c r="BV137">
        <v>2100</v>
      </c>
      <c r="BW137">
        <v>2100</v>
      </c>
      <c r="BX137">
        <v>6300</v>
      </c>
      <c r="BY137">
        <v>900</v>
      </c>
      <c r="BZ137">
        <v>900</v>
      </c>
      <c r="CA137">
        <v>900</v>
      </c>
      <c r="CB137">
        <v>2700</v>
      </c>
      <c r="CC137">
        <v>0</v>
      </c>
      <c r="CD137">
        <v>0</v>
      </c>
      <c r="CE137">
        <v>0</v>
      </c>
      <c r="CF137">
        <v>0</v>
      </c>
      <c r="CG137">
        <v>38615</v>
      </c>
      <c r="CH137">
        <v>0</v>
      </c>
      <c r="CI137">
        <v>0</v>
      </c>
      <c r="CJ137">
        <v>0</v>
      </c>
      <c r="CK137">
        <v>0</v>
      </c>
      <c r="CL137">
        <v>2065</v>
      </c>
      <c r="CM137">
        <v>2065</v>
      </c>
      <c r="CN137">
        <v>2065</v>
      </c>
      <c r="CO137">
        <v>6195</v>
      </c>
      <c r="CP137">
        <v>500</v>
      </c>
      <c r="CQ137">
        <v>500</v>
      </c>
      <c r="CR137">
        <v>500</v>
      </c>
      <c r="CS137">
        <v>1500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1000</v>
      </c>
      <c r="DC137">
        <v>1000</v>
      </c>
      <c r="DD137">
        <v>1000</v>
      </c>
      <c r="DE137">
        <v>3000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10695</v>
      </c>
      <c r="EE137">
        <v>0</v>
      </c>
      <c r="EF137">
        <v>0</v>
      </c>
      <c r="EG137">
        <v>0</v>
      </c>
      <c r="EH137">
        <v>0</v>
      </c>
      <c r="EI137">
        <v>1154</v>
      </c>
      <c r="EJ137">
        <v>1154</v>
      </c>
      <c r="EK137">
        <v>1155</v>
      </c>
      <c r="EL137">
        <v>3500</v>
      </c>
      <c r="EM137">
        <v>37.065000000000005</v>
      </c>
      <c r="EN137">
        <v>1979</v>
      </c>
      <c r="EO137">
        <v>1979</v>
      </c>
      <c r="EP137">
        <v>1979</v>
      </c>
      <c r="EQ137">
        <v>6000</v>
      </c>
      <c r="ER137">
        <v>63.540000000000006</v>
      </c>
      <c r="ES137">
        <v>0</v>
      </c>
      <c r="ET137">
        <v>0</v>
      </c>
      <c r="EU137">
        <v>0</v>
      </c>
      <c r="EW137">
        <v>0</v>
      </c>
      <c r="EX137">
        <v>8107</v>
      </c>
      <c r="EY137">
        <v>5207</v>
      </c>
      <c r="EZ137">
        <v>5207</v>
      </c>
      <c r="FA137">
        <v>18521</v>
      </c>
      <c r="FE137">
        <v>0</v>
      </c>
      <c r="FI137">
        <v>0</v>
      </c>
      <c r="FJ137">
        <v>27920.395</v>
      </c>
      <c r="FK137">
        <v>27920</v>
      </c>
      <c r="FL137">
        <v>-0.41247232780631193</v>
      </c>
      <c r="FM137">
        <v>-0.39500000000043656</v>
      </c>
    </row>
    <row r="138" spans="1:169" x14ac:dyDescent="0.35">
      <c r="A138">
        <v>198323</v>
      </c>
      <c r="B138" t="s">
        <v>2504</v>
      </c>
      <c r="C138" t="s">
        <v>2505</v>
      </c>
      <c r="D138" t="s">
        <v>2506</v>
      </c>
      <c r="E138" s="43" t="s">
        <v>2507</v>
      </c>
      <c r="F138">
        <v>1</v>
      </c>
      <c r="I138">
        <v>43804</v>
      </c>
      <c r="J138" t="s">
        <v>4245</v>
      </c>
      <c r="K138" t="s">
        <v>1715</v>
      </c>
      <c r="L138" s="43" t="s">
        <v>3204</v>
      </c>
      <c r="M138" t="s">
        <v>2508</v>
      </c>
      <c r="N138" s="43" t="s">
        <v>2509</v>
      </c>
      <c r="O138" s="43" t="s">
        <v>2510</v>
      </c>
      <c r="P138" s="43" t="s">
        <v>1514</v>
      </c>
      <c r="Q138" s="43" t="s">
        <v>2511</v>
      </c>
      <c r="S138">
        <v>44109</v>
      </c>
      <c r="T138" t="s">
        <v>311</v>
      </c>
      <c r="U138" t="s">
        <v>266</v>
      </c>
      <c r="V138" t="s">
        <v>267</v>
      </c>
      <c r="W138" t="s">
        <v>1718</v>
      </c>
      <c r="X138" t="s">
        <v>1719</v>
      </c>
      <c r="Y138">
        <v>8772802835</v>
      </c>
      <c r="Z138" t="s">
        <v>270</v>
      </c>
      <c r="AA138" t="s">
        <v>271</v>
      </c>
      <c r="AB138">
        <v>29</v>
      </c>
      <c r="AC138">
        <v>0</v>
      </c>
      <c r="AD138">
        <v>110</v>
      </c>
      <c r="AE138" t="s">
        <v>289</v>
      </c>
      <c r="AF138">
        <v>2</v>
      </c>
      <c r="AG138" t="s">
        <v>275</v>
      </c>
      <c r="AH138">
        <v>0</v>
      </c>
      <c r="AI138">
        <v>0</v>
      </c>
      <c r="AJ138">
        <v>43804</v>
      </c>
      <c r="AK138" s="43" t="s">
        <v>3208</v>
      </c>
      <c r="AL138" s="43" t="s">
        <v>3209</v>
      </c>
      <c r="AO138" s="23">
        <v>43769</v>
      </c>
      <c r="AP138" s="23"/>
      <c r="AQ138" s="23"/>
      <c r="BC138" t="s">
        <v>2018</v>
      </c>
      <c r="BD138" s="43" t="s">
        <v>2018</v>
      </c>
      <c r="BE138" s="43" t="s">
        <v>2018</v>
      </c>
      <c r="BF138" s="43" t="s">
        <v>2018</v>
      </c>
      <c r="BG138" s="43" t="s">
        <v>2018</v>
      </c>
      <c r="BH138" t="s">
        <v>2018</v>
      </c>
      <c r="BI138" s="43" t="s">
        <v>2018</v>
      </c>
      <c r="BJ138">
        <v>6.25E-2</v>
      </c>
      <c r="BK138">
        <v>44109</v>
      </c>
      <c r="BL138">
        <v>44356</v>
      </c>
      <c r="BM138">
        <v>8505</v>
      </c>
      <c r="BN138">
        <v>8505</v>
      </c>
      <c r="BO138">
        <v>8505</v>
      </c>
      <c r="BP138">
        <v>25515</v>
      </c>
      <c r="BQ138">
        <v>3300</v>
      </c>
      <c r="BR138">
        <v>400</v>
      </c>
      <c r="BS138">
        <v>400</v>
      </c>
      <c r="BT138">
        <v>4100</v>
      </c>
      <c r="BU138">
        <v>2100</v>
      </c>
      <c r="BV138">
        <v>2100</v>
      </c>
      <c r="BW138">
        <v>2100</v>
      </c>
      <c r="BX138">
        <v>6300</v>
      </c>
      <c r="BY138">
        <v>1200</v>
      </c>
      <c r="BZ138">
        <v>1200</v>
      </c>
      <c r="CA138">
        <v>1200</v>
      </c>
      <c r="CB138">
        <v>3600</v>
      </c>
      <c r="CC138">
        <v>0</v>
      </c>
      <c r="CD138">
        <v>0</v>
      </c>
      <c r="CE138">
        <v>0</v>
      </c>
      <c r="CF138">
        <v>0</v>
      </c>
      <c r="CG138">
        <v>39515</v>
      </c>
      <c r="CH138">
        <v>0</v>
      </c>
      <c r="CI138">
        <v>0</v>
      </c>
      <c r="CJ138">
        <v>0</v>
      </c>
      <c r="CK138">
        <v>0</v>
      </c>
      <c r="CL138">
        <v>2065</v>
      </c>
      <c r="CM138">
        <v>2065</v>
      </c>
      <c r="CN138">
        <v>2065</v>
      </c>
      <c r="CO138">
        <v>6195</v>
      </c>
      <c r="CP138">
        <v>500</v>
      </c>
      <c r="CQ138">
        <v>500</v>
      </c>
      <c r="CR138">
        <v>500</v>
      </c>
      <c r="CS138">
        <v>1500</v>
      </c>
      <c r="CT138">
        <v>1500</v>
      </c>
      <c r="CU138">
        <v>1500</v>
      </c>
      <c r="CV138">
        <v>1500</v>
      </c>
      <c r="CW138">
        <v>4500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12195</v>
      </c>
      <c r="EE138">
        <v>0</v>
      </c>
      <c r="EF138">
        <v>0</v>
      </c>
      <c r="EG138">
        <v>0</v>
      </c>
      <c r="EH138">
        <v>0</v>
      </c>
      <c r="EI138">
        <v>1154</v>
      </c>
      <c r="EJ138">
        <v>1154</v>
      </c>
      <c r="EK138">
        <v>1155</v>
      </c>
      <c r="EL138">
        <v>3500</v>
      </c>
      <c r="EM138">
        <v>37.065000000000005</v>
      </c>
      <c r="EN138">
        <v>660</v>
      </c>
      <c r="EO138">
        <v>660</v>
      </c>
      <c r="EP138">
        <v>660</v>
      </c>
      <c r="EQ138">
        <v>2000</v>
      </c>
      <c r="ER138">
        <v>21.18</v>
      </c>
      <c r="ES138">
        <v>0</v>
      </c>
      <c r="ET138">
        <v>0</v>
      </c>
      <c r="EU138">
        <v>0</v>
      </c>
      <c r="EV138">
        <v>0</v>
      </c>
      <c r="EW138">
        <v>0</v>
      </c>
      <c r="FA138">
        <v>0</v>
      </c>
      <c r="FE138">
        <v>0</v>
      </c>
      <c r="FI138">
        <v>0</v>
      </c>
      <c r="FJ138">
        <v>5441.7550000000001</v>
      </c>
      <c r="FK138">
        <v>27320</v>
      </c>
      <c r="FL138">
        <v>22846.001629004633</v>
      </c>
      <c r="FM138">
        <v>21878.244999999999</v>
      </c>
    </row>
    <row r="139" spans="1:169" x14ac:dyDescent="0.35">
      <c r="A139">
        <v>195966</v>
      </c>
      <c r="B139" t="s">
        <v>2512</v>
      </c>
      <c r="C139" t="s">
        <v>2513</v>
      </c>
      <c r="D139" t="s">
        <v>2514</v>
      </c>
      <c r="E139" s="43" t="s">
        <v>2515</v>
      </c>
      <c r="F139">
        <v>1</v>
      </c>
      <c r="I139">
        <v>43804</v>
      </c>
      <c r="J139" t="s">
        <v>4242</v>
      </c>
      <c r="K139" t="s">
        <v>1715</v>
      </c>
      <c r="L139" s="43" t="s">
        <v>259</v>
      </c>
      <c r="M139" t="s">
        <v>2516</v>
      </c>
      <c r="N139" s="43" t="s">
        <v>2517</v>
      </c>
      <c r="O139" s="43" t="s">
        <v>1477</v>
      </c>
      <c r="P139" s="43" t="s">
        <v>542</v>
      </c>
      <c r="Q139" s="43" t="s">
        <v>2518</v>
      </c>
      <c r="S139">
        <v>44109</v>
      </c>
      <c r="T139" t="s">
        <v>544</v>
      </c>
      <c r="U139" t="s">
        <v>286</v>
      </c>
      <c r="V139" t="s">
        <v>267</v>
      </c>
      <c r="W139" t="s">
        <v>1718</v>
      </c>
      <c r="X139" t="s">
        <v>1719</v>
      </c>
      <c r="Y139">
        <v>8772802835</v>
      </c>
      <c r="Z139" t="s">
        <v>270</v>
      </c>
      <c r="AA139" t="s">
        <v>271</v>
      </c>
      <c r="AB139">
        <v>24</v>
      </c>
      <c r="AC139">
        <v>0</v>
      </c>
      <c r="AD139">
        <v>0</v>
      </c>
      <c r="AE139" t="s">
        <v>376</v>
      </c>
      <c r="AF139">
        <v>7</v>
      </c>
      <c r="AG139" t="s">
        <v>275</v>
      </c>
      <c r="AK139" s="43" t="s">
        <v>259</v>
      </c>
      <c r="AL139" s="43" t="s">
        <v>259</v>
      </c>
      <c r="AO139" s="23"/>
      <c r="AP139" s="23"/>
      <c r="AQ139" s="23"/>
      <c r="BC139" t="s">
        <v>259</v>
      </c>
      <c r="BD139" s="43" t="s">
        <v>259</v>
      </c>
      <c r="BE139" s="43" t="s">
        <v>259</v>
      </c>
      <c r="BF139" s="43" t="s">
        <v>259</v>
      </c>
      <c r="BG139" s="43" t="s">
        <v>259</v>
      </c>
      <c r="BH139" t="s">
        <v>259</v>
      </c>
      <c r="BI139" s="43" t="s">
        <v>259</v>
      </c>
      <c r="BJ139">
        <v>0</v>
      </c>
      <c r="BK139">
        <v>44109</v>
      </c>
      <c r="BL139">
        <v>44356</v>
      </c>
      <c r="BM139">
        <v>8505</v>
      </c>
      <c r="BN139">
        <v>8505</v>
      </c>
      <c r="BO139">
        <v>8505</v>
      </c>
      <c r="BP139">
        <v>25515</v>
      </c>
      <c r="BQ139">
        <v>3300</v>
      </c>
      <c r="BR139">
        <v>400</v>
      </c>
      <c r="BS139">
        <v>400</v>
      </c>
      <c r="BT139">
        <v>4100</v>
      </c>
      <c r="BU139">
        <v>2100</v>
      </c>
      <c r="BV139">
        <v>2100</v>
      </c>
      <c r="BW139">
        <v>2100</v>
      </c>
      <c r="BX139">
        <v>6300</v>
      </c>
      <c r="BY139">
        <v>1200</v>
      </c>
      <c r="BZ139">
        <v>1200</v>
      </c>
      <c r="CA139">
        <v>1200</v>
      </c>
      <c r="CB139">
        <v>3600</v>
      </c>
      <c r="CC139">
        <v>0</v>
      </c>
      <c r="CD139">
        <v>0</v>
      </c>
      <c r="CE139">
        <v>0</v>
      </c>
      <c r="CF139">
        <v>0</v>
      </c>
      <c r="CG139">
        <v>39515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3000</v>
      </c>
      <c r="CY139">
        <v>3000</v>
      </c>
      <c r="CZ139">
        <v>3000</v>
      </c>
      <c r="DA139">
        <v>9000</v>
      </c>
      <c r="DB139">
        <v>1000</v>
      </c>
      <c r="DC139">
        <v>1000</v>
      </c>
      <c r="DD139">
        <v>1000</v>
      </c>
      <c r="DE139">
        <v>3000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12000</v>
      </c>
      <c r="EE139">
        <v>0</v>
      </c>
      <c r="EF139">
        <v>0</v>
      </c>
      <c r="EG139">
        <v>0</v>
      </c>
      <c r="EH139">
        <v>0</v>
      </c>
      <c r="EI139">
        <v>1154</v>
      </c>
      <c r="EJ139">
        <v>1154</v>
      </c>
      <c r="EK139">
        <v>1155</v>
      </c>
      <c r="EL139">
        <v>3500</v>
      </c>
      <c r="EM139">
        <v>37.065000000000005</v>
      </c>
      <c r="EN139">
        <v>660</v>
      </c>
      <c r="EO139">
        <v>660</v>
      </c>
      <c r="EP139">
        <v>660</v>
      </c>
      <c r="EQ139">
        <v>2000</v>
      </c>
      <c r="ER139">
        <v>21.18</v>
      </c>
      <c r="ES139">
        <v>0</v>
      </c>
      <c r="ET139">
        <v>0</v>
      </c>
      <c r="EU139">
        <v>0</v>
      </c>
      <c r="EV139">
        <v>0</v>
      </c>
      <c r="EW139">
        <v>0</v>
      </c>
      <c r="FA139">
        <v>0</v>
      </c>
      <c r="FE139">
        <v>0</v>
      </c>
      <c r="FI139">
        <v>0</v>
      </c>
      <c r="FJ139">
        <v>5441.7550000000001</v>
      </c>
      <c r="FK139">
        <v>27515</v>
      </c>
      <c r="FL139">
        <v>23049.627208554361</v>
      </c>
      <c r="FM139">
        <v>22073.244999999999</v>
      </c>
    </row>
    <row r="140" spans="1:169" x14ac:dyDescent="0.35">
      <c r="A140">
        <v>198230</v>
      </c>
      <c r="B140" t="s">
        <v>2519</v>
      </c>
      <c r="C140" t="s">
        <v>2520</v>
      </c>
      <c r="D140" t="s">
        <v>2521</v>
      </c>
      <c r="E140" s="43" t="s">
        <v>2522</v>
      </c>
      <c r="F140">
        <v>1</v>
      </c>
      <c r="I140">
        <v>43790</v>
      </c>
      <c r="J140" t="s">
        <v>3304</v>
      </c>
      <c r="K140" t="s">
        <v>1715</v>
      </c>
      <c r="L140" s="43" t="s">
        <v>3204</v>
      </c>
      <c r="M140" t="s">
        <v>2523</v>
      </c>
      <c r="N140" s="43" t="s">
        <v>2524</v>
      </c>
      <c r="O140" s="43" t="s">
        <v>2525</v>
      </c>
      <c r="P140" s="43" t="s">
        <v>542</v>
      </c>
      <c r="Q140" s="43" t="s">
        <v>2526</v>
      </c>
      <c r="S140">
        <v>44109</v>
      </c>
      <c r="T140" t="s">
        <v>544</v>
      </c>
      <c r="U140" t="s">
        <v>266</v>
      </c>
      <c r="V140" t="s">
        <v>267</v>
      </c>
      <c r="W140" t="s">
        <v>1718</v>
      </c>
      <c r="X140" t="s">
        <v>1719</v>
      </c>
      <c r="Y140">
        <v>8772802835</v>
      </c>
      <c r="Z140" t="s">
        <v>270</v>
      </c>
      <c r="AA140" t="s">
        <v>271</v>
      </c>
      <c r="AB140">
        <v>17</v>
      </c>
      <c r="AC140">
        <v>0</v>
      </c>
      <c r="AD140">
        <v>103</v>
      </c>
      <c r="AE140" t="s">
        <v>364</v>
      </c>
      <c r="AF140">
        <v>3</v>
      </c>
      <c r="AG140" t="s">
        <v>446</v>
      </c>
      <c r="AH140">
        <v>3921</v>
      </c>
      <c r="AI140">
        <v>3921</v>
      </c>
      <c r="AJ140">
        <v>43783</v>
      </c>
      <c r="AK140" s="43" t="s">
        <v>1715</v>
      </c>
      <c r="AL140" s="43" t="s">
        <v>259</v>
      </c>
      <c r="AO140" s="23">
        <v>43773</v>
      </c>
      <c r="AP140" s="23"/>
      <c r="AQ140" s="23"/>
      <c r="BC140" t="s">
        <v>259</v>
      </c>
      <c r="BD140" s="43" t="s">
        <v>259</v>
      </c>
      <c r="BE140" s="43" t="s">
        <v>259</v>
      </c>
      <c r="BF140" s="43" t="s">
        <v>259</v>
      </c>
      <c r="BG140" s="43" t="s">
        <v>259</v>
      </c>
      <c r="BH140" t="s">
        <v>259</v>
      </c>
      <c r="BI140" s="43" t="s">
        <v>259</v>
      </c>
      <c r="BJ140">
        <v>4.3478260869565188E-2</v>
      </c>
      <c r="BK140">
        <v>44109</v>
      </c>
      <c r="BL140">
        <v>44356</v>
      </c>
      <c r="BM140">
        <v>8505</v>
      </c>
      <c r="BN140">
        <v>8505</v>
      </c>
      <c r="BO140">
        <v>8505</v>
      </c>
      <c r="BP140">
        <v>25515</v>
      </c>
      <c r="BQ140">
        <v>3300</v>
      </c>
      <c r="BR140">
        <v>400</v>
      </c>
      <c r="BS140">
        <v>400</v>
      </c>
      <c r="BT140">
        <v>4100</v>
      </c>
      <c r="BU140">
        <v>2100</v>
      </c>
      <c r="BV140">
        <v>2100</v>
      </c>
      <c r="BW140">
        <v>2100</v>
      </c>
      <c r="BX140">
        <v>6300</v>
      </c>
      <c r="BY140">
        <v>1200</v>
      </c>
      <c r="BZ140">
        <v>1200</v>
      </c>
      <c r="CA140">
        <v>1200</v>
      </c>
      <c r="CB140">
        <v>3600</v>
      </c>
      <c r="CC140">
        <v>0</v>
      </c>
      <c r="CD140">
        <v>0</v>
      </c>
      <c r="CE140">
        <v>0</v>
      </c>
      <c r="CF140">
        <v>0</v>
      </c>
      <c r="CG140">
        <v>39515</v>
      </c>
      <c r="CH140">
        <v>0</v>
      </c>
      <c r="CI140">
        <v>0</v>
      </c>
      <c r="CJ140">
        <v>0</v>
      </c>
      <c r="CK140">
        <v>0</v>
      </c>
      <c r="CL140">
        <v>749</v>
      </c>
      <c r="CM140">
        <v>748</v>
      </c>
      <c r="CN140">
        <v>748</v>
      </c>
      <c r="CO140">
        <v>2245</v>
      </c>
      <c r="CP140">
        <v>500</v>
      </c>
      <c r="CQ140">
        <v>500</v>
      </c>
      <c r="CR140">
        <v>500</v>
      </c>
      <c r="CS140">
        <v>1500</v>
      </c>
      <c r="CT140">
        <v>1300</v>
      </c>
      <c r="CU140">
        <v>1300</v>
      </c>
      <c r="CV140">
        <v>1300</v>
      </c>
      <c r="CW140">
        <v>3900</v>
      </c>
      <c r="CX140">
        <v>3000</v>
      </c>
      <c r="CY140">
        <v>3000</v>
      </c>
      <c r="CZ140">
        <v>3000</v>
      </c>
      <c r="DA140">
        <v>9000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16645</v>
      </c>
      <c r="EE140">
        <v>0</v>
      </c>
      <c r="EF140">
        <v>0</v>
      </c>
      <c r="EG140">
        <v>0</v>
      </c>
      <c r="EH140">
        <v>0</v>
      </c>
      <c r="EI140">
        <v>1154</v>
      </c>
      <c r="EJ140">
        <v>1154</v>
      </c>
      <c r="EK140">
        <v>1155</v>
      </c>
      <c r="EL140">
        <v>3500</v>
      </c>
      <c r="EM140">
        <v>37.065000000000005</v>
      </c>
      <c r="EN140">
        <v>660</v>
      </c>
      <c r="EO140">
        <v>660</v>
      </c>
      <c r="EP140">
        <v>660</v>
      </c>
      <c r="EQ140">
        <v>2000</v>
      </c>
      <c r="ER140">
        <v>21.18</v>
      </c>
      <c r="ES140">
        <v>0</v>
      </c>
      <c r="ET140">
        <v>0</v>
      </c>
      <c r="EU140">
        <v>0</v>
      </c>
      <c r="EV140">
        <v>0</v>
      </c>
      <c r="EW140">
        <v>0</v>
      </c>
      <c r="FA140">
        <v>0</v>
      </c>
      <c r="FE140">
        <v>0</v>
      </c>
      <c r="FI140">
        <v>0</v>
      </c>
      <c r="FJ140">
        <v>5441.7550000000001</v>
      </c>
      <c r="FK140">
        <v>22870</v>
      </c>
      <c r="FL140">
        <v>18199.161480305749</v>
      </c>
      <c r="FM140">
        <v>17428.244999999999</v>
      </c>
    </row>
    <row r="141" spans="1:169" x14ac:dyDescent="0.35">
      <c r="A141">
        <v>199370</v>
      </c>
      <c r="B141" t="s">
        <v>3687</v>
      </c>
      <c r="C141" t="s">
        <v>529</v>
      </c>
      <c r="D141" t="s">
        <v>3688</v>
      </c>
      <c r="E141" s="43" t="s">
        <v>3689</v>
      </c>
      <c r="F141">
        <v>1</v>
      </c>
      <c r="G141">
        <v>43802</v>
      </c>
      <c r="H141">
        <v>43802</v>
      </c>
      <c r="I141">
        <v>43802</v>
      </c>
      <c r="J141" t="s">
        <v>4251</v>
      </c>
      <c r="K141" t="s">
        <v>1715</v>
      </c>
      <c r="L141" s="43" t="s">
        <v>3204</v>
      </c>
      <c r="M141" t="s">
        <v>3690</v>
      </c>
      <c r="N141" s="43" t="s">
        <v>3691</v>
      </c>
      <c r="O141" s="43" t="s">
        <v>3692</v>
      </c>
      <c r="P141" s="43" t="s">
        <v>342</v>
      </c>
      <c r="Q141" s="43" t="s">
        <v>3693</v>
      </c>
      <c r="S141">
        <v>44109</v>
      </c>
      <c r="T141" t="s">
        <v>311</v>
      </c>
      <c r="U141" t="s">
        <v>266</v>
      </c>
      <c r="V141" t="s">
        <v>267</v>
      </c>
      <c r="W141" t="s">
        <v>1718</v>
      </c>
      <c r="X141" t="s">
        <v>1719</v>
      </c>
      <c r="Y141">
        <v>8772802835</v>
      </c>
      <c r="Z141" t="s">
        <v>270</v>
      </c>
      <c r="AA141" t="s">
        <v>271</v>
      </c>
      <c r="AB141">
        <v>0</v>
      </c>
      <c r="AC141">
        <v>1020</v>
      </c>
      <c r="AD141">
        <v>108</v>
      </c>
      <c r="AE141" t="s">
        <v>445</v>
      </c>
      <c r="AF141">
        <v>4</v>
      </c>
      <c r="AG141" t="s">
        <v>3345</v>
      </c>
      <c r="AH141">
        <v>2010</v>
      </c>
      <c r="AI141">
        <v>2010</v>
      </c>
      <c r="AJ141">
        <v>43804</v>
      </c>
      <c r="AK141" s="43" t="s">
        <v>1715</v>
      </c>
      <c r="AL141" s="43" t="s">
        <v>259</v>
      </c>
      <c r="AO141" s="23"/>
      <c r="AP141" s="23"/>
      <c r="AQ141" s="23"/>
      <c r="BC141" t="s">
        <v>259</v>
      </c>
      <c r="BD141" s="43" t="s">
        <v>259</v>
      </c>
      <c r="BE141" s="43" t="s">
        <v>259</v>
      </c>
      <c r="BF141" s="43" t="s">
        <v>259</v>
      </c>
      <c r="BG141" s="43" t="s">
        <v>259</v>
      </c>
      <c r="BH141" t="s">
        <v>259</v>
      </c>
      <c r="BI141" s="43" t="s">
        <v>259</v>
      </c>
      <c r="BJ141">
        <v>0</v>
      </c>
      <c r="BK141">
        <v>44109</v>
      </c>
      <c r="BL141">
        <v>44356</v>
      </c>
      <c r="BM141">
        <v>8505</v>
      </c>
      <c r="BN141">
        <v>8505</v>
      </c>
      <c r="BO141">
        <v>8505</v>
      </c>
      <c r="BP141">
        <v>25515</v>
      </c>
      <c r="BQ141">
        <v>3300</v>
      </c>
      <c r="BR141">
        <v>400</v>
      </c>
      <c r="BS141">
        <v>400</v>
      </c>
      <c r="BT141">
        <v>4100</v>
      </c>
      <c r="BU141">
        <v>2100</v>
      </c>
      <c r="BV141">
        <v>2100</v>
      </c>
      <c r="BW141">
        <v>2100</v>
      </c>
      <c r="BX141">
        <v>6300</v>
      </c>
      <c r="BY141">
        <v>1200</v>
      </c>
      <c r="BZ141">
        <v>1200</v>
      </c>
      <c r="CA141">
        <v>1200</v>
      </c>
      <c r="CB141">
        <v>3600</v>
      </c>
      <c r="CC141">
        <v>0</v>
      </c>
      <c r="CD141">
        <v>0</v>
      </c>
      <c r="CE141">
        <v>0</v>
      </c>
      <c r="CF141">
        <v>0</v>
      </c>
      <c r="CG141">
        <v>39515</v>
      </c>
      <c r="CH141">
        <v>0</v>
      </c>
      <c r="CI141">
        <v>0</v>
      </c>
      <c r="CJ141">
        <v>0</v>
      </c>
      <c r="CK141">
        <v>0</v>
      </c>
      <c r="CL141">
        <v>1382</v>
      </c>
      <c r="CM141">
        <v>1382</v>
      </c>
      <c r="CN141">
        <v>1381</v>
      </c>
      <c r="CO141">
        <v>4145</v>
      </c>
      <c r="CP141">
        <v>500</v>
      </c>
      <c r="CQ141">
        <v>500</v>
      </c>
      <c r="CR141">
        <v>500</v>
      </c>
      <c r="CS141">
        <v>1500</v>
      </c>
      <c r="CT141">
        <v>1250</v>
      </c>
      <c r="CU141">
        <v>1250</v>
      </c>
      <c r="CV141">
        <v>1250</v>
      </c>
      <c r="CW141">
        <v>3750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9395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M141">
        <v>0</v>
      </c>
      <c r="EN141">
        <v>660</v>
      </c>
      <c r="EO141">
        <v>660</v>
      </c>
      <c r="EP141">
        <v>660</v>
      </c>
      <c r="EQ141">
        <v>2000</v>
      </c>
      <c r="ER141">
        <v>21.18</v>
      </c>
      <c r="ES141">
        <v>0</v>
      </c>
      <c r="ET141">
        <v>0</v>
      </c>
      <c r="EU141">
        <v>0</v>
      </c>
      <c r="EW141">
        <v>0</v>
      </c>
      <c r="FA141">
        <v>0</v>
      </c>
      <c r="FE141">
        <v>0</v>
      </c>
      <c r="FI141">
        <v>0</v>
      </c>
      <c r="FJ141">
        <v>1978.82</v>
      </c>
      <c r="FK141">
        <v>30120</v>
      </c>
      <c r="FL141">
        <v>29385.969675452154</v>
      </c>
      <c r="FM141">
        <v>28141.18</v>
      </c>
    </row>
    <row r="142" spans="1:169" x14ac:dyDescent="0.35">
      <c r="A142">
        <v>197462</v>
      </c>
      <c r="B142" t="s">
        <v>2527</v>
      </c>
      <c r="C142" t="s">
        <v>1258</v>
      </c>
      <c r="D142" t="s">
        <v>2528</v>
      </c>
      <c r="E142" s="43" t="s">
        <v>2529</v>
      </c>
      <c r="F142">
        <v>1</v>
      </c>
      <c r="I142">
        <v>43804</v>
      </c>
      <c r="J142" t="s">
        <v>4241</v>
      </c>
      <c r="K142" t="s">
        <v>1715</v>
      </c>
      <c r="L142" s="43" t="s">
        <v>259</v>
      </c>
      <c r="M142" t="s">
        <v>2530</v>
      </c>
      <c r="N142" s="43" t="s">
        <v>2531</v>
      </c>
      <c r="O142" s="43" t="s">
        <v>2532</v>
      </c>
      <c r="P142" s="43" t="s">
        <v>263</v>
      </c>
      <c r="Q142" s="43" t="s">
        <v>2533</v>
      </c>
      <c r="S142">
        <v>44109</v>
      </c>
      <c r="T142" t="s">
        <v>285</v>
      </c>
      <c r="U142" t="s">
        <v>286</v>
      </c>
      <c r="V142" t="s">
        <v>267</v>
      </c>
      <c r="W142" t="s">
        <v>1718</v>
      </c>
      <c r="X142" t="s">
        <v>1719</v>
      </c>
      <c r="Y142">
        <v>8772802835</v>
      </c>
      <c r="Z142" t="s">
        <v>270</v>
      </c>
      <c r="AA142" t="s">
        <v>271</v>
      </c>
      <c r="AB142">
        <v>19</v>
      </c>
      <c r="AC142">
        <v>0</v>
      </c>
      <c r="AD142">
        <v>85</v>
      </c>
      <c r="AE142" t="s">
        <v>344</v>
      </c>
      <c r="AF142">
        <v>10</v>
      </c>
      <c r="AG142" t="s">
        <v>275</v>
      </c>
      <c r="AK142" s="43" t="s">
        <v>259</v>
      </c>
      <c r="AL142" s="43" t="s">
        <v>259</v>
      </c>
      <c r="AO142" s="23"/>
      <c r="AP142" s="23"/>
      <c r="AQ142" s="23"/>
      <c r="BC142" t="s">
        <v>259</v>
      </c>
      <c r="BD142" s="43" t="s">
        <v>259</v>
      </c>
      <c r="BE142" s="43" t="s">
        <v>259</v>
      </c>
      <c r="BF142" s="43" t="s">
        <v>259</v>
      </c>
      <c r="BG142" s="43" t="s">
        <v>259</v>
      </c>
      <c r="BH142" t="s">
        <v>259</v>
      </c>
      <c r="BI142" s="43" t="s">
        <v>259</v>
      </c>
      <c r="BJ142">
        <v>0</v>
      </c>
      <c r="BK142">
        <v>44109</v>
      </c>
      <c r="BL142">
        <v>44356</v>
      </c>
      <c r="BM142">
        <v>8505</v>
      </c>
      <c r="BN142">
        <v>8505</v>
      </c>
      <c r="BO142">
        <v>8505</v>
      </c>
      <c r="BP142">
        <v>25515</v>
      </c>
      <c r="BQ142">
        <v>3300</v>
      </c>
      <c r="BR142">
        <v>400</v>
      </c>
      <c r="BS142">
        <v>400</v>
      </c>
      <c r="BT142">
        <v>4100</v>
      </c>
      <c r="BU142">
        <v>2100</v>
      </c>
      <c r="BV142">
        <v>2100</v>
      </c>
      <c r="BW142">
        <v>2100</v>
      </c>
      <c r="BX142">
        <v>6300</v>
      </c>
      <c r="BY142">
        <v>1200</v>
      </c>
      <c r="BZ142">
        <v>1200</v>
      </c>
      <c r="CA142">
        <v>1200</v>
      </c>
      <c r="CB142">
        <v>3600</v>
      </c>
      <c r="CC142">
        <v>0</v>
      </c>
      <c r="CD142">
        <v>0</v>
      </c>
      <c r="CE142">
        <v>0</v>
      </c>
      <c r="CF142">
        <v>0</v>
      </c>
      <c r="CG142">
        <v>39515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1000</v>
      </c>
      <c r="DC142">
        <v>1000</v>
      </c>
      <c r="DD142">
        <v>1000</v>
      </c>
      <c r="DE142">
        <v>3000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3000</v>
      </c>
      <c r="EE142">
        <v>0</v>
      </c>
      <c r="EF142">
        <v>0</v>
      </c>
      <c r="EG142">
        <v>0</v>
      </c>
      <c r="EH142">
        <v>0</v>
      </c>
      <c r="EI142">
        <v>1154</v>
      </c>
      <c r="EJ142">
        <v>1154</v>
      </c>
      <c r="EK142">
        <v>1155</v>
      </c>
      <c r="EL142">
        <v>3500</v>
      </c>
      <c r="EM142">
        <v>37.065000000000005</v>
      </c>
      <c r="EN142">
        <v>660</v>
      </c>
      <c r="EO142">
        <v>660</v>
      </c>
      <c r="EP142">
        <v>660</v>
      </c>
      <c r="EQ142">
        <v>2000</v>
      </c>
      <c r="ER142">
        <v>21.18</v>
      </c>
      <c r="ES142">
        <v>0</v>
      </c>
      <c r="ET142">
        <v>0</v>
      </c>
      <c r="EU142">
        <v>0</v>
      </c>
      <c r="EV142">
        <v>0</v>
      </c>
      <c r="EW142">
        <v>0</v>
      </c>
      <c r="FA142">
        <v>0</v>
      </c>
      <c r="FE142">
        <v>0</v>
      </c>
      <c r="FI142">
        <v>0</v>
      </c>
      <c r="FJ142">
        <v>5441.7550000000001</v>
      </c>
      <c r="FK142">
        <v>36515</v>
      </c>
      <c r="FL142">
        <v>32447.730880080198</v>
      </c>
      <c r="FM142">
        <v>31073.245000000003</v>
      </c>
    </row>
    <row r="143" spans="1:169" x14ac:dyDescent="0.35">
      <c r="A143">
        <v>196007</v>
      </c>
      <c r="B143" t="s">
        <v>2534</v>
      </c>
      <c r="C143" t="s">
        <v>2535</v>
      </c>
      <c r="D143" t="s">
        <v>2536</v>
      </c>
      <c r="E143" s="43" t="s">
        <v>2537</v>
      </c>
      <c r="F143">
        <v>1</v>
      </c>
      <c r="I143">
        <v>43804</v>
      </c>
      <c r="J143" t="s">
        <v>4240</v>
      </c>
      <c r="K143" t="s">
        <v>1715</v>
      </c>
      <c r="L143" s="43" t="s">
        <v>3204</v>
      </c>
      <c r="M143" t="s">
        <v>2538</v>
      </c>
      <c r="N143" s="43" t="s">
        <v>2539</v>
      </c>
      <c r="O143" s="43" t="s">
        <v>2540</v>
      </c>
      <c r="P143" s="43" t="s">
        <v>1018</v>
      </c>
      <c r="Q143" s="43" t="s">
        <v>2541</v>
      </c>
      <c r="S143">
        <v>44109</v>
      </c>
      <c r="T143" t="s">
        <v>265</v>
      </c>
      <c r="U143" t="s">
        <v>286</v>
      </c>
      <c r="V143" t="s">
        <v>267</v>
      </c>
      <c r="W143" t="s">
        <v>1718</v>
      </c>
      <c r="X143" t="s">
        <v>1719</v>
      </c>
      <c r="Y143">
        <v>8772802835</v>
      </c>
      <c r="Z143" t="s">
        <v>270</v>
      </c>
      <c r="AA143" t="s">
        <v>271</v>
      </c>
      <c r="AB143">
        <v>0</v>
      </c>
      <c r="AC143">
        <v>1190</v>
      </c>
      <c r="AD143">
        <v>124</v>
      </c>
      <c r="AE143" t="s">
        <v>301</v>
      </c>
      <c r="AF143">
        <v>1</v>
      </c>
      <c r="AG143" t="s">
        <v>446</v>
      </c>
      <c r="AH143">
        <v>2586</v>
      </c>
      <c r="AI143">
        <v>2586</v>
      </c>
      <c r="AJ143">
        <v>43790</v>
      </c>
      <c r="AK143" s="43" t="s">
        <v>3208</v>
      </c>
      <c r="AL143" s="43" t="s">
        <v>3209</v>
      </c>
      <c r="AO143" s="23"/>
      <c r="AP143" s="23"/>
      <c r="AQ143" s="23"/>
      <c r="BC143" t="s">
        <v>2018</v>
      </c>
      <c r="BD143" s="43" t="s">
        <v>2018</v>
      </c>
      <c r="BE143" s="43" t="s">
        <v>2018</v>
      </c>
      <c r="BF143" s="43" t="s">
        <v>2018</v>
      </c>
      <c r="BG143" s="43" t="s">
        <v>2018</v>
      </c>
      <c r="BH143" t="s">
        <v>2018</v>
      </c>
      <c r="BI143" s="43" t="s">
        <v>2018</v>
      </c>
      <c r="BJ143">
        <v>0</v>
      </c>
      <c r="BK143">
        <v>44109</v>
      </c>
      <c r="BL143">
        <v>44356</v>
      </c>
      <c r="BM143">
        <v>8505</v>
      </c>
      <c r="BN143">
        <v>8505</v>
      </c>
      <c r="BO143">
        <v>8505</v>
      </c>
      <c r="BP143">
        <v>25515</v>
      </c>
      <c r="BQ143">
        <v>3300</v>
      </c>
      <c r="BR143">
        <v>400</v>
      </c>
      <c r="BS143">
        <v>400</v>
      </c>
      <c r="BT143">
        <v>4100</v>
      </c>
      <c r="BU143">
        <v>2100</v>
      </c>
      <c r="BV143">
        <v>2100</v>
      </c>
      <c r="BW143">
        <v>2100</v>
      </c>
      <c r="BX143">
        <v>6300</v>
      </c>
      <c r="BY143">
        <v>1200</v>
      </c>
      <c r="BZ143">
        <v>1200</v>
      </c>
      <c r="CA143">
        <v>1200</v>
      </c>
      <c r="CB143">
        <v>3600</v>
      </c>
      <c r="CC143">
        <v>0</v>
      </c>
      <c r="CD143">
        <v>0</v>
      </c>
      <c r="CE143">
        <v>0</v>
      </c>
      <c r="CF143">
        <v>0</v>
      </c>
      <c r="CG143">
        <v>39515</v>
      </c>
      <c r="CH143">
        <v>0</v>
      </c>
      <c r="CI143">
        <v>0</v>
      </c>
      <c r="CJ143">
        <v>0</v>
      </c>
      <c r="CK143">
        <v>0</v>
      </c>
      <c r="CL143">
        <v>1215</v>
      </c>
      <c r="CM143">
        <v>1215</v>
      </c>
      <c r="CN143">
        <v>1215</v>
      </c>
      <c r="CO143">
        <v>3645</v>
      </c>
      <c r="CP143">
        <v>500</v>
      </c>
      <c r="CQ143">
        <v>500</v>
      </c>
      <c r="CR143">
        <v>500</v>
      </c>
      <c r="CS143">
        <v>1500</v>
      </c>
      <c r="CT143">
        <v>1700</v>
      </c>
      <c r="CU143">
        <v>1700</v>
      </c>
      <c r="CV143">
        <v>1700</v>
      </c>
      <c r="CW143">
        <v>5100</v>
      </c>
      <c r="CX143">
        <v>0</v>
      </c>
      <c r="CY143">
        <v>0</v>
      </c>
      <c r="CZ143">
        <v>0</v>
      </c>
      <c r="DA143">
        <v>0</v>
      </c>
      <c r="DB143">
        <v>1000</v>
      </c>
      <c r="DC143">
        <v>1000</v>
      </c>
      <c r="DD143">
        <v>1000</v>
      </c>
      <c r="DE143">
        <v>3000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13245</v>
      </c>
      <c r="EE143">
        <v>0</v>
      </c>
      <c r="EF143">
        <v>0</v>
      </c>
      <c r="EG143">
        <v>0</v>
      </c>
      <c r="EH143">
        <v>0</v>
      </c>
      <c r="EI143">
        <v>1154</v>
      </c>
      <c r="EJ143">
        <v>1154</v>
      </c>
      <c r="EK143">
        <v>1155</v>
      </c>
      <c r="EL143">
        <v>3500</v>
      </c>
      <c r="EM143">
        <v>37.065000000000005</v>
      </c>
      <c r="EN143">
        <v>660</v>
      </c>
      <c r="EO143">
        <v>660</v>
      </c>
      <c r="EP143">
        <v>660</v>
      </c>
      <c r="EQ143">
        <v>2000</v>
      </c>
      <c r="ER143">
        <v>21.18</v>
      </c>
      <c r="ES143">
        <v>0</v>
      </c>
      <c r="ET143">
        <v>0</v>
      </c>
      <c r="EU143">
        <v>0</v>
      </c>
      <c r="EV143">
        <v>0</v>
      </c>
      <c r="EW143">
        <v>0</v>
      </c>
      <c r="FA143">
        <v>0</v>
      </c>
      <c r="FE143">
        <v>0</v>
      </c>
      <c r="FI143">
        <v>0</v>
      </c>
      <c r="FJ143">
        <v>5441.7550000000001</v>
      </c>
      <c r="FK143">
        <v>26270</v>
      </c>
      <c r="FL143">
        <v>21749.55620065995</v>
      </c>
      <c r="FM143">
        <v>20828.244999999999</v>
      </c>
    </row>
    <row r="144" spans="1:169" x14ac:dyDescent="0.35">
      <c r="A144">
        <v>195435</v>
      </c>
      <c r="B144" t="s">
        <v>2542</v>
      </c>
      <c r="C144" t="s">
        <v>1348</v>
      </c>
      <c r="D144" t="s">
        <v>2543</v>
      </c>
      <c r="E144" s="43" t="s">
        <v>2544</v>
      </c>
      <c r="F144">
        <v>1</v>
      </c>
      <c r="I144">
        <v>43782</v>
      </c>
      <c r="J144" t="s">
        <v>3304</v>
      </c>
      <c r="K144" t="s">
        <v>1715</v>
      </c>
      <c r="L144" s="43" t="s">
        <v>3204</v>
      </c>
      <c r="M144" t="s">
        <v>2545</v>
      </c>
      <c r="N144" s="43" t="s">
        <v>2546</v>
      </c>
      <c r="O144" s="43" t="s">
        <v>2547</v>
      </c>
      <c r="P144" s="43" t="s">
        <v>1046</v>
      </c>
      <c r="Q144" s="43" t="s">
        <v>2548</v>
      </c>
      <c r="S144">
        <v>44109</v>
      </c>
      <c r="T144" t="s">
        <v>311</v>
      </c>
      <c r="U144" t="s">
        <v>266</v>
      </c>
      <c r="V144" t="s">
        <v>267</v>
      </c>
      <c r="W144" t="s">
        <v>1718</v>
      </c>
      <c r="X144" t="s">
        <v>1719</v>
      </c>
      <c r="Y144">
        <v>8772802835</v>
      </c>
      <c r="Z144" t="s">
        <v>270</v>
      </c>
      <c r="AA144" t="s">
        <v>271</v>
      </c>
      <c r="AB144">
        <v>0</v>
      </c>
      <c r="AC144">
        <v>0</v>
      </c>
      <c r="AD144">
        <v>0</v>
      </c>
      <c r="AE144" t="s">
        <v>416</v>
      </c>
      <c r="AF144">
        <v>5</v>
      </c>
      <c r="AG144" t="s">
        <v>275</v>
      </c>
      <c r="AH144">
        <v>11473</v>
      </c>
      <c r="AI144">
        <v>11473</v>
      </c>
      <c r="AJ144">
        <v>43774</v>
      </c>
      <c r="AK144" s="43" t="s">
        <v>3208</v>
      </c>
      <c r="AL144" s="43" t="s">
        <v>3209</v>
      </c>
      <c r="AO144" s="23"/>
      <c r="AP144" s="23"/>
      <c r="AQ144" s="23"/>
      <c r="BC144" t="s">
        <v>2018</v>
      </c>
      <c r="BD144" s="43" t="s">
        <v>2018</v>
      </c>
      <c r="BE144" s="43" t="s">
        <v>2018</v>
      </c>
      <c r="BF144" s="43" t="s">
        <v>2018</v>
      </c>
      <c r="BG144" s="43" t="s">
        <v>2018</v>
      </c>
      <c r="BH144" t="s">
        <v>2018</v>
      </c>
      <c r="BI144" s="43" t="s">
        <v>2018</v>
      </c>
      <c r="BJ144">
        <v>0</v>
      </c>
      <c r="BK144">
        <v>44109</v>
      </c>
      <c r="BL144">
        <v>44356</v>
      </c>
      <c r="BM144">
        <v>8505</v>
      </c>
      <c r="BN144">
        <v>8505</v>
      </c>
      <c r="BO144">
        <v>8505</v>
      </c>
      <c r="BP144">
        <v>25515</v>
      </c>
      <c r="BQ144">
        <v>3300</v>
      </c>
      <c r="BR144">
        <v>400</v>
      </c>
      <c r="BS144">
        <v>400</v>
      </c>
      <c r="BT144">
        <v>4100</v>
      </c>
      <c r="BU144">
        <v>2100</v>
      </c>
      <c r="BV144">
        <v>2100</v>
      </c>
      <c r="BW144">
        <v>2100</v>
      </c>
      <c r="BX144">
        <v>6300</v>
      </c>
      <c r="BY144">
        <v>1200</v>
      </c>
      <c r="BZ144">
        <v>1200</v>
      </c>
      <c r="CA144">
        <v>1200</v>
      </c>
      <c r="CB144">
        <v>3600</v>
      </c>
      <c r="CC144">
        <v>0</v>
      </c>
      <c r="CD144">
        <v>0</v>
      </c>
      <c r="CE144">
        <v>0</v>
      </c>
      <c r="CF144">
        <v>0</v>
      </c>
      <c r="CG144">
        <v>39515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1000</v>
      </c>
      <c r="CU144">
        <v>1000</v>
      </c>
      <c r="CV144">
        <v>1000</v>
      </c>
      <c r="CW144">
        <v>3000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3000</v>
      </c>
      <c r="EE144">
        <v>0</v>
      </c>
      <c r="EF144">
        <v>0</v>
      </c>
      <c r="EG144">
        <v>0</v>
      </c>
      <c r="EH144">
        <v>0</v>
      </c>
      <c r="EI144">
        <v>1154</v>
      </c>
      <c r="EJ144">
        <v>1154</v>
      </c>
      <c r="EK144">
        <v>1155</v>
      </c>
      <c r="EL144">
        <v>3500</v>
      </c>
      <c r="EM144">
        <v>37.065000000000005</v>
      </c>
      <c r="EN144">
        <v>660</v>
      </c>
      <c r="EO144">
        <v>660</v>
      </c>
      <c r="EP144">
        <v>660</v>
      </c>
      <c r="EQ144">
        <v>2000</v>
      </c>
      <c r="ER144">
        <v>21.18</v>
      </c>
      <c r="ES144">
        <v>0</v>
      </c>
      <c r="ET144">
        <v>0</v>
      </c>
      <c r="EU144">
        <v>0</v>
      </c>
      <c r="EV144">
        <v>0</v>
      </c>
      <c r="EW144">
        <v>0</v>
      </c>
      <c r="FA144">
        <v>0</v>
      </c>
      <c r="FE144">
        <v>0</v>
      </c>
      <c r="FI144">
        <v>0</v>
      </c>
      <c r="FJ144">
        <v>5441.7550000000001</v>
      </c>
      <c r="FK144">
        <v>36515</v>
      </c>
      <c r="FL144">
        <v>32447.730880080198</v>
      </c>
      <c r="FM144">
        <v>31073.245000000003</v>
      </c>
    </row>
    <row r="145" spans="1:169" x14ac:dyDescent="0.35">
      <c r="A145">
        <v>197432</v>
      </c>
      <c r="B145" t="s">
        <v>3363</v>
      </c>
      <c r="C145" t="s">
        <v>3364</v>
      </c>
      <c r="D145" t="s">
        <v>3365</v>
      </c>
      <c r="E145" s="43" t="s">
        <v>3366</v>
      </c>
      <c r="F145">
        <v>1</v>
      </c>
      <c r="I145">
        <v>43802</v>
      </c>
      <c r="J145" t="s">
        <v>3304</v>
      </c>
      <c r="K145" t="s">
        <v>1715</v>
      </c>
      <c r="L145" s="43" t="s">
        <v>259</v>
      </c>
      <c r="M145" t="s">
        <v>3367</v>
      </c>
      <c r="N145" s="43" t="s">
        <v>3368</v>
      </c>
      <c r="O145" s="43" t="s">
        <v>3369</v>
      </c>
      <c r="P145" s="43" t="s">
        <v>759</v>
      </c>
      <c r="Q145" s="43" t="s">
        <v>3370</v>
      </c>
      <c r="S145">
        <v>44109</v>
      </c>
      <c r="T145" t="s">
        <v>311</v>
      </c>
      <c r="U145" t="s">
        <v>286</v>
      </c>
      <c r="V145" t="s">
        <v>267</v>
      </c>
      <c r="W145" t="s">
        <v>1718</v>
      </c>
      <c r="X145" t="s">
        <v>1719</v>
      </c>
      <c r="Y145">
        <v>8772802835</v>
      </c>
      <c r="Z145" t="s">
        <v>270</v>
      </c>
      <c r="AA145" t="s">
        <v>271</v>
      </c>
      <c r="AB145">
        <v>26</v>
      </c>
      <c r="AC145">
        <v>1260</v>
      </c>
      <c r="AD145">
        <v>125</v>
      </c>
      <c r="AE145" t="s">
        <v>301</v>
      </c>
      <c r="AF145">
        <v>1</v>
      </c>
      <c r="AG145" t="s">
        <v>3345</v>
      </c>
      <c r="AK145" s="43" t="s">
        <v>259</v>
      </c>
      <c r="AL145" s="43" t="s">
        <v>259</v>
      </c>
      <c r="AO145" s="23">
        <v>43782</v>
      </c>
      <c r="AP145" s="23"/>
      <c r="AQ145" s="23"/>
      <c r="BC145" t="s">
        <v>259</v>
      </c>
      <c r="BD145" s="43" t="s">
        <v>259</v>
      </c>
      <c r="BE145" s="43" t="s">
        <v>259</v>
      </c>
      <c r="BF145" s="43" t="s">
        <v>259</v>
      </c>
      <c r="BG145" s="43" t="s">
        <v>259</v>
      </c>
      <c r="BH145" t="s">
        <v>259</v>
      </c>
      <c r="BI145" s="43" t="s">
        <v>259</v>
      </c>
      <c r="BJ145">
        <v>4.3478260869565188E-2</v>
      </c>
      <c r="BK145">
        <v>44109</v>
      </c>
      <c r="BL145">
        <v>44356</v>
      </c>
      <c r="BM145">
        <v>8505</v>
      </c>
      <c r="BN145">
        <v>8505</v>
      </c>
      <c r="BO145">
        <v>8505</v>
      </c>
      <c r="BP145">
        <v>25515</v>
      </c>
      <c r="BQ145">
        <v>3300</v>
      </c>
      <c r="BR145">
        <v>400</v>
      </c>
      <c r="BS145">
        <v>400</v>
      </c>
      <c r="BT145">
        <v>4100</v>
      </c>
      <c r="BU145">
        <v>2100</v>
      </c>
      <c r="BV145">
        <v>2100</v>
      </c>
      <c r="BW145">
        <v>2100</v>
      </c>
      <c r="BX145">
        <v>6300</v>
      </c>
      <c r="BY145">
        <v>1200</v>
      </c>
      <c r="BZ145">
        <v>1200</v>
      </c>
      <c r="CA145">
        <v>1200</v>
      </c>
      <c r="CB145">
        <v>3600</v>
      </c>
      <c r="CC145">
        <v>0</v>
      </c>
      <c r="CD145">
        <v>0</v>
      </c>
      <c r="CE145">
        <v>0</v>
      </c>
      <c r="CF145">
        <v>0</v>
      </c>
      <c r="CG145">
        <v>39515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1700</v>
      </c>
      <c r="CU145">
        <v>1700</v>
      </c>
      <c r="CV145">
        <v>1700</v>
      </c>
      <c r="CW145">
        <v>5100</v>
      </c>
      <c r="CX145">
        <v>0</v>
      </c>
      <c r="CY145">
        <v>0</v>
      </c>
      <c r="CZ145">
        <v>0</v>
      </c>
      <c r="DA145">
        <v>0</v>
      </c>
      <c r="DB145">
        <v>1000</v>
      </c>
      <c r="DC145">
        <v>1000</v>
      </c>
      <c r="DD145">
        <v>1000</v>
      </c>
      <c r="DE145">
        <v>3000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8100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M145">
        <v>0</v>
      </c>
      <c r="EN145">
        <v>660</v>
      </c>
      <c r="EO145">
        <v>660</v>
      </c>
      <c r="EP145">
        <v>660</v>
      </c>
      <c r="EQ145">
        <v>2000</v>
      </c>
      <c r="ER145">
        <v>21.18</v>
      </c>
      <c r="ES145">
        <v>0</v>
      </c>
      <c r="ET145">
        <v>0</v>
      </c>
      <c r="EU145">
        <v>0</v>
      </c>
      <c r="EW145">
        <v>0</v>
      </c>
      <c r="FA145">
        <v>0</v>
      </c>
      <c r="FE145">
        <v>0</v>
      </c>
      <c r="FI145">
        <v>0</v>
      </c>
      <c r="FJ145">
        <v>1978.82</v>
      </c>
      <c r="FK145">
        <v>31415</v>
      </c>
      <c r="FL145">
        <v>30738.252370410592</v>
      </c>
      <c r="FM145">
        <v>29436.18</v>
      </c>
    </row>
    <row r="146" spans="1:169" x14ac:dyDescent="0.35">
      <c r="A146">
        <v>193913</v>
      </c>
      <c r="B146" t="s">
        <v>2549</v>
      </c>
      <c r="C146" t="s">
        <v>2418</v>
      </c>
      <c r="D146" t="s">
        <v>2550</v>
      </c>
      <c r="E146" s="43" t="s">
        <v>2551</v>
      </c>
      <c r="F146">
        <v>1</v>
      </c>
      <c r="G146">
        <v>43782</v>
      </c>
      <c r="H146">
        <v>43782</v>
      </c>
      <c r="I146">
        <v>43782</v>
      </c>
      <c r="J146" t="s">
        <v>3583</v>
      </c>
      <c r="K146" t="s">
        <v>3520</v>
      </c>
      <c r="L146" s="43" t="s">
        <v>3204</v>
      </c>
      <c r="M146" t="s">
        <v>2552</v>
      </c>
      <c r="N146" s="43" t="s">
        <v>2553</v>
      </c>
      <c r="O146" s="43" t="s">
        <v>1328</v>
      </c>
      <c r="P146" s="43" t="s">
        <v>1046</v>
      </c>
      <c r="Q146" s="43" t="s">
        <v>2554</v>
      </c>
      <c r="S146">
        <v>44109</v>
      </c>
      <c r="T146" t="s">
        <v>311</v>
      </c>
      <c r="U146" t="s">
        <v>266</v>
      </c>
      <c r="V146" t="s">
        <v>267</v>
      </c>
      <c r="W146" t="s">
        <v>1718</v>
      </c>
      <c r="X146" t="s">
        <v>1719</v>
      </c>
      <c r="Y146">
        <v>8772802835</v>
      </c>
      <c r="Z146" t="s">
        <v>270</v>
      </c>
      <c r="AA146" t="s">
        <v>271</v>
      </c>
      <c r="AB146">
        <v>0</v>
      </c>
      <c r="AC146">
        <v>0</v>
      </c>
      <c r="AD146">
        <v>0</v>
      </c>
      <c r="AE146" t="s">
        <v>445</v>
      </c>
      <c r="AF146">
        <v>4</v>
      </c>
      <c r="AG146" t="s">
        <v>275</v>
      </c>
      <c r="AH146">
        <v>2328</v>
      </c>
      <c r="AI146">
        <v>2328</v>
      </c>
      <c r="AJ146">
        <v>43774</v>
      </c>
      <c r="AK146" s="43" t="s">
        <v>1715</v>
      </c>
      <c r="AL146" s="43" t="s">
        <v>259</v>
      </c>
      <c r="AO146" s="23"/>
      <c r="AP146" s="23"/>
      <c r="AQ146" s="23"/>
      <c r="BC146" t="s">
        <v>259</v>
      </c>
      <c r="BD146" s="43" t="s">
        <v>259</v>
      </c>
      <c r="BE146" s="43" t="s">
        <v>259</v>
      </c>
      <c r="BF146" s="43" t="s">
        <v>2018</v>
      </c>
      <c r="BG146" s="43" t="s">
        <v>2018</v>
      </c>
      <c r="BH146">
        <v>43767</v>
      </c>
      <c r="BI146" s="43" t="s">
        <v>2018</v>
      </c>
      <c r="BJ146">
        <v>5.0000000000000044E-2</v>
      </c>
      <c r="BK146">
        <v>44109</v>
      </c>
      <c r="BL146">
        <v>44356</v>
      </c>
      <c r="BM146">
        <v>8505</v>
      </c>
      <c r="BN146">
        <v>8505</v>
      </c>
      <c r="BO146">
        <v>8505</v>
      </c>
      <c r="BP146">
        <v>25515</v>
      </c>
      <c r="BQ146">
        <v>3300</v>
      </c>
      <c r="BR146">
        <v>400</v>
      </c>
      <c r="BS146">
        <v>400</v>
      </c>
      <c r="BT146">
        <v>4100</v>
      </c>
      <c r="BU146">
        <v>2100</v>
      </c>
      <c r="BV146">
        <v>2100</v>
      </c>
      <c r="BW146">
        <v>2100</v>
      </c>
      <c r="BX146">
        <v>6300</v>
      </c>
      <c r="BY146">
        <v>1200</v>
      </c>
      <c r="BZ146">
        <v>1200</v>
      </c>
      <c r="CA146">
        <v>1200</v>
      </c>
      <c r="CB146">
        <v>3600</v>
      </c>
      <c r="CC146">
        <v>0</v>
      </c>
      <c r="CD146">
        <v>0</v>
      </c>
      <c r="CE146">
        <v>0</v>
      </c>
      <c r="CF146">
        <v>0</v>
      </c>
      <c r="CG146">
        <v>39515</v>
      </c>
      <c r="CH146">
        <v>0</v>
      </c>
      <c r="CI146">
        <v>0</v>
      </c>
      <c r="CJ146">
        <v>0</v>
      </c>
      <c r="CK146">
        <v>0</v>
      </c>
      <c r="CL146">
        <v>1282</v>
      </c>
      <c r="CM146">
        <v>1282</v>
      </c>
      <c r="CN146">
        <v>1281</v>
      </c>
      <c r="CO146">
        <v>3845</v>
      </c>
      <c r="CP146">
        <v>500</v>
      </c>
      <c r="CQ146">
        <v>500</v>
      </c>
      <c r="CR146">
        <v>500</v>
      </c>
      <c r="CS146">
        <v>1500</v>
      </c>
      <c r="CT146">
        <v>1250</v>
      </c>
      <c r="CU146">
        <v>1250</v>
      </c>
      <c r="CV146">
        <v>1250</v>
      </c>
      <c r="CW146">
        <v>3750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9095</v>
      </c>
      <c r="EE146">
        <v>0</v>
      </c>
      <c r="EF146">
        <v>0</v>
      </c>
      <c r="EG146">
        <v>0</v>
      </c>
      <c r="EH146">
        <v>0</v>
      </c>
      <c r="EI146">
        <v>1154</v>
      </c>
      <c r="EJ146">
        <v>1154</v>
      </c>
      <c r="EK146">
        <v>1155</v>
      </c>
      <c r="EL146">
        <v>3500</v>
      </c>
      <c r="EM146">
        <v>37.065000000000005</v>
      </c>
      <c r="EN146">
        <v>660</v>
      </c>
      <c r="EO146">
        <v>660</v>
      </c>
      <c r="EP146">
        <v>660</v>
      </c>
      <c r="EQ146">
        <v>2000</v>
      </c>
      <c r="ER146">
        <v>21.18</v>
      </c>
      <c r="ES146">
        <v>0</v>
      </c>
      <c r="ET146">
        <v>0</v>
      </c>
      <c r="EU146">
        <v>0</v>
      </c>
      <c r="EV146">
        <v>0</v>
      </c>
      <c r="EW146">
        <v>0</v>
      </c>
      <c r="FA146">
        <v>0</v>
      </c>
      <c r="FE146">
        <v>0</v>
      </c>
      <c r="FI146">
        <v>0</v>
      </c>
      <c r="FJ146">
        <v>5441.7550000000001</v>
      </c>
      <c r="FK146">
        <v>30420</v>
      </c>
      <c r="FL146">
        <v>26083.126226974644</v>
      </c>
      <c r="FM146">
        <v>24978.244999999999</v>
      </c>
    </row>
    <row r="147" spans="1:169" x14ac:dyDescent="0.35">
      <c r="A147">
        <v>198128</v>
      </c>
      <c r="B147" t="s">
        <v>2555</v>
      </c>
      <c r="C147" t="s">
        <v>2264</v>
      </c>
      <c r="D147" t="s">
        <v>2556</v>
      </c>
      <c r="E147" s="43" t="s">
        <v>2557</v>
      </c>
      <c r="F147">
        <v>1</v>
      </c>
      <c r="G147">
        <v>43790</v>
      </c>
      <c r="H147">
        <v>43790</v>
      </c>
      <c r="I147">
        <v>43790</v>
      </c>
      <c r="J147" t="s">
        <v>3335</v>
      </c>
      <c r="K147" t="s">
        <v>1715</v>
      </c>
      <c r="L147" s="43" t="s">
        <v>3204</v>
      </c>
      <c r="M147" t="s">
        <v>2558</v>
      </c>
      <c r="N147" s="43" t="s">
        <v>2559</v>
      </c>
      <c r="O147" s="43" t="s">
        <v>2560</v>
      </c>
      <c r="P147" s="43" t="s">
        <v>342</v>
      </c>
      <c r="Q147" s="43" t="s">
        <v>2561</v>
      </c>
      <c r="S147">
        <v>44109</v>
      </c>
      <c r="T147" t="s">
        <v>311</v>
      </c>
      <c r="U147" t="s">
        <v>266</v>
      </c>
      <c r="V147" t="s">
        <v>267</v>
      </c>
      <c r="W147" t="s">
        <v>1718</v>
      </c>
      <c r="X147" t="s">
        <v>1719</v>
      </c>
      <c r="Y147">
        <v>8772802835</v>
      </c>
      <c r="Z147" t="s">
        <v>270</v>
      </c>
      <c r="AA147" t="s">
        <v>271</v>
      </c>
      <c r="AB147">
        <v>0</v>
      </c>
      <c r="AC147">
        <v>0</v>
      </c>
      <c r="AD147">
        <v>0</v>
      </c>
      <c r="AE147" t="s">
        <v>376</v>
      </c>
      <c r="AF147">
        <v>7</v>
      </c>
      <c r="AG147" t="s">
        <v>275</v>
      </c>
      <c r="AH147">
        <v>36117</v>
      </c>
      <c r="AI147">
        <v>36117</v>
      </c>
      <c r="AJ147">
        <v>43774</v>
      </c>
      <c r="AK147" s="43" t="s">
        <v>3208</v>
      </c>
      <c r="AL147" s="43" t="s">
        <v>3209</v>
      </c>
      <c r="AO147" s="23"/>
      <c r="AP147" s="23"/>
      <c r="AQ147" s="23"/>
      <c r="BC147" t="s">
        <v>2018</v>
      </c>
      <c r="BD147" s="43" t="s">
        <v>2018</v>
      </c>
      <c r="BE147" s="43" t="s">
        <v>2018</v>
      </c>
      <c r="BF147" s="43" t="s">
        <v>2018</v>
      </c>
      <c r="BG147" s="43" t="s">
        <v>2018</v>
      </c>
      <c r="BH147" t="s">
        <v>2018</v>
      </c>
      <c r="BI147" s="43" t="s">
        <v>2018</v>
      </c>
      <c r="BJ147">
        <v>0</v>
      </c>
      <c r="BK147">
        <v>44109</v>
      </c>
      <c r="BL147">
        <v>44356</v>
      </c>
      <c r="BM147">
        <v>8505</v>
      </c>
      <c r="BN147">
        <v>8505</v>
      </c>
      <c r="BO147">
        <v>8505</v>
      </c>
      <c r="BP147">
        <v>25515</v>
      </c>
      <c r="BQ147">
        <v>3300</v>
      </c>
      <c r="BR147">
        <v>400</v>
      </c>
      <c r="BS147">
        <v>400</v>
      </c>
      <c r="BT147">
        <v>4100</v>
      </c>
      <c r="BU147">
        <v>2100</v>
      </c>
      <c r="BV147">
        <v>2100</v>
      </c>
      <c r="BW147">
        <v>2100</v>
      </c>
      <c r="BX147">
        <v>6300</v>
      </c>
      <c r="BY147">
        <v>1200</v>
      </c>
      <c r="BZ147">
        <v>1200</v>
      </c>
      <c r="CA147">
        <v>1200</v>
      </c>
      <c r="CB147">
        <v>3600</v>
      </c>
      <c r="CC147">
        <v>0</v>
      </c>
      <c r="CD147">
        <v>0</v>
      </c>
      <c r="CE147">
        <v>0</v>
      </c>
      <c r="CF147">
        <v>0</v>
      </c>
      <c r="CG147">
        <v>39515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1154</v>
      </c>
      <c r="EJ147">
        <v>1154</v>
      </c>
      <c r="EK147">
        <v>1155</v>
      </c>
      <c r="EL147">
        <v>3500</v>
      </c>
      <c r="EM147">
        <v>37.065000000000005</v>
      </c>
      <c r="EN147">
        <v>660</v>
      </c>
      <c r="EO147">
        <v>660</v>
      </c>
      <c r="EP147">
        <v>660</v>
      </c>
      <c r="EQ147">
        <v>2000</v>
      </c>
      <c r="ER147">
        <v>21.18</v>
      </c>
      <c r="ES147">
        <v>0</v>
      </c>
      <c r="ET147">
        <v>0</v>
      </c>
      <c r="EU147">
        <v>0</v>
      </c>
      <c r="EV147">
        <v>0</v>
      </c>
      <c r="EW147">
        <v>0</v>
      </c>
      <c r="FA147">
        <v>0</v>
      </c>
      <c r="FE147">
        <v>0</v>
      </c>
      <c r="FI147">
        <v>0</v>
      </c>
      <c r="FJ147">
        <v>5441.7550000000001</v>
      </c>
      <c r="FK147">
        <v>39515</v>
      </c>
      <c r="FL147">
        <v>35580.43210392214</v>
      </c>
      <c r="FM147">
        <v>34073.245000000003</v>
      </c>
    </row>
    <row r="148" spans="1:169" x14ac:dyDescent="0.35">
      <c r="A148">
        <v>195106</v>
      </c>
      <c r="B148" t="s">
        <v>2562</v>
      </c>
      <c r="C148" t="s">
        <v>2563</v>
      </c>
      <c r="D148" t="s">
        <v>2564</v>
      </c>
      <c r="E148" s="43" t="s">
        <v>2565</v>
      </c>
      <c r="F148">
        <v>1</v>
      </c>
      <c r="I148">
        <v>43804</v>
      </c>
      <c r="J148" t="s">
        <v>4242</v>
      </c>
      <c r="K148" t="s">
        <v>1715</v>
      </c>
      <c r="L148" s="43" t="s">
        <v>259</v>
      </c>
      <c r="M148" t="s">
        <v>2566</v>
      </c>
      <c r="N148" s="43" t="s">
        <v>2567</v>
      </c>
      <c r="O148" s="43" t="s">
        <v>2568</v>
      </c>
      <c r="P148" s="43" t="s">
        <v>297</v>
      </c>
      <c r="Q148" s="43" t="s">
        <v>2569</v>
      </c>
      <c r="S148">
        <v>44109</v>
      </c>
      <c r="T148" t="s">
        <v>285</v>
      </c>
      <c r="U148" t="s">
        <v>266</v>
      </c>
      <c r="V148" t="s">
        <v>267</v>
      </c>
      <c r="W148" t="s">
        <v>1718</v>
      </c>
      <c r="X148" t="s">
        <v>1719</v>
      </c>
      <c r="Y148">
        <v>8772802835</v>
      </c>
      <c r="Z148" t="s">
        <v>270</v>
      </c>
      <c r="AA148" t="s">
        <v>271</v>
      </c>
      <c r="AB148">
        <v>0</v>
      </c>
      <c r="AC148">
        <v>1400</v>
      </c>
      <c r="AD148">
        <v>134</v>
      </c>
      <c r="AE148" t="s">
        <v>301</v>
      </c>
      <c r="AF148">
        <v>1</v>
      </c>
      <c r="AG148" t="s">
        <v>275</v>
      </c>
      <c r="AK148" s="43" t="s">
        <v>259</v>
      </c>
      <c r="AL148" s="43" t="s">
        <v>259</v>
      </c>
      <c r="AO148" s="23"/>
      <c r="AP148" s="23"/>
      <c r="AQ148" s="23"/>
      <c r="BC148" t="s">
        <v>259</v>
      </c>
      <c r="BD148" s="43" t="s">
        <v>259</v>
      </c>
      <c r="BE148" s="43" t="s">
        <v>259</v>
      </c>
      <c r="BF148" s="43" t="s">
        <v>259</v>
      </c>
      <c r="BG148" s="43" t="s">
        <v>259</v>
      </c>
      <c r="BH148" t="s">
        <v>259</v>
      </c>
      <c r="BI148" s="43" t="s">
        <v>259</v>
      </c>
      <c r="BJ148">
        <v>0</v>
      </c>
      <c r="BK148">
        <v>44109</v>
      </c>
      <c r="BL148">
        <v>44356</v>
      </c>
      <c r="BM148">
        <v>8505</v>
      </c>
      <c r="BN148">
        <v>8505</v>
      </c>
      <c r="BO148">
        <v>8505</v>
      </c>
      <c r="BP148">
        <v>25515</v>
      </c>
      <c r="BQ148">
        <v>3300</v>
      </c>
      <c r="BR148">
        <v>400</v>
      </c>
      <c r="BS148">
        <v>400</v>
      </c>
      <c r="BT148">
        <v>4100</v>
      </c>
      <c r="BU148">
        <v>2100</v>
      </c>
      <c r="BV148">
        <v>2100</v>
      </c>
      <c r="BW148">
        <v>2100</v>
      </c>
      <c r="BX148">
        <v>6300</v>
      </c>
      <c r="BY148">
        <v>1200</v>
      </c>
      <c r="BZ148">
        <v>1200</v>
      </c>
      <c r="CA148">
        <v>1200</v>
      </c>
      <c r="CB148">
        <v>3600</v>
      </c>
      <c r="CC148">
        <v>0</v>
      </c>
      <c r="CD148">
        <v>0</v>
      </c>
      <c r="CE148">
        <v>0</v>
      </c>
      <c r="CF148">
        <v>0</v>
      </c>
      <c r="CG148">
        <v>39515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1700</v>
      </c>
      <c r="CU148">
        <v>1700</v>
      </c>
      <c r="CV148">
        <v>1700</v>
      </c>
      <c r="CW148">
        <v>5100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5100</v>
      </c>
      <c r="EE148">
        <v>0</v>
      </c>
      <c r="EF148">
        <v>0</v>
      </c>
      <c r="EG148">
        <v>0</v>
      </c>
      <c r="EH148">
        <v>0</v>
      </c>
      <c r="EI148">
        <v>1154</v>
      </c>
      <c r="EJ148">
        <v>1154</v>
      </c>
      <c r="EK148">
        <v>1155</v>
      </c>
      <c r="EL148">
        <v>3500</v>
      </c>
      <c r="EM148">
        <v>37.065000000000005</v>
      </c>
      <c r="EN148">
        <v>660</v>
      </c>
      <c r="EO148">
        <v>660</v>
      </c>
      <c r="EP148">
        <v>660</v>
      </c>
      <c r="EQ148">
        <v>2000</v>
      </c>
      <c r="ER148">
        <v>21.18</v>
      </c>
      <c r="ES148">
        <v>0</v>
      </c>
      <c r="ET148">
        <v>0</v>
      </c>
      <c r="EU148">
        <v>0</v>
      </c>
      <c r="EV148">
        <v>0</v>
      </c>
      <c r="EW148">
        <v>0</v>
      </c>
      <c r="FA148">
        <v>0</v>
      </c>
      <c r="FE148">
        <v>0</v>
      </c>
      <c r="FI148">
        <v>0</v>
      </c>
      <c r="FJ148">
        <v>5441.7550000000001</v>
      </c>
      <c r="FK148">
        <v>34415</v>
      </c>
      <c r="FL148">
        <v>30254.840023390832</v>
      </c>
      <c r="FM148">
        <v>28973.244999999999</v>
      </c>
    </row>
    <row r="149" spans="1:169" x14ac:dyDescent="0.35">
      <c r="A149">
        <v>192374</v>
      </c>
      <c r="B149" t="s">
        <v>2570</v>
      </c>
      <c r="C149" t="s">
        <v>426</v>
      </c>
      <c r="D149" t="s">
        <v>2571</v>
      </c>
      <c r="E149" s="43" t="s">
        <v>2572</v>
      </c>
      <c r="F149">
        <v>1</v>
      </c>
      <c r="I149">
        <v>43804</v>
      </c>
      <c r="J149" t="s">
        <v>4240</v>
      </c>
      <c r="K149" t="s">
        <v>1715</v>
      </c>
      <c r="L149" s="43" t="s">
        <v>3204</v>
      </c>
      <c r="M149" t="s">
        <v>2573</v>
      </c>
      <c r="N149" s="43" t="s">
        <v>2574</v>
      </c>
      <c r="O149" s="43" t="s">
        <v>660</v>
      </c>
      <c r="P149" s="43" t="s">
        <v>596</v>
      </c>
      <c r="Q149" s="43" t="s">
        <v>2575</v>
      </c>
      <c r="S149">
        <v>44109</v>
      </c>
      <c r="T149" t="s">
        <v>311</v>
      </c>
      <c r="U149" t="s">
        <v>266</v>
      </c>
      <c r="V149" t="s">
        <v>267</v>
      </c>
      <c r="W149" t="s">
        <v>1718</v>
      </c>
      <c r="X149" t="s">
        <v>1719</v>
      </c>
      <c r="Y149">
        <v>8772802835</v>
      </c>
      <c r="Z149" t="s">
        <v>270</v>
      </c>
      <c r="AA149" t="s">
        <v>271</v>
      </c>
      <c r="AB149">
        <v>0</v>
      </c>
      <c r="AC149">
        <v>1280</v>
      </c>
      <c r="AD149">
        <v>124</v>
      </c>
      <c r="AE149" t="s">
        <v>301</v>
      </c>
      <c r="AF149">
        <v>1</v>
      </c>
      <c r="AG149" t="s">
        <v>275</v>
      </c>
      <c r="AH149">
        <v>119203</v>
      </c>
      <c r="AI149">
        <v>119203</v>
      </c>
      <c r="AJ149">
        <v>43783</v>
      </c>
      <c r="AK149" s="43" t="s">
        <v>3208</v>
      </c>
      <c r="AL149" s="43" t="s">
        <v>3209</v>
      </c>
      <c r="AO149" s="23"/>
      <c r="AP149" s="23"/>
      <c r="AQ149" s="23"/>
      <c r="BC149" t="s">
        <v>2018</v>
      </c>
      <c r="BD149" s="43" t="s">
        <v>2018</v>
      </c>
      <c r="BE149" s="43" t="s">
        <v>2018</v>
      </c>
      <c r="BF149" s="43" t="s">
        <v>2018</v>
      </c>
      <c r="BG149" s="43" t="s">
        <v>2018</v>
      </c>
      <c r="BH149" t="s">
        <v>2018</v>
      </c>
      <c r="BI149" s="43" t="s">
        <v>2018</v>
      </c>
      <c r="BJ149">
        <v>0</v>
      </c>
      <c r="BK149">
        <v>44109</v>
      </c>
      <c r="BL149">
        <v>44356</v>
      </c>
      <c r="BM149">
        <v>8505</v>
      </c>
      <c r="BN149">
        <v>8505</v>
      </c>
      <c r="BO149">
        <v>8505</v>
      </c>
      <c r="BP149">
        <v>25515</v>
      </c>
      <c r="BQ149">
        <v>3300</v>
      </c>
      <c r="BR149">
        <v>400</v>
      </c>
      <c r="BS149">
        <v>400</v>
      </c>
      <c r="BT149">
        <v>4100</v>
      </c>
      <c r="BU149">
        <v>2100</v>
      </c>
      <c r="BV149">
        <v>2100</v>
      </c>
      <c r="BW149">
        <v>2100</v>
      </c>
      <c r="BX149">
        <v>6300</v>
      </c>
      <c r="BY149">
        <v>1200</v>
      </c>
      <c r="BZ149">
        <v>1200</v>
      </c>
      <c r="CA149">
        <v>1200</v>
      </c>
      <c r="CB149">
        <v>3600</v>
      </c>
      <c r="CC149">
        <v>0</v>
      </c>
      <c r="CD149">
        <v>0</v>
      </c>
      <c r="CE149">
        <v>0</v>
      </c>
      <c r="CF149">
        <v>0</v>
      </c>
      <c r="CG149">
        <v>39515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1700</v>
      </c>
      <c r="CU149">
        <v>1700</v>
      </c>
      <c r="CV149">
        <v>1700</v>
      </c>
      <c r="CW149">
        <v>5100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5100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1814</v>
      </c>
      <c r="EO149">
        <v>1814</v>
      </c>
      <c r="EP149">
        <v>1814</v>
      </c>
      <c r="EQ149">
        <v>5500</v>
      </c>
      <c r="ER149">
        <v>58.245000000000005</v>
      </c>
      <c r="ES149">
        <v>0</v>
      </c>
      <c r="ET149">
        <v>0</v>
      </c>
      <c r="EU149">
        <v>0</v>
      </c>
      <c r="EV149">
        <v>0</v>
      </c>
      <c r="EW149">
        <v>0</v>
      </c>
      <c r="FA149">
        <v>0</v>
      </c>
      <c r="FE149">
        <v>0</v>
      </c>
      <c r="FI149">
        <v>0</v>
      </c>
      <c r="FJ149">
        <v>5441.7550000000001</v>
      </c>
      <c r="FK149">
        <v>34415</v>
      </c>
      <c r="FL149">
        <v>30254.840023390832</v>
      </c>
      <c r="FM149">
        <v>28973.244999999999</v>
      </c>
    </row>
    <row r="150" spans="1:169" x14ac:dyDescent="0.35">
      <c r="A150">
        <v>198199</v>
      </c>
      <c r="B150" t="s">
        <v>2576</v>
      </c>
      <c r="C150" t="s">
        <v>2577</v>
      </c>
      <c r="D150" t="s">
        <v>2578</v>
      </c>
      <c r="E150" s="43" t="s">
        <v>2579</v>
      </c>
      <c r="F150">
        <v>1</v>
      </c>
      <c r="G150">
        <v>43786</v>
      </c>
      <c r="H150">
        <v>43802</v>
      </c>
      <c r="I150">
        <v>43802</v>
      </c>
      <c r="J150" t="s">
        <v>3335</v>
      </c>
      <c r="K150" t="s">
        <v>1715</v>
      </c>
      <c r="L150" s="43" t="s">
        <v>3204</v>
      </c>
      <c r="M150" t="s">
        <v>2580</v>
      </c>
      <c r="N150" s="43" t="s">
        <v>2581</v>
      </c>
      <c r="O150" s="43" t="s">
        <v>2582</v>
      </c>
      <c r="P150" s="43" t="s">
        <v>705</v>
      </c>
      <c r="Q150" s="43" t="s">
        <v>2583</v>
      </c>
      <c r="S150">
        <v>44109</v>
      </c>
      <c r="T150" t="s">
        <v>265</v>
      </c>
      <c r="U150" t="s">
        <v>266</v>
      </c>
      <c r="V150" t="s">
        <v>267</v>
      </c>
      <c r="W150" t="s">
        <v>1718</v>
      </c>
      <c r="X150" t="s">
        <v>1719</v>
      </c>
      <c r="Y150">
        <v>8772802835</v>
      </c>
      <c r="Z150" t="s">
        <v>270</v>
      </c>
      <c r="AA150" t="s">
        <v>271</v>
      </c>
      <c r="AB150">
        <v>0</v>
      </c>
      <c r="AC150">
        <v>0</v>
      </c>
      <c r="AD150">
        <v>0</v>
      </c>
      <c r="AE150" t="s">
        <v>344</v>
      </c>
      <c r="AF150">
        <v>10</v>
      </c>
      <c r="AG150" t="s">
        <v>275</v>
      </c>
      <c r="AH150">
        <v>9275</v>
      </c>
      <c r="AI150">
        <v>9275</v>
      </c>
      <c r="AJ150">
        <v>43774</v>
      </c>
      <c r="AK150" s="43" t="s">
        <v>3208</v>
      </c>
      <c r="AL150" s="43" t="s">
        <v>3209</v>
      </c>
      <c r="AO150" s="23">
        <v>43786</v>
      </c>
      <c r="AP150" s="23"/>
      <c r="AQ150" s="23"/>
      <c r="BC150" t="s">
        <v>2018</v>
      </c>
      <c r="BD150" s="43" t="s">
        <v>2018</v>
      </c>
      <c r="BE150" s="43" t="s">
        <v>2018</v>
      </c>
      <c r="BF150" s="43" t="s">
        <v>2018</v>
      </c>
      <c r="BG150" s="43" t="s">
        <v>2018</v>
      </c>
      <c r="BH150" t="s">
        <v>2018</v>
      </c>
      <c r="BI150" s="43" t="s">
        <v>2018</v>
      </c>
      <c r="BJ150">
        <v>6.25E-2</v>
      </c>
      <c r="BK150">
        <v>44109</v>
      </c>
      <c r="BL150">
        <v>44356</v>
      </c>
      <c r="BM150">
        <v>8505</v>
      </c>
      <c r="BN150">
        <v>8505</v>
      </c>
      <c r="BO150">
        <v>8505</v>
      </c>
      <c r="BP150">
        <v>25515</v>
      </c>
      <c r="BQ150">
        <v>3300</v>
      </c>
      <c r="BR150">
        <v>400</v>
      </c>
      <c r="BS150">
        <v>400</v>
      </c>
      <c r="BT150">
        <v>4100</v>
      </c>
      <c r="BU150">
        <v>2100</v>
      </c>
      <c r="BV150">
        <v>2100</v>
      </c>
      <c r="BW150">
        <v>2100</v>
      </c>
      <c r="BX150">
        <v>6300</v>
      </c>
      <c r="BY150">
        <v>1200</v>
      </c>
      <c r="BZ150">
        <v>1200</v>
      </c>
      <c r="CA150">
        <v>1200</v>
      </c>
      <c r="CB150">
        <v>3600</v>
      </c>
      <c r="CC150">
        <v>0</v>
      </c>
      <c r="CD150">
        <v>0</v>
      </c>
      <c r="CE150">
        <v>0</v>
      </c>
      <c r="CF150">
        <v>0</v>
      </c>
      <c r="CG150">
        <v>39515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1154</v>
      </c>
      <c r="EJ150">
        <v>1154</v>
      </c>
      <c r="EK150">
        <v>1155</v>
      </c>
      <c r="EL150">
        <v>3500</v>
      </c>
      <c r="EM150">
        <v>37.065000000000005</v>
      </c>
      <c r="EN150">
        <v>660</v>
      </c>
      <c r="EO150">
        <v>660</v>
      </c>
      <c r="EP150">
        <v>660</v>
      </c>
      <c r="EQ150">
        <v>2000</v>
      </c>
      <c r="ER150">
        <v>21.18</v>
      </c>
      <c r="ES150">
        <v>0</v>
      </c>
      <c r="ET150">
        <v>0</v>
      </c>
      <c r="EU150">
        <v>0</v>
      </c>
      <c r="EV150">
        <v>0</v>
      </c>
      <c r="EW150">
        <v>0</v>
      </c>
      <c r="FA150">
        <v>0</v>
      </c>
      <c r="FE150">
        <v>0</v>
      </c>
      <c r="FI150">
        <v>0</v>
      </c>
      <c r="FJ150">
        <v>5441.7550000000001</v>
      </c>
      <c r="FK150">
        <v>39515</v>
      </c>
      <c r="FL150">
        <v>35580.43210392214</v>
      </c>
      <c r="FM150">
        <v>34073.245000000003</v>
      </c>
    </row>
    <row r="151" spans="1:169" x14ac:dyDescent="0.35">
      <c r="A151">
        <v>195908</v>
      </c>
      <c r="B151" t="s">
        <v>2584</v>
      </c>
      <c r="C151" t="s">
        <v>2585</v>
      </c>
      <c r="D151" t="s">
        <v>2586</v>
      </c>
      <c r="E151" s="43" t="s">
        <v>2587</v>
      </c>
      <c r="F151">
        <v>1</v>
      </c>
      <c r="I151">
        <v>43804</v>
      </c>
      <c r="J151" t="s">
        <v>4242</v>
      </c>
      <c r="K151" t="s">
        <v>1715</v>
      </c>
      <c r="L151" s="43" t="s">
        <v>259</v>
      </c>
      <c r="M151" t="s">
        <v>2588</v>
      </c>
      <c r="N151" s="43" t="s">
        <v>2589</v>
      </c>
      <c r="O151" s="43" t="s">
        <v>2590</v>
      </c>
      <c r="P151" s="43" t="s">
        <v>2591</v>
      </c>
      <c r="Q151" s="43" t="s">
        <v>2592</v>
      </c>
      <c r="S151">
        <v>44109</v>
      </c>
      <c r="T151" t="s">
        <v>311</v>
      </c>
      <c r="U151" t="s">
        <v>266</v>
      </c>
      <c r="V151" t="s">
        <v>267</v>
      </c>
      <c r="W151" t="s">
        <v>1718</v>
      </c>
      <c r="X151" t="s">
        <v>1719</v>
      </c>
      <c r="Y151">
        <v>8772802835</v>
      </c>
      <c r="Z151" t="s">
        <v>508</v>
      </c>
      <c r="AA151" t="s">
        <v>271</v>
      </c>
      <c r="AB151">
        <v>0</v>
      </c>
      <c r="AC151">
        <v>0</v>
      </c>
      <c r="AD151">
        <v>0</v>
      </c>
      <c r="AE151" t="s">
        <v>324</v>
      </c>
      <c r="AF151">
        <v>8</v>
      </c>
      <c r="AG151" t="s">
        <v>275</v>
      </c>
      <c r="AK151" s="43" t="s">
        <v>259</v>
      </c>
      <c r="AL151" s="43" t="s">
        <v>259</v>
      </c>
      <c r="AO151" s="23"/>
      <c r="AP151" s="23"/>
      <c r="AQ151" s="23"/>
      <c r="BC151" t="s">
        <v>259</v>
      </c>
      <c r="BD151" s="43" t="s">
        <v>259</v>
      </c>
      <c r="BE151" s="43" t="s">
        <v>259</v>
      </c>
      <c r="BF151" s="43" t="s">
        <v>259</v>
      </c>
      <c r="BG151" s="43" t="s">
        <v>259</v>
      </c>
      <c r="BH151" t="s">
        <v>259</v>
      </c>
      <c r="BI151" s="43" t="s">
        <v>259</v>
      </c>
      <c r="BJ151">
        <v>0</v>
      </c>
      <c r="BK151">
        <v>44109</v>
      </c>
      <c r="BL151">
        <v>44356</v>
      </c>
      <c r="BM151">
        <v>8505</v>
      </c>
      <c r="BN151">
        <v>8505</v>
      </c>
      <c r="BO151">
        <v>8505</v>
      </c>
      <c r="BP151">
        <v>25515</v>
      </c>
      <c r="BQ151">
        <v>3300</v>
      </c>
      <c r="BR151">
        <v>400</v>
      </c>
      <c r="BS151">
        <v>400</v>
      </c>
      <c r="BT151">
        <v>4100</v>
      </c>
      <c r="BU151">
        <v>2100</v>
      </c>
      <c r="BV151">
        <v>2100</v>
      </c>
      <c r="BW151">
        <v>2100</v>
      </c>
      <c r="BX151">
        <v>6300</v>
      </c>
      <c r="BY151">
        <v>1200</v>
      </c>
      <c r="BZ151">
        <v>1200</v>
      </c>
      <c r="CA151">
        <v>1200</v>
      </c>
      <c r="CB151">
        <v>3600</v>
      </c>
      <c r="CC151">
        <v>0</v>
      </c>
      <c r="CD151">
        <v>0</v>
      </c>
      <c r="CE151">
        <v>0</v>
      </c>
      <c r="CF151">
        <v>0</v>
      </c>
      <c r="CG151">
        <v>39515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1154</v>
      </c>
      <c r="EJ151">
        <v>1154</v>
      </c>
      <c r="EK151">
        <v>1155</v>
      </c>
      <c r="EL151">
        <v>3500</v>
      </c>
      <c r="EM151">
        <v>37.065000000000005</v>
      </c>
      <c r="EN151">
        <v>660</v>
      </c>
      <c r="EO151">
        <v>660</v>
      </c>
      <c r="EP151">
        <v>660</v>
      </c>
      <c r="EQ151">
        <v>2000</v>
      </c>
      <c r="ER151">
        <v>21.18</v>
      </c>
      <c r="ES151">
        <v>0</v>
      </c>
      <c r="ET151">
        <v>0</v>
      </c>
      <c r="EU151">
        <v>0</v>
      </c>
      <c r="EV151">
        <v>0</v>
      </c>
      <c r="EW151">
        <v>0</v>
      </c>
      <c r="FA151">
        <v>0</v>
      </c>
      <c r="FE151">
        <v>0</v>
      </c>
      <c r="FI151">
        <v>0</v>
      </c>
      <c r="FJ151">
        <v>5441.7550000000001</v>
      </c>
      <c r="FK151">
        <v>39515</v>
      </c>
      <c r="FL151">
        <v>35580.43210392214</v>
      </c>
      <c r="FM151">
        <v>34073.245000000003</v>
      </c>
    </row>
    <row r="152" spans="1:169" x14ac:dyDescent="0.35">
      <c r="A152">
        <v>193776</v>
      </c>
      <c r="B152" t="s">
        <v>4050</v>
      </c>
      <c r="C152" t="s">
        <v>3530</v>
      </c>
      <c r="D152" t="s">
        <v>4051</v>
      </c>
      <c r="E152" s="43" t="s">
        <v>4052</v>
      </c>
      <c r="F152">
        <v>1</v>
      </c>
      <c r="I152">
        <v>43802</v>
      </c>
      <c r="J152" t="s">
        <v>3304</v>
      </c>
      <c r="K152" t="s">
        <v>1715</v>
      </c>
      <c r="L152" s="43" t="s">
        <v>3204</v>
      </c>
      <c r="M152" t="s">
        <v>4053</v>
      </c>
      <c r="N152" s="43" t="s">
        <v>4054</v>
      </c>
      <c r="O152" s="43" t="s">
        <v>488</v>
      </c>
      <c r="P152" s="43" t="s">
        <v>372</v>
      </c>
      <c r="Q152" s="43" t="s">
        <v>4055</v>
      </c>
      <c r="S152">
        <v>44109</v>
      </c>
      <c r="T152" t="s">
        <v>311</v>
      </c>
      <c r="U152" t="s">
        <v>266</v>
      </c>
      <c r="V152" t="s">
        <v>267</v>
      </c>
      <c r="W152" t="s">
        <v>1718</v>
      </c>
      <c r="X152" t="s">
        <v>1719</v>
      </c>
      <c r="Y152">
        <v>8772802835</v>
      </c>
      <c r="Z152" t="s">
        <v>270</v>
      </c>
      <c r="AA152" t="s">
        <v>271</v>
      </c>
      <c r="AB152">
        <v>0</v>
      </c>
      <c r="AC152">
        <v>1070</v>
      </c>
      <c r="AD152">
        <v>106</v>
      </c>
      <c r="AE152" t="s">
        <v>289</v>
      </c>
      <c r="AF152">
        <v>2</v>
      </c>
      <c r="AG152" t="s">
        <v>3345</v>
      </c>
      <c r="AH152">
        <v>0</v>
      </c>
      <c r="AI152">
        <v>0</v>
      </c>
      <c r="AJ152">
        <v>43774</v>
      </c>
      <c r="AK152" s="43" t="s">
        <v>3208</v>
      </c>
      <c r="AL152" s="43" t="s">
        <v>3209</v>
      </c>
      <c r="AO152" s="23"/>
      <c r="AP152" s="23"/>
      <c r="AQ152" s="23"/>
      <c r="BC152" t="s">
        <v>2018</v>
      </c>
      <c r="BD152" s="43" t="s">
        <v>2018</v>
      </c>
      <c r="BE152" s="43" t="s">
        <v>2018</v>
      </c>
      <c r="BF152" s="43" t="s">
        <v>2018</v>
      </c>
      <c r="BG152" s="43" t="s">
        <v>2018</v>
      </c>
      <c r="BH152" t="s">
        <v>2018</v>
      </c>
      <c r="BI152" s="43" t="s">
        <v>2018</v>
      </c>
      <c r="BJ152">
        <v>0</v>
      </c>
      <c r="BK152">
        <v>44109</v>
      </c>
      <c r="BL152">
        <v>44356</v>
      </c>
      <c r="BM152">
        <v>8505</v>
      </c>
      <c r="BN152">
        <v>8505</v>
      </c>
      <c r="BO152">
        <v>8505</v>
      </c>
      <c r="BP152">
        <v>25515</v>
      </c>
      <c r="BQ152">
        <v>3300</v>
      </c>
      <c r="BR152">
        <v>400</v>
      </c>
      <c r="BS152">
        <v>400</v>
      </c>
      <c r="BT152">
        <v>4100</v>
      </c>
      <c r="BU152">
        <v>2100</v>
      </c>
      <c r="BV152">
        <v>2100</v>
      </c>
      <c r="BW152">
        <v>2100</v>
      </c>
      <c r="BX152">
        <v>6300</v>
      </c>
      <c r="BY152">
        <v>1200</v>
      </c>
      <c r="BZ152">
        <v>1200</v>
      </c>
      <c r="CA152">
        <v>1200</v>
      </c>
      <c r="CB152">
        <v>3600</v>
      </c>
      <c r="CC152">
        <v>0</v>
      </c>
      <c r="CD152">
        <v>0</v>
      </c>
      <c r="CE152">
        <v>0</v>
      </c>
      <c r="CF152">
        <v>0</v>
      </c>
      <c r="CG152">
        <v>39515</v>
      </c>
      <c r="CH152">
        <v>0</v>
      </c>
      <c r="CI152">
        <v>0</v>
      </c>
      <c r="CJ152">
        <v>0</v>
      </c>
      <c r="CK152">
        <v>0</v>
      </c>
      <c r="CL152">
        <v>2065</v>
      </c>
      <c r="CM152">
        <v>2065</v>
      </c>
      <c r="CN152">
        <v>2065</v>
      </c>
      <c r="CO152">
        <v>6195</v>
      </c>
      <c r="CP152">
        <v>500</v>
      </c>
      <c r="CQ152">
        <v>500</v>
      </c>
      <c r="CR152">
        <v>500</v>
      </c>
      <c r="CS152">
        <v>1500</v>
      </c>
      <c r="CT152">
        <v>1500</v>
      </c>
      <c r="CU152">
        <v>1500</v>
      </c>
      <c r="CV152">
        <v>1500</v>
      </c>
      <c r="CW152">
        <v>4500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12195</v>
      </c>
      <c r="EE152">
        <v>0</v>
      </c>
      <c r="EF152">
        <v>0</v>
      </c>
      <c r="EG152">
        <v>0</v>
      </c>
      <c r="EH152">
        <v>0</v>
      </c>
      <c r="EI152">
        <v>1154</v>
      </c>
      <c r="EJ152">
        <v>1154</v>
      </c>
      <c r="EK152">
        <v>1155</v>
      </c>
      <c r="EL152">
        <v>3500</v>
      </c>
      <c r="EM152">
        <v>37.065000000000005</v>
      </c>
      <c r="EN152">
        <v>660</v>
      </c>
      <c r="EO152">
        <v>660</v>
      </c>
      <c r="EP152">
        <v>660</v>
      </c>
      <c r="EQ152">
        <v>2000</v>
      </c>
      <c r="ER152">
        <v>21.18</v>
      </c>
      <c r="ES152">
        <v>0</v>
      </c>
      <c r="ET152">
        <v>0</v>
      </c>
      <c r="EU152">
        <v>0</v>
      </c>
      <c r="EV152">
        <v>0</v>
      </c>
      <c r="EW152">
        <v>0</v>
      </c>
      <c r="FA152">
        <v>0</v>
      </c>
      <c r="FE152">
        <v>0</v>
      </c>
      <c r="FI152">
        <v>0</v>
      </c>
      <c r="FJ152">
        <v>5441.7550000000001</v>
      </c>
      <c r="FK152">
        <v>27320</v>
      </c>
      <c r="FL152">
        <v>22846.001629004633</v>
      </c>
      <c r="FM152">
        <v>21878.244999999999</v>
      </c>
    </row>
    <row r="153" spans="1:169" x14ac:dyDescent="0.35">
      <c r="A153">
        <v>195111</v>
      </c>
      <c r="B153" t="s">
        <v>2599</v>
      </c>
      <c r="C153" t="s">
        <v>2600</v>
      </c>
      <c r="D153" t="s">
        <v>2601</v>
      </c>
      <c r="E153" s="43" t="s">
        <v>2602</v>
      </c>
      <c r="F153">
        <v>1</v>
      </c>
      <c r="I153">
        <v>43804</v>
      </c>
      <c r="J153" t="s">
        <v>4242</v>
      </c>
      <c r="K153" t="s">
        <v>1715</v>
      </c>
      <c r="L153" s="43" t="s">
        <v>259</v>
      </c>
      <c r="M153" t="s">
        <v>2603</v>
      </c>
      <c r="N153" s="43" t="s">
        <v>2604</v>
      </c>
      <c r="O153" s="43" t="s">
        <v>2605</v>
      </c>
      <c r="P153" s="43" t="s">
        <v>297</v>
      </c>
      <c r="Q153" s="43" t="s">
        <v>2606</v>
      </c>
      <c r="S153">
        <v>44109</v>
      </c>
      <c r="T153" t="s">
        <v>285</v>
      </c>
      <c r="U153" t="s">
        <v>266</v>
      </c>
      <c r="V153" t="s">
        <v>267</v>
      </c>
      <c r="W153" t="s">
        <v>1718</v>
      </c>
      <c r="X153" t="s">
        <v>1719</v>
      </c>
      <c r="Y153">
        <v>8772802835</v>
      </c>
      <c r="Z153" t="s">
        <v>270</v>
      </c>
      <c r="AA153" t="s">
        <v>271</v>
      </c>
      <c r="AB153">
        <v>19</v>
      </c>
      <c r="AC153">
        <v>0</v>
      </c>
      <c r="AD153">
        <v>0</v>
      </c>
      <c r="AE153" t="s">
        <v>289</v>
      </c>
      <c r="AF153">
        <v>2</v>
      </c>
      <c r="AG153" t="s">
        <v>275</v>
      </c>
      <c r="AK153" s="43" t="s">
        <v>259</v>
      </c>
      <c r="AL153" s="43" t="s">
        <v>259</v>
      </c>
      <c r="AO153" s="23"/>
      <c r="AP153" s="23"/>
      <c r="AQ153" s="23"/>
      <c r="BC153" t="s">
        <v>259</v>
      </c>
      <c r="BD153" s="43" t="s">
        <v>259</v>
      </c>
      <c r="BE153" s="43" t="s">
        <v>259</v>
      </c>
      <c r="BF153" s="43" t="s">
        <v>259</v>
      </c>
      <c r="BG153" s="43" t="s">
        <v>259</v>
      </c>
      <c r="BH153" t="s">
        <v>259</v>
      </c>
      <c r="BI153" s="43" t="s">
        <v>259</v>
      </c>
      <c r="BJ153">
        <v>0</v>
      </c>
      <c r="BK153">
        <v>44109</v>
      </c>
      <c r="BL153">
        <v>44356</v>
      </c>
      <c r="BM153">
        <v>8505</v>
      </c>
      <c r="BN153">
        <v>8505</v>
      </c>
      <c r="BO153">
        <v>8505</v>
      </c>
      <c r="BP153">
        <v>25515</v>
      </c>
      <c r="BQ153">
        <v>3300</v>
      </c>
      <c r="BR153">
        <v>400</v>
      </c>
      <c r="BS153">
        <v>400</v>
      </c>
      <c r="BT153">
        <v>4100</v>
      </c>
      <c r="BU153">
        <v>2100</v>
      </c>
      <c r="BV153">
        <v>2100</v>
      </c>
      <c r="BW153">
        <v>2100</v>
      </c>
      <c r="BX153">
        <v>6300</v>
      </c>
      <c r="BY153">
        <v>1200</v>
      </c>
      <c r="BZ153">
        <v>1200</v>
      </c>
      <c r="CA153">
        <v>1200</v>
      </c>
      <c r="CB153">
        <v>3600</v>
      </c>
      <c r="CC153">
        <v>0</v>
      </c>
      <c r="CD153">
        <v>0</v>
      </c>
      <c r="CE153">
        <v>0</v>
      </c>
      <c r="CF153">
        <v>0</v>
      </c>
      <c r="CG153">
        <v>39515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1500</v>
      </c>
      <c r="CU153">
        <v>1500</v>
      </c>
      <c r="CV153">
        <v>1500</v>
      </c>
      <c r="CW153">
        <v>4500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4500</v>
      </c>
      <c r="EE153">
        <v>0</v>
      </c>
      <c r="EF153">
        <v>0</v>
      </c>
      <c r="EG153">
        <v>0</v>
      </c>
      <c r="EH153">
        <v>0</v>
      </c>
      <c r="EI153">
        <v>1154</v>
      </c>
      <c r="EJ153">
        <v>1154</v>
      </c>
      <c r="EK153">
        <v>1155</v>
      </c>
      <c r="EL153">
        <v>3500</v>
      </c>
      <c r="EM153">
        <v>37.065000000000005</v>
      </c>
      <c r="EN153">
        <v>660</v>
      </c>
      <c r="EO153">
        <v>660</v>
      </c>
      <c r="EP153">
        <v>660</v>
      </c>
      <c r="EQ153">
        <v>2000</v>
      </c>
      <c r="ER153">
        <v>21.18</v>
      </c>
      <c r="ES153">
        <v>0</v>
      </c>
      <c r="ET153">
        <v>0</v>
      </c>
      <c r="EU153">
        <v>0</v>
      </c>
      <c r="EV153">
        <v>0</v>
      </c>
      <c r="EW153">
        <v>0</v>
      </c>
      <c r="FA153">
        <v>0</v>
      </c>
      <c r="FE153">
        <v>0</v>
      </c>
      <c r="FI153">
        <v>0</v>
      </c>
      <c r="FJ153">
        <v>5441.7550000000001</v>
      </c>
      <c r="FK153">
        <v>35015</v>
      </c>
      <c r="FL153">
        <v>30881.380268159221</v>
      </c>
      <c r="FM153">
        <v>29573.244999999999</v>
      </c>
    </row>
    <row r="154" spans="1:169" x14ac:dyDescent="0.35">
      <c r="A154">
        <v>198349</v>
      </c>
      <c r="B154" t="s">
        <v>2599</v>
      </c>
      <c r="C154" t="s">
        <v>2607</v>
      </c>
      <c r="D154" t="s">
        <v>2608</v>
      </c>
      <c r="E154" s="43" t="s">
        <v>2609</v>
      </c>
      <c r="F154">
        <v>1</v>
      </c>
      <c r="I154">
        <v>43804</v>
      </c>
      <c r="J154" t="s">
        <v>4252</v>
      </c>
      <c r="K154" t="s">
        <v>1715</v>
      </c>
      <c r="L154" s="43" t="s">
        <v>301</v>
      </c>
      <c r="M154" t="s">
        <v>2610</v>
      </c>
      <c r="N154" s="43" t="s">
        <v>2611</v>
      </c>
      <c r="O154" s="43" t="s">
        <v>2612</v>
      </c>
      <c r="P154" s="43" t="s">
        <v>1046</v>
      </c>
      <c r="Q154" s="43" t="s">
        <v>2613</v>
      </c>
      <c r="S154">
        <v>44109</v>
      </c>
      <c r="T154" t="s">
        <v>265</v>
      </c>
      <c r="U154" t="s">
        <v>266</v>
      </c>
      <c r="V154" t="s">
        <v>267</v>
      </c>
      <c r="W154" t="s">
        <v>1718</v>
      </c>
      <c r="X154" t="s">
        <v>1719</v>
      </c>
      <c r="Y154">
        <v>8772802835</v>
      </c>
      <c r="Z154" t="s">
        <v>270</v>
      </c>
      <c r="AA154" t="s">
        <v>271</v>
      </c>
      <c r="AB154">
        <v>22</v>
      </c>
      <c r="AC154">
        <v>0</v>
      </c>
      <c r="AD154">
        <v>99</v>
      </c>
      <c r="AE154" t="s">
        <v>445</v>
      </c>
      <c r="AF154">
        <v>4</v>
      </c>
      <c r="AG154" t="s">
        <v>275</v>
      </c>
      <c r="AH154">
        <v>0</v>
      </c>
      <c r="AI154">
        <v>0</v>
      </c>
      <c r="AJ154">
        <v>43774</v>
      </c>
      <c r="AK154" s="43" t="s">
        <v>1715</v>
      </c>
      <c r="AL154" s="43" t="s">
        <v>259</v>
      </c>
      <c r="AO154" s="23"/>
      <c r="AP154" s="23"/>
      <c r="AQ154" s="23"/>
      <c r="BC154" t="s">
        <v>259</v>
      </c>
      <c r="BD154" s="43" t="s">
        <v>259</v>
      </c>
      <c r="BE154" s="43" t="s">
        <v>259</v>
      </c>
      <c r="BF154" s="43" t="s">
        <v>259</v>
      </c>
      <c r="BG154" s="43" t="s">
        <v>259</v>
      </c>
      <c r="BH154" t="s">
        <v>259</v>
      </c>
      <c r="BI154" s="43" t="s">
        <v>259</v>
      </c>
      <c r="BJ154">
        <v>0</v>
      </c>
      <c r="BK154">
        <v>44109</v>
      </c>
      <c r="BL154">
        <v>44356</v>
      </c>
      <c r="BM154">
        <v>8505</v>
      </c>
      <c r="BN154">
        <v>8505</v>
      </c>
      <c r="BO154">
        <v>8505</v>
      </c>
      <c r="BP154">
        <v>25515</v>
      </c>
      <c r="BQ154">
        <v>3300</v>
      </c>
      <c r="BR154">
        <v>400</v>
      </c>
      <c r="BS154">
        <v>400</v>
      </c>
      <c r="BT154">
        <v>4100</v>
      </c>
      <c r="BU154">
        <v>2100</v>
      </c>
      <c r="BV154">
        <v>2100</v>
      </c>
      <c r="BW154">
        <v>2100</v>
      </c>
      <c r="BX154">
        <v>6300</v>
      </c>
      <c r="BY154">
        <v>1200</v>
      </c>
      <c r="BZ154">
        <v>1200</v>
      </c>
      <c r="CA154">
        <v>1200</v>
      </c>
      <c r="CB154">
        <v>3600</v>
      </c>
      <c r="CC154">
        <v>0</v>
      </c>
      <c r="CD154">
        <v>0</v>
      </c>
      <c r="CE154">
        <v>0</v>
      </c>
      <c r="CF154">
        <v>0</v>
      </c>
      <c r="CG154">
        <v>39515</v>
      </c>
      <c r="CH154">
        <v>0</v>
      </c>
      <c r="CI154">
        <v>0</v>
      </c>
      <c r="CJ154">
        <v>0</v>
      </c>
      <c r="CK154">
        <v>0</v>
      </c>
      <c r="CL154">
        <v>2065</v>
      </c>
      <c r="CM154">
        <v>2065</v>
      </c>
      <c r="CN154">
        <v>2065</v>
      </c>
      <c r="CO154">
        <v>6195</v>
      </c>
      <c r="CP154">
        <v>500</v>
      </c>
      <c r="CQ154">
        <v>500</v>
      </c>
      <c r="CR154">
        <v>500</v>
      </c>
      <c r="CS154">
        <v>1500</v>
      </c>
      <c r="CT154">
        <v>1250</v>
      </c>
      <c r="CU154">
        <v>1250</v>
      </c>
      <c r="CV154">
        <v>1250</v>
      </c>
      <c r="CW154">
        <v>3750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11445</v>
      </c>
      <c r="EE154">
        <v>0</v>
      </c>
      <c r="EF154">
        <v>0</v>
      </c>
      <c r="EG154">
        <v>0</v>
      </c>
      <c r="EH154">
        <v>0</v>
      </c>
      <c r="EI154">
        <v>1154</v>
      </c>
      <c r="EJ154">
        <v>1154</v>
      </c>
      <c r="EK154">
        <v>1155</v>
      </c>
      <c r="EL154">
        <v>3500</v>
      </c>
      <c r="EM154">
        <v>37.065000000000005</v>
      </c>
      <c r="EN154">
        <v>1979</v>
      </c>
      <c r="EO154">
        <v>1979</v>
      </c>
      <c r="EP154">
        <v>1979</v>
      </c>
      <c r="EQ154">
        <v>6000</v>
      </c>
      <c r="ER154">
        <v>63.540000000000006</v>
      </c>
      <c r="ES154">
        <v>0</v>
      </c>
      <c r="ET154">
        <v>0</v>
      </c>
      <c r="EU154">
        <v>0</v>
      </c>
      <c r="EV154">
        <v>0</v>
      </c>
      <c r="EW154">
        <v>0</v>
      </c>
      <c r="FA154">
        <v>0</v>
      </c>
      <c r="FE154">
        <v>0</v>
      </c>
      <c r="FI154">
        <v>0</v>
      </c>
      <c r="FJ154">
        <v>9399.3950000000004</v>
      </c>
      <c r="FK154">
        <v>28070</v>
      </c>
      <c r="FL154">
        <v>19496.475711123177</v>
      </c>
      <c r="FM154">
        <v>18670.605</v>
      </c>
    </row>
    <row r="155" spans="1:169" x14ac:dyDescent="0.35">
      <c r="A155">
        <v>192082</v>
      </c>
      <c r="B155" t="s">
        <v>3694</v>
      </c>
      <c r="C155" t="s">
        <v>547</v>
      </c>
      <c r="D155" t="s">
        <v>3695</v>
      </c>
      <c r="E155" s="43" t="s">
        <v>3696</v>
      </c>
      <c r="F155">
        <v>1</v>
      </c>
      <c r="I155">
        <v>43802</v>
      </c>
      <c r="J155" t="s">
        <v>4246</v>
      </c>
      <c r="K155" t="s">
        <v>1715</v>
      </c>
      <c r="L155" s="43" t="s">
        <v>3204</v>
      </c>
      <c r="M155" t="s">
        <v>3697</v>
      </c>
      <c r="N155" s="43" t="s">
        <v>3698</v>
      </c>
      <c r="O155" s="43" t="s">
        <v>3699</v>
      </c>
      <c r="P155" s="43" t="s">
        <v>372</v>
      </c>
      <c r="Q155" s="43" t="s">
        <v>3700</v>
      </c>
      <c r="S155">
        <v>44109</v>
      </c>
      <c r="T155" t="s">
        <v>265</v>
      </c>
      <c r="U155" t="s">
        <v>266</v>
      </c>
      <c r="V155" t="s">
        <v>267</v>
      </c>
      <c r="W155" t="s">
        <v>1718</v>
      </c>
      <c r="X155" t="s">
        <v>1719</v>
      </c>
      <c r="Y155">
        <v>8772802835</v>
      </c>
      <c r="Z155" t="s">
        <v>270</v>
      </c>
      <c r="AA155" t="s">
        <v>271</v>
      </c>
      <c r="AB155">
        <v>0</v>
      </c>
      <c r="AC155">
        <v>0</v>
      </c>
      <c r="AD155">
        <v>0</v>
      </c>
      <c r="AE155" t="s">
        <v>445</v>
      </c>
      <c r="AF155">
        <v>4</v>
      </c>
      <c r="AG155" t="s">
        <v>3345</v>
      </c>
      <c r="AH155">
        <v>25977</v>
      </c>
      <c r="AI155">
        <v>25977</v>
      </c>
      <c r="AJ155">
        <v>43776</v>
      </c>
      <c r="AK155" s="43" t="s">
        <v>3208</v>
      </c>
      <c r="AL155" s="43" t="s">
        <v>3209</v>
      </c>
      <c r="AO155" s="23"/>
      <c r="AP155" s="23"/>
      <c r="AQ155" s="23"/>
      <c r="BC155" t="s">
        <v>2018</v>
      </c>
      <c r="BD155" s="43" t="s">
        <v>2018</v>
      </c>
      <c r="BE155" s="43" t="s">
        <v>2018</v>
      </c>
      <c r="BF155" s="43" t="s">
        <v>2018</v>
      </c>
      <c r="BG155" s="43" t="s">
        <v>2018</v>
      </c>
      <c r="BH155" t="s">
        <v>2018</v>
      </c>
      <c r="BI155" s="43" t="s">
        <v>2018</v>
      </c>
      <c r="BJ155">
        <v>0</v>
      </c>
      <c r="BK155">
        <v>44109</v>
      </c>
      <c r="BL155">
        <v>44356</v>
      </c>
      <c r="BM155">
        <v>8505</v>
      </c>
      <c r="BN155">
        <v>8505</v>
      </c>
      <c r="BO155">
        <v>8505</v>
      </c>
      <c r="BP155">
        <v>25515</v>
      </c>
      <c r="BQ155">
        <v>3300</v>
      </c>
      <c r="BR155">
        <v>400</v>
      </c>
      <c r="BS155">
        <v>400</v>
      </c>
      <c r="BT155">
        <v>4100</v>
      </c>
      <c r="BU155">
        <v>2100</v>
      </c>
      <c r="BV155">
        <v>2100</v>
      </c>
      <c r="BW155">
        <v>2100</v>
      </c>
      <c r="BX155">
        <v>6300</v>
      </c>
      <c r="BY155">
        <v>1200</v>
      </c>
      <c r="BZ155">
        <v>1200</v>
      </c>
      <c r="CA155">
        <v>1200</v>
      </c>
      <c r="CB155">
        <v>3600</v>
      </c>
      <c r="CC155">
        <v>0</v>
      </c>
      <c r="CD155">
        <v>0</v>
      </c>
      <c r="CE155">
        <v>0</v>
      </c>
      <c r="CF155">
        <v>0</v>
      </c>
      <c r="CG155">
        <v>39515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1250</v>
      </c>
      <c r="CU155">
        <v>1250</v>
      </c>
      <c r="CV155">
        <v>1250</v>
      </c>
      <c r="CW155">
        <v>3750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3750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M155">
        <v>0</v>
      </c>
      <c r="EN155">
        <v>660</v>
      </c>
      <c r="EO155">
        <v>660</v>
      </c>
      <c r="EP155">
        <v>660</v>
      </c>
      <c r="EQ155">
        <v>2000</v>
      </c>
      <c r="ER155">
        <v>21.18</v>
      </c>
      <c r="ES155">
        <v>0</v>
      </c>
      <c r="ET155">
        <v>0</v>
      </c>
      <c r="EU155">
        <v>0</v>
      </c>
      <c r="EW155">
        <v>0</v>
      </c>
      <c r="FA155">
        <v>0</v>
      </c>
      <c r="FE155">
        <v>0</v>
      </c>
      <c r="FI155">
        <v>0</v>
      </c>
      <c r="FJ155">
        <v>1978.82</v>
      </c>
      <c r="FK155">
        <v>35765</v>
      </c>
      <c r="FL155">
        <v>35280.66914498141</v>
      </c>
      <c r="FM155">
        <v>33786.18</v>
      </c>
    </row>
    <row r="156" spans="1:169" x14ac:dyDescent="0.35">
      <c r="A156">
        <v>198605</v>
      </c>
      <c r="B156" t="s">
        <v>2614</v>
      </c>
      <c r="C156" t="s">
        <v>2615</v>
      </c>
      <c r="D156" t="s">
        <v>2616</v>
      </c>
      <c r="E156" s="43" t="s">
        <v>2617</v>
      </c>
      <c r="F156">
        <v>1</v>
      </c>
      <c r="I156">
        <v>43804</v>
      </c>
      <c r="J156" t="s">
        <v>4242</v>
      </c>
      <c r="K156" t="s">
        <v>1715</v>
      </c>
      <c r="L156" s="43" t="s">
        <v>259</v>
      </c>
      <c r="M156" t="s">
        <v>2618</v>
      </c>
      <c r="N156" s="43" t="s">
        <v>2619</v>
      </c>
      <c r="O156" s="43" t="s">
        <v>2620</v>
      </c>
      <c r="P156" s="43" t="s">
        <v>705</v>
      </c>
      <c r="Q156" s="43" t="s">
        <v>2621</v>
      </c>
      <c r="S156">
        <v>44109</v>
      </c>
      <c r="T156" t="s">
        <v>311</v>
      </c>
      <c r="U156" t="s">
        <v>266</v>
      </c>
      <c r="V156" t="s">
        <v>267</v>
      </c>
      <c r="W156" t="s">
        <v>1718</v>
      </c>
      <c r="X156" t="s">
        <v>1719</v>
      </c>
      <c r="Y156">
        <v>8772802835</v>
      </c>
      <c r="Z156" t="s">
        <v>270</v>
      </c>
      <c r="AA156" t="s">
        <v>271</v>
      </c>
      <c r="AB156">
        <v>0</v>
      </c>
      <c r="AC156">
        <v>0</v>
      </c>
      <c r="AD156">
        <v>0</v>
      </c>
      <c r="AE156" t="s">
        <v>416</v>
      </c>
      <c r="AF156">
        <v>5</v>
      </c>
      <c r="AG156" t="s">
        <v>275</v>
      </c>
      <c r="AK156" s="43" t="s">
        <v>259</v>
      </c>
      <c r="AL156" s="43" t="s">
        <v>259</v>
      </c>
      <c r="AO156" s="23"/>
      <c r="AP156" s="23"/>
      <c r="AQ156" s="23"/>
      <c r="BC156" t="s">
        <v>259</v>
      </c>
      <c r="BD156" s="43" t="s">
        <v>259</v>
      </c>
      <c r="BE156" s="43" t="s">
        <v>259</v>
      </c>
      <c r="BF156" s="43" t="s">
        <v>259</v>
      </c>
      <c r="BG156" s="43" t="s">
        <v>259</v>
      </c>
      <c r="BH156" t="s">
        <v>259</v>
      </c>
      <c r="BI156" s="43" t="s">
        <v>259</v>
      </c>
      <c r="BJ156">
        <v>0</v>
      </c>
      <c r="BK156">
        <v>44109</v>
      </c>
      <c r="BL156">
        <v>44356</v>
      </c>
      <c r="BM156">
        <v>8505</v>
      </c>
      <c r="BN156">
        <v>8505</v>
      </c>
      <c r="BO156">
        <v>8505</v>
      </c>
      <c r="BP156">
        <v>25515</v>
      </c>
      <c r="BQ156">
        <v>3300</v>
      </c>
      <c r="BR156">
        <v>400</v>
      </c>
      <c r="BS156">
        <v>400</v>
      </c>
      <c r="BT156">
        <v>4100</v>
      </c>
      <c r="BU156">
        <v>2100</v>
      </c>
      <c r="BV156">
        <v>2100</v>
      </c>
      <c r="BW156">
        <v>2100</v>
      </c>
      <c r="BX156">
        <v>6300</v>
      </c>
      <c r="BY156">
        <v>1200</v>
      </c>
      <c r="BZ156">
        <v>1200</v>
      </c>
      <c r="CA156">
        <v>1200</v>
      </c>
      <c r="CB156">
        <v>3600</v>
      </c>
      <c r="CC156">
        <v>0</v>
      </c>
      <c r="CD156">
        <v>0</v>
      </c>
      <c r="CE156">
        <v>0</v>
      </c>
      <c r="CF156">
        <v>0</v>
      </c>
      <c r="CG156">
        <v>39515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1000</v>
      </c>
      <c r="CU156">
        <v>1000</v>
      </c>
      <c r="CV156">
        <v>1000</v>
      </c>
      <c r="CW156">
        <v>3000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3000</v>
      </c>
      <c r="EE156">
        <v>0</v>
      </c>
      <c r="EF156">
        <v>0</v>
      </c>
      <c r="EG156">
        <v>0</v>
      </c>
      <c r="EH156">
        <v>0</v>
      </c>
      <c r="EI156">
        <v>1154</v>
      </c>
      <c r="EJ156">
        <v>1154</v>
      </c>
      <c r="EK156">
        <v>1155</v>
      </c>
      <c r="EL156">
        <v>3500</v>
      </c>
      <c r="EM156">
        <v>37.065000000000005</v>
      </c>
      <c r="EN156">
        <v>660</v>
      </c>
      <c r="EO156">
        <v>660</v>
      </c>
      <c r="EP156">
        <v>660</v>
      </c>
      <c r="EQ156">
        <v>2000</v>
      </c>
      <c r="ER156">
        <v>21.18</v>
      </c>
      <c r="ES156">
        <v>0</v>
      </c>
      <c r="ET156">
        <v>0</v>
      </c>
      <c r="EU156">
        <v>0</v>
      </c>
      <c r="EV156">
        <v>0</v>
      </c>
      <c r="EW156">
        <v>0</v>
      </c>
      <c r="FA156">
        <v>0</v>
      </c>
      <c r="FE156">
        <v>0</v>
      </c>
      <c r="FI156">
        <v>0</v>
      </c>
      <c r="FJ156">
        <v>5441.7550000000001</v>
      </c>
      <c r="FK156">
        <v>36515</v>
      </c>
      <c r="FL156">
        <v>32447.730880080198</v>
      </c>
      <c r="FM156">
        <v>31073.245000000003</v>
      </c>
    </row>
    <row r="157" spans="1:169" x14ac:dyDescent="0.35">
      <c r="A157">
        <v>194998</v>
      </c>
      <c r="B157" t="s">
        <v>2622</v>
      </c>
      <c r="C157" t="s">
        <v>2623</v>
      </c>
      <c r="D157" t="s">
        <v>2624</v>
      </c>
      <c r="E157" s="43" t="s">
        <v>2625</v>
      </c>
      <c r="F157">
        <v>1</v>
      </c>
      <c r="G157">
        <v>43803</v>
      </c>
      <c r="H157">
        <v>43804</v>
      </c>
      <c r="I157">
        <v>43804</v>
      </c>
      <c r="J157" t="s">
        <v>4234</v>
      </c>
      <c r="K157" t="s">
        <v>1715</v>
      </c>
      <c r="L157" s="43" t="s">
        <v>3204</v>
      </c>
      <c r="M157" t="s">
        <v>2626</v>
      </c>
      <c r="N157" s="43" t="s">
        <v>2627</v>
      </c>
      <c r="O157" s="43" t="s">
        <v>2628</v>
      </c>
      <c r="P157" s="43" t="s">
        <v>524</v>
      </c>
      <c r="Q157" s="43" t="s">
        <v>2629</v>
      </c>
      <c r="S157">
        <v>44109</v>
      </c>
      <c r="T157" t="s">
        <v>265</v>
      </c>
      <c r="U157" t="s">
        <v>286</v>
      </c>
      <c r="V157" t="s">
        <v>267</v>
      </c>
      <c r="W157" t="s">
        <v>1718</v>
      </c>
      <c r="X157" t="s">
        <v>1719</v>
      </c>
      <c r="Y157">
        <v>8772802835</v>
      </c>
      <c r="Z157" t="s">
        <v>270</v>
      </c>
      <c r="AA157" t="s">
        <v>271</v>
      </c>
      <c r="AB157">
        <v>27</v>
      </c>
      <c r="AC157">
        <v>0</v>
      </c>
      <c r="AD157">
        <v>126</v>
      </c>
      <c r="AE157" t="s">
        <v>301</v>
      </c>
      <c r="AF157">
        <v>1</v>
      </c>
      <c r="AG157" t="s">
        <v>275</v>
      </c>
      <c r="AH157">
        <v>34488</v>
      </c>
      <c r="AI157">
        <v>34488</v>
      </c>
      <c r="AJ157">
        <v>43774</v>
      </c>
      <c r="AK157" s="43" t="s">
        <v>1715</v>
      </c>
      <c r="AL157" s="43" t="s">
        <v>259</v>
      </c>
      <c r="AO157" s="23">
        <v>43803</v>
      </c>
      <c r="AP157" s="23"/>
      <c r="AQ157" s="23"/>
      <c r="BC157" t="s">
        <v>259</v>
      </c>
      <c r="BD157" s="43" t="s">
        <v>259</v>
      </c>
      <c r="BE157" s="43" t="s">
        <v>259</v>
      </c>
      <c r="BF157" s="43" t="s">
        <v>2018</v>
      </c>
      <c r="BG157" s="43" t="s">
        <v>2018</v>
      </c>
      <c r="BH157">
        <v>43766</v>
      </c>
      <c r="BI157" s="43" t="s">
        <v>2018</v>
      </c>
      <c r="BJ157">
        <v>9.9999999999999978E-2</v>
      </c>
      <c r="BK157">
        <v>44109</v>
      </c>
      <c r="BL157">
        <v>44356</v>
      </c>
      <c r="BM157">
        <v>8505</v>
      </c>
      <c r="BN157">
        <v>8505</v>
      </c>
      <c r="BO157">
        <v>8505</v>
      </c>
      <c r="BP157">
        <v>25515</v>
      </c>
      <c r="BQ157">
        <v>3300</v>
      </c>
      <c r="BR157">
        <v>400</v>
      </c>
      <c r="BS157">
        <v>400</v>
      </c>
      <c r="BT157">
        <v>4100</v>
      </c>
      <c r="BU157">
        <v>2100</v>
      </c>
      <c r="BV157">
        <v>2100</v>
      </c>
      <c r="BW157">
        <v>2100</v>
      </c>
      <c r="BX157">
        <v>6300</v>
      </c>
      <c r="BY157">
        <v>1200</v>
      </c>
      <c r="BZ157">
        <v>1200</v>
      </c>
      <c r="CA157">
        <v>1200</v>
      </c>
      <c r="CB157">
        <v>3600</v>
      </c>
      <c r="CC157">
        <v>0</v>
      </c>
      <c r="CD157">
        <v>0</v>
      </c>
      <c r="CE157">
        <v>0</v>
      </c>
      <c r="CF157">
        <v>0</v>
      </c>
      <c r="CG157">
        <v>39515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1700</v>
      </c>
      <c r="CU157">
        <v>1700</v>
      </c>
      <c r="CV157">
        <v>1700</v>
      </c>
      <c r="CW157">
        <v>5100</v>
      </c>
      <c r="CX157">
        <v>0</v>
      </c>
      <c r="CY157">
        <v>0</v>
      </c>
      <c r="CZ157">
        <v>0</v>
      </c>
      <c r="DA157">
        <v>0</v>
      </c>
      <c r="DB157">
        <v>1000</v>
      </c>
      <c r="DC157">
        <v>1000</v>
      </c>
      <c r="DD157">
        <v>1000</v>
      </c>
      <c r="DE157">
        <v>3000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8100</v>
      </c>
      <c r="EE157">
        <v>0</v>
      </c>
      <c r="EF157">
        <v>0</v>
      </c>
      <c r="EG157">
        <v>0</v>
      </c>
      <c r="EH157">
        <v>0</v>
      </c>
      <c r="EI157">
        <v>1154</v>
      </c>
      <c r="EJ157">
        <v>1154</v>
      </c>
      <c r="EK157">
        <v>1155</v>
      </c>
      <c r="EL157">
        <v>3500</v>
      </c>
      <c r="EM157">
        <v>37.065000000000005</v>
      </c>
      <c r="EN157">
        <v>660</v>
      </c>
      <c r="EO157">
        <v>660</v>
      </c>
      <c r="EP157">
        <v>660</v>
      </c>
      <c r="EQ157">
        <v>2000</v>
      </c>
      <c r="ER157">
        <v>21.18</v>
      </c>
      <c r="ES157">
        <v>0</v>
      </c>
      <c r="ET157">
        <v>0</v>
      </c>
      <c r="EU157">
        <v>0</v>
      </c>
      <c r="EV157">
        <v>0</v>
      </c>
      <c r="EW157">
        <v>0</v>
      </c>
      <c r="FA157">
        <v>0</v>
      </c>
      <c r="FE157">
        <v>0</v>
      </c>
      <c r="FI157">
        <v>0</v>
      </c>
      <c r="FJ157">
        <v>5441.7550000000001</v>
      </c>
      <c r="FK157">
        <v>31415</v>
      </c>
      <c r="FL157">
        <v>27122.138799548888</v>
      </c>
      <c r="FM157">
        <v>25973.244999999999</v>
      </c>
    </row>
    <row r="158" spans="1:169" x14ac:dyDescent="0.35">
      <c r="A158">
        <v>196545</v>
      </c>
      <c r="B158" t="s">
        <v>2630</v>
      </c>
      <c r="C158" t="s">
        <v>406</v>
      </c>
      <c r="D158" t="s">
        <v>3701</v>
      </c>
      <c r="E158" s="43" t="s">
        <v>3702</v>
      </c>
      <c r="F158">
        <v>1</v>
      </c>
      <c r="I158">
        <v>43804</v>
      </c>
      <c r="J158" t="s">
        <v>4242</v>
      </c>
      <c r="K158" t="s">
        <v>1715</v>
      </c>
      <c r="L158" s="43" t="s">
        <v>259</v>
      </c>
      <c r="M158" t="s">
        <v>3703</v>
      </c>
      <c r="N158" s="43" t="s">
        <v>3704</v>
      </c>
      <c r="O158" s="43" t="s">
        <v>3705</v>
      </c>
      <c r="P158" s="43" t="s">
        <v>297</v>
      </c>
      <c r="Q158" s="43" t="s">
        <v>3706</v>
      </c>
      <c r="S158">
        <v>44109</v>
      </c>
      <c r="T158" t="s">
        <v>285</v>
      </c>
      <c r="U158" t="s">
        <v>266</v>
      </c>
      <c r="V158" t="s">
        <v>267</v>
      </c>
      <c r="W158" t="s">
        <v>1718</v>
      </c>
      <c r="X158" t="s">
        <v>1719</v>
      </c>
      <c r="Y158">
        <v>8772802835</v>
      </c>
      <c r="Z158" t="s">
        <v>270</v>
      </c>
      <c r="AA158" t="s">
        <v>271</v>
      </c>
      <c r="AB158">
        <v>0</v>
      </c>
      <c r="AC158">
        <v>0</v>
      </c>
      <c r="AD158">
        <v>0</v>
      </c>
      <c r="AE158" t="s">
        <v>301</v>
      </c>
      <c r="AF158">
        <v>1</v>
      </c>
      <c r="AG158" t="s">
        <v>3345</v>
      </c>
      <c r="AK158" s="43" t="s">
        <v>259</v>
      </c>
      <c r="AL158" s="43" t="s">
        <v>259</v>
      </c>
      <c r="AO158" s="23"/>
      <c r="AP158" s="23"/>
      <c r="AQ158" s="23"/>
      <c r="BC158" t="s">
        <v>259</v>
      </c>
      <c r="BD158" s="43" t="s">
        <v>259</v>
      </c>
      <c r="BE158" s="43" t="s">
        <v>259</v>
      </c>
      <c r="BF158" s="43" t="s">
        <v>259</v>
      </c>
      <c r="BG158" s="43" t="s">
        <v>259</v>
      </c>
      <c r="BH158" t="s">
        <v>259</v>
      </c>
      <c r="BI158" s="43" t="s">
        <v>259</v>
      </c>
      <c r="BJ158">
        <v>0</v>
      </c>
      <c r="BK158">
        <v>44109</v>
      </c>
      <c r="BL158">
        <v>44356</v>
      </c>
      <c r="BM158">
        <v>8505</v>
      </c>
      <c r="BN158">
        <v>8505</v>
      </c>
      <c r="BO158">
        <v>8505</v>
      </c>
      <c r="BP158">
        <v>25515</v>
      </c>
      <c r="BQ158">
        <v>3300</v>
      </c>
      <c r="BR158">
        <v>400</v>
      </c>
      <c r="BS158">
        <v>400</v>
      </c>
      <c r="BT158">
        <v>4100</v>
      </c>
      <c r="BU158">
        <v>2100</v>
      </c>
      <c r="BV158">
        <v>2100</v>
      </c>
      <c r="BW158">
        <v>2100</v>
      </c>
      <c r="BX158">
        <v>6300</v>
      </c>
      <c r="BY158">
        <v>1200</v>
      </c>
      <c r="BZ158">
        <v>1200</v>
      </c>
      <c r="CA158">
        <v>1200</v>
      </c>
      <c r="CB158">
        <v>3600</v>
      </c>
      <c r="CC158">
        <v>0</v>
      </c>
      <c r="CD158">
        <v>0</v>
      </c>
      <c r="CE158">
        <v>0</v>
      </c>
      <c r="CF158">
        <v>0</v>
      </c>
      <c r="CG158">
        <v>39515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1700</v>
      </c>
      <c r="CU158">
        <v>1700</v>
      </c>
      <c r="CV158">
        <v>1700</v>
      </c>
      <c r="CW158">
        <v>5100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5100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M158">
        <v>0</v>
      </c>
      <c r="EN158">
        <v>660</v>
      </c>
      <c r="EO158">
        <v>660</v>
      </c>
      <c r="EP158">
        <v>660</v>
      </c>
      <c r="EQ158">
        <v>2000</v>
      </c>
      <c r="ER158">
        <v>21.18</v>
      </c>
      <c r="ES158">
        <v>0</v>
      </c>
      <c r="ET158">
        <v>0</v>
      </c>
      <c r="EU158">
        <v>0</v>
      </c>
      <c r="EW158">
        <v>0</v>
      </c>
      <c r="FA158">
        <v>0</v>
      </c>
      <c r="FE158">
        <v>0</v>
      </c>
      <c r="FI158">
        <v>0</v>
      </c>
      <c r="FJ158">
        <v>1978.82</v>
      </c>
      <c r="FK158">
        <v>34415</v>
      </c>
      <c r="FL158">
        <v>33870.953594252533</v>
      </c>
      <c r="FM158">
        <v>32436.18</v>
      </c>
    </row>
    <row r="159" spans="1:169" x14ac:dyDescent="0.35">
      <c r="A159">
        <v>198142</v>
      </c>
      <c r="B159" t="s">
        <v>2630</v>
      </c>
      <c r="C159" t="s">
        <v>2505</v>
      </c>
      <c r="D159" t="s">
        <v>2631</v>
      </c>
      <c r="E159" s="43" t="s">
        <v>2632</v>
      </c>
      <c r="F159">
        <v>1</v>
      </c>
      <c r="I159">
        <v>43804</v>
      </c>
      <c r="J159" t="s">
        <v>4240</v>
      </c>
      <c r="K159" t="s">
        <v>1715</v>
      </c>
      <c r="L159" s="43" t="s">
        <v>3204</v>
      </c>
      <c r="M159" t="s">
        <v>2633</v>
      </c>
      <c r="N159" s="43" t="s">
        <v>2634</v>
      </c>
      <c r="O159" s="43" t="s">
        <v>2635</v>
      </c>
      <c r="P159" s="43" t="s">
        <v>297</v>
      </c>
      <c r="Q159" s="43" t="s">
        <v>2636</v>
      </c>
      <c r="S159">
        <v>44109</v>
      </c>
      <c r="T159" t="s">
        <v>311</v>
      </c>
      <c r="U159" t="s">
        <v>266</v>
      </c>
      <c r="V159" t="s">
        <v>267</v>
      </c>
      <c r="W159" t="s">
        <v>1718</v>
      </c>
      <c r="X159" t="s">
        <v>1719</v>
      </c>
      <c r="Y159">
        <v>8772802835</v>
      </c>
      <c r="Z159" t="s">
        <v>270</v>
      </c>
      <c r="AA159" t="s">
        <v>271</v>
      </c>
      <c r="AB159">
        <v>0</v>
      </c>
      <c r="AC159">
        <v>0</v>
      </c>
      <c r="AD159">
        <v>0</v>
      </c>
      <c r="AE159" t="s">
        <v>324</v>
      </c>
      <c r="AF159">
        <v>8</v>
      </c>
      <c r="AG159" t="s">
        <v>275</v>
      </c>
      <c r="AH159">
        <v>15666</v>
      </c>
      <c r="AI159">
        <v>15666</v>
      </c>
      <c r="AJ159">
        <v>43774</v>
      </c>
      <c r="AK159" s="43" t="s">
        <v>3208</v>
      </c>
      <c r="AL159" s="43" t="s">
        <v>3209</v>
      </c>
      <c r="AO159" s="23"/>
      <c r="AP159" s="23"/>
      <c r="AQ159" s="23"/>
      <c r="BC159" t="s">
        <v>2018</v>
      </c>
      <c r="BD159" s="43" t="s">
        <v>2018</v>
      </c>
      <c r="BE159" s="43" t="s">
        <v>2018</v>
      </c>
      <c r="BF159" s="43" t="s">
        <v>2018</v>
      </c>
      <c r="BG159" s="43" t="s">
        <v>2018</v>
      </c>
      <c r="BH159" t="s">
        <v>2018</v>
      </c>
      <c r="BI159" s="43" t="s">
        <v>2018</v>
      </c>
      <c r="BJ159">
        <v>0</v>
      </c>
      <c r="BK159">
        <v>44109</v>
      </c>
      <c r="BL159">
        <v>44356</v>
      </c>
      <c r="BM159">
        <v>8505</v>
      </c>
      <c r="BN159">
        <v>8505</v>
      </c>
      <c r="BO159">
        <v>8505</v>
      </c>
      <c r="BP159">
        <v>25515</v>
      </c>
      <c r="BQ159">
        <v>3300</v>
      </c>
      <c r="BR159">
        <v>400</v>
      </c>
      <c r="BS159">
        <v>400</v>
      </c>
      <c r="BT159">
        <v>4100</v>
      </c>
      <c r="BU159">
        <v>2100</v>
      </c>
      <c r="BV159">
        <v>2100</v>
      </c>
      <c r="BW159">
        <v>2100</v>
      </c>
      <c r="BX159">
        <v>6300</v>
      </c>
      <c r="BY159">
        <v>1200</v>
      </c>
      <c r="BZ159">
        <v>1200</v>
      </c>
      <c r="CA159">
        <v>1200</v>
      </c>
      <c r="CB159">
        <v>3600</v>
      </c>
      <c r="CC159">
        <v>0</v>
      </c>
      <c r="CD159">
        <v>0</v>
      </c>
      <c r="CE159">
        <v>0</v>
      </c>
      <c r="CF159">
        <v>0</v>
      </c>
      <c r="CG159">
        <v>39515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1154</v>
      </c>
      <c r="EJ159">
        <v>1154</v>
      </c>
      <c r="EK159">
        <v>1155</v>
      </c>
      <c r="EL159">
        <v>3500</v>
      </c>
      <c r="EM159">
        <v>37.065000000000005</v>
      </c>
      <c r="EN159">
        <v>660</v>
      </c>
      <c r="EO159">
        <v>660</v>
      </c>
      <c r="EP159">
        <v>660</v>
      </c>
      <c r="EQ159">
        <v>2000</v>
      </c>
      <c r="ER159">
        <v>21.18</v>
      </c>
      <c r="ES159">
        <v>0</v>
      </c>
      <c r="ET159">
        <v>0</v>
      </c>
      <c r="EU159">
        <v>0</v>
      </c>
      <c r="EV159">
        <v>0</v>
      </c>
      <c r="EW159">
        <v>0</v>
      </c>
      <c r="FA159">
        <v>0</v>
      </c>
      <c r="FE159">
        <v>0</v>
      </c>
      <c r="FI159">
        <v>0</v>
      </c>
      <c r="FJ159">
        <v>5441.7550000000001</v>
      </c>
      <c r="FK159">
        <v>39515</v>
      </c>
      <c r="FL159">
        <v>35580.43210392214</v>
      </c>
      <c r="FM159">
        <v>34073.245000000003</v>
      </c>
    </row>
    <row r="160" spans="1:169" x14ac:dyDescent="0.35">
      <c r="A160">
        <v>198175</v>
      </c>
      <c r="B160" t="s">
        <v>2637</v>
      </c>
      <c r="C160" t="s">
        <v>2638</v>
      </c>
      <c r="D160" t="s">
        <v>2639</v>
      </c>
      <c r="E160" s="43" t="s">
        <v>2640</v>
      </c>
      <c r="F160">
        <v>1</v>
      </c>
      <c r="G160">
        <v>43783</v>
      </c>
      <c r="H160">
        <v>43783</v>
      </c>
      <c r="I160">
        <v>43783</v>
      </c>
      <c r="J160" t="s">
        <v>3335</v>
      </c>
      <c r="K160" t="s">
        <v>1715</v>
      </c>
      <c r="L160" s="43" t="s">
        <v>3204</v>
      </c>
      <c r="M160" t="s">
        <v>2641</v>
      </c>
      <c r="N160" s="43" t="s">
        <v>2642</v>
      </c>
      <c r="O160" s="43" t="s">
        <v>2643</v>
      </c>
      <c r="P160" s="43" t="s">
        <v>309</v>
      </c>
      <c r="Q160" s="43" t="s">
        <v>2644</v>
      </c>
      <c r="S160">
        <v>44109</v>
      </c>
      <c r="T160" t="s">
        <v>285</v>
      </c>
      <c r="U160" t="s">
        <v>286</v>
      </c>
      <c r="V160" t="s">
        <v>267</v>
      </c>
      <c r="W160" t="s">
        <v>1718</v>
      </c>
      <c r="X160" t="s">
        <v>1719</v>
      </c>
      <c r="Y160">
        <v>8772802835</v>
      </c>
      <c r="Z160" t="s">
        <v>270</v>
      </c>
      <c r="AA160" t="s">
        <v>271</v>
      </c>
      <c r="AB160">
        <v>0</v>
      </c>
      <c r="AC160">
        <v>1000</v>
      </c>
      <c r="AD160">
        <v>96</v>
      </c>
      <c r="AE160" t="s">
        <v>354</v>
      </c>
      <c r="AF160">
        <v>6</v>
      </c>
      <c r="AG160" t="s">
        <v>275</v>
      </c>
      <c r="AH160">
        <v>0</v>
      </c>
      <c r="AI160">
        <v>0</v>
      </c>
      <c r="AJ160">
        <v>43774</v>
      </c>
      <c r="AK160" s="43" t="s">
        <v>3208</v>
      </c>
      <c r="AL160" s="43" t="s">
        <v>3209</v>
      </c>
      <c r="AO160" s="23">
        <v>43764</v>
      </c>
      <c r="AP160" s="23"/>
      <c r="AQ160" s="23"/>
      <c r="BC160" t="s">
        <v>2018</v>
      </c>
      <c r="BD160" s="43" t="s">
        <v>2018</v>
      </c>
      <c r="BE160" s="43" t="s">
        <v>2018</v>
      </c>
      <c r="BF160" s="43" t="s">
        <v>2018</v>
      </c>
      <c r="BG160" s="43" t="s">
        <v>2018</v>
      </c>
      <c r="BH160" t="s">
        <v>2018</v>
      </c>
      <c r="BI160" s="43" t="s">
        <v>2018</v>
      </c>
      <c r="BJ160">
        <v>6.25E-2</v>
      </c>
      <c r="BK160">
        <v>44109</v>
      </c>
      <c r="BL160">
        <v>44356</v>
      </c>
      <c r="BM160">
        <v>8505</v>
      </c>
      <c r="BN160">
        <v>8505</v>
      </c>
      <c r="BO160">
        <v>8505</v>
      </c>
      <c r="BP160">
        <v>25515</v>
      </c>
      <c r="BQ160">
        <v>3300</v>
      </c>
      <c r="BR160">
        <v>400</v>
      </c>
      <c r="BS160">
        <v>400</v>
      </c>
      <c r="BT160">
        <v>4100</v>
      </c>
      <c r="BU160">
        <v>2100</v>
      </c>
      <c r="BV160">
        <v>2100</v>
      </c>
      <c r="BW160">
        <v>2100</v>
      </c>
      <c r="BX160">
        <v>6300</v>
      </c>
      <c r="BY160">
        <v>1200</v>
      </c>
      <c r="BZ160">
        <v>1200</v>
      </c>
      <c r="CA160">
        <v>1200</v>
      </c>
      <c r="CB160">
        <v>3600</v>
      </c>
      <c r="CC160">
        <v>0</v>
      </c>
      <c r="CD160">
        <v>0</v>
      </c>
      <c r="CE160">
        <v>0</v>
      </c>
      <c r="CF160">
        <v>0</v>
      </c>
      <c r="CG160">
        <v>39515</v>
      </c>
      <c r="CH160">
        <v>0</v>
      </c>
      <c r="CI160">
        <v>0</v>
      </c>
      <c r="CJ160">
        <v>0</v>
      </c>
      <c r="CK160">
        <v>0</v>
      </c>
      <c r="CL160">
        <v>2065</v>
      </c>
      <c r="CM160">
        <v>2065</v>
      </c>
      <c r="CN160">
        <v>2065</v>
      </c>
      <c r="CO160">
        <v>6195</v>
      </c>
      <c r="CP160">
        <v>500</v>
      </c>
      <c r="CQ160">
        <v>500</v>
      </c>
      <c r="CR160">
        <v>500</v>
      </c>
      <c r="CS160">
        <v>1500</v>
      </c>
      <c r="CT160">
        <v>750</v>
      </c>
      <c r="CU160">
        <v>750</v>
      </c>
      <c r="CV160">
        <v>750</v>
      </c>
      <c r="CW160">
        <v>2250</v>
      </c>
      <c r="CX160">
        <v>0</v>
      </c>
      <c r="CY160">
        <v>0</v>
      </c>
      <c r="CZ160">
        <v>0</v>
      </c>
      <c r="DA160">
        <v>0</v>
      </c>
      <c r="DB160">
        <v>1000</v>
      </c>
      <c r="DC160">
        <v>1000</v>
      </c>
      <c r="DD160">
        <v>1000</v>
      </c>
      <c r="DE160">
        <v>3000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12945</v>
      </c>
      <c r="EE160">
        <v>0</v>
      </c>
      <c r="EF160">
        <v>0</v>
      </c>
      <c r="EG160">
        <v>0</v>
      </c>
      <c r="EH160">
        <v>0</v>
      </c>
      <c r="EI160">
        <v>1154</v>
      </c>
      <c r="EJ160">
        <v>1154</v>
      </c>
      <c r="EK160">
        <v>1155</v>
      </c>
      <c r="EL160">
        <v>3500</v>
      </c>
      <c r="EM160">
        <v>37.065000000000005</v>
      </c>
      <c r="EN160">
        <v>660</v>
      </c>
      <c r="EO160">
        <v>660</v>
      </c>
      <c r="EP160">
        <v>660</v>
      </c>
      <c r="EQ160">
        <v>2000</v>
      </c>
      <c r="ER160">
        <v>21.18</v>
      </c>
      <c r="ES160">
        <v>0</v>
      </c>
      <c r="ET160">
        <v>0</v>
      </c>
      <c r="EU160">
        <v>0</v>
      </c>
      <c r="EV160">
        <v>0</v>
      </c>
      <c r="EW160">
        <v>0</v>
      </c>
      <c r="FA160">
        <v>0</v>
      </c>
      <c r="FE160">
        <v>0</v>
      </c>
      <c r="FI160">
        <v>0</v>
      </c>
      <c r="FJ160">
        <v>5441.7550000000001</v>
      </c>
      <c r="FK160">
        <v>26570</v>
      </c>
      <c r="FL160">
        <v>22062.826323044148</v>
      </c>
      <c r="FM160">
        <v>21128.244999999999</v>
      </c>
    </row>
    <row r="161" spans="1:169" x14ac:dyDescent="0.35">
      <c r="A161">
        <v>196076</v>
      </c>
      <c r="B161" t="s">
        <v>2645</v>
      </c>
      <c r="C161" t="s">
        <v>2646</v>
      </c>
      <c r="D161" t="s">
        <v>2647</v>
      </c>
      <c r="E161" s="43" t="s">
        <v>2648</v>
      </c>
      <c r="F161">
        <v>1</v>
      </c>
      <c r="I161">
        <v>43804</v>
      </c>
      <c r="J161" t="s">
        <v>4240</v>
      </c>
      <c r="K161" t="s">
        <v>1715</v>
      </c>
      <c r="L161" s="43" t="s">
        <v>3204</v>
      </c>
      <c r="M161" t="s">
        <v>2649</v>
      </c>
      <c r="N161" s="43" t="s">
        <v>2650</v>
      </c>
      <c r="O161" s="43" t="s">
        <v>2651</v>
      </c>
      <c r="P161" s="43" t="s">
        <v>332</v>
      </c>
      <c r="Q161" s="43" t="s">
        <v>2652</v>
      </c>
      <c r="S161">
        <v>44109</v>
      </c>
      <c r="T161" t="s">
        <v>311</v>
      </c>
      <c r="U161" t="s">
        <v>266</v>
      </c>
      <c r="V161" t="s">
        <v>267</v>
      </c>
      <c r="W161" t="s">
        <v>1718</v>
      </c>
      <c r="X161" t="s">
        <v>1719</v>
      </c>
      <c r="Y161">
        <v>8772802835</v>
      </c>
      <c r="Z161" t="s">
        <v>270</v>
      </c>
      <c r="AA161" t="s">
        <v>271</v>
      </c>
      <c r="AB161">
        <v>26</v>
      </c>
      <c r="AC161">
        <v>0</v>
      </c>
      <c r="AD161">
        <v>117</v>
      </c>
      <c r="AE161" t="s">
        <v>364</v>
      </c>
      <c r="AF161">
        <v>3</v>
      </c>
      <c r="AG161" t="s">
        <v>446</v>
      </c>
      <c r="AH161">
        <v>0</v>
      </c>
      <c r="AI161">
        <v>0</v>
      </c>
      <c r="AJ161">
        <v>43790</v>
      </c>
      <c r="AK161" s="43" t="s">
        <v>3208</v>
      </c>
      <c r="AL161" s="43" t="s">
        <v>3209</v>
      </c>
      <c r="AO161" s="23"/>
      <c r="AP161" s="23"/>
      <c r="AQ161" s="23"/>
      <c r="BC161" t="s">
        <v>2018</v>
      </c>
      <c r="BD161" s="43" t="s">
        <v>2018</v>
      </c>
      <c r="BE161" s="43" t="s">
        <v>2018</v>
      </c>
      <c r="BF161" s="43" t="s">
        <v>2018</v>
      </c>
      <c r="BG161" s="43" t="s">
        <v>2018</v>
      </c>
      <c r="BH161" t="s">
        <v>2018</v>
      </c>
      <c r="BI161" s="43" t="s">
        <v>2018</v>
      </c>
      <c r="BJ161">
        <v>0</v>
      </c>
      <c r="BK161">
        <v>44109</v>
      </c>
      <c r="BL161">
        <v>44356</v>
      </c>
      <c r="BM161">
        <v>8505</v>
      </c>
      <c r="BN161">
        <v>8505</v>
      </c>
      <c r="BO161">
        <v>8505</v>
      </c>
      <c r="BP161">
        <v>25515</v>
      </c>
      <c r="BQ161">
        <v>3300</v>
      </c>
      <c r="BR161">
        <v>400</v>
      </c>
      <c r="BS161">
        <v>400</v>
      </c>
      <c r="BT161">
        <v>4100</v>
      </c>
      <c r="BU161">
        <v>2100</v>
      </c>
      <c r="BV161">
        <v>2100</v>
      </c>
      <c r="BW161">
        <v>2100</v>
      </c>
      <c r="BX161">
        <v>6300</v>
      </c>
      <c r="BY161">
        <v>1200</v>
      </c>
      <c r="BZ161">
        <v>1200</v>
      </c>
      <c r="CA161">
        <v>1200</v>
      </c>
      <c r="CB161">
        <v>3600</v>
      </c>
      <c r="CC161">
        <v>0</v>
      </c>
      <c r="CD161">
        <v>0</v>
      </c>
      <c r="CE161">
        <v>0</v>
      </c>
      <c r="CF161">
        <v>0</v>
      </c>
      <c r="CG161">
        <v>39515</v>
      </c>
      <c r="CH161">
        <v>0</v>
      </c>
      <c r="CI161">
        <v>0</v>
      </c>
      <c r="CJ161">
        <v>0</v>
      </c>
      <c r="CK161">
        <v>0</v>
      </c>
      <c r="CL161">
        <v>2065</v>
      </c>
      <c r="CM161">
        <v>2065</v>
      </c>
      <c r="CN161">
        <v>2065</v>
      </c>
      <c r="CO161">
        <v>6195</v>
      </c>
      <c r="CP161">
        <v>500</v>
      </c>
      <c r="CQ161">
        <v>500</v>
      </c>
      <c r="CR161">
        <v>500</v>
      </c>
      <c r="CS161">
        <v>1500</v>
      </c>
      <c r="CT161">
        <v>1300</v>
      </c>
      <c r="CU161">
        <v>1300</v>
      </c>
      <c r="CV161">
        <v>1300</v>
      </c>
      <c r="CW161">
        <v>3900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11595</v>
      </c>
      <c r="EE161">
        <v>0</v>
      </c>
      <c r="EF161">
        <v>0</v>
      </c>
      <c r="EG161">
        <v>0</v>
      </c>
      <c r="EH161">
        <v>0</v>
      </c>
      <c r="EI161">
        <v>1154</v>
      </c>
      <c r="EJ161">
        <v>1154</v>
      </c>
      <c r="EK161">
        <v>1155</v>
      </c>
      <c r="EL161">
        <v>3500</v>
      </c>
      <c r="EM161">
        <v>37.065000000000005</v>
      </c>
      <c r="EN161">
        <v>660</v>
      </c>
      <c r="EO161">
        <v>660</v>
      </c>
      <c r="EP161">
        <v>660</v>
      </c>
      <c r="EQ161">
        <v>2000</v>
      </c>
      <c r="ER161">
        <v>21.18</v>
      </c>
      <c r="ES161">
        <v>0</v>
      </c>
      <c r="ET161">
        <v>0</v>
      </c>
      <c r="EU161">
        <v>0</v>
      </c>
      <c r="EV161">
        <v>0</v>
      </c>
      <c r="EW161">
        <v>0</v>
      </c>
      <c r="FA161">
        <v>0</v>
      </c>
      <c r="FE161">
        <v>0</v>
      </c>
      <c r="FI161">
        <v>0</v>
      </c>
      <c r="FJ161">
        <v>5441.7550000000001</v>
      </c>
      <c r="FK161">
        <v>27920</v>
      </c>
      <c r="FL161">
        <v>23472.541873773025</v>
      </c>
      <c r="FM161">
        <v>22478.244999999999</v>
      </c>
    </row>
    <row r="162" spans="1:169" x14ac:dyDescent="0.35">
      <c r="A162">
        <v>195328</v>
      </c>
      <c r="B162" t="s">
        <v>2653</v>
      </c>
      <c r="C162" t="s">
        <v>2654</v>
      </c>
      <c r="D162" t="s">
        <v>2655</v>
      </c>
      <c r="E162" s="43" t="s">
        <v>2656</v>
      </c>
      <c r="F162">
        <v>1</v>
      </c>
      <c r="I162">
        <v>43804</v>
      </c>
      <c r="J162" t="s">
        <v>4242</v>
      </c>
      <c r="K162" t="s">
        <v>1715</v>
      </c>
      <c r="L162" s="43" t="s">
        <v>259</v>
      </c>
      <c r="M162" t="s">
        <v>2657</v>
      </c>
      <c r="N162" s="43" t="s">
        <v>2658</v>
      </c>
      <c r="O162" s="43" t="s">
        <v>2659</v>
      </c>
      <c r="P162" s="43" t="s">
        <v>283</v>
      </c>
      <c r="Q162" s="43" t="s">
        <v>2660</v>
      </c>
      <c r="S162">
        <v>44109</v>
      </c>
      <c r="T162" t="s">
        <v>311</v>
      </c>
      <c r="U162" t="s">
        <v>266</v>
      </c>
      <c r="V162" t="s">
        <v>267</v>
      </c>
      <c r="W162" t="s">
        <v>1718</v>
      </c>
      <c r="X162" t="s">
        <v>1719</v>
      </c>
      <c r="Y162">
        <v>8772802835</v>
      </c>
      <c r="Z162" t="s">
        <v>270</v>
      </c>
      <c r="AA162" t="s">
        <v>271</v>
      </c>
      <c r="AB162">
        <v>0</v>
      </c>
      <c r="AC162">
        <v>0</v>
      </c>
      <c r="AD162">
        <v>0</v>
      </c>
      <c r="AE162" t="s">
        <v>376</v>
      </c>
      <c r="AF162">
        <v>7</v>
      </c>
      <c r="AG162" t="s">
        <v>275</v>
      </c>
      <c r="AK162" s="43" t="s">
        <v>259</v>
      </c>
      <c r="AL162" s="43" t="s">
        <v>259</v>
      </c>
      <c r="AO162" s="23"/>
      <c r="AP162" s="23"/>
      <c r="AQ162" s="23"/>
      <c r="BC162" t="s">
        <v>259</v>
      </c>
      <c r="BD162" s="43" t="s">
        <v>259</v>
      </c>
      <c r="BE162" s="43" t="s">
        <v>259</v>
      </c>
      <c r="BF162" s="43" t="s">
        <v>259</v>
      </c>
      <c r="BG162" s="43" t="s">
        <v>259</v>
      </c>
      <c r="BH162" t="s">
        <v>259</v>
      </c>
      <c r="BI162" s="43" t="s">
        <v>259</v>
      </c>
      <c r="BJ162">
        <v>0</v>
      </c>
      <c r="BK162">
        <v>44109</v>
      </c>
      <c r="BL162">
        <v>44356</v>
      </c>
      <c r="BM162">
        <v>8505</v>
      </c>
      <c r="BN162">
        <v>8505</v>
      </c>
      <c r="BO162">
        <v>8505</v>
      </c>
      <c r="BP162">
        <v>25515</v>
      </c>
      <c r="BQ162">
        <v>3300</v>
      </c>
      <c r="BR162">
        <v>400</v>
      </c>
      <c r="BS162">
        <v>400</v>
      </c>
      <c r="BT162">
        <v>4100</v>
      </c>
      <c r="BU162">
        <v>2100</v>
      </c>
      <c r="BV162">
        <v>2100</v>
      </c>
      <c r="BW162">
        <v>2100</v>
      </c>
      <c r="BX162">
        <v>6300</v>
      </c>
      <c r="BY162">
        <v>1200</v>
      </c>
      <c r="BZ162">
        <v>1200</v>
      </c>
      <c r="CA162">
        <v>1200</v>
      </c>
      <c r="CB162">
        <v>3600</v>
      </c>
      <c r="CC162">
        <v>0</v>
      </c>
      <c r="CD162">
        <v>0</v>
      </c>
      <c r="CE162">
        <v>0</v>
      </c>
      <c r="CF162">
        <v>0</v>
      </c>
      <c r="CG162">
        <v>39515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1154</v>
      </c>
      <c r="EJ162">
        <v>1154</v>
      </c>
      <c r="EK162">
        <v>1155</v>
      </c>
      <c r="EL162">
        <v>3500</v>
      </c>
      <c r="EM162">
        <v>37.065000000000005</v>
      </c>
      <c r="EN162">
        <v>660</v>
      </c>
      <c r="EO162">
        <v>660</v>
      </c>
      <c r="EP162">
        <v>660</v>
      </c>
      <c r="EQ162">
        <v>2000</v>
      </c>
      <c r="ER162">
        <v>21.18</v>
      </c>
      <c r="ES162">
        <v>0</v>
      </c>
      <c r="ET162">
        <v>0</v>
      </c>
      <c r="EU162">
        <v>0</v>
      </c>
      <c r="EV162">
        <v>0</v>
      </c>
      <c r="EW162">
        <v>0</v>
      </c>
      <c r="FA162">
        <v>0</v>
      </c>
      <c r="FE162">
        <v>0</v>
      </c>
      <c r="FI162">
        <v>0</v>
      </c>
      <c r="FJ162">
        <v>5441.7550000000001</v>
      </c>
      <c r="FK162">
        <v>39515</v>
      </c>
      <c r="FL162">
        <v>35580.43210392214</v>
      </c>
      <c r="FM162">
        <v>34073.245000000003</v>
      </c>
    </row>
    <row r="163" spans="1:169" x14ac:dyDescent="0.35">
      <c r="A163">
        <v>197710</v>
      </c>
      <c r="B163" t="s">
        <v>2661</v>
      </c>
      <c r="C163" t="s">
        <v>1886</v>
      </c>
      <c r="D163" t="s">
        <v>2662</v>
      </c>
      <c r="E163" s="43" t="s">
        <v>2663</v>
      </c>
      <c r="F163">
        <v>1</v>
      </c>
      <c r="I163">
        <v>43804</v>
      </c>
      <c r="J163" t="s">
        <v>4242</v>
      </c>
      <c r="K163" t="s">
        <v>1715</v>
      </c>
      <c r="L163" s="43" t="s">
        <v>259</v>
      </c>
      <c r="M163" t="s">
        <v>2664</v>
      </c>
      <c r="N163" s="43" t="s">
        <v>2665</v>
      </c>
      <c r="O163" s="43" t="s">
        <v>2666</v>
      </c>
      <c r="P163" s="43" t="s">
        <v>677</v>
      </c>
      <c r="Q163" s="43" t="s">
        <v>2667</v>
      </c>
      <c r="S163">
        <v>44109</v>
      </c>
      <c r="T163" t="s">
        <v>285</v>
      </c>
      <c r="U163" t="s">
        <v>312</v>
      </c>
      <c r="V163" t="s">
        <v>267</v>
      </c>
      <c r="W163" t="s">
        <v>1718</v>
      </c>
      <c r="X163" t="s">
        <v>1719</v>
      </c>
      <c r="Y163">
        <v>8772802835</v>
      </c>
      <c r="Z163" t="s">
        <v>270</v>
      </c>
      <c r="AA163" t="s">
        <v>271</v>
      </c>
      <c r="AB163">
        <v>0</v>
      </c>
      <c r="AC163">
        <v>0</v>
      </c>
      <c r="AD163">
        <v>0</v>
      </c>
      <c r="AE163" t="s">
        <v>324</v>
      </c>
      <c r="AF163">
        <v>8</v>
      </c>
      <c r="AG163" t="s">
        <v>275</v>
      </c>
      <c r="AK163" s="43" t="s">
        <v>259</v>
      </c>
      <c r="AL163" s="43" t="s">
        <v>259</v>
      </c>
      <c r="AO163" s="23"/>
      <c r="AP163" s="23"/>
      <c r="AQ163" s="23"/>
      <c r="BC163" t="s">
        <v>259</v>
      </c>
      <c r="BD163" s="43" t="s">
        <v>259</v>
      </c>
      <c r="BE163" s="43" t="s">
        <v>259</v>
      </c>
      <c r="BF163" s="43" t="s">
        <v>259</v>
      </c>
      <c r="BG163" s="43" t="s">
        <v>259</v>
      </c>
      <c r="BH163" t="s">
        <v>259</v>
      </c>
      <c r="BI163" s="43" t="s">
        <v>259</v>
      </c>
      <c r="BJ163">
        <v>0</v>
      </c>
      <c r="BK163">
        <v>44109</v>
      </c>
      <c r="BL163">
        <v>44356</v>
      </c>
      <c r="BM163">
        <v>8505</v>
      </c>
      <c r="BN163">
        <v>8505</v>
      </c>
      <c r="BO163">
        <v>8505</v>
      </c>
      <c r="BP163">
        <v>25515</v>
      </c>
      <c r="BQ163">
        <v>3300</v>
      </c>
      <c r="BR163">
        <v>400</v>
      </c>
      <c r="BS163">
        <v>400</v>
      </c>
      <c r="BT163">
        <v>4100</v>
      </c>
      <c r="BU163">
        <v>2100</v>
      </c>
      <c r="BV163">
        <v>2100</v>
      </c>
      <c r="BW163">
        <v>2100</v>
      </c>
      <c r="BX163">
        <v>6300</v>
      </c>
      <c r="BY163">
        <v>1200</v>
      </c>
      <c r="BZ163">
        <v>1200</v>
      </c>
      <c r="CA163">
        <v>1200</v>
      </c>
      <c r="CB163">
        <v>3600</v>
      </c>
      <c r="CC163">
        <v>0</v>
      </c>
      <c r="CD163">
        <v>0</v>
      </c>
      <c r="CE163">
        <v>0</v>
      </c>
      <c r="CF163">
        <v>0</v>
      </c>
      <c r="CG163">
        <v>39515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1154</v>
      </c>
      <c r="EJ163">
        <v>1154</v>
      </c>
      <c r="EK163">
        <v>1155</v>
      </c>
      <c r="EL163">
        <v>3500</v>
      </c>
      <c r="EM163">
        <v>37.065000000000005</v>
      </c>
      <c r="EN163">
        <v>660</v>
      </c>
      <c r="EO163">
        <v>660</v>
      </c>
      <c r="EP163">
        <v>660</v>
      </c>
      <c r="EQ163">
        <v>2000</v>
      </c>
      <c r="ER163">
        <v>21.18</v>
      </c>
      <c r="ES163">
        <v>0</v>
      </c>
      <c r="ET163">
        <v>0</v>
      </c>
      <c r="EU163">
        <v>0</v>
      </c>
      <c r="EV163">
        <v>0</v>
      </c>
      <c r="EW163">
        <v>0</v>
      </c>
      <c r="FA163">
        <v>0</v>
      </c>
      <c r="FE163">
        <v>0</v>
      </c>
      <c r="FI163">
        <v>0</v>
      </c>
      <c r="FJ163">
        <v>5441.7550000000001</v>
      </c>
      <c r="FK163">
        <v>39515</v>
      </c>
      <c r="FL163">
        <v>35580.43210392214</v>
      </c>
      <c r="FM163">
        <v>34073.245000000003</v>
      </c>
    </row>
    <row r="164" spans="1:169" x14ac:dyDescent="0.35">
      <c r="A164">
        <v>197062</v>
      </c>
      <c r="B164" t="s">
        <v>2668</v>
      </c>
      <c r="C164" t="s">
        <v>2669</v>
      </c>
      <c r="D164" t="s">
        <v>2670</v>
      </c>
      <c r="E164" s="43" t="s">
        <v>2671</v>
      </c>
      <c r="F164">
        <v>1</v>
      </c>
      <c r="I164">
        <v>43804</v>
      </c>
      <c r="J164" t="s">
        <v>4242</v>
      </c>
      <c r="K164" t="s">
        <v>1715</v>
      </c>
      <c r="L164" s="43" t="s">
        <v>259</v>
      </c>
      <c r="M164" t="s">
        <v>2672</v>
      </c>
      <c r="N164" s="43" t="s">
        <v>2673</v>
      </c>
      <c r="O164" s="43" t="s">
        <v>2674</v>
      </c>
      <c r="P164" s="43" t="s">
        <v>332</v>
      </c>
      <c r="Q164" s="43" t="s">
        <v>2675</v>
      </c>
      <c r="S164">
        <v>44109</v>
      </c>
      <c r="T164" t="s">
        <v>285</v>
      </c>
      <c r="U164" t="s">
        <v>266</v>
      </c>
      <c r="V164" t="s">
        <v>267</v>
      </c>
      <c r="W164" t="s">
        <v>1718</v>
      </c>
      <c r="X164" t="s">
        <v>1719</v>
      </c>
      <c r="Y164">
        <v>8772802835</v>
      </c>
      <c r="Z164" t="s">
        <v>270</v>
      </c>
      <c r="AA164" t="s">
        <v>271</v>
      </c>
      <c r="AB164">
        <v>17</v>
      </c>
      <c r="AC164">
        <v>0</v>
      </c>
      <c r="AD164">
        <v>96</v>
      </c>
      <c r="AE164" t="s">
        <v>354</v>
      </c>
      <c r="AF164">
        <v>6</v>
      </c>
      <c r="AG164" t="s">
        <v>275</v>
      </c>
      <c r="AK164" s="43" t="s">
        <v>259</v>
      </c>
      <c r="AL164" s="43" t="s">
        <v>259</v>
      </c>
      <c r="AO164" s="23"/>
      <c r="AP164" s="23"/>
      <c r="AQ164" s="23"/>
      <c r="BC164" t="s">
        <v>259</v>
      </c>
      <c r="BD164" s="43" t="s">
        <v>259</v>
      </c>
      <c r="BE164" s="43" t="s">
        <v>259</v>
      </c>
      <c r="BF164" s="43" t="s">
        <v>259</v>
      </c>
      <c r="BG164" s="43" t="s">
        <v>259</v>
      </c>
      <c r="BH164" t="s">
        <v>259</v>
      </c>
      <c r="BI164" s="43" t="s">
        <v>259</v>
      </c>
      <c r="BJ164">
        <v>0</v>
      </c>
      <c r="BK164">
        <v>44109</v>
      </c>
      <c r="BL164">
        <v>44356</v>
      </c>
      <c r="BM164">
        <v>8505</v>
      </c>
      <c r="BN164">
        <v>8505</v>
      </c>
      <c r="BO164">
        <v>8505</v>
      </c>
      <c r="BP164">
        <v>25515</v>
      </c>
      <c r="BQ164">
        <v>3300</v>
      </c>
      <c r="BR164">
        <v>400</v>
      </c>
      <c r="BS164">
        <v>400</v>
      </c>
      <c r="BT164">
        <v>4100</v>
      </c>
      <c r="BU164">
        <v>2100</v>
      </c>
      <c r="BV164">
        <v>2100</v>
      </c>
      <c r="BW164">
        <v>2100</v>
      </c>
      <c r="BX164">
        <v>6300</v>
      </c>
      <c r="BY164">
        <v>1200</v>
      </c>
      <c r="BZ164">
        <v>1200</v>
      </c>
      <c r="CA164">
        <v>1200</v>
      </c>
      <c r="CB164">
        <v>3600</v>
      </c>
      <c r="CC164">
        <v>0</v>
      </c>
      <c r="CD164">
        <v>0</v>
      </c>
      <c r="CE164">
        <v>0</v>
      </c>
      <c r="CF164">
        <v>0</v>
      </c>
      <c r="CG164">
        <v>39515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750</v>
      </c>
      <c r="CU164">
        <v>750</v>
      </c>
      <c r="CV164">
        <v>750</v>
      </c>
      <c r="CW164">
        <v>2250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2250</v>
      </c>
      <c r="EE164">
        <v>0</v>
      </c>
      <c r="EF164">
        <v>0</v>
      </c>
      <c r="EG164">
        <v>0</v>
      </c>
      <c r="EH164">
        <v>0</v>
      </c>
      <c r="EI164">
        <v>1154</v>
      </c>
      <c r="EJ164">
        <v>1154</v>
      </c>
      <c r="EK164">
        <v>1155</v>
      </c>
      <c r="EL164">
        <v>3500</v>
      </c>
      <c r="EM164">
        <v>37.065000000000005</v>
      </c>
      <c r="EN164">
        <v>660</v>
      </c>
      <c r="EO164">
        <v>660</v>
      </c>
      <c r="EP164">
        <v>660</v>
      </c>
      <c r="EQ164">
        <v>2000</v>
      </c>
      <c r="ER164">
        <v>21.18</v>
      </c>
      <c r="ES164">
        <v>0</v>
      </c>
      <c r="ET164">
        <v>0</v>
      </c>
      <c r="EU164">
        <v>0</v>
      </c>
      <c r="EV164">
        <v>0</v>
      </c>
      <c r="EW164">
        <v>0</v>
      </c>
      <c r="FA164">
        <v>0</v>
      </c>
      <c r="FE164">
        <v>0</v>
      </c>
      <c r="FI164">
        <v>0</v>
      </c>
      <c r="FJ164">
        <v>5441.7550000000001</v>
      </c>
      <c r="FK164">
        <v>37265</v>
      </c>
      <c r="FL164">
        <v>33230.906186040687</v>
      </c>
      <c r="FM164">
        <v>31823.245000000003</v>
      </c>
    </row>
    <row r="165" spans="1:169" x14ac:dyDescent="0.35">
      <c r="A165">
        <v>198403</v>
      </c>
      <c r="B165" t="s">
        <v>2676</v>
      </c>
      <c r="C165" t="s">
        <v>2677</v>
      </c>
      <c r="D165" t="s">
        <v>2678</v>
      </c>
      <c r="E165" s="43" t="s">
        <v>2679</v>
      </c>
      <c r="F165">
        <v>1</v>
      </c>
      <c r="I165">
        <v>43783</v>
      </c>
      <c r="J165" t="s">
        <v>3304</v>
      </c>
      <c r="K165" t="s">
        <v>1715</v>
      </c>
      <c r="L165" s="43" t="s">
        <v>3204</v>
      </c>
      <c r="M165" t="s">
        <v>2680</v>
      </c>
      <c r="N165" s="43" t="s">
        <v>2681</v>
      </c>
      <c r="O165" s="43" t="s">
        <v>1477</v>
      </c>
      <c r="P165" s="43" t="s">
        <v>542</v>
      </c>
      <c r="Q165" s="43" t="s">
        <v>2682</v>
      </c>
      <c r="S165">
        <v>44109</v>
      </c>
      <c r="T165" t="s">
        <v>544</v>
      </c>
      <c r="U165" t="s">
        <v>266</v>
      </c>
      <c r="V165" t="s">
        <v>267</v>
      </c>
      <c r="W165" t="s">
        <v>1718</v>
      </c>
      <c r="X165" t="s">
        <v>1719</v>
      </c>
      <c r="Y165">
        <v>8772802835</v>
      </c>
      <c r="Z165" t="s">
        <v>270</v>
      </c>
      <c r="AA165" t="s">
        <v>271</v>
      </c>
      <c r="AB165">
        <v>22</v>
      </c>
      <c r="AC165">
        <v>0</v>
      </c>
      <c r="AD165">
        <v>114</v>
      </c>
      <c r="AE165" t="s">
        <v>289</v>
      </c>
      <c r="AF165">
        <v>2</v>
      </c>
      <c r="AG165" t="s">
        <v>446</v>
      </c>
      <c r="AH165">
        <v>1873</v>
      </c>
      <c r="AI165">
        <v>1873</v>
      </c>
      <c r="AJ165">
        <v>43774</v>
      </c>
      <c r="AK165" s="43" t="s">
        <v>1715</v>
      </c>
      <c r="AL165" s="43" t="s">
        <v>259</v>
      </c>
      <c r="AO165" s="23"/>
      <c r="AP165" s="23"/>
      <c r="AQ165" s="23"/>
      <c r="BC165" t="s">
        <v>259</v>
      </c>
      <c r="BD165" s="43" t="s">
        <v>259</v>
      </c>
      <c r="BE165" s="43" t="s">
        <v>259</v>
      </c>
      <c r="BF165" s="43" t="s">
        <v>2018</v>
      </c>
      <c r="BG165" s="43" t="s">
        <v>2018</v>
      </c>
      <c r="BH165">
        <v>43745</v>
      </c>
      <c r="BI165" s="43" t="s">
        <v>2018</v>
      </c>
      <c r="BJ165">
        <v>5.0000000000000044E-2</v>
      </c>
      <c r="BK165">
        <v>44109</v>
      </c>
      <c r="BL165">
        <v>44356</v>
      </c>
      <c r="BM165">
        <v>8505</v>
      </c>
      <c r="BN165">
        <v>8505</v>
      </c>
      <c r="BO165">
        <v>8505</v>
      </c>
      <c r="BP165">
        <v>25515</v>
      </c>
      <c r="BQ165">
        <v>3300</v>
      </c>
      <c r="BR165">
        <v>400</v>
      </c>
      <c r="BS165">
        <v>400</v>
      </c>
      <c r="BT165">
        <v>4100</v>
      </c>
      <c r="BU165">
        <v>2100</v>
      </c>
      <c r="BV165">
        <v>2100</v>
      </c>
      <c r="BW165">
        <v>2100</v>
      </c>
      <c r="BX165">
        <v>6300</v>
      </c>
      <c r="BY165">
        <v>1200</v>
      </c>
      <c r="BZ165">
        <v>1200</v>
      </c>
      <c r="CA165">
        <v>1200</v>
      </c>
      <c r="CB165">
        <v>3600</v>
      </c>
      <c r="CC165">
        <v>0</v>
      </c>
      <c r="CD165">
        <v>0</v>
      </c>
      <c r="CE165">
        <v>0</v>
      </c>
      <c r="CF165">
        <v>0</v>
      </c>
      <c r="CG165">
        <v>39515</v>
      </c>
      <c r="CH165">
        <v>0</v>
      </c>
      <c r="CI165">
        <v>0</v>
      </c>
      <c r="CJ165">
        <v>0</v>
      </c>
      <c r="CK165">
        <v>0</v>
      </c>
      <c r="CL165">
        <v>1449</v>
      </c>
      <c r="CM165">
        <v>1448</v>
      </c>
      <c r="CN165">
        <v>1448</v>
      </c>
      <c r="CO165">
        <v>4345</v>
      </c>
      <c r="CP165">
        <v>500</v>
      </c>
      <c r="CQ165">
        <v>500</v>
      </c>
      <c r="CR165">
        <v>500</v>
      </c>
      <c r="CS165">
        <v>1500</v>
      </c>
      <c r="CT165">
        <v>1500</v>
      </c>
      <c r="CU165">
        <v>1500</v>
      </c>
      <c r="CV165">
        <v>1500</v>
      </c>
      <c r="CW165">
        <v>4500</v>
      </c>
      <c r="CX165">
        <v>3000</v>
      </c>
      <c r="CY165">
        <v>3000</v>
      </c>
      <c r="CZ165">
        <v>3000</v>
      </c>
      <c r="DA165">
        <v>9000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19345</v>
      </c>
      <c r="EE165">
        <v>0</v>
      </c>
      <c r="EF165">
        <v>0</v>
      </c>
      <c r="EG165">
        <v>0</v>
      </c>
      <c r="EH165">
        <v>0</v>
      </c>
      <c r="EI165">
        <v>1154</v>
      </c>
      <c r="EJ165">
        <v>1154</v>
      </c>
      <c r="EK165">
        <v>1155</v>
      </c>
      <c r="EL165">
        <v>3500</v>
      </c>
      <c r="EM165">
        <v>37.065000000000005</v>
      </c>
      <c r="EN165">
        <v>660</v>
      </c>
      <c r="EO165">
        <v>660</v>
      </c>
      <c r="EP165">
        <v>660</v>
      </c>
      <c r="EQ165">
        <v>2000</v>
      </c>
      <c r="ER165">
        <v>21.18</v>
      </c>
      <c r="ES165">
        <v>0</v>
      </c>
      <c r="ET165">
        <v>0</v>
      </c>
      <c r="EU165">
        <v>0</v>
      </c>
      <c r="EV165">
        <v>0</v>
      </c>
      <c r="EW165">
        <v>0</v>
      </c>
      <c r="FA165">
        <v>0</v>
      </c>
      <c r="FE165">
        <v>0</v>
      </c>
      <c r="FI165">
        <v>0</v>
      </c>
      <c r="FJ165">
        <v>5441.7550000000001</v>
      </c>
      <c r="FK165">
        <v>20170</v>
      </c>
      <c r="FL165">
        <v>15379.730378848</v>
      </c>
      <c r="FM165">
        <v>14728.245000000001</v>
      </c>
    </row>
    <row r="166" spans="1:169" x14ac:dyDescent="0.35">
      <c r="A166">
        <v>195714</v>
      </c>
      <c r="B166" t="s">
        <v>2683</v>
      </c>
      <c r="C166" t="s">
        <v>2563</v>
      </c>
      <c r="D166" t="s">
        <v>2684</v>
      </c>
      <c r="E166" s="43" t="s">
        <v>2685</v>
      </c>
      <c r="F166">
        <v>1</v>
      </c>
      <c r="G166">
        <v>43774</v>
      </c>
      <c r="H166">
        <v>43782</v>
      </c>
      <c r="I166">
        <v>43782</v>
      </c>
      <c r="J166" t="s">
        <v>3421</v>
      </c>
      <c r="K166" t="s">
        <v>1715</v>
      </c>
      <c r="L166" s="43" t="s">
        <v>3204</v>
      </c>
      <c r="M166" t="s">
        <v>2686</v>
      </c>
      <c r="N166" s="43" t="s">
        <v>2687</v>
      </c>
      <c r="O166" s="43" t="s">
        <v>2688</v>
      </c>
      <c r="P166" s="43" t="s">
        <v>309</v>
      </c>
      <c r="Q166" s="43" t="s">
        <v>2689</v>
      </c>
      <c r="S166">
        <v>44109</v>
      </c>
      <c r="T166" t="s">
        <v>311</v>
      </c>
      <c r="U166" t="s">
        <v>266</v>
      </c>
      <c r="V166" t="s">
        <v>267</v>
      </c>
      <c r="W166" t="s">
        <v>1718</v>
      </c>
      <c r="X166" t="s">
        <v>1719</v>
      </c>
      <c r="Y166">
        <v>8772802835</v>
      </c>
      <c r="Z166" t="s">
        <v>508</v>
      </c>
      <c r="AA166" t="s">
        <v>271</v>
      </c>
      <c r="AB166">
        <v>0</v>
      </c>
      <c r="AC166">
        <v>1250</v>
      </c>
      <c r="AD166">
        <v>99</v>
      </c>
      <c r="AE166" t="s">
        <v>364</v>
      </c>
      <c r="AF166">
        <v>3</v>
      </c>
      <c r="AG166" t="s">
        <v>446</v>
      </c>
      <c r="AH166">
        <v>9907</v>
      </c>
      <c r="AI166">
        <v>9907</v>
      </c>
      <c r="AJ166">
        <v>43783</v>
      </c>
      <c r="AK166" s="43" t="s">
        <v>3208</v>
      </c>
      <c r="AL166" s="43" t="s">
        <v>3209</v>
      </c>
      <c r="AM166">
        <v>43782</v>
      </c>
      <c r="AN166">
        <v>43782</v>
      </c>
      <c r="AO166" s="23">
        <v>43772</v>
      </c>
      <c r="AP166" s="23"/>
      <c r="AQ166" s="23"/>
      <c r="BC166" t="s">
        <v>2018</v>
      </c>
      <c r="BD166" s="43" t="s">
        <v>2018</v>
      </c>
      <c r="BE166" s="43" t="s">
        <v>2018</v>
      </c>
      <c r="BF166" s="43" t="s">
        <v>2018</v>
      </c>
      <c r="BG166" s="43" t="s">
        <v>2018</v>
      </c>
      <c r="BH166" t="s">
        <v>2018</v>
      </c>
      <c r="BI166" s="43" t="s">
        <v>2018</v>
      </c>
      <c r="BJ166">
        <v>0.19999999999999996</v>
      </c>
      <c r="BK166">
        <v>44109</v>
      </c>
      <c r="BL166">
        <v>44356</v>
      </c>
      <c r="BM166">
        <v>8505</v>
      </c>
      <c r="BN166">
        <v>8505</v>
      </c>
      <c r="BO166">
        <v>8505</v>
      </c>
      <c r="BP166">
        <v>25515</v>
      </c>
      <c r="BQ166">
        <v>3300</v>
      </c>
      <c r="BR166">
        <v>400</v>
      </c>
      <c r="BS166">
        <v>400</v>
      </c>
      <c r="BT166">
        <v>4100</v>
      </c>
      <c r="BU166">
        <v>2100</v>
      </c>
      <c r="BV166">
        <v>2100</v>
      </c>
      <c r="BW166">
        <v>2100</v>
      </c>
      <c r="BX166">
        <v>6300</v>
      </c>
      <c r="BY166">
        <v>1200</v>
      </c>
      <c r="BZ166">
        <v>1200</v>
      </c>
      <c r="CA166">
        <v>1200</v>
      </c>
      <c r="CB166">
        <v>3600</v>
      </c>
      <c r="CC166">
        <v>0</v>
      </c>
      <c r="CD166">
        <v>0</v>
      </c>
      <c r="CE166">
        <v>0</v>
      </c>
      <c r="CF166">
        <v>0</v>
      </c>
      <c r="CG166">
        <v>39515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1300</v>
      </c>
      <c r="CU166">
        <v>1300</v>
      </c>
      <c r="CV166">
        <v>1300</v>
      </c>
      <c r="CW166">
        <v>3900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3900</v>
      </c>
      <c r="EE166">
        <v>0</v>
      </c>
      <c r="EF166">
        <v>0</v>
      </c>
      <c r="EG166">
        <v>0</v>
      </c>
      <c r="EH166">
        <v>0</v>
      </c>
      <c r="EI166">
        <v>1154</v>
      </c>
      <c r="EJ166">
        <v>1154</v>
      </c>
      <c r="EK166">
        <v>1155</v>
      </c>
      <c r="EL166">
        <v>3500</v>
      </c>
      <c r="EM166">
        <v>37.065000000000005</v>
      </c>
      <c r="EN166">
        <v>660</v>
      </c>
      <c r="EO166">
        <v>660</v>
      </c>
      <c r="EP166">
        <v>660</v>
      </c>
      <c r="EQ166">
        <v>2000</v>
      </c>
      <c r="ER166">
        <v>21.18</v>
      </c>
      <c r="ES166">
        <v>10076</v>
      </c>
      <c r="ET166">
        <v>10076</v>
      </c>
      <c r="EU166">
        <v>10076</v>
      </c>
      <c r="EV166">
        <v>31508</v>
      </c>
      <c r="EW166">
        <v>1334.6788800000002</v>
      </c>
      <c r="FA166">
        <v>0</v>
      </c>
      <c r="FE166">
        <v>0</v>
      </c>
      <c r="FI166">
        <v>0</v>
      </c>
      <c r="FJ166">
        <v>35615.076119999998</v>
      </c>
      <c r="FK166">
        <v>35615</v>
      </c>
      <c r="FL166">
        <v>-7.948707238788881E-2</v>
      </c>
      <c r="FM166">
        <v>-7.6120000001537846E-2</v>
      </c>
    </row>
    <row r="167" spans="1:169" x14ac:dyDescent="0.35">
      <c r="A167">
        <v>199058</v>
      </c>
      <c r="B167" t="s">
        <v>3707</v>
      </c>
      <c r="C167" t="s">
        <v>3708</v>
      </c>
      <c r="D167" t="s">
        <v>3709</v>
      </c>
      <c r="E167" s="43" t="s">
        <v>3710</v>
      </c>
      <c r="F167">
        <v>1</v>
      </c>
      <c r="I167">
        <v>43804</v>
      </c>
      <c r="J167" t="s">
        <v>4242</v>
      </c>
      <c r="K167" t="s">
        <v>1715</v>
      </c>
      <c r="L167" s="43" t="s">
        <v>259</v>
      </c>
      <c r="M167" t="s">
        <v>3711</v>
      </c>
      <c r="N167" s="43" t="s">
        <v>3712</v>
      </c>
      <c r="O167" s="43" t="s">
        <v>3713</v>
      </c>
      <c r="P167" s="43" t="s">
        <v>542</v>
      </c>
      <c r="Q167" s="43" t="s">
        <v>3465</v>
      </c>
      <c r="S167">
        <v>44109</v>
      </c>
      <c r="T167" t="s">
        <v>544</v>
      </c>
      <c r="U167" t="s">
        <v>266</v>
      </c>
      <c r="V167" t="s">
        <v>267</v>
      </c>
      <c r="W167" t="s">
        <v>1718</v>
      </c>
      <c r="X167" t="s">
        <v>1719</v>
      </c>
      <c r="Y167">
        <v>8772802835</v>
      </c>
      <c r="Z167" t="s">
        <v>270</v>
      </c>
      <c r="AA167" t="s">
        <v>271</v>
      </c>
      <c r="AB167">
        <v>25</v>
      </c>
      <c r="AC167">
        <v>0</v>
      </c>
      <c r="AD167">
        <v>122</v>
      </c>
      <c r="AE167" t="s">
        <v>301</v>
      </c>
      <c r="AF167">
        <v>1</v>
      </c>
      <c r="AG167" t="s">
        <v>3345</v>
      </c>
      <c r="AK167" s="43" t="s">
        <v>259</v>
      </c>
      <c r="AL167" s="43" t="s">
        <v>259</v>
      </c>
      <c r="AO167" s="23"/>
      <c r="AP167" s="23"/>
      <c r="AQ167" s="23"/>
      <c r="BC167" t="s">
        <v>259</v>
      </c>
      <c r="BD167" s="43" t="s">
        <v>259</v>
      </c>
      <c r="BE167" s="43" t="s">
        <v>259</v>
      </c>
      <c r="BF167" s="43" t="s">
        <v>259</v>
      </c>
      <c r="BG167" s="43" t="s">
        <v>259</v>
      </c>
      <c r="BH167" t="s">
        <v>259</v>
      </c>
      <c r="BI167" s="43" t="s">
        <v>259</v>
      </c>
      <c r="BJ167">
        <v>0</v>
      </c>
      <c r="BK167">
        <v>44109</v>
      </c>
      <c r="BL167">
        <v>44356</v>
      </c>
      <c r="BM167">
        <v>8505</v>
      </c>
      <c r="BN167">
        <v>8505</v>
      </c>
      <c r="BO167">
        <v>8505</v>
      </c>
      <c r="BP167">
        <v>25515</v>
      </c>
      <c r="BQ167">
        <v>3300</v>
      </c>
      <c r="BR167">
        <v>400</v>
      </c>
      <c r="BS167">
        <v>400</v>
      </c>
      <c r="BT167">
        <v>4100</v>
      </c>
      <c r="BU167">
        <v>2100</v>
      </c>
      <c r="BV167">
        <v>2100</v>
      </c>
      <c r="BW167">
        <v>2100</v>
      </c>
      <c r="BX167">
        <v>6300</v>
      </c>
      <c r="BY167">
        <v>1200</v>
      </c>
      <c r="BZ167">
        <v>1200</v>
      </c>
      <c r="CA167">
        <v>1200</v>
      </c>
      <c r="CB167">
        <v>3600</v>
      </c>
      <c r="CC167">
        <v>0</v>
      </c>
      <c r="CD167">
        <v>0</v>
      </c>
      <c r="CE167">
        <v>0</v>
      </c>
      <c r="CF167">
        <v>0</v>
      </c>
      <c r="CG167">
        <v>39515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1700</v>
      </c>
      <c r="CU167">
        <v>1700</v>
      </c>
      <c r="CV167">
        <v>1700</v>
      </c>
      <c r="CW167">
        <v>5100</v>
      </c>
      <c r="CX167">
        <v>3000</v>
      </c>
      <c r="CY167">
        <v>3000</v>
      </c>
      <c r="CZ167">
        <v>3000</v>
      </c>
      <c r="DA167">
        <v>9000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14100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M167">
        <v>0</v>
      </c>
      <c r="EN167">
        <v>660</v>
      </c>
      <c r="EO167">
        <v>660</v>
      </c>
      <c r="EP167">
        <v>660</v>
      </c>
      <c r="EQ167">
        <v>2000</v>
      </c>
      <c r="ER167">
        <v>21.18</v>
      </c>
      <c r="ES167">
        <v>0</v>
      </c>
      <c r="ET167">
        <v>0</v>
      </c>
      <c r="EU167">
        <v>0</v>
      </c>
      <c r="EW167">
        <v>0</v>
      </c>
      <c r="FA167">
        <v>0</v>
      </c>
      <c r="FE167">
        <v>0</v>
      </c>
      <c r="FI167">
        <v>0</v>
      </c>
      <c r="FJ167">
        <v>1978.82</v>
      </c>
      <c r="FK167">
        <v>25415</v>
      </c>
      <c r="FL167">
        <v>24472.849922726706</v>
      </c>
      <c r="FM167">
        <v>23436.18</v>
      </c>
    </row>
    <row r="168" spans="1:169" x14ac:dyDescent="0.35">
      <c r="A168">
        <v>198775</v>
      </c>
      <c r="B168" t="s">
        <v>2690</v>
      </c>
      <c r="C168" t="s">
        <v>2691</v>
      </c>
      <c r="D168" t="s">
        <v>2692</v>
      </c>
      <c r="E168" s="43" t="s">
        <v>2693</v>
      </c>
      <c r="F168">
        <v>1</v>
      </c>
      <c r="I168">
        <v>43804</v>
      </c>
      <c r="J168" t="s">
        <v>4242</v>
      </c>
      <c r="K168" t="s">
        <v>1715</v>
      </c>
      <c r="L168" s="43" t="s">
        <v>259</v>
      </c>
      <c r="M168" t="s">
        <v>2694</v>
      </c>
      <c r="N168" s="43" t="s">
        <v>2695</v>
      </c>
      <c r="O168" s="43" t="s">
        <v>2696</v>
      </c>
      <c r="P168" s="43" t="s">
        <v>596</v>
      </c>
      <c r="Q168" s="43" t="s">
        <v>2697</v>
      </c>
      <c r="S168">
        <v>44109</v>
      </c>
      <c r="T168" t="s">
        <v>311</v>
      </c>
      <c r="U168" t="s">
        <v>266</v>
      </c>
      <c r="V168" t="s">
        <v>267</v>
      </c>
      <c r="W168" t="s">
        <v>1718</v>
      </c>
      <c r="X168" t="s">
        <v>1719</v>
      </c>
      <c r="Y168">
        <v>8772802835</v>
      </c>
      <c r="Z168" t="s">
        <v>270</v>
      </c>
      <c r="AA168" t="s">
        <v>271</v>
      </c>
      <c r="AB168">
        <v>0</v>
      </c>
      <c r="AC168">
        <v>0</v>
      </c>
      <c r="AD168">
        <v>0</v>
      </c>
      <c r="AE168" t="s">
        <v>416</v>
      </c>
      <c r="AF168">
        <v>5</v>
      </c>
      <c r="AG168" t="s">
        <v>275</v>
      </c>
      <c r="AK168" s="43" t="s">
        <v>259</v>
      </c>
      <c r="AL168" s="43" t="s">
        <v>259</v>
      </c>
      <c r="AO168" s="23"/>
      <c r="AP168" s="23"/>
      <c r="AQ168" s="23"/>
      <c r="BC168" t="s">
        <v>259</v>
      </c>
      <c r="BD168" s="43" t="s">
        <v>259</v>
      </c>
      <c r="BE168" s="43" t="s">
        <v>259</v>
      </c>
      <c r="BF168" s="43" t="s">
        <v>259</v>
      </c>
      <c r="BG168" s="43" t="s">
        <v>259</v>
      </c>
      <c r="BH168" t="s">
        <v>259</v>
      </c>
      <c r="BI168" s="43" t="s">
        <v>259</v>
      </c>
      <c r="BJ168">
        <v>0</v>
      </c>
      <c r="BK168">
        <v>44109</v>
      </c>
      <c r="BL168">
        <v>44356</v>
      </c>
      <c r="BM168">
        <v>8505</v>
      </c>
      <c r="BN168">
        <v>8505</v>
      </c>
      <c r="BO168">
        <v>8505</v>
      </c>
      <c r="BP168">
        <v>25515</v>
      </c>
      <c r="BQ168">
        <v>3300</v>
      </c>
      <c r="BR168">
        <v>400</v>
      </c>
      <c r="BS168">
        <v>400</v>
      </c>
      <c r="BT168">
        <v>4100</v>
      </c>
      <c r="BU168">
        <v>2100</v>
      </c>
      <c r="BV168">
        <v>2100</v>
      </c>
      <c r="BW168">
        <v>2100</v>
      </c>
      <c r="BX168">
        <v>6300</v>
      </c>
      <c r="BY168">
        <v>1200</v>
      </c>
      <c r="BZ168">
        <v>1200</v>
      </c>
      <c r="CA168">
        <v>1200</v>
      </c>
      <c r="CB168">
        <v>3600</v>
      </c>
      <c r="CC168">
        <v>0</v>
      </c>
      <c r="CD168">
        <v>0</v>
      </c>
      <c r="CE168">
        <v>0</v>
      </c>
      <c r="CF168">
        <v>0</v>
      </c>
      <c r="CG168">
        <v>39515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1000</v>
      </c>
      <c r="CU168">
        <v>1000</v>
      </c>
      <c r="CV168">
        <v>1000</v>
      </c>
      <c r="CW168">
        <v>3000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3000</v>
      </c>
      <c r="EE168">
        <v>0</v>
      </c>
      <c r="EF168">
        <v>0</v>
      </c>
      <c r="EG168">
        <v>0</v>
      </c>
      <c r="EH168">
        <v>0</v>
      </c>
      <c r="EI168">
        <v>1154</v>
      </c>
      <c r="EJ168">
        <v>1154</v>
      </c>
      <c r="EK168">
        <v>1155</v>
      </c>
      <c r="EL168">
        <v>3500</v>
      </c>
      <c r="EM168">
        <v>37.065000000000005</v>
      </c>
      <c r="EN168">
        <v>660</v>
      </c>
      <c r="EO168">
        <v>660</v>
      </c>
      <c r="EP168">
        <v>660</v>
      </c>
      <c r="EQ168">
        <v>2000</v>
      </c>
      <c r="ER168">
        <v>21.18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E168">
        <v>0</v>
      </c>
      <c r="FI168">
        <v>0</v>
      </c>
      <c r="FJ168">
        <v>5441.7550000000001</v>
      </c>
      <c r="FK168">
        <v>36515</v>
      </c>
      <c r="FL168">
        <v>32447.730880080198</v>
      </c>
      <c r="FM168">
        <v>31073.245000000003</v>
      </c>
    </row>
    <row r="169" spans="1:169" x14ac:dyDescent="0.35">
      <c r="A169">
        <v>198416</v>
      </c>
      <c r="B169" t="s">
        <v>2690</v>
      </c>
      <c r="C169" t="s">
        <v>2698</v>
      </c>
      <c r="D169" t="s">
        <v>2699</v>
      </c>
      <c r="E169" s="43" t="s">
        <v>2700</v>
      </c>
      <c r="F169">
        <v>1</v>
      </c>
      <c r="G169">
        <v>43769</v>
      </c>
      <c r="H169">
        <v>43782</v>
      </c>
      <c r="I169">
        <v>43782</v>
      </c>
      <c r="J169" t="s">
        <v>3421</v>
      </c>
      <c r="K169" t="s">
        <v>1715</v>
      </c>
      <c r="L169" s="43" t="s">
        <v>301</v>
      </c>
      <c r="M169" t="s">
        <v>2701</v>
      </c>
      <c r="N169" s="43" t="s">
        <v>2702</v>
      </c>
      <c r="O169" s="43" t="s">
        <v>1054</v>
      </c>
      <c r="P169" s="43" t="s">
        <v>297</v>
      </c>
      <c r="Q169" s="43" t="s">
        <v>2703</v>
      </c>
      <c r="S169">
        <v>44109</v>
      </c>
      <c r="T169" t="s">
        <v>311</v>
      </c>
      <c r="U169" t="s">
        <v>266</v>
      </c>
      <c r="V169" t="s">
        <v>267</v>
      </c>
      <c r="W169" t="s">
        <v>1718</v>
      </c>
      <c r="X169" t="s">
        <v>1719</v>
      </c>
      <c r="Y169">
        <v>8772802835</v>
      </c>
      <c r="Z169" t="s">
        <v>270</v>
      </c>
      <c r="AA169" t="s">
        <v>271</v>
      </c>
      <c r="AB169">
        <v>0</v>
      </c>
      <c r="AC169">
        <v>1040</v>
      </c>
      <c r="AD169">
        <v>110</v>
      </c>
      <c r="AE169" t="s">
        <v>301</v>
      </c>
      <c r="AF169">
        <v>1</v>
      </c>
      <c r="AG169" t="s">
        <v>275</v>
      </c>
      <c r="AH169">
        <v>0</v>
      </c>
      <c r="AI169">
        <v>0</v>
      </c>
      <c r="AJ169">
        <v>43776</v>
      </c>
      <c r="AK169" s="43" t="s">
        <v>1715</v>
      </c>
      <c r="AL169" s="43" t="s">
        <v>259</v>
      </c>
      <c r="AM169">
        <v>43782</v>
      </c>
      <c r="AN169">
        <v>43782</v>
      </c>
      <c r="AO169" s="23">
        <v>43777</v>
      </c>
      <c r="AP169" s="23"/>
      <c r="AQ169" s="23">
        <v>43782</v>
      </c>
      <c r="BC169" t="s">
        <v>2018</v>
      </c>
      <c r="BD169" s="43" t="s">
        <v>259</v>
      </c>
      <c r="BE169" s="43" t="s">
        <v>259</v>
      </c>
      <c r="BF169" s="43" t="s">
        <v>2018</v>
      </c>
      <c r="BG169" s="43" t="s">
        <v>2018</v>
      </c>
      <c r="BH169" t="s">
        <v>2018</v>
      </c>
      <c r="BI169" s="43" t="s">
        <v>259</v>
      </c>
      <c r="BJ169">
        <v>0.21052631578947367</v>
      </c>
      <c r="BK169">
        <v>44109</v>
      </c>
      <c r="BL169">
        <v>44356</v>
      </c>
      <c r="BM169">
        <v>8505</v>
      </c>
      <c r="BN169">
        <v>8505</v>
      </c>
      <c r="BO169">
        <v>8505</v>
      </c>
      <c r="BP169">
        <v>25515</v>
      </c>
      <c r="BQ169">
        <v>3300</v>
      </c>
      <c r="BR169">
        <v>400</v>
      </c>
      <c r="BS169">
        <v>400</v>
      </c>
      <c r="BT169">
        <v>4100</v>
      </c>
      <c r="BU169">
        <v>2100</v>
      </c>
      <c r="BV169">
        <v>2100</v>
      </c>
      <c r="BW169">
        <v>2100</v>
      </c>
      <c r="BX169">
        <v>6300</v>
      </c>
      <c r="BY169">
        <v>1200</v>
      </c>
      <c r="BZ169">
        <v>1200</v>
      </c>
      <c r="CA169">
        <v>1200</v>
      </c>
      <c r="CB169">
        <v>3600</v>
      </c>
      <c r="CC169">
        <v>0</v>
      </c>
      <c r="CD169">
        <v>0</v>
      </c>
      <c r="CE169">
        <v>0</v>
      </c>
      <c r="CF169">
        <v>0</v>
      </c>
      <c r="CG169">
        <v>39515</v>
      </c>
      <c r="CH169">
        <v>0</v>
      </c>
      <c r="CI169">
        <v>0</v>
      </c>
      <c r="CJ169">
        <v>0</v>
      </c>
      <c r="CK169">
        <v>0</v>
      </c>
      <c r="CL169">
        <v>2065</v>
      </c>
      <c r="CM169">
        <v>2065</v>
      </c>
      <c r="CN169">
        <v>2065</v>
      </c>
      <c r="CO169">
        <v>6195</v>
      </c>
      <c r="CP169">
        <v>500</v>
      </c>
      <c r="CQ169">
        <v>500</v>
      </c>
      <c r="CR169">
        <v>500</v>
      </c>
      <c r="CS169">
        <v>1500</v>
      </c>
      <c r="CT169">
        <v>1700</v>
      </c>
      <c r="CU169">
        <v>1700</v>
      </c>
      <c r="CV169">
        <v>1700</v>
      </c>
      <c r="CW169">
        <v>5100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12795</v>
      </c>
      <c r="EE169">
        <v>0</v>
      </c>
      <c r="EF169">
        <v>0</v>
      </c>
      <c r="EG169">
        <v>0</v>
      </c>
      <c r="EH169">
        <v>0</v>
      </c>
      <c r="EI169">
        <v>1154</v>
      </c>
      <c r="EJ169">
        <v>1154</v>
      </c>
      <c r="EK169">
        <v>1155</v>
      </c>
      <c r="EL169">
        <v>3500</v>
      </c>
      <c r="EM169">
        <v>37.065000000000005</v>
      </c>
      <c r="EN169">
        <v>1979</v>
      </c>
      <c r="EO169">
        <v>1979</v>
      </c>
      <c r="EP169">
        <v>1979</v>
      </c>
      <c r="EQ169">
        <v>6000</v>
      </c>
      <c r="ER169">
        <v>63.540000000000006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8157</v>
      </c>
      <c r="EY169">
        <v>5257</v>
      </c>
      <c r="EZ169">
        <v>5257</v>
      </c>
      <c r="FA169">
        <v>18671</v>
      </c>
      <c r="FE169">
        <v>0</v>
      </c>
      <c r="FI169">
        <v>0</v>
      </c>
      <c r="FJ169">
        <v>28070.395</v>
      </c>
      <c r="FK169">
        <v>26720</v>
      </c>
      <c r="FL169">
        <v>-1410.1280230566813</v>
      </c>
      <c r="FM169">
        <v>-1350.3950000000004</v>
      </c>
    </row>
    <row r="170" spans="1:169" x14ac:dyDescent="0.35">
      <c r="A170">
        <v>199316</v>
      </c>
      <c r="B170" t="s">
        <v>2690</v>
      </c>
      <c r="C170" t="s">
        <v>457</v>
      </c>
      <c r="D170" t="s">
        <v>4056</v>
      </c>
      <c r="E170" s="43" t="s">
        <v>4057</v>
      </c>
      <c r="F170">
        <v>1</v>
      </c>
      <c r="I170">
        <v>43804</v>
      </c>
      <c r="J170" t="s">
        <v>4240</v>
      </c>
      <c r="K170" t="s">
        <v>1715</v>
      </c>
      <c r="L170" s="43" t="s">
        <v>3204</v>
      </c>
      <c r="M170" t="s">
        <v>4058</v>
      </c>
      <c r="N170" s="43" t="s">
        <v>4059</v>
      </c>
      <c r="O170" s="43" t="s">
        <v>4060</v>
      </c>
      <c r="P170" s="43" t="s">
        <v>342</v>
      </c>
      <c r="Q170" s="43" t="s">
        <v>4061</v>
      </c>
      <c r="S170">
        <v>44109</v>
      </c>
      <c r="T170" t="s">
        <v>311</v>
      </c>
      <c r="U170" t="s">
        <v>266</v>
      </c>
      <c r="V170" t="s">
        <v>1028</v>
      </c>
      <c r="W170" t="s">
        <v>1718</v>
      </c>
      <c r="X170" t="s">
        <v>1719</v>
      </c>
      <c r="Y170">
        <v>8772802835</v>
      </c>
      <c r="Z170" t="s">
        <v>270</v>
      </c>
      <c r="AA170" t="s">
        <v>271</v>
      </c>
      <c r="AB170">
        <v>0</v>
      </c>
      <c r="AC170">
        <v>0</v>
      </c>
      <c r="AD170">
        <v>0</v>
      </c>
      <c r="AE170" t="s">
        <v>376</v>
      </c>
      <c r="AF170">
        <v>7</v>
      </c>
      <c r="AG170" t="s">
        <v>3345</v>
      </c>
      <c r="AH170">
        <v>0</v>
      </c>
      <c r="AI170">
        <v>0</v>
      </c>
      <c r="AJ170">
        <v>43804</v>
      </c>
      <c r="AK170" s="43" t="s">
        <v>3208</v>
      </c>
      <c r="AL170" s="43" t="s">
        <v>3209</v>
      </c>
      <c r="AO170" s="23"/>
      <c r="AP170" s="23"/>
      <c r="AQ170" s="23"/>
      <c r="BC170" t="s">
        <v>2018</v>
      </c>
      <c r="BD170" s="43" t="s">
        <v>2018</v>
      </c>
      <c r="BE170" s="43" t="s">
        <v>2018</v>
      </c>
      <c r="BF170" s="43" t="s">
        <v>2018</v>
      </c>
      <c r="BG170" s="43" t="s">
        <v>2018</v>
      </c>
      <c r="BH170" t="s">
        <v>2018</v>
      </c>
      <c r="BI170" s="43" t="s">
        <v>2018</v>
      </c>
      <c r="BJ170">
        <v>0</v>
      </c>
      <c r="BK170">
        <v>44109</v>
      </c>
      <c r="BL170">
        <v>44356</v>
      </c>
      <c r="BM170">
        <v>8505</v>
      </c>
      <c r="BN170">
        <v>8505</v>
      </c>
      <c r="BO170">
        <v>8505</v>
      </c>
      <c r="BP170">
        <v>25515</v>
      </c>
      <c r="BQ170">
        <v>3300</v>
      </c>
      <c r="BR170">
        <v>400</v>
      </c>
      <c r="BS170">
        <v>400</v>
      </c>
      <c r="BT170">
        <v>4100</v>
      </c>
      <c r="BU170">
        <v>2100</v>
      </c>
      <c r="BV170">
        <v>2100</v>
      </c>
      <c r="BW170">
        <v>2100</v>
      </c>
      <c r="BX170">
        <v>6300</v>
      </c>
      <c r="BY170">
        <v>1200</v>
      </c>
      <c r="BZ170">
        <v>1200</v>
      </c>
      <c r="CA170">
        <v>1200</v>
      </c>
      <c r="CB170">
        <v>3600</v>
      </c>
      <c r="CC170">
        <v>0</v>
      </c>
      <c r="CD170">
        <v>0</v>
      </c>
      <c r="CE170">
        <v>0</v>
      </c>
      <c r="CF170">
        <v>0</v>
      </c>
      <c r="CG170">
        <v>39515</v>
      </c>
      <c r="CH170">
        <v>0</v>
      </c>
      <c r="CI170">
        <v>0</v>
      </c>
      <c r="CJ170">
        <v>0</v>
      </c>
      <c r="CK170">
        <v>0</v>
      </c>
      <c r="CL170">
        <v>2065</v>
      </c>
      <c r="CM170">
        <v>2065</v>
      </c>
      <c r="CN170">
        <v>2065</v>
      </c>
      <c r="CO170">
        <v>6195</v>
      </c>
      <c r="CP170">
        <v>500</v>
      </c>
      <c r="CQ170">
        <v>500</v>
      </c>
      <c r="CR170">
        <v>500</v>
      </c>
      <c r="CS170">
        <v>1500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7695</v>
      </c>
      <c r="EE170">
        <v>0</v>
      </c>
      <c r="EF170">
        <v>0</v>
      </c>
      <c r="EG170">
        <v>0</v>
      </c>
      <c r="EH170">
        <v>0</v>
      </c>
      <c r="EI170">
        <v>1154</v>
      </c>
      <c r="EJ170">
        <v>1154</v>
      </c>
      <c r="EK170">
        <v>1155</v>
      </c>
      <c r="EL170">
        <v>3500</v>
      </c>
      <c r="EM170">
        <v>37.065000000000005</v>
      </c>
      <c r="EN170">
        <v>660</v>
      </c>
      <c r="EO170">
        <v>660</v>
      </c>
      <c r="EP170">
        <v>660</v>
      </c>
      <c r="EQ170">
        <v>2000</v>
      </c>
      <c r="ER170">
        <v>21.18</v>
      </c>
      <c r="ES170">
        <v>0</v>
      </c>
      <c r="ET170">
        <v>0</v>
      </c>
      <c r="EU170">
        <v>0</v>
      </c>
      <c r="EV170">
        <v>0</v>
      </c>
      <c r="EW170">
        <v>0</v>
      </c>
      <c r="FA170">
        <v>0</v>
      </c>
      <c r="FE170">
        <v>0</v>
      </c>
      <c r="FI170">
        <v>0</v>
      </c>
      <c r="FJ170">
        <v>5441.7550000000001</v>
      </c>
      <c r="FK170">
        <v>31820</v>
      </c>
      <c r="FL170">
        <v>27545.053464767552</v>
      </c>
      <c r="FM170">
        <v>26378.244999999999</v>
      </c>
    </row>
    <row r="171" spans="1:169" x14ac:dyDescent="0.35">
      <c r="A171">
        <v>195379</v>
      </c>
      <c r="B171" t="s">
        <v>2690</v>
      </c>
      <c r="C171" t="s">
        <v>2704</v>
      </c>
      <c r="D171" t="s">
        <v>2705</v>
      </c>
      <c r="E171" s="43" t="s">
        <v>2706</v>
      </c>
      <c r="F171">
        <v>1</v>
      </c>
      <c r="I171">
        <v>43804</v>
      </c>
      <c r="J171" t="s">
        <v>4242</v>
      </c>
      <c r="K171" t="s">
        <v>1715</v>
      </c>
      <c r="L171" s="43" t="s">
        <v>259</v>
      </c>
      <c r="M171" t="s">
        <v>2707</v>
      </c>
      <c r="N171" s="43" t="s">
        <v>2708</v>
      </c>
      <c r="O171" s="43" t="s">
        <v>282</v>
      </c>
      <c r="P171" s="43" t="s">
        <v>283</v>
      </c>
      <c r="Q171" s="43" t="s">
        <v>284</v>
      </c>
      <c r="S171">
        <v>44109</v>
      </c>
      <c r="T171" t="s">
        <v>311</v>
      </c>
      <c r="U171" t="s">
        <v>286</v>
      </c>
      <c r="V171" t="s">
        <v>267</v>
      </c>
      <c r="W171" t="s">
        <v>1718</v>
      </c>
      <c r="X171" t="s">
        <v>1719</v>
      </c>
      <c r="Y171">
        <v>8772802835</v>
      </c>
      <c r="Z171" t="s">
        <v>270</v>
      </c>
      <c r="AA171" t="s">
        <v>271</v>
      </c>
      <c r="AB171">
        <v>14</v>
      </c>
      <c r="AC171">
        <v>0</v>
      </c>
      <c r="AD171">
        <v>70</v>
      </c>
      <c r="AE171" t="s">
        <v>344</v>
      </c>
      <c r="AF171">
        <v>10</v>
      </c>
      <c r="AG171" t="s">
        <v>275</v>
      </c>
      <c r="AK171" s="43" t="s">
        <v>259</v>
      </c>
      <c r="AL171" s="43" t="s">
        <v>259</v>
      </c>
      <c r="AO171" s="23"/>
      <c r="AP171" s="23"/>
      <c r="AQ171" s="23"/>
      <c r="BC171" t="s">
        <v>259</v>
      </c>
      <c r="BD171" s="43" t="s">
        <v>259</v>
      </c>
      <c r="BE171" s="43" t="s">
        <v>259</v>
      </c>
      <c r="BF171" s="43" t="s">
        <v>259</v>
      </c>
      <c r="BG171" s="43" t="s">
        <v>259</v>
      </c>
      <c r="BH171" t="s">
        <v>259</v>
      </c>
      <c r="BI171" s="43" t="s">
        <v>259</v>
      </c>
      <c r="BJ171">
        <v>0</v>
      </c>
      <c r="BK171">
        <v>44109</v>
      </c>
      <c r="BL171">
        <v>44356</v>
      </c>
      <c r="BM171">
        <v>8505</v>
      </c>
      <c r="BN171">
        <v>8505</v>
      </c>
      <c r="BO171">
        <v>8505</v>
      </c>
      <c r="BP171">
        <v>25515</v>
      </c>
      <c r="BQ171">
        <v>3300</v>
      </c>
      <c r="BR171">
        <v>400</v>
      </c>
      <c r="BS171">
        <v>400</v>
      </c>
      <c r="BT171">
        <v>4100</v>
      </c>
      <c r="BU171">
        <v>2100</v>
      </c>
      <c r="BV171">
        <v>2100</v>
      </c>
      <c r="BW171">
        <v>2100</v>
      </c>
      <c r="BX171">
        <v>6300</v>
      </c>
      <c r="BY171">
        <v>1200</v>
      </c>
      <c r="BZ171">
        <v>1200</v>
      </c>
      <c r="CA171">
        <v>1200</v>
      </c>
      <c r="CB171">
        <v>3600</v>
      </c>
      <c r="CC171">
        <v>0</v>
      </c>
      <c r="CD171">
        <v>0</v>
      </c>
      <c r="CE171">
        <v>0</v>
      </c>
      <c r="CF171">
        <v>0</v>
      </c>
      <c r="CG171">
        <v>39515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1000</v>
      </c>
      <c r="DC171">
        <v>1000</v>
      </c>
      <c r="DD171">
        <v>1000</v>
      </c>
      <c r="DE171">
        <v>3000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3000</v>
      </c>
      <c r="EE171">
        <v>0</v>
      </c>
      <c r="EF171">
        <v>0</v>
      </c>
      <c r="EG171">
        <v>0</v>
      </c>
      <c r="EH171">
        <v>0</v>
      </c>
      <c r="EI171">
        <v>1154</v>
      </c>
      <c r="EJ171">
        <v>1154</v>
      </c>
      <c r="EK171">
        <v>1155</v>
      </c>
      <c r="EL171">
        <v>3500</v>
      </c>
      <c r="EM171">
        <v>37.065000000000005</v>
      </c>
      <c r="EN171">
        <v>660</v>
      </c>
      <c r="EO171">
        <v>660</v>
      </c>
      <c r="EP171">
        <v>660</v>
      </c>
      <c r="EQ171">
        <v>2000</v>
      </c>
      <c r="ER171">
        <v>21.18</v>
      </c>
      <c r="ES171">
        <v>0</v>
      </c>
      <c r="ET171">
        <v>0</v>
      </c>
      <c r="EU171">
        <v>0</v>
      </c>
      <c r="EV171">
        <v>0</v>
      </c>
      <c r="EW171">
        <v>0</v>
      </c>
      <c r="FA171">
        <v>0</v>
      </c>
      <c r="FE171">
        <v>0</v>
      </c>
      <c r="FI171">
        <v>0</v>
      </c>
      <c r="FJ171">
        <v>5441.7550000000001</v>
      </c>
      <c r="FK171">
        <v>36515</v>
      </c>
      <c r="FL171">
        <v>32447.730880080198</v>
      </c>
      <c r="FM171">
        <v>31073.245000000003</v>
      </c>
    </row>
    <row r="172" spans="1:169" x14ac:dyDescent="0.35">
      <c r="A172">
        <v>196180</v>
      </c>
      <c r="B172" t="s">
        <v>3714</v>
      </c>
      <c r="C172" t="s">
        <v>3715</v>
      </c>
      <c r="D172" t="s">
        <v>3716</v>
      </c>
      <c r="E172" s="43" t="s">
        <v>3717</v>
      </c>
      <c r="F172">
        <v>1</v>
      </c>
      <c r="I172">
        <v>43804</v>
      </c>
      <c r="J172" t="s">
        <v>4242</v>
      </c>
      <c r="K172" t="s">
        <v>1715</v>
      </c>
      <c r="L172" s="43" t="s">
        <v>259</v>
      </c>
      <c r="M172" t="s">
        <v>3718</v>
      </c>
      <c r="N172" s="43" t="s">
        <v>3719</v>
      </c>
      <c r="O172" s="43" t="s">
        <v>3720</v>
      </c>
      <c r="P172" s="43" t="s">
        <v>735</v>
      </c>
      <c r="Q172" s="43" t="s">
        <v>3721</v>
      </c>
      <c r="S172">
        <v>44109</v>
      </c>
      <c r="T172" t="s">
        <v>285</v>
      </c>
      <c r="U172" t="s">
        <v>266</v>
      </c>
      <c r="V172" t="s">
        <v>267</v>
      </c>
      <c r="W172" t="s">
        <v>1718</v>
      </c>
      <c r="X172" t="s">
        <v>1719</v>
      </c>
      <c r="Y172">
        <v>8772802835</v>
      </c>
      <c r="Z172" t="s">
        <v>270</v>
      </c>
      <c r="AA172" t="s">
        <v>271</v>
      </c>
      <c r="AB172">
        <v>0</v>
      </c>
      <c r="AC172">
        <v>0</v>
      </c>
      <c r="AD172">
        <v>0</v>
      </c>
      <c r="AE172" t="s">
        <v>324</v>
      </c>
      <c r="AF172">
        <v>8</v>
      </c>
      <c r="AG172" t="s">
        <v>3345</v>
      </c>
      <c r="AK172" s="43" t="s">
        <v>259</v>
      </c>
      <c r="AL172" s="43" t="s">
        <v>259</v>
      </c>
      <c r="AO172" s="23"/>
      <c r="AP172" s="23"/>
      <c r="AQ172" s="23"/>
      <c r="BC172" t="s">
        <v>259</v>
      </c>
      <c r="BD172" s="43" t="s">
        <v>259</v>
      </c>
      <c r="BE172" s="43" t="s">
        <v>259</v>
      </c>
      <c r="BF172" s="43" t="s">
        <v>259</v>
      </c>
      <c r="BG172" s="43" t="s">
        <v>259</v>
      </c>
      <c r="BH172" t="s">
        <v>259</v>
      </c>
      <c r="BI172" s="43" t="s">
        <v>259</v>
      </c>
      <c r="BJ172">
        <v>0</v>
      </c>
      <c r="BK172">
        <v>44109</v>
      </c>
      <c r="BL172">
        <v>44356</v>
      </c>
      <c r="BM172">
        <v>8505</v>
      </c>
      <c r="BN172">
        <v>8505</v>
      </c>
      <c r="BO172">
        <v>8505</v>
      </c>
      <c r="BP172">
        <v>25515</v>
      </c>
      <c r="BQ172">
        <v>3300</v>
      </c>
      <c r="BR172">
        <v>400</v>
      </c>
      <c r="BS172">
        <v>400</v>
      </c>
      <c r="BT172">
        <v>4100</v>
      </c>
      <c r="BU172">
        <v>2100</v>
      </c>
      <c r="BV172">
        <v>2100</v>
      </c>
      <c r="BW172">
        <v>2100</v>
      </c>
      <c r="BX172">
        <v>6300</v>
      </c>
      <c r="BY172">
        <v>1200</v>
      </c>
      <c r="BZ172">
        <v>1200</v>
      </c>
      <c r="CA172">
        <v>1200</v>
      </c>
      <c r="CB172">
        <v>3600</v>
      </c>
      <c r="CC172">
        <v>0</v>
      </c>
      <c r="CD172">
        <v>0</v>
      </c>
      <c r="CE172">
        <v>0</v>
      </c>
      <c r="CF172">
        <v>0</v>
      </c>
      <c r="CG172">
        <v>39515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M172">
        <v>0</v>
      </c>
      <c r="EN172">
        <v>660</v>
      </c>
      <c r="EO172">
        <v>660</v>
      </c>
      <c r="EP172">
        <v>660</v>
      </c>
      <c r="EQ172">
        <v>2000</v>
      </c>
      <c r="ER172">
        <v>21.18</v>
      </c>
      <c r="ES172">
        <v>0</v>
      </c>
      <c r="ET172">
        <v>0</v>
      </c>
      <c r="EU172">
        <v>0</v>
      </c>
      <c r="EW172">
        <v>0</v>
      </c>
      <c r="FA172">
        <v>0</v>
      </c>
      <c r="FE172">
        <v>0</v>
      </c>
      <c r="FI172">
        <v>0</v>
      </c>
      <c r="FJ172">
        <v>1978.82</v>
      </c>
      <c r="FK172">
        <v>39515</v>
      </c>
      <c r="FL172">
        <v>39196.54567478384</v>
      </c>
      <c r="FM172">
        <v>37536.18</v>
      </c>
    </row>
    <row r="173" spans="1:169" x14ac:dyDescent="0.35">
      <c r="A173">
        <v>196122</v>
      </c>
      <c r="B173" t="s">
        <v>2709</v>
      </c>
      <c r="C173" t="s">
        <v>2710</v>
      </c>
      <c r="D173" t="s">
        <v>2711</v>
      </c>
      <c r="E173" s="43" t="s">
        <v>2712</v>
      </c>
      <c r="F173">
        <v>1</v>
      </c>
      <c r="I173" t="s">
        <v>4253</v>
      </c>
      <c r="J173" t="s">
        <v>4240</v>
      </c>
      <c r="K173" t="s">
        <v>1715</v>
      </c>
      <c r="L173" s="43" t="s">
        <v>301</v>
      </c>
      <c r="M173" t="s">
        <v>2713</v>
      </c>
      <c r="N173" s="43" t="s">
        <v>2714</v>
      </c>
      <c r="O173" s="43" t="s">
        <v>2715</v>
      </c>
      <c r="P173" s="43" t="s">
        <v>297</v>
      </c>
      <c r="Q173" s="43" t="s">
        <v>2716</v>
      </c>
      <c r="S173">
        <v>44109</v>
      </c>
      <c r="T173" t="s">
        <v>311</v>
      </c>
      <c r="U173" t="s">
        <v>286</v>
      </c>
      <c r="V173" t="s">
        <v>267</v>
      </c>
      <c r="W173" t="s">
        <v>1718</v>
      </c>
      <c r="X173" t="s">
        <v>1719</v>
      </c>
      <c r="Y173">
        <v>8772802835</v>
      </c>
      <c r="Z173" t="s">
        <v>270</v>
      </c>
      <c r="AA173" t="s">
        <v>271</v>
      </c>
      <c r="AB173">
        <v>0</v>
      </c>
      <c r="AC173">
        <v>990</v>
      </c>
      <c r="AD173">
        <v>85</v>
      </c>
      <c r="AE173" t="s">
        <v>344</v>
      </c>
      <c r="AF173">
        <v>10</v>
      </c>
      <c r="AG173" t="s">
        <v>275</v>
      </c>
      <c r="AH173">
        <v>0</v>
      </c>
      <c r="AI173">
        <v>0</v>
      </c>
      <c r="AJ173">
        <v>43774</v>
      </c>
      <c r="AK173" s="43" t="s">
        <v>3208</v>
      </c>
      <c r="AL173" s="43" t="s">
        <v>3209</v>
      </c>
      <c r="AO173" s="23"/>
      <c r="AP173" s="23"/>
      <c r="AQ173" s="23"/>
      <c r="BC173" t="s">
        <v>2018</v>
      </c>
      <c r="BD173" s="43" t="s">
        <v>2018</v>
      </c>
      <c r="BE173" s="43" t="s">
        <v>2018</v>
      </c>
      <c r="BF173" s="43" t="s">
        <v>2018</v>
      </c>
      <c r="BG173" s="43" t="s">
        <v>2018</v>
      </c>
      <c r="BH173" t="s">
        <v>2018</v>
      </c>
      <c r="BI173" s="43" t="s">
        <v>2018</v>
      </c>
      <c r="BJ173">
        <v>0</v>
      </c>
      <c r="BK173">
        <v>44109</v>
      </c>
      <c r="BL173">
        <v>44356</v>
      </c>
      <c r="BM173">
        <v>8505</v>
      </c>
      <c r="BN173">
        <v>8505</v>
      </c>
      <c r="BO173">
        <v>8505</v>
      </c>
      <c r="BP173">
        <v>25515</v>
      </c>
      <c r="BQ173">
        <v>3300</v>
      </c>
      <c r="BR173">
        <v>400</v>
      </c>
      <c r="BS173">
        <v>400</v>
      </c>
      <c r="BT173">
        <v>4100</v>
      </c>
      <c r="BU173">
        <v>2100</v>
      </c>
      <c r="BV173">
        <v>2100</v>
      </c>
      <c r="BW173">
        <v>2100</v>
      </c>
      <c r="BX173">
        <v>6300</v>
      </c>
      <c r="BY173">
        <v>1200</v>
      </c>
      <c r="BZ173">
        <v>1200</v>
      </c>
      <c r="CA173">
        <v>1200</v>
      </c>
      <c r="CB173">
        <v>3600</v>
      </c>
      <c r="CC173">
        <v>0</v>
      </c>
      <c r="CD173">
        <v>0</v>
      </c>
      <c r="CE173">
        <v>0</v>
      </c>
      <c r="CF173">
        <v>0</v>
      </c>
      <c r="CG173">
        <v>39515</v>
      </c>
      <c r="CH173">
        <v>0</v>
      </c>
      <c r="CI173">
        <v>0</v>
      </c>
      <c r="CJ173">
        <v>0</v>
      </c>
      <c r="CK173">
        <v>0</v>
      </c>
      <c r="CL173">
        <v>2065</v>
      </c>
      <c r="CM173">
        <v>2065</v>
      </c>
      <c r="CN173">
        <v>2065</v>
      </c>
      <c r="CO173">
        <v>6195</v>
      </c>
      <c r="CP173">
        <v>500</v>
      </c>
      <c r="CQ173">
        <v>500</v>
      </c>
      <c r="CR173">
        <v>500</v>
      </c>
      <c r="CS173">
        <v>1500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1000</v>
      </c>
      <c r="DC173">
        <v>1000</v>
      </c>
      <c r="DD173">
        <v>1000</v>
      </c>
      <c r="DE173">
        <v>3000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10695</v>
      </c>
      <c r="EE173">
        <v>0</v>
      </c>
      <c r="EF173">
        <v>0</v>
      </c>
      <c r="EG173">
        <v>0</v>
      </c>
      <c r="EH173">
        <v>0</v>
      </c>
      <c r="EI173">
        <v>1154</v>
      </c>
      <c r="EJ173">
        <v>1154</v>
      </c>
      <c r="EK173">
        <v>1155</v>
      </c>
      <c r="EL173">
        <v>3500</v>
      </c>
      <c r="EM173">
        <v>37.065000000000005</v>
      </c>
      <c r="EN173">
        <v>1979</v>
      </c>
      <c r="EO173">
        <v>1979</v>
      </c>
      <c r="EP173">
        <v>1979</v>
      </c>
      <c r="EQ173">
        <v>6000</v>
      </c>
      <c r="ER173">
        <v>63.540000000000006</v>
      </c>
      <c r="ES173">
        <v>0</v>
      </c>
      <c r="ET173">
        <v>0</v>
      </c>
      <c r="EU173">
        <v>0</v>
      </c>
      <c r="EV173">
        <v>0</v>
      </c>
      <c r="EW173">
        <v>0</v>
      </c>
      <c r="FA173">
        <v>0</v>
      </c>
      <c r="FE173">
        <v>0</v>
      </c>
      <c r="FI173">
        <v>0</v>
      </c>
      <c r="FJ173">
        <v>9399.3950000000004</v>
      </c>
      <c r="FK173">
        <v>28820</v>
      </c>
      <c r="FL173">
        <v>20279.651017083663</v>
      </c>
      <c r="FM173">
        <v>19420.605</v>
      </c>
    </row>
    <row r="174" spans="1:169" x14ac:dyDescent="0.35">
      <c r="A174">
        <v>197050</v>
      </c>
      <c r="B174" t="s">
        <v>2717</v>
      </c>
      <c r="C174" t="s">
        <v>2718</v>
      </c>
      <c r="D174" t="s">
        <v>2719</v>
      </c>
      <c r="E174" s="43" t="s">
        <v>2720</v>
      </c>
      <c r="F174">
        <v>1</v>
      </c>
      <c r="I174">
        <v>43804</v>
      </c>
      <c r="J174" t="s">
        <v>4240</v>
      </c>
      <c r="K174" t="s">
        <v>1715</v>
      </c>
      <c r="L174" s="43" t="s">
        <v>3204</v>
      </c>
      <c r="M174" t="s">
        <v>2721</v>
      </c>
      <c r="N174" s="43" t="s">
        <v>2722</v>
      </c>
      <c r="O174" s="43" t="s">
        <v>2723</v>
      </c>
      <c r="P174" s="43" t="s">
        <v>608</v>
      </c>
      <c r="Q174" s="43" t="s">
        <v>2724</v>
      </c>
      <c r="S174">
        <v>44109</v>
      </c>
      <c r="T174" t="s">
        <v>265</v>
      </c>
      <c r="U174" t="s">
        <v>266</v>
      </c>
      <c r="V174" t="s">
        <v>267</v>
      </c>
      <c r="W174" t="s">
        <v>1718</v>
      </c>
      <c r="X174" t="s">
        <v>1719</v>
      </c>
      <c r="Y174">
        <v>8772802835</v>
      </c>
      <c r="Z174" t="s">
        <v>270</v>
      </c>
      <c r="AA174" t="s">
        <v>271</v>
      </c>
      <c r="AB174">
        <v>18</v>
      </c>
      <c r="AC174">
        <v>0</v>
      </c>
      <c r="AD174">
        <v>100</v>
      </c>
      <c r="AE174" t="s">
        <v>354</v>
      </c>
      <c r="AF174">
        <v>6</v>
      </c>
      <c r="AG174" t="s">
        <v>275</v>
      </c>
      <c r="AH174">
        <v>0</v>
      </c>
      <c r="AI174">
        <v>0</v>
      </c>
      <c r="AJ174">
        <v>43774</v>
      </c>
      <c r="AK174" s="43" t="s">
        <v>3208</v>
      </c>
      <c r="AL174" s="43" t="s">
        <v>3209</v>
      </c>
      <c r="AO174" s="23"/>
      <c r="AP174" s="23"/>
      <c r="AQ174" s="23"/>
      <c r="BC174" t="s">
        <v>2018</v>
      </c>
      <c r="BD174" s="43" t="s">
        <v>2018</v>
      </c>
      <c r="BE174" s="43" t="s">
        <v>2018</v>
      </c>
      <c r="BF174" s="43" t="s">
        <v>2018</v>
      </c>
      <c r="BG174" s="43" t="s">
        <v>2018</v>
      </c>
      <c r="BH174" t="s">
        <v>2018</v>
      </c>
      <c r="BI174" s="43" t="s">
        <v>2018</v>
      </c>
      <c r="BJ174">
        <v>0</v>
      </c>
      <c r="BK174">
        <v>44109</v>
      </c>
      <c r="BL174">
        <v>44356</v>
      </c>
      <c r="BM174">
        <v>8505</v>
      </c>
      <c r="BN174">
        <v>8505</v>
      </c>
      <c r="BO174">
        <v>8505</v>
      </c>
      <c r="BP174">
        <v>25515</v>
      </c>
      <c r="BQ174">
        <v>3300</v>
      </c>
      <c r="BR174">
        <v>400</v>
      </c>
      <c r="BS174">
        <v>400</v>
      </c>
      <c r="BT174">
        <v>4100</v>
      </c>
      <c r="BU174">
        <v>2100</v>
      </c>
      <c r="BV174">
        <v>2100</v>
      </c>
      <c r="BW174">
        <v>2100</v>
      </c>
      <c r="BX174">
        <v>6300</v>
      </c>
      <c r="BY174">
        <v>1200</v>
      </c>
      <c r="BZ174">
        <v>1200</v>
      </c>
      <c r="CA174">
        <v>1200</v>
      </c>
      <c r="CB174">
        <v>3600</v>
      </c>
      <c r="CC174">
        <v>0</v>
      </c>
      <c r="CD174">
        <v>0</v>
      </c>
      <c r="CE174">
        <v>0</v>
      </c>
      <c r="CF174">
        <v>0</v>
      </c>
      <c r="CG174">
        <v>39515</v>
      </c>
      <c r="CH174">
        <v>0</v>
      </c>
      <c r="CI174">
        <v>0</v>
      </c>
      <c r="CJ174">
        <v>0</v>
      </c>
      <c r="CK174">
        <v>0</v>
      </c>
      <c r="CL174">
        <v>2065</v>
      </c>
      <c r="CM174">
        <v>2065</v>
      </c>
      <c r="CN174">
        <v>2065</v>
      </c>
      <c r="CO174">
        <v>6195</v>
      </c>
      <c r="CP174">
        <v>500</v>
      </c>
      <c r="CQ174">
        <v>500</v>
      </c>
      <c r="CR174">
        <v>500</v>
      </c>
      <c r="CS174">
        <v>1500</v>
      </c>
      <c r="CT174">
        <v>750</v>
      </c>
      <c r="CU174">
        <v>750</v>
      </c>
      <c r="CV174">
        <v>750</v>
      </c>
      <c r="CW174">
        <v>2250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9945</v>
      </c>
      <c r="EE174">
        <v>0</v>
      </c>
      <c r="EF174">
        <v>0</v>
      </c>
      <c r="EG174">
        <v>0</v>
      </c>
      <c r="EH174">
        <v>0</v>
      </c>
      <c r="EI174">
        <v>1154</v>
      </c>
      <c r="EJ174">
        <v>1154</v>
      </c>
      <c r="EK174">
        <v>1155</v>
      </c>
      <c r="EL174">
        <v>3500</v>
      </c>
      <c r="EM174">
        <v>37.065000000000005</v>
      </c>
      <c r="EN174">
        <v>660</v>
      </c>
      <c r="EO174">
        <v>660</v>
      </c>
      <c r="EP174">
        <v>660</v>
      </c>
      <c r="EQ174">
        <v>2000</v>
      </c>
      <c r="ER174">
        <v>21.18</v>
      </c>
      <c r="ES174">
        <v>0</v>
      </c>
      <c r="ET174">
        <v>0</v>
      </c>
      <c r="EU174">
        <v>0</v>
      </c>
      <c r="EV174">
        <v>0</v>
      </c>
      <c r="EW174">
        <v>0</v>
      </c>
      <c r="FA174">
        <v>0</v>
      </c>
      <c r="FE174">
        <v>0</v>
      </c>
      <c r="FI174">
        <v>0</v>
      </c>
      <c r="FJ174">
        <v>5441.7550000000001</v>
      </c>
      <c r="FK174">
        <v>29570</v>
      </c>
      <c r="FL174">
        <v>25195.527546886093</v>
      </c>
      <c r="FM174">
        <v>24128.244999999999</v>
      </c>
    </row>
    <row r="175" spans="1:169" x14ac:dyDescent="0.35">
      <c r="A175">
        <v>197700</v>
      </c>
      <c r="B175" t="s">
        <v>1356</v>
      </c>
      <c r="C175" t="s">
        <v>2725</v>
      </c>
      <c r="D175" t="s">
        <v>2726</v>
      </c>
      <c r="E175" s="43" t="s">
        <v>2727</v>
      </c>
      <c r="F175">
        <v>1</v>
      </c>
      <c r="I175">
        <v>43804</v>
      </c>
      <c r="J175" t="s">
        <v>4242</v>
      </c>
      <c r="K175" t="s">
        <v>1715</v>
      </c>
      <c r="L175" s="43" t="s">
        <v>259</v>
      </c>
      <c r="M175" t="s">
        <v>2728</v>
      </c>
      <c r="N175" s="43" t="s">
        <v>2729</v>
      </c>
      <c r="O175" s="43" t="s">
        <v>2730</v>
      </c>
      <c r="P175" s="43" t="s">
        <v>524</v>
      </c>
      <c r="Q175" s="43" t="s">
        <v>2731</v>
      </c>
      <c r="S175">
        <v>44109</v>
      </c>
      <c r="T175" t="s">
        <v>311</v>
      </c>
      <c r="U175" t="s">
        <v>286</v>
      </c>
      <c r="V175" t="s">
        <v>267</v>
      </c>
      <c r="W175" t="s">
        <v>1718</v>
      </c>
      <c r="X175" t="s">
        <v>1719</v>
      </c>
      <c r="Y175">
        <v>8772802835</v>
      </c>
      <c r="Z175" t="s">
        <v>270</v>
      </c>
      <c r="AA175" t="s">
        <v>271</v>
      </c>
      <c r="AB175">
        <v>24</v>
      </c>
      <c r="AC175">
        <v>0</v>
      </c>
      <c r="AD175">
        <v>120</v>
      </c>
      <c r="AE175" t="s">
        <v>301</v>
      </c>
      <c r="AF175">
        <v>1</v>
      </c>
      <c r="AG175" t="s">
        <v>275</v>
      </c>
      <c r="AK175" s="43" t="s">
        <v>259</v>
      </c>
      <c r="AL175" s="43" t="s">
        <v>259</v>
      </c>
      <c r="AO175" s="23"/>
      <c r="AP175" s="23"/>
      <c r="AQ175" s="23"/>
      <c r="BC175" t="s">
        <v>259</v>
      </c>
      <c r="BD175" s="43" t="s">
        <v>259</v>
      </c>
      <c r="BE175" s="43" t="s">
        <v>259</v>
      </c>
      <c r="BF175" s="43" t="s">
        <v>259</v>
      </c>
      <c r="BG175" s="43" t="s">
        <v>259</v>
      </c>
      <c r="BH175" t="s">
        <v>259</v>
      </c>
      <c r="BI175" s="43" t="s">
        <v>259</v>
      </c>
      <c r="BJ175">
        <v>0</v>
      </c>
      <c r="BK175">
        <v>44109</v>
      </c>
      <c r="BL175">
        <v>44356</v>
      </c>
      <c r="BM175">
        <v>8505</v>
      </c>
      <c r="BN175">
        <v>8505</v>
      </c>
      <c r="BO175">
        <v>8505</v>
      </c>
      <c r="BP175">
        <v>25515</v>
      </c>
      <c r="BQ175">
        <v>3300</v>
      </c>
      <c r="BR175">
        <v>400</v>
      </c>
      <c r="BS175">
        <v>400</v>
      </c>
      <c r="BT175">
        <v>4100</v>
      </c>
      <c r="BU175">
        <v>2100</v>
      </c>
      <c r="BV175">
        <v>2100</v>
      </c>
      <c r="BW175">
        <v>2100</v>
      </c>
      <c r="BX175">
        <v>6300</v>
      </c>
      <c r="BY175">
        <v>1200</v>
      </c>
      <c r="BZ175">
        <v>1200</v>
      </c>
      <c r="CA175">
        <v>1200</v>
      </c>
      <c r="CB175">
        <v>3600</v>
      </c>
      <c r="CC175">
        <v>0</v>
      </c>
      <c r="CD175">
        <v>0</v>
      </c>
      <c r="CE175">
        <v>0</v>
      </c>
      <c r="CF175">
        <v>0</v>
      </c>
      <c r="CG175">
        <v>39515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1700</v>
      </c>
      <c r="CU175">
        <v>1700</v>
      </c>
      <c r="CV175">
        <v>1700</v>
      </c>
      <c r="CW175">
        <v>5100</v>
      </c>
      <c r="CX175">
        <v>0</v>
      </c>
      <c r="CY175">
        <v>0</v>
      </c>
      <c r="CZ175">
        <v>0</v>
      </c>
      <c r="DA175">
        <v>0</v>
      </c>
      <c r="DB175">
        <v>1000</v>
      </c>
      <c r="DC175">
        <v>1000</v>
      </c>
      <c r="DD175">
        <v>1000</v>
      </c>
      <c r="DE175">
        <v>3000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8100</v>
      </c>
      <c r="EE175">
        <v>0</v>
      </c>
      <c r="EF175">
        <v>0</v>
      </c>
      <c r="EG175">
        <v>0</v>
      </c>
      <c r="EH175">
        <v>0</v>
      </c>
      <c r="EI175">
        <v>1154</v>
      </c>
      <c r="EJ175">
        <v>1154</v>
      </c>
      <c r="EK175">
        <v>1155</v>
      </c>
      <c r="EL175">
        <v>3500</v>
      </c>
      <c r="EM175">
        <v>37.065000000000005</v>
      </c>
      <c r="EN175">
        <v>660</v>
      </c>
      <c r="EO175">
        <v>660</v>
      </c>
      <c r="EP175">
        <v>660</v>
      </c>
      <c r="EQ175">
        <v>2000</v>
      </c>
      <c r="ER175">
        <v>21.18</v>
      </c>
      <c r="ES175">
        <v>0</v>
      </c>
      <c r="ET175">
        <v>0</v>
      </c>
      <c r="EU175">
        <v>0</v>
      </c>
      <c r="EV175">
        <v>0</v>
      </c>
      <c r="EW175">
        <v>0</v>
      </c>
      <c r="FA175">
        <v>0</v>
      </c>
      <c r="FE175">
        <v>0</v>
      </c>
      <c r="FI175">
        <v>0</v>
      </c>
      <c r="FJ175">
        <v>5441.7550000000001</v>
      </c>
      <c r="FK175">
        <v>31415</v>
      </c>
      <c r="FL175">
        <v>27122.138799548888</v>
      </c>
      <c r="FM175">
        <v>25973.244999999999</v>
      </c>
    </row>
    <row r="176" spans="1:169" x14ac:dyDescent="0.35">
      <c r="A176">
        <v>193561</v>
      </c>
      <c r="B176" t="s">
        <v>1356</v>
      </c>
      <c r="C176" t="s">
        <v>2732</v>
      </c>
      <c r="D176" t="s">
        <v>2733</v>
      </c>
      <c r="E176" s="43" t="s">
        <v>2734</v>
      </c>
      <c r="F176">
        <v>1</v>
      </c>
      <c r="I176">
        <v>43776</v>
      </c>
      <c r="J176" t="s">
        <v>3304</v>
      </c>
      <c r="K176" t="s">
        <v>1715</v>
      </c>
      <c r="L176" s="43" t="s">
        <v>3204</v>
      </c>
      <c r="M176" t="s">
        <v>2735</v>
      </c>
      <c r="N176" s="43" t="s">
        <v>2736</v>
      </c>
      <c r="O176" s="43" t="s">
        <v>2737</v>
      </c>
      <c r="P176" s="43" t="s">
        <v>831</v>
      </c>
      <c r="Q176" s="43" t="s">
        <v>2738</v>
      </c>
      <c r="S176">
        <v>44109</v>
      </c>
      <c r="T176" t="s">
        <v>311</v>
      </c>
      <c r="U176" t="s">
        <v>286</v>
      </c>
      <c r="V176" t="s">
        <v>267</v>
      </c>
      <c r="W176" t="s">
        <v>1718</v>
      </c>
      <c r="X176" t="s">
        <v>1719</v>
      </c>
      <c r="Y176">
        <v>8772802835</v>
      </c>
      <c r="Z176" t="s">
        <v>270</v>
      </c>
      <c r="AA176" t="s">
        <v>271</v>
      </c>
      <c r="AB176">
        <v>30</v>
      </c>
      <c r="AC176">
        <v>1290</v>
      </c>
      <c r="AD176">
        <v>129</v>
      </c>
      <c r="AE176" t="s">
        <v>301</v>
      </c>
      <c r="AF176">
        <v>1</v>
      </c>
      <c r="AG176" t="s">
        <v>275</v>
      </c>
      <c r="AH176">
        <v>46519</v>
      </c>
      <c r="AI176">
        <v>46519</v>
      </c>
      <c r="AJ176">
        <v>43774</v>
      </c>
      <c r="AK176" s="43" t="s">
        <v>3208</v>
      </c>
      <c r="AL176" s="43" t="s">
        <v>3209</v>
      </c>
      <c r="AO176" s="23"/>
      <c r="AP176" s="23"/>
      <c r="AQ176" s="23"/>
      <c r="BC176" t="s">
        <v>2018</v>
      </c>
      <c r="BD176" s="43" t="s">
        <v>2018</v>
      </c>
      <c r="BE176" s="43" t="s">
        <v>2018</v>
      </c>
      <c r="BF176" s="43" t="s">
        <v>2018</v>
      </c>
      <c r="BG176" s="43" t="s">
        <v>2018</v>
      </c>
      <c r="BH176" t="s">
        <v>2018</v>
      </c>
      <c r="BI176" s="43" t="s">
        <v>2018</v>
      </c>
      <c r="BJ176">
        <v>0</v>
      </c>
      <c r="BK176">
        <v>44109</v>
      </c>
      <c r="BL176">
        <v>44356</v>
      </c>
      <c r="BM176">
        <v>8505</v>
      </c>
      <c r="BN176">
        <v>8505</v>
      </c>
      <c r="BO176">
        <v>8505</v>
      </c>
      <c r="BP176">
        <v>25515</v>
      </c>
      <c r="BQ176">
        <v>3300</v>
      </c>
      <c r="BR176">
        <v>400</v>
      </c>
      <c r="BS176">
        <v>400</v>
      </c>
      <c r="BT176">
        <v>4100</v>
      </c>
      <c r="BU176">
        <v>2100</v>
      </c>
      <c r="BV176">
        <v>2100</v>
      </c>
      <c r="BW176">
        <v>2100</v>
      </c>
      <c r="BX176">
        <v>6300</v>
      </c>
      <c r="BY176">
        <v>1200</v>
      </c>
      <c r="BZ176">
        <v>1200</v>
      </c>
      <c r="CA176">
        <v>1200</v>
      </c>
      <c r="CB176">
        <v>3600</v>
      </c>
      <c r="CC176">
        <v>0</v>
      </c>
      <c r="CD176">
        <v>0</v>
      </c>
      <c r="CE176">
        <v>0</v>
      </c>
      <c r="CF176">
        <v>0</v>
      </c>
      <c r="CG176">
        <v>39515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1700</v>
      </c>
      <c r="CU176">
        <v>1700</v>
      </c>
      <c r="CV176">
        <v>1700</v>
      </c>
      <c r="CW176">
        <v>5100</v>
      </c>
      <c r="CX176">
        <v>0</v>
      </c>
      <c r="CY176">
        <v>0</v>
      </c>
      <c r="CZ176">
        <v>0</v>
      </c>
      <c r="DA176">
        <v>0</v>
      </c>
      <c r="DB176">
        <v>1000</v>
      </c>
      <c r="DC176">
        <v>1000</v>
      </c>
      <c r="DD176">
        <v>1000</v>
      </c>
      <c r="DE176">
        <v>3000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8100</v>
      </c>
      <c r="EE176">
        <v>0</v>
      </c>
      <c r="EF176">
        <v>0</v>
      </c>
      <c r="EG176">
        <v>0</v>
      </c>
      <c r="EH176">
        <v>0</v>
      </c>
      <c r="EI176">
        <v>1154</v>
      </c>
      <c r="EJ176">
        <v>1154</v>
      </c>
      <c r="EK176">
        <v>1155</v>
      </c>
      <c r="EL176">
        <v>3500</v>
      </c>
      <c r="EM176">
        <v>37.065000000000005</v>
      </c>
      <c r="EN176">
        <v>660</v>
      </c>
      <c r="EO176">
        <v>660</v>
      </c>
      <c r="EP176">
        <v>660</v>
      </c>
      <c r="EQ176">
        <v>2000</v>
      </c>
      <c r="ER176">
        <v>21.18</v>
      </c>
      <c r="ES176">
        <v>0</v>
      </c>
      <c r="ET176">
        <v>0</v>
      </c>
      <c r="EU176">
        <v>0</v>
      </c>
      <c r="EV176">
        <v>0</v>
      </c>
      <c r="EW176">
        <v>0</v>
      </c>
      <c r="FA176">
        <v>0</v>
      </c>
      <c r="FE176">
        <v>0</v>
      </c>
      <c r="FI176">
        <v>0</v>
      </c>
      <c r="FJ176">
        <v>5441.7550000000001</v>
      </c>
      <c r="FK176">
        <v>31415</v>
      </c>
      <c r="FL176">
        <v>27122.138799548888</v>
      </c>
      <c r="FM176">
        <v>25973.244999999999</v>
      </c>
    </row>
    <row r="177" spans="1:169" x14ac:dyDescent="0.35">
      <c r="A177">
        <v>198057</v>
      </c>
      <c r="B177" t="s">
        <v>2739</v>
      </c>
      <c r="C177" t="s">
        <v>2740</v>
      </c>
      <c r="D177" t="s">
        <v>2741</v>
      </c>
      <c r="E177" s="43" t="s">
        <v>2742</v>
      </c>
      <c r="F177">
        <v>1</v>
      </c>
      <c r="I177">
        <v>43804</v>
      </c>
      <c r="J177" t="s">
        <v>4242</v>
      </c>
      <c r="K177" t="s">
        <v>1715</v>
      </c>
      <c r="L177" s="43" t="s">
        <v>259</v>
      </c>
      <c r="M177" t="s">
        <v>2743</v>
      </c>
      <c r="N177" s="43" t="s">
        <v>2744</v>
      </c>
      <c r="O177" s="43" t="s">
        <v>2745</v>
      </c>
      <c r="P177" s="43" t="s">
        <v>524</v>
      </c>
      <c r="Q177" s="43" t="s">
        <v>2746</v>
      </c>
      <c r="S177">
        <v>44109</v>
      </c>
      <c r="T177" t="s">
        <v>311</v>
      </c>
      <c r="U177" t="s">
        <v>286</v>
      </c>
      <c r="V177" t="s">
        <v>267</v>
      </c>
      <c r="W177" t="s">
        <v>1718</v>
      </c>
      <c r="X177" t="s">
        <v>1719</v>
      </c>
      <c r="Y177">
        <v>8772802835</v>
      </c>
      <c r="Z177" t="s">
        <v>270</v>
      </c>
      <c r="AA177" t="s">
        <v>271</v>
      </c>
      <c r="AB177">
        <v>20</v>
      </c>
      <c r="AC177">
        <v>0</v>
      </c>
      <c r="AD177">
        <v>95</v>
      </c>
      <c r="AE177" t="s">
        <v>354</v>
      </c>
      <c r="AF177">
        <v>6</v>
      </c>
      <c r="AG177" t="s">
        <v>275</v>
      </c>
      <c r="AK177" s="43" t="s">
        <v>259</v>
      </c>
      <c r="AL177" s="43" t="s">
        <v>259</v>
      </c>
      <c r="AO177" s="23"/>
      <c r="AP177" s="23"/>
      <c r="AQ177" s="23"/>
      <c r="BC177" t="s">
        <v>259</v>
      </c>
      <c r="BD177" s="43" t="s">
        <v>259</v>
      </c>
      <c r="BE177" s="43" t="s">
        <v>259</v>
      </c>
      <c r="BF177" s="43" t="s">
        <v>259</v>
      </c>
      <c r="BG177" s="43" t="s">
        <v>259</v>
      </c>
      <c r="BH177" t="s">
        <v>259</v>
      </c>
      <c r="BI177" s="43" t="s">
        <v>259</v>
      </c>
      <c r="BJ177">
        <v>0</v>
      </c>
      <c r="BK177">
        <v>44109</v>
      </c>
      <c r="BL177">
        <v>44356</v>
      </c>
      <c r="BM177">
        <v>8505</v>
      </c>
      <c r="BN177">
        <v>8505</v>
      </c>
      <c r="BO177">
        <v>8505</v>
      </c>
      <c r="BP177">
        <v>25515</v>
      </c>
      <c r="BQ177">
        <v>3300</v>
      </c>
      <c r="BR177">
        <v>400</v>
      </c>
      <c r="BS177">
        <v>400</v>
      </c>
      <c r="BT177">
        <v>4100</v>
      </c>
      <c r="BU177">
        <v>2100</v>
      </c>
      <c r="BV177">
        <v>2100</v>
      </c>
      <c r="BW177">
        <v>2100</v>
      </c>
      <c r="BX177">
        <v>6300</v>
      </c>
      <c r="BY177">
        <v>1200</v>
      </c>
      <c r="BZ177">
        <v>1200</v>
      </c>
      <c r="CA177">
        <v>1200</v>
      </c>
      <c r="CB177">
        <v>3600</v>
      </c>
      <c r="CC177">
        <v>0</v>
      </c>
      <c r="CD177">
        <v>0</v>
      </c>
      <c r="CE177">
        <v>0</v>
      </c>
      <c r="CF177">
        <v>0</v>
      </c>
      <c r="CG177">
        <v>39515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750</v>
      </c>
      <c r="CU177">
        <v>750</v>
      </c>
      <c r="CV177">
        <v>750</v>
      </c>
      <c r="CW177">
        <v>2250</v>
      </c>
      <c r="CX177">
        <v>0</v>
      </c>
      <c r="CY177">
        <v>0</v>
      </c>
      <c r="CZ177">
        <v>0</v>
      </c>
      <c r="DA177">
        <v>0</v>
      </c>
      <c r="DB177">
        <v>1000</v>
      </c>
      <c r="DC177">
        <v>1000</v>
      </c>
      <c r="DD177">
        <v>1000</v>
      </c>
      <c r="DE177">
        <v>3000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5250</v>
      </c>
      <c r="EE177">
        <v>0</v>
      </c>
      <c r="EF177">
        <v>0</v>
      </c>
      <c r="EG177">
        <v>0</v>
      </c>
      <c r="EH177">
        <v>0</v>
      </c>
      <c r="EI177">
        <v>1154</v>
      </c>
      <c r="EJ177">
        <v>1154</v>
      </c>
      <c r="EK177">
        <v>1155</v>
      </c>
      <c r="EL177">
        <v>3500</v>
      </c>
      <c r="EM177">
        <v>37.065000000000005</v>
      </c>
      <c r="EN177">
        <v>660</v>
      </c>
      <c r="EO177">
        <v>660</v>
      </c>
      <c r="EP177">
        <v>660</v>
      </c>
      <c r="EQ177">
        <v>2000</v>
      </c>
      <c r="ER177">
        <v>21.18</v>
      </c>
      <c r="ES177">
        <v>0</v>
      </c>
      <c r="ET177">
        <v>0</v>
      </c>
      <c r="EU177">
        <v>0</v>
      </c>
      <c r="EV177">
        <v>0</v>
      </c>
      <c r="EW177">
        <v>0</v>
      </c>
      <c r="FA177">
        <v>0</v>
      </c>
      <c r="FE177">
        <v>0</v>
      </c>
      <c r="FI177">
        <v>0</v>
      </c>
      <c r="FJ177">
        <v>5441.7550000000001</v>
      </c>
      <c r="FK177">
        <v>34265</v>
      </c>
      <c r="FL177">
        <v>30098.204962198735</v>
      </c>
      <c r="FM177">
        <v>28823.244999999999</v>
      </c>
    </row>
    <row r="178" spans="1:169" x14ac:dyDescent="0.35">
      <c r="A178">
        <v>196581</v>
      </c>
      <c r="B178" t="s">
        <v>4062</v>
      </c>
      <c r="C178" t="s">
        <v>1323</v>
      </c>
      <c r="D178" t="s">
        <v>4063</v>
      </c>
      <c r="E178" s="43" t="s">
        <v>4064</v>
      </c>
      <c r="F178">
        <v>1</v>
      </c>
      <c r="G178">
        <v>43795</v>
      </c>
      <c r="H178">
        <v>43803</v>
      </c>
      <c r="I178">
        <v>43803</v>
      </c>
      <c r="J178" t="s">
        <v>4254</v>
      </c>
      <c r="K178" t="s">
        <v>1715</v>
      </c>
      <c r="L178" s="43" t="s">
        <v>3204</v>
      </c>
      <c r="M178" t="s">
        <v>4065</v>
      </c>
      <c r="N178" s="43" t="s">
        <v>4066</v>
      </c>
      <c r="O178" s="43" t="s">
        <v>4067</v>
      </c>
      <c r="P178" s="43" t="s">
        <v>553</v>
      </c>
      <c r="Q178" s="43" t="s">
        <v>4068</v>
      </c>
      <c r="S178">
        <v>44109</v>
      </c>
      <c r="T178" t="s">
        <v>311</v>
      </c>
      <c r="U178" t="s">
        <v>266</v>
      </c>
      <c r="V178" t="s">
        <v>1028</v>
      </c>
      <c r="W178" t="s">
        <v>1718</v>
      </c>
      <c r="X178" t="s">
        <v>1719</v>
      </c>
      <c r="Y178">
        <v>8772802835</v>
      </c>
      <c r="Z178" t="s">
        <v>270</v>
      </c>
      <c r="AA178" t="s">
        <v>271</v>
      </c>
      <c r="AB178">
        <v>24</v>
      </c>
      <c r="AC178">
        <v>1090</v>
      </c>
      <c r="AD178">
        <v>92</v>
      </c>
      <c r="AE178" t="s">
        <v>344</v>
      </c>
      <c r="AF178">
        <v>10</v>
      </c>
      <c r="AG178" t="s">
        <v>3345</v>
      </c>
      <c r="AH178">
        <v>6684</v>
      </c>
      <c r="AI178">
        <v>6684</v>
      </c>
      <c r="AJ178">
        <v>43801</v>
      </c>
      <c r="AK178" s="43" t="s">
        <v>3208</v>
      </c>
      <c r="AL178" s="43" t="s">
        <v>3209</v>
      </c>
      <c r="AO178" s="23">
        <v>43794</v>
      </c>
      <c r="AP178" s="23"/>
      <c r="AQ178" s="23">
        <v>43794</v>
      </c>
      <c r="BC178" t="s">
        <v>2018</v>
      </c>
      <c r="BD178" s="43" t="s">
        <v>2018</v>
      </c>
      <c r="BE178" s="43" t="s">
        <v>2018</v>
      </c>
      <c r="BF178" s="43" t="s">
        <v>2018</v>
      </c>
      <c r="BG178" s="43" t="s">
        <v>2018</v>
      </c>
      <c r="BH178" t="s">
        <v>2018</v>
      </c>
      <c r="BI178" s="43" t="s">
        <v>2018</v>
      </c>
      <c r="BJ178">
        <v>0.125</v>
      </c>
      <c r="BK178">
        <v>44109</v>
      </c>
      <c r="BL178">
        <v>44356</v>
      </c>
      <c r="BM178">
        <v>8505</v>
      </c>
      <c r="BN178">
        <v>8505</v>
      </c>
      <c r="BO178">
        <v>8505</v>
      </c>
      <c r="BP178">
        <v>25515</v>
      </c>
      <c r="BQ178">
        <v>3300</v>
      </c>
      <c r="BR178">
        <v>400</v>
      </c>
      <c r="BS178">
        <v>400</v>
      </c>
      <c r="BT178">
        <v>4100</v>
      </c>
      <c r="BU178">
        <v>2100</v>
      </c>
      <c r="BV178">
        <v>2100</v>
      </c>
      <c r="BW178">
        <v>2100</v>
      </c>
      <c r="BX178">
        <v>6300</v>
      </c>
      <c r="BY178">
        <v>1200</v>
      </c>
      <c r="BZ178">
        <v>1200</v>
      </c>
      <c r="CA178">
        <v>1200</v>
      </c>
      <c r="CB178">
        <v>3600</v>
      </c>
      <c r="CC178">
        <v>0</v>
      </c>
      <c r="CD178">
        <v>0</v>
      </c>
      <c r="CE178">
        <v>0</v>
      </c>
      <c r="CF178">
        <v>0</v>
      </c>
      <c r="CG178">
        <v>39515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1154</v>
      </c>
      <c r="EJ178">
        <v>1154</v>
      </c>
      <c r="EK178">
        <v>1155</v>
      </c>
      <c r="EL178">
        <v>3500</v>
      </c>
      <c r="EM178">
        <v>37.065000000000005</v>
      </c>
      <c r="EN178">
        <v>660</v>
      </c>
      <c r="EO178">
        <v>660</v>
      </c>
      <c r="EP178">
        <v>660</v>
      </c>
      <c r="EQ178">
        <v>2000</v>
      </c>
      <c r="ER178">
        <v>21.18</v>
      </c>
      <c r="ES178">
        <v>0</v>
      </c>
      <c r="ET178">
        <v>0</v>
      </c>
      <c r="EU178">
        <v>0</v>
      </c>
      <c r="EV178">
        <v>0</v>
      </c>
      <c r="EW178">
        <v>0</v>
      </c>
      <c r="FA178">
        <v>0</v>
      </c>
      <c r="FE178">
        <v>0</v>
      </c>
      <c r="FI178">
        <v>0</v>
      </c>
      <c r="FJ178">
        <v>5441.7550000000001</v>
      </c>
      <c r="FK178">
        <v>39515</v>
      </c>
      <c r="FL178">
        <v>35580.43210392214</v>
      </c>
      <c r="FM178">
        <v>34073.245000000003</v>
      </c>
    </row>
    <row r="179" spans="1:169" x14ac:dyDescent="0.35">
      <c r="A179">
        <v>192490</v>
      </c>
      <c r="B179" t="s">
        <v>2425</v>
      </c>
      <c r="C179" t="s">
        <v>1306</v>
      </c>
      <c r="D179" t="s">
        <v>2747</v>
      </c>
      <c r="E179" s="43" t="s">
        <v>2748</v>
      </c>
      <c r="F179">
        <v>1</v>
      </c>
      <c r="I179">
        <v>43804</v>
      </c>
      <c r="J179" t="s">
        <v>4242</v>
      </c>
      <c r="K179" t="s">
        <v>1715</v>
      </c>
      <c r="L179" s="43" t="s">
        <v>259</v>
      </c>
      <c r="M179" t="s">
        <v>2749</v>
      </c>
      <c r="N179" s="43" t="s">
        <v>2750</v>
      </c>
      <c r="O179" s="43" t="s">
        <v>2751</v>
      </c>
      <c r="P179" s="43" t="s">
        <v>524</v>
      </c>
      <c r="Q179" s="43" t="s">
        <v>2752</v>
      </c>
      <c r="S179">
        <v>44109</v>
      </c>
      <c r="T179" t="s">
        <v>311</v>
      </c>
      <c r="U179" t="s">
        <v>266</v>
      </c>
      <c r="V179" t="s">
        <v>267</v>
      </c>
      <c r="W179" t="s">
        <v>1718</v>
      </c>
      <c r="X179" t="s">
        <v>1719</v>
      </c>
      <c r="Y179">
        <v>8772802835</v>
      </c>
      <c r="Z179" t="s">
        <v>270</v>
      </c>
      <c r="AA179" t="s">
        <v>271</v>
      </c>
      <c r="AB179">
        <v>30</v>
      </c>
      <c r="AC179">
        <v>0</v>
      </c>
      <c r="AD179">
        <v>126</v>
      </c>
      <c r="AE179" t="s">
        <v>301</v>
      </c>
      <c r="AF179">
        <v>1</v>
      </c>
      <c r="AG179" t="s">
        <v>275</v>
      </c>
      <c r="AK179" s="43" t="s">
        <v>259</v>
      </c>
      <c r="AL179" s="43" t="s">
        <v>259</v>
      </c>
      <c r="AO179" s="23"/>
      <c r="AP179" s="23"/>
      <c r="AQ179" s="23"/>
      <c r="BC179" t="s">
        <v>259</v>
      </c>
      <c r="BD179" s="43" t="s">
        <v>259</v>
      </c>
      <c r="BE179" s="43" t="s">
        <v>259</v>
      </c>
      <c r="BF179" s="43" t="s">
        <v>259</v>
      </c>
      <c r="BG179" s="43" t="s">
        <v>259</v>
      </c>
      <c r="BH179" t="s">
        <v>259</v>
      </c>
      <c r="BI179" s="43" t="s">
        <v>259</v>
      </c>
      <c r="BJ179">
        <v>0</v>
      </c>
      <c r="BK179">
        <v>44109</v>
      </c>
      <c r="BL179">
        <v>44356</v>
      </c>
      <c r="BM179">
        <v>8505</v>
      </c>
      <c r="BN179">
        <v>8505</v>
      </c>
      <c r="BO179">
        <v>8505</v>
      </c>
      <c r="BP179">
        <v>25515</v>
      </c>
      <c r="BQ179">
        <v>3300</v>
      </c>
      <c r="BR179">
        <v>400</v>
      </c>
      <c r="BS179">
        <v>400</v>
      </c>
      <c r="BT179">
        <v>4100</v>
      </c>
      <c r="BU179">
        <v>2100</v>
      </c>
      <c r="BV179">
        <v>2100</v>
      </c>
      <c r="BW179">
        <v>2100</v>
      </c>
      <c r="BX179">
        <v>6300</v>
      </c>
      <c r="BY179">
        <v>1200</v>
      </c>
      <c r="BZ179">
        <v>1200</v>
      </c>
      <c r="CA179">
        <v>1200</v>
      </c>
      <c r="CB179">
        <v>3600</v>
      </c>
      <c r="CC179">
        <v>0</v>
      </c>
      <c r="CD179">
        <v>0</v>
      </c>
      <c r="CE179">
        <v>0</v>
      </c>
      <c r="CF179">
        <v>0</v>
      </c>
      <c r="CG179">
        <v>39515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1700</v>
      </c>
      <c r="CU179">
        <v>1700</v>
      </c>
      <c r="CV179">
        <v>1700</v>
      </c>
      <c r="CW179">
        <v>5100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5100</v>
      </c>
      <c r="EE179">
        <v>0</v>
      </c>
      <c r="EF179">
        <v>0</v>
      </c>
      <c r="EG179">
        <v>0</v>
      </c>
      <c r="EH179">
        <v>0</v>
      </c>
      <c r="EI179">
        <v>1154</v>
      </c>
      <c r="EJ179">
        <v>1154</v>
      </c>
      <c r="EK179">
        <v>1155</v>
      </c>
      <c r="EL179">
        <v>3500</v>
      </c>
      <c r="EM179">
        <v>37.065000000000005</v>
      </c>
      <c r="EN179">
        <v>660</v>
      </c>
      <c r="EO179">
        <v>660</v>
      </c>
      <c r="EP179">
        <v>660</v>
      </c>
      <c r="EQ179">
        <v>2000</v>
      </c>
      <c r="ER179">
        <v>21.18</v>
      </c>
      <c r="ES179">
        <v>0</v>
      </c>
      <c r="ET179">
        <v>0</v>
      </c>
      <c r="EU179">
        <v>0</v>
      </c>
      <c r="EV179">
        <v>0</v>
      </c>
      <c r="EW179">
        <v>0</v>
      </c>
      <c r="FA179">
        <v>0</v>
      </c>
      <c r="FE179">
        <v>0</v>
      </c>
      <c r="FI179">
        <v>0</v>
      </c>
      <c r="FJ179">
        <v>5441.7550000000001</v>
      </c>
      <c r="FK179">
        <v>34415</v>
      </c>
      <c r="FL179">
        <v>30254.840023390832</v>
      </c>
      <c r="FM179">
        <v>28973.244999999999</v>
      </c>
    </row>
    <row r="180" spans="1:169" x14ac:dyDescent="0.35">
      <c r="A180">
        <v>195851</v>
      </c>
      <c r="B180" t="s">
        <v>2753</v>
      </c>
      <c r="C180" t="s">
        <v>2754</v>
      </c>
      <c r="D180" t="s">
        <v>2755</v>
      </c>
      <c r="E180" s="43" t="s">
        <v>2756</v>
      </c>
      <c r="F180">
        <v>1</v>
      </c>
      <c r="G180">
        <v>43776</v>
      </c>
      <c r="H180">
        <v>43782</v>
      </c>
      <c r="I180">
        <v>43782</v>
      </c>
      <c r="J180" t="s">
        <v>3421</v>
      </c>
      <c r="K180" t="s">
        <v>1715</v>
      </c>
      <c r="L180" s="43" t="s">
        <v>3204</v>
      </c>
      <c r="M180" t="s">
        <v>2757</v>
      </c>
      <c r="N180" s="43" t="s">
        <v>2758</v>
      </c>
      <c r="O180" s="43" t="s">
        <v>2759</v>
      </c>
      <c r="P180" s="43" t="s">
        <v>1172</v>
      </c>
      <c r="Q180" s="43" t="s">
        <v>2760</v>
      </c>
      <c r="S180">
        <v>44109</v>
      </c>
      <c r="T180" t="s">
        <v>311</v>
      </c>
      <c r="U180" t="s">
        <v>266</v>
      </c>
      <c r="V180" t="s">
        <v>267</v>
      </c>
      <c r="W180" t="s">
        <v>1718</v>
      </c>
      <c r="X180" t="s">
        <v>1719</v>
      </c>
      <c r="Y180">
        <v>8772802835</v>
      </c>
      <c r="Z180" t="s">
        <v>270</v>
      </c>
      <c r="AA180" t="s">
        <v>271</v>
      </c>
      <c r="AB180">
        <v>23</v>
      </c>
      <c r="AC180">
        <v>0</v>
      </c>
      <c r="AD180">
        <v>111</v>
      </c>
      <c r="AE180" t="s">
        <v>445</v>
      </c>
      <c r="AF180">
        <v>4</v>
      </c>
      <c r="AG180" t="s">
        <v>275</v>
      </c>
      <c r="AH180">
        <v>1396</v>
      </c>
      <c r="AI180">
        <v>1396</v>
      </c>
      <c r="AJ180">
        <v>43774</v>
      </c>
      <c r="AK180" s="43" t="s">
        <v>1715</v>
      </c>
      <c r="AL180" s="43" t="s">
        <v>259</v>
      </c>
      <c r="AM180">
        <v>43782</v>
      </c>
      <c r="AN180">
        <v>43782</v>
      </c>
      <c r="AO180" s="23">
        <v>43781</v>
      </c>
      <c r="AP180" s="23">
        <v>43781</v>
      </c>
      <c r="AQ180" s="23">
        <v>43781</v>
      </c>
      <c r="BC180" t="s">
        <v>2018</v>
      </c>
      <c r="BD180" s="43" t="s">
        <v>259</v>
      </c>
      <c r="BE180" s="43" t="s">
        <v>259</v>
      </c>
      <c r="BF180" s="43" t="s">
        <v>2018</v>
      </c>
      <c r="BG180" s="43" t="s">
        <v>2018</v>
      </c>
      <c r="BH180">
        <v>43744</v>
      </c>
      <c r="BI180" s="43" t="s">
        <v>2018</v>
      </c>
      <c r="BJ180">
        <v>0.31578947368421051</v>
      </c>
      <c r="BK180">
        <v>44109</v>
      </c>
      <c r="BL180">
        <v>44356</v>
      </c>
      <c r="BM180">
        <v>8505</v>
      </c>
      <c r="BN180">
        <v>8505</v>
      </c>
      <c r="BO180">
        <v>8505</v>
      </c>
      <c r="BP180">
        <v>25515</v>
      </c>
      <c r="BQ180">
        <v>3300</v>
      </c>
      <c r="BR180">
        <v>400</v>
      </c>
      <c r="BS180">
        <v>400</v>
      </c>
      <c r="BT180">
        <v>4100</v>
      </c>
      <c r="BU180">
        <v>2100</v>
      </c>
      <c r="BV180">
        <v>2100</v>
      </c>
      <c r="BW180">
        <v>2100</v>
      </c>
      <c r="BX180">
        <v>6300</v>
      </c>
      <c r="BY180">
        <v>1500</v>
      </c>
      <c r="BZ180">
        <v>1500</v>
      </c>
      <c r="CA180">
        <v>1500</v>
      </c>
      <c r="CB180">
        <v>4500</v>
      </c>
      <c r="CC180">
        <v>0</v>
      </c>
      <c r="CD180">
        <v>0</v>
      </c>
      <c r="CE180">
        <v>0</v>
      </c>
      <c r="CF180">
        <v>0</v>
      </c>
      <c r="CG180">
        <v>40415</v>
      </c>
      <c r="CH180">
        <v>0</v>
      </c>
      <c r="CI180">
        <v>0</v>
      </c>
      <c r="CJ180">
        <v>0</v>
      </c>
      <c r="CK180">
        <v>0</v>
      </c>
      <c r="CL180">
        <v>1615</v>
      </c>
      <c r="CM180">
        <v>1615</v>
      </c>
      <c r="CN180">
        <v>1615</v>
      </c>
      <c r="CO180">
        <v>4845</v>
      </c>
      <c r="CP180">
        <v>500</v>
      </c>
      <c r="CQ180">
        <v>500</v>
      </c>
      <c r="CR180">
        <v>500</v>
      </c>
      <c r="CS180">
        <v>1500</v>
      </c>
      <c r="CT180">
        <v>1250</v>
      </c>
      <c r="CU180">
        <v>1250</v>
      </c>
      <c r="CV180">
        <v>1250</v>
      </c>
      <c r="CW180">
        <v>3750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10095</v>
      </c>
      <c r="EE180">
        <v>0</v>
      </c>
      <c r="EF180">
        <v>0</v>
      </c>
      <c r="EG180">
        <v>0</v>
      </c>
      <c r="EH180">
        <v>0</v>
      </c>
      <c r="EI180">
        <v>1154</v>
      </c>
      <c r="EJ180">
        <v>1154</v>
      </c>
      <c r="EK180">
        <v>1155</v>
      </c>
      <c r="EL180">
        <v>3500</v>
      </c>
      <c r="EM180">
        <v>37.065000000000005</v>
      </c>
      <c r="EN180">
        <v>660</v>
      </c>
      <c r="EO180">
        <v>660</v>
      </c>
      <c r="EP180">
        <v>660</v>
      </c>
      <c r="EQ180">
        <v>2000</v>
      </c>
      <c r="ER180">
        <v>21.18</v>
      </c>
      <c r="ES180">
        <v>8308</v>
      </c>
      <c r="ET180">
        <v>8308</v>
      </c>
      <c r="EU180">
        <v>8308</v>
      </c>
      <c r="EV180">
        <v>25979</v>
      </c>
      <c r="EW180">
        <v>1100.4704400000001</v>
      </c>
      <c r="FA180">
        <v>0</v>
      </c>
      <c r="FE180">
        <v>0</v>
      </c>
      <c r="FI180">
        <v>0</v>
      </c>
      <c r="FJ180">
        <v>30320.28456</v>
      </c>
      <c r="FK180">
        <v>30320</v>
      </c>
      <c r="FL180">
        <v>-0.29714715341887959</v>
      </c>
      <c r="FM180">
        <v>-0.28456000000005588</v>
      </c>
    </row>
    <row r="181" spans="1:169" x14ac:dyDescent="0.35">
      <c r="A181">
        <v>194305</v>
      </c>
      <c r="B181" t="s">
        <v>2761</v>
      </c>
      <c r="C181" t="s">
        <v>1566</v>
      </c>
      <c r="D181" t="s">
        <v>2762</v>
      </c>
      <c r="E181" s="43" t="s">
        <v>2763</v>
      </c>
      <c r="F181">
        <v>1</v>
      </c>
      <c r="I181">
        <v>43804</v>
      </c>
      <c r="J181" t="s">
        <v>4242</v>
      </c>
      <c r="K181" t="s">
        <v>1715</v>
      </c>
      <c r="L181" s="43" t="s">
        <v>259</v>
      </c>
      <c r="M181" t="s">
        <v>2764</v>
      </c>
      <c r="N181" s="43" t="s">
        <v>2765</v>
      </c>
      <c r="O181" s="43" t="s">
        <v>2766</v>
      </c>
      <c r="P181" s="43" t="s">
        <v>1296</v>
      </c>
      <c r="Q181" s="43" t="s">
        <v>2767</v>
      </c>
      <c r="S181">
        <v>44109</v>
      </c>
      <c r="T181" t="s">
        <v>311</v>
      </c>
      <c r="U181" t="s">
        <v>266</v>
      </c>
      <c r="V181" t="s">
        <v>267</v>
      </c>
      <c r="W181" t="s">
        <v>1718</v>
      </c>
      <c r="X181" t="s">
        <v>1719</v>
      </c>
      <c r="Y181">
        <v>8772802835</v>
      </c>
      <c r="Z181" t="s">
        <v>270</v>
      </c>
      <c r="AA181" t="s">
        <v>271</v>
      </c>
      <c r="AB181">
        <v>0</v>
      </c>
      <c r="AC181">
        <v>1320</v>
      </c>
      <c r="AD181">
        <v>124</v>
      </c>
      <c r="AE181" t="s">
        <v>301</v>
      </c>
      <c r="AF181">
        <v>1</v>
      </c>
      <c r="AG181" t="s">
        <v>275</v>
      </c>
      <c r="AK181" s="43" t="s">
        <v>259</v>
      </c>
      <c r="AL181" s="43" t="s">
        <v>259</v>
      </c>
      <c r="AO181" s="23"/>
      <c r="AP181" s="23"/>
      <c r="AQ181" s="23"/>
      <c r="BC181" t="s">
        <v>259</v>
      </c>
      <c r="BD181" s="43" t="s">
        <v>259</v>
      </c>
      <c r="BE181" s="43" t="s">
        <v>259</v>
      </c>
      <c r="BF181" s="43" t="s">
        <v>259</v>
      </c>
      <c r="BG181" s="43" t="s">
        <v>259</v>
      </c>
      <c r="BH181" t="s">
        <v>259</v>
      </c>
      <c r="BI181" s="43" t="s">
        <v>259</v>
      </c>
      <c r="BJ181">
        <v>0</v>
      </c>
      <c r="BK181">
        <v>44109</v>
      </c>
      <c r="BL181">
        <v>44356</v>
      </c>
      <c r="BM181">
        <v>8505</v>
      </c>
      <c r="BN181">
        <v>8505</v>
      </c>
      <c r="BO181">
        <v>8505</v>
      </c>
      <c r="BP181">
        <v>25515</v>
      </c>
      <c r="BQ181">
        <v>3300</v>
      </c>
      <c r="BR181">
        <v>400</v>
      </c>
      <c r="BS181">
        <v>400</v>
      </c>
      <c r="BT181">
        <v>4100</v>
      </c>
      <c r="BU181">
        <v>2100</v>
      </c>
      <c r="BV181">
        <v>2100</v>
      </c>
      <c r="BW181">
        <v>2100</v>
      </c>
      <c r="BX181">
        <v>6300</v>
      </c>
      <c r="BY181">
        <v>1200</v>
      </c>
      <c r="BZ181">
        <v>1200</v>
      </c>
      <c r="CA181">
        <v>1200</v>
      </c>
      <c r="CB181">
        <v>3600</v>
      </c>
      <c r="CC181">
        <v>0</v>
      </c>
      <c r="CD181">
        <v>0</v>
      </c>
      <c r="CE181">
        <v>0</v>
      </c>
      <c r="CF181">
        <v>0</v>
      </c>
      <c r="CG181">
        <v>39515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1700</v>
      </c>
      <c r="CU181">
        <v>1700</v>
      </c>
      <c r="CV181">
        <v>1700</v>
      </c>
      <c r="CW181">
        <v>5100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5100</v>
      </c>
      <c r="EE181">
        <v>0</v>
      </c>
      <c r="EF181">
        <v>0</v>
      </c>
      <c r="EG181">
        <v>0</v>
      </c>
      <c r="EH181">
        <v>0</v>
      </c>
      <c r="EI181">
        <v>1154</v>
      </c>
      <c r="EJ181">
        <v>1154</v>
      </c>
      <c r="EK181">
        <v>1155</v>
      </c>
      <c r="EL181">
        <v>3500</v>
      </c>
      <c r="EM181">
        <v>37.065000000000005</v>
      </c>
      <c r="EN181">
        <v>660</v>
      </c>
      <c r="EO181">
        <v>660</v>
      </c>
      <c r="EP181">
        <v>660</v>
      </c>
      <c r="EQ181">
        <v>2000</v>
      </c>
      <c r="ER181">
        <v>21.18</v>
      </c>
      <c r="ES181">
        <v>0</v>
      </c>
      <c r="ET181">
        <v>0</v>
      </c>
      <c r="EU181">
        <v>0</v>
      </c>
      <c r="EV181">
        <v>0</v>
      </c>
      <c r="EW181">
        <v>0</v>
      </c>
      <c r="FA181">
        <v>0</v>
      </c>
      <c r="FE181">
        <v>0</v>
      </c>
      <c r="FI181">
        <v>0</v>
      </c>
      <c r="FJ181">
        <v>5441.7550000000001</v>
      </c>
      <c r="FK181">
        <v>34415</v>
      </c>
      <c r="FL181">
        <v>30254.840023390832</v>
      </c>
      <c r="FM181">
        <v>28973.244999999999</v>
      </c>
    </row>
    <row r="182" spans="1:169" x14ac:dyDescent="0.35">
      <c r="A182">
        <v>197096</v>
      </c>
      <c r="B182" t="s">
        <v>2768</v>
      </c>
      <c r="C182" t="s">
        <v>2769</v>
      </c>
      <c r="D182" t="s">
        <v>2770</v>
      </c>
      <c r="E182" s="43" t="s">
        <v>2771</v>
      </c>
      <c r="F182">
        <v>1</v>
      </c>
      <c r="I182">
        <v>43804</v>
      </c>
      <c r="J182" t="s">
        <v>4240</v>
      </c>
      <c r="K182" t="s">
        <v>1715</v>
      </c>
      <c r="L182" s="43" t="s">
        <v>3204</v>
      </c>
      <c r="M182" t="s">
        <v>2772</v>
      </c>
      <c r="N182" s="43" t="s">
        <v>2773</v>
      </c>
      <c r="O182" s="43" t="s">
        <v>360</v>
      </c>
      <c r="P182" s="43" t="s">
        <v>342</v>
      </c>
      <c r="Q182" s="43" t="s">
        <v>2774</v>
      </c>
      <c r="S182">
        <v>44109</v>
      </c>
      <c r="T182" t="s">
        <v>311</v>
      </c>
      <c r="U182" t="s">
        <v>266</v>
      </c>
      <c r="V182" t="s">
        <v>267</v>
      </c>
      <c r="W182" t="s">
        <v>1718</v>
      </c>
      <c r="X182" t="s">
        <v>1719</v>
      </c>
      <c r="Y182">
        <v>8772802835</v>
      </c>
      <c r="Z182" t="s">
        <v>270</v>
      </c>
      <c r="AA182" t="s">
        <v>271</v>
      </c>
      <c r="AB182">
        <v>0</v>
      </c>
      <c r="AC182">
        <v>0</v>
      </c>
      <c r="AD182">
        <v>0</v>
      </c>
      <c r="AE182" t="s">
        <v>274</v>
      </c>
      <c r="AF182">
        <v>9</v>
      </c>
      <c r="AG182" t="s">
        <v>275</v>
      </c>
      <c r="AH182">
        <v>3472</v>
      </c>
      <c r="AI182">
        <v>3472</v>
      </c>
      <c r="AJ182">
        <v>43774</v>
      </c>
      <c r="AK182" s="43" t="s">
        <v>1715</v>
      </c>
      <c r="AL182" s="43" t="s">
        <v>259</v>
      </c>
      <c r="AO182" s="23"/>
      <c r="AP182" s="23"/>
      <c r="AQ182" s="23"/>
      <c r="BC182" t="s">
        <v>259</v>
      </c>
      <c r="BD182" s="43" t="s">
        <v>259</v>
      </c>
      <c r="BE182" s="43" t="s">
        <v>259</v>
      </c>
      <c r="BF182" s="43" t="s">
        <v>2018</v>
      </c>
      <c r="BG182" s="43" t="s">
        <v>2018</v>
      </c>
      <c r="BH182" t="s">
        <v>2018</v>
      </c>
      <c r="BI182" s="43" t="s">
        <v>259</v>
      </c>
      <c r="BJ182">
        <v>0</v>
      </c>
      <c r="BK182">
        <v>44109</v>
      </c>
      <c r="BL182">
        <v>44356</v>
      </c>
      <c r="BM182">
        <v>8505</v>
      </c>
      <c r="BN182">
        <v>8505</v>
      </c>
      <c r="BO182">
        <v>8505</v>
      </c>
      <c r="BP182">
        <v>25515</v>
      </c>
      <c r="BQ182">
        <v>3300</v>
      </c>
      <c r="BR182">
        <v>400</v>
      </c>
      <c r="BS182">
        <v>400</v>
      </c>
      <c r="BT182">
        <v>4100</v>
      </c>
      <c r="BU182">
        <v>2100</v>
      </c>
      <c r="BV182">
        <v>2100</v>
      </c>
      <c r="BW182">
        <v>2100</v>
      </c>
      <c r="BX182">
        <v>6300</v>
      </c>
      <c r="BY182">
        <v>1200</v>
      </c>
      <c r="BZ182">
        <v>1200</v>
      </c>
      <c r="CA182">
        <v>1200</v>
      </c>
      <c r="CB182">
        <v>3600</v>
      </c>
      <c r="CC182">
        <v>0</v>
      </c>
      <c r="CD182">
        <v>0</v>
      </c>
      <c r="CE182">
        <v>0</v>
      </c>
      <c r="CF182">
        <v>0</v>
      </c>
      <c r="CG182">
        <v>39515</v>
      </c>
      <c r="CH182">
        <v>0</v>
      </c>
      <c r="CI182">
        <v>0</v>
      </c>
      <c r="CJ182">
        <v>0</v>
      </c>
      <c r="CK182">
        <v>0</v>
      </c>
      <c r="CL182">
        <v>915</v>
      </c>
      <c r="CM182">
        <v>915</v>
      </c>
      <c r="CN182">
        <v>915</v>
      </c>
      <c r="CO182">
        <v>2745</v>
      </c>
      <c r="CP182">
        <v>500</v>
      </c>
      <c r="CQ182">
        <v>500</v>
      </c>
      <c r="CR182">
        <v>500</v>
      </c>
      <c r="CS182">
        <v>1500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4245</v>
      </c>
      <c r="EE182">
        <v>0</v>
      </c>
      <c r="EF182">
        <v>0</v>
      </c>
      <c r="EG182">
        <v>0</v>
      </c>
      <c r="EH182">
        <v>0</v>
      </c>
      <c r="EI182">
        <v>1154</v>
      </c>
      <c r="EJ182">
        <v>1154</v>
      </c>
      <c r="EK182">
        <v>1155</v>
      </c>
      <c r="EL182">
        <v>3500</v>
      </c>
      <c r="EM182">
        <v>37.065000000000005</v>
      </c>
      <c r="EN182">
        <v>660</v>
      </c>
      <c r="EO182">
        <v>660</v>
      </c>
      <c r="EP182">
        <v>660</v>
      </c>
      <c r="EQ182">
        <v>2000</v>
      </c>
      <c r="ER182">
        <v>21.18</v>
      </c>
      <c r="ES182">
        <v>0</v>
      </c>
      <c r="ET182">
        <v>0</v>
      </c>
      <c r="EU182">
        <v>0</v>
      </c>
      <c r="EV182">
        <v>0</v>
      </c>
      <c r="EW182">
        <v>0</v>
      </c>
      <c r="FA182">
        <v>0</v>
      </c>
      <c r="FE182">
        <v>0</v>
      </c>
      <c r="FI182">
        <v>0</v>
      </c>
      <c r="FJ182">
        <v>5441.7550000000001</v>
      </c>
      <c r="FK182">
        <v>35270</v>
      </c>
      <c r="FL182">
        <v>31147.659872185788</v>
      </c>
      <c r="FM182">
        <v>29828.244999999999</v>
      </c>
    </row>
    <row r="183" spans="1:169" x14ac:dyDescent="0.35">
      <c r="A183">
        <v>199577</v>
      </c>
      <c r="B183" t="s">
        <v>4069</v>
      </c>
      <c r="C183" t="s">
        <v>4070</v>
      </c>
      <c r="D183" t="s">
        <v>4071</v>
      </c>
      <c r="E183" s="43" t="s">
        <v>4072</v>
      </c>
      <c r="F183">
        <v>1</v>
      </c>
      <c r="I183">
        <v>43804</v>
      </c>
      <c r="J183" t="s">
        <v>4240</v>
      </c>
      <c r="K183" t="s">
        <v>1715</v>
      </c>
      <c r="L183" s="43" t="s">
        <v>3204</v>
      </c>
      <c r="M183" t="s">
        <v>4073</v>
      </c>
      <c r="N183" s="43" t="s">
        <v>4074</v>
      </c>
      <c r="O183" s="43" t="s">
        <v>4075</v>
      </c>
      <c r="P183" s="43" t="s">
        <v>297</v>
      </c>
      <c r="Q183" s="43" t="s">
        <v>1085</v>
      </c>
      <c r="S183">
        <v>44109</v>
      </c>
      <c r="T183" t="s">
        <v>311</v>
      </c>
      <c r="U183" t="s">
        <v>312</v>
      </c>
      <c r="V183" t="s">
        <v>267</v>
      </c>
      <c r="W183" t="s">
        <v>1718</v>
      </c>
      <c r="X183" t="s">
        <v>1719</v>
      </c>
      <c r="Y183">
        <v>8772802835</v>
      </c>
      <c r="Z183" t="s">
        <v>270</v>
      </c>
      <c r="AA183" t="s">
        <v>271</v>
      </c>
      <c r="AB183">
        <v>13</v>
      </c>
      <c r="AC183">
        <v>0</v>
      </c>
      <c r="AD183">
        <v>91</v>
      </c>
      <c r="AE183" t="s">
        <v>416</v>
      </c>
      <c r="AF183">
        <v>5</v>
      </c>
      <c r="AG183" t="s">
        <v>3345</v>
      </c>
      <c r="AH183">
        <v>5785</v>
      </c>
      <c r="AI183">
        <v>5785</v>
      </c>
      <c r="AJ183">
        <v>43774</v>
      </c>
      <c r="AK183" s="43" t="s">
        <v>3208</v>
      </c>
      <c r="AL183" s="43" t="s">
        <v>3209</v>
      </c>
      <c r="AO183" s="23"/>
      <c r="AP183" s="23"/>
      <c r="AQ183" s="23"/>
      <c r="BC183" t="s">
        <v>2018</v>
      </c>
      <c r="BD183" s="43" t="s">
        <v>2018</v>
      </c>
      <c r="BE183" s="43" t="s">
        <v>2018</v>
      </c>
      <c r="BF183" s="43" t="s">
        <v>2018</v>
      </c>
      <c r="BG183" s="43" t="s">
        <v>2018</v>
      </c>
      <c r="BH183" t="s">
        <v>2018</v>
      </c>
      <c r="BI183" s="43" t="s">
        <v>2018</v>
      </c>
      <c r="BJ183">
        <v>0</v>
      </c>
      <c r="BK183">
        <v>44109</v>
      </c>
      <c r="BL183">
        <v>44356</v>
      </c>
      <c r="BM183">
        <v>8505</v>
      </c>
      <c r="BN183">
        <v>8505</v>
      </c>
      <c r="BO183">
        <v>8505</v>
      </c>
      <c r="BP183">
        <v>25515</v>
      </c>
      <c r="BQ183">
        <v>3300</v>
      </c>
      <c r="BR183">
        <v>400</v>
      </c>
      <c r="BS183">
        <v>400</v>
      </c>
      <c r="BT183">
        <v>4100</v>
      </c>
      <c r="BU183">
        <v>2100</v>
      </c>
      <c r="BV183">
        <v>2100</v>
      </c>
      <c r="BW183">
        <v>2100</v>
      </c>
      <c r="BX183">
        <v>6300</v>
      </c>
      <c r="BY183">
        <v>1200</v>
      </c>
      <c r="BZ183">
        <v>1200</v>
      </c>
      <c r="CA183">
        <v>1200</v>
      </c>
      <c r="CB183">
        <v>3600</v>
      </c>
      <c r="CC183">
        <v>0</v>
      </c>
      <c r="CD183">
        <v>0</v>
      </c>
      <c r="CE183">
        <v>0</v>
      </c>
      <c r="CF183">
        <v>0</v>
      </c>
      <c r="CG183">
        <v>39515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1000</v>
      </c>
      <c r="CU183">
        <v>1000</v>
      </c>
      <c r="CV183">
        <v>1000</v>
      </c>
      <c r="CW183">
        <v>3000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3000</v>
      </c>
      <c r="EE183">
        <v>0</v>
      </c>
      <c r="EF183">
        <v>0</v>
      </c>
      <c r="EG183">
        <v>0</v>
      </c>
      <c r="EH183">
        <v>0</v>
      </c>
      <c r="EI183">
        <v>1154</v>
      </c>
      <c r="EJ183">
        <v>1154</v>
      </c>
      <c r="EK183">
        <v>1155</v>
      </c>
      <c r="EL183">
        <v>3500</v>
      </c>
      <c r="EM183">
        <v>37.065000000000005</v>
      </c>
      <c r="EN183">
        <v>660</v>
      </c>
      <c r="EO183">
        <v>660</v>
      </c>
      <c r="EP183">
        <v>660</v>
      </c>
      <c r="EQ183">
        <v>2000</v>
      </c>
      <c r="ER183">
        <v>21.18</v>
      </c>
      <c r="ES183">
        <v>0</v>
      </c>
      <c r="ET183">
        <v>0</v>
      </c>
      <c r="EU183">
        <v>0</v>
      </c>
      <c r="EV183">
        <v>0</v>
      </c>
      <c r="EW183">
        <v>0</v>
      </c>
      <c r="FA183">
        <v>0</v>
      </c>
      <c r="FE183">
        <v>0</v>
      </c>
      <c r="FI183">
        <v>0</v>
      </c>
      <c r="FJ183">
        <v>5441.7550000000001</v>
      </c>
      <c r="FK183">
        <v>36515</v>
      </c>
      <c r="FL183">
        <v>32447.730880080198</v>
      </c>
      <c r="FM183">
        <v>31073.245000000003</v>
      </c>
    </row>
    <row r="184" spans="1:169" x14ac:dyDescent="0.35">
      <c r="A184">
        <v>196244</v>
      </c>
      <c r="B184" t="s">
        <v>2775</v>
      </c>
      <c r="C184" t="s">
        <v>1780</v>
      </c>
      <c r="D184" t="s">
        <v>2776</v>
      </c>
      <c r="E184" s="43" t="s">
        <v>2777</v>
      </c>
      <c r="F184">
        <v>1</v>
      </c>
      <c r="I184">
        <v>43804</v>
      </c>
      <c r="J184" t="s">
        <v>4242</v>
      </c>
      <c r="K184" t="s">
        <v>1715</v>
      </c>
      <c r="L184" s="43" t="s">
        <v>259</v>
      </c>
      <c r="M184" t="s">
        <v>2778</v>
      </c>
      <c r="N184" s="43" t="s">
        <v>2779</v>
      </c>
      <c r="O184" s="43" t="s">
        <v>2780</v>
      </c>
      <c r="P184" s="43" t="s">
        <v>542</v>
      </c>
      <c r="Q184" s="43" t="s">
        <v>2781</v>
      </c>
      <c r="S184">
        <v>44109</v>
      </c>
      <c r="T184" t="s">
        <v>544</v>
      </c>
      <c r="U184" t="s">
        <v>266</v>
      </c>
      <c r="V184" t="s">
        <v>267</v>
      </c>
      <c r="W184" t="s">
        <v>1718</v>
      </c>
      <c r="X184" t="s">
        <v>1719</v>
      </c>
      <c r="Y184">
        <v>8772802835</v>
      </c>
      <c r="Z184" t="s">
        <v>270</v>
      </c>
      <c r="AA184" t="s">
        <v>271</v>
      </c>
      <c r="AB184">
        <v>30</v>
      </c>
      <c r="AC184">
        <v>0</v>
      </c>
      <c r="AD184">
        <v>0</v>
      </c>
      <c r="AE184" t="s">
        <v>376</v>
      </c>
      <c r="AF184">
        <v>7</v>
      </c>
      <c r="AG184" t="s">
        <v>275</v>
      </c>
      <c r="AK184" s="43" t="s">
        <v>259</v>
      </c>
      <c r="AL184" s="43" t="s">
        <v>259</v>
      </c>
      <c r="AO184" s="23"/>
      <c r="AP184" s="23"/>
      <c r="AQ184" s="23"/>
      <c r="BC184" t="s">
        <v>259</v>
      </c>
      <c r="BD184" s="43" t="s">
        <v>259</v>
      </c>
      <c r="BE184" s="43" t="s">
        <v>259</v>
      </c>
      <c r="BF184" s="43" t="s">
        <v>259</v>
      </c>
      <c r="BG184" s="43" t="s">
        <v>259</v>
      </c>
      <c r="BH184" t="s">
        <v>259</v>
      </c>
      <c r="BI184" s="43" t="s">
        <v>259</v>
      </c>
      <c r="BJ184">
        <v>0</v>
      </c>
      <c r="BK184">
        <v>44109</v>
      </c>
      <c r="BL184">
        <v>44356</v>
      </c>
      <c r="BM184">
        <v>8505</v>
      </c>
      <c r="BN184">
        <v>8505</v>
      </c>
      <c r="BO184">
        <v>8505</v>
      </c>
      <c r="BP184">
        <v>25515</v>
      </c>
      <c r="BQ184">
        <v>3300</v>
      </c>
      <c r="BR184">
        <v>400</v>
      </c>
      <c r="BS184">
        <v>400</v>
      </c>
      <c r="BT184">
        <v>4100</v>
      </c>
      <c r="BU184">
        <v>2100</v>
      </c>
      <c r="BV184">
        <v>2100</v>
      </c>
      <c r="BW184">
        <v>2100</v>
      </c>
      <c r="BX184">
        <v>6300</v>
      </c>
      <c r="BY184">
        <v>1200</v>
      </c>
      <c r="BZ184">
        <v>1200</v>
      </c>
      <c r="CA184">
        <v>1200</v>
      </c>
      <c r="CB184">
        <v>3600</v>
      </c>
      <c r="CC184">
        <v>0</v>
      </c>
      <c r="CD184">
        <v>0</v>
      </c>
      <c r="CE184">
        <v>0</v>
      </c>
      <c r="CF184">
        <v>0</v>
      </c>
      <c r="CG184">
        <v>39515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3000</v>
      </c>
      <c r="CY184">
        <v>3000</v>
      </c>
      <c r="CZ184">
        <v>3000</v>
      </c>
      <c r="DA184">
        <v>9000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9000</v>
      </c>
      <c r="EE184">
        <v>0</v>
      </c>
      <c r="EF184">
        <v>0</v>
      </c>
      <c r="EG184">
        <v>0</v>
      </c>
      <c r="EH184">
        <v>0</v>
      </c>
      <c r="EI184">
        <v>1154</v>
      </c>
      <c r="EJ184">
        <v>1154</v>
      </c>
      <c r="EK184">
        <v>1155</v>
      </c>
      <c r="EL184">
        <v>3500</v>
      </c>
      <c r="EM184">
        <v>37.065000000000005</v>
      </c>
      <c r="EN184">
        <v>660</v>
      </c>
      <c r="EO184">
        <v>660</v>
      </c>
      <c r="EP184">
        <v>660</v>
      </c>
      <c r="EQ184">
        <v>2000</v>
      </c>
      <c r="ER184">
        <v>21.18</v>
      </c>
      <c r="ES184">
        <v>0</v>
      </c>
      <c r="ET184">
        <v>0</v>
      </c>
      <c r="EU184">
        <v>0</v>
      </c>
      <c r="EV184">
        <v>0</v>
      </c>
      <c r="EW184">
        <v>0</v>
      </c>
      <c r="FA184">
        <v>0</v>
      </c>
      <c r="FE184">
        <v>0</v>
      </c>
      <c r="FI184">
        <v>0</v>
      </c>
      <c r="FJ184">
        <v>5441.7550000000001</v>
      </c>
      <c r="FK184">
        <v>30515</v>
      </c>
      <c r="FL184">
        <v>26182.328432396305</v>
      </c>
      <c r="FM184">
        <v>25073.244999999999</v>
      </c>
    </row>
    <row r="185" spans="1:169" x14ac:dyDescent="0.35">
      <c r="A185">
        <v>198744</v>
      </c>
      <c r="B185" t="s">
        <v>3371</v>
      </c>
      <c r="C185" t="s">
        <v>3372</v>
      </c>
      <c r="D185" t="s">
        <v>3373</v>
      </c>
      <c r="E185" s="43" t="s">
        <v>3374</v>
      </c>
      <c r="F185">
        <v>1</v>
      </c>
      <c r="G185">
        <v>43787</v>
      </c>
      <c r="H185">
        <v>43788</v>
      </c>
      <c r="I185">
        <v>43788</v>
      </c>
      <c r="J185" t="s">
        <v>4255</v>
      </c>
      <c r="K185" t="s">
        <v>1715</v>
      </c>
      <c r="L185" s="43" t="s">
        <v>3204</v>
      </c>
      <c r="M185" t="s">
        <v>3375</v>
      </c>
      <c r="N185" s="43" t="s">
        <v>3376</v>
      </c>
      <c r="O185" s="43" t="s">
        <v>3377</v>
      </c>
      <c r="P185" s="43" t="s">
        <v>542</v>
      </c>
      <c r="Q185" s="43" t="s">
        <v>3378</v>
      </c>
      <c r="S185">
        <v>44109</v>
      </c>
      <c r="T185" t="s">
        <v>544</v>
      </c>
      <c r="U185" t="s">
        <v>266</v>
      </c>
      <c r="V185" t="s">
        <v>267</v>
      </c>
      <c r="W185" t="s">
        <v>1718</v>
      </c>
      <c r="X185" t="s">
        <v>1719</v>
      </c>
      <c r="Y185">
        <v>8772802835</v>
      </c>
      <c r="Z185" t="s">
        <v>508</v>
      </c>
      <c r="AA185" t="s">
        <v>271</v>
      </c>
      <c r="AB185">
        <v>25</v>
      </c>
      <c r="AC185">
        <v>0</v>
      </c>
      <c r="AD185">
        <v>113</v>
      </c>
      <c r="AE185" t="s">
        <v>301</v>
      </c>
      <c r="AF185">
        <v>1</v>
      </c>
      <c r="AG185" t="s">
        <v>3345</v>
      </c>
      <c r="AH185">
        <v>881</v>
      </c>
      <c r="AI185">
        <v>881</v>
      </c>
      <c r="AJ185">
        <v>43790</v>
      </c>
      <c r="AK185" s="43" t="s">
        <v>1715</v>
      </c>
      <c r="AL185" s="43" t="s">
        <v>259</v>
      </c>
      <c r="AO185" s="23">
        <v>43786</v>
      </c>
      <c r="AP185" s="23">
        <v>43787</v>
      </c>
      <c r="AQ185" s="23">
        <v>43787</v>
      </c>
      <c r="BC185" t="s">
        <v>259</v>
      </c>
      <c r="BD185" s="43" t="s">
        <v>259</v>
      </c>
      <c r="BE185" s="43" t="s">
        <v>259</v>
      </c>
      <c r="BF185" s="43" t="s">
        <v>259</v>
      </c>
      <c r="BG185" s="43" t="s">
        <v>259</v>
      </c>
      <c r="BH185" t="s">
        <v>259</v>
      </c>
      <c r="BI185" s="43" t="s">
        <v>259</v>
      </c>
      <c r="BJ185">
        <v>0.13043478260869568</v>
      </c>
      <c r="BK185">
        <v>44109</v>
      </c>
      <c r="BL185">
        <v>44356</v>
      </c>
      <c r="BM185">
        <v>8505</v>
      </c>
      <c r="BN185">
        <v>8505</v>
      </c>
      <c r="BO185">
        <v>8505</v>
      </c>
      <c r="BP185">
        <v>25515</v>
      </c>
      <c r="BQ185">
        <v>3300</v>
      </c>
      <c r="BR185">
        <v>400</v>
      </c>
      <c r="BS185">
        <v>400</v>
      </c>
      <c r="BT185">
        <v>4100</v>
      </c>
      <c r="BU185">
        <v>2100</v>
      </c>
      <c r="BV185">
        <v>2100</v>
      </c>
      <c r="BW185">
        <v>2100</v>
      </c>
      <c r="BX185">
        <v>6300</v>
      </c>
      <c r="BY185">
        <v>1200</v>
      </c>
      <c r="BZ185">
        <v>1200</v>
      </c>
      <c r="CA185">
        <v>1200</v>
      </c>
      <c r="CB185">
        <v>3600</v>
      </c>
      <c r="CC185">
        <v>0</v>
      </c>
      <c r="CD185">
        <v>0</v>
      </c>
      <c r="CE185">
        <v>0</v>
      </c>
      <c r="CF185">
        <v>0</v>
      </c>
      <c r="CG185">
        <v>39515</v>
      </c>
      <c r="CH185">
        <v>0</v>
      </c>
      <c r="CI185">
        <v>0</v>
      </c>
      <c r="CJ185">
        <v>0</v>
      </c>
      <c r="CK185">
        <v>0</v>
      </c>
      <c r="CL185">
        <v>1782</v>
      </c>
      <c r="CM185">
        <v>1782</v>
      </c>
      <c r="CN185">
        <v>1781</v>
      </c>
      <c r="CO185">
        <v>5345</v>
      </c>
      <c r="CP185">
        <v>500</v>
      </c>
      <c r="CQ185">
        <v>500</v>
      </c>
      <c r="CR185">
        <v>500</v>
      </c>
      <c r="CS185">
        <v>1500</v>
      </c>
      <c r="CT185">
        <v>1700</v>
      </c>
      <c r="CU185">
        <v>1700</v>
      </c>
      <c r="CV185">
        <v>1700</v>
      </c>
      <c r="CW185">
        <v>5100</v>
      </c>
      <c r="CX185">
        <v>3000</v>
      </c>
      <c r="CY185">
        <v>3000</v>
      </c>
      <c r="CZ185">
        <v>3000</v>
      </c>
      <c r="DA185">
        <v>9000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20945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M185">
        <v>0</v>
      </c>
      <c r="EN185">
        <v>660</v>
      </c>
      <c r="EO185">
        <v>660</v>
      </c>
      <c r="EP185">
        <v>660</v>
      </c>
      <c r="EQ185">
        <v>2000</v>
      </c>
      <c r="ER185">
        <v>21.18</v>
      </c>
      <c r="ES185">
        <v>0</v>
      </c>
      <c r="ET185">
        <v>0</v>
      </c>
      <c r="EU185">
        <v>0</v>
      </c>
      <c r="EW185">
        <v>0</v>
      </c>
      <c r="FA185">
        <v>0</v>
      </c>
      <c r="FE185">
        <v>0</v>
      </c>
      <c r="FI185">
        <v>0</v>
      </c>
      <c r="FJ185">
        <v>1978.82</v>
      </c>
      <c r="FK185">
        <v>18570</v>
      </c>
      <c r="FL185">
        <v>17325.069963660666</v>
      </c>
      <c r="FM185">
        <v>16591.18</v>
      </c>
    </row>
    <row r="186" spans="1:169" x14ac:dyDescent="0.35">
      <c r="A186">
        <v>198314</v>
      </c>
      <c r="B186" t="s">
        <v>3379</v>
      </c>
      <c r="C186" t="s">
        <v>1638</v>
      </c>
      <c r="D186" t="s">
        <v>3380</v>
      </c>
      <c r="E186" s="43" t="s">
        <v>3381</v>
      </c>
      <c r="F186">
        <v>1</v>
      </c>
      <c r="G186">
        <v>43802</v>
      </c>
      <c r="H186">
        <v>43802</v>
      </c>
      <c r="I186">
        <v>43802</v>
      </c>
      <c r="J186" t="s">
        <v>4230</v>
      </c>
      <c r="K186" t="s">
        <v>1715</v>
      </c>
      <c r="L186" s="43" t="s">
        <v>3204</v>
      </c>
      <c r="M186" t="s">
        <v>3382</v>
      </c>
      <c r="N186" s="43" t="s">
        <v>3383</v>
      </c>
      <c r="O186" s="43" t="s">
        <v>1755</v>
      </c>
      <c r="P186" s="43" t="s">
        <v>542</v>
      </c>
      <c r="Q186" s="43" t="s">
        <v>1756</v>
      </c>
      <c r="S186">
        <v>44109</v>
      </c>
      <c r="T186" t="s">
        <v>544</v>
      </c>
      <c r="U186" t="s">
        <v>266</v>
      </c>
      <c r="V186" t="s">
        <v>267</v>
      </c>
      <c r="W186" t="s">
        <v>1718</v>
      </c>
      <c r="X186" t="s">
        <v>1719</v>
      </c>
      <c r="Y186">
        <v>8772802835</v>
      </c>
      <c r="Z186" t="s">
        <v>270</v>
      </c>
      <c r="AA186" t="s">
        <v>271</v>
      </c>
      <c r="AB186">
        <v>18</v>
      </c>
      <c r="AC186">
        <v>0</v>
      </c>
      <c r="AD186">
        <v>84</v>
      </c>
      <c r="AE186" t="s">
        <v>354</v>
      </c>
      <c r="AF186">
        <v>6</v>
      </c>
      <c r="AG186" t="s">
        <v>3345</v>
      </c>
      <c r="AH186">
        <v>0</v>
      </c>
      <c r="AI186">
        <v>0</v>
      </c>
      <c r="AJ186">
        <v>43776</v>
      </c>
      <c r="AK186" s="43" t="s">
        <v>1715</v>
      </c>
      <c r="AL186" s="43" t="s">
        <v>259</v>
      </c>
      <c r="AO186" s="23">
        <v>43802</v>
      </c>
      <c r="AP186" s="23"/>
      <c r="AQ186" s="23"/>
      <c r="BC186" t="s">
        <v>259</v>
      </c>
      <c r="BD186" s="43" t="s">
        <v>259</v>
      </c>
      <c r="BE186" s="43" t="s">
        <v>259</v>
      </c>
      <c r="BF186" s="43" t="s">
        <v>259</v>
      </c>
      <c r="BG186" s="43" t="s">
        <v>259</v>
      </c>
      <c r="BH186" t="s">
        <v>259</v>
      </c>
      <c r="BI186" s="43" t="s">
        <v>259</v>
      </c>
      <c r="BJ186">
        <v>4.3478260869565188E-2</v>
      </c>
      <c r="BK186">
        <v>44109</v>
      </c>
      <c r="BL186">
        <v>44356</v>
      </c>
      <c r="BM186">
        <v>8505</v>
      </c>
      <c r="BN186">
        <v>8505</v>
      </c>
      <c r="BO186">
        <v>8505</v>
      </c>
      <c r="BP186">
        <v>25515</v>
      </c>
      <c r="BQ186">
        <v>3300</v>
      </c>
      <c r="BR186">
        <v>400</v>
      </c>
      <c r="BS186">
        <v>400</v>
      </c>
      <c r="BT186">
        <v>4100</v>
      </c>
      <c r="BU186">
        <v>2100</v>
      </c>
      <c r="BV186">
        <v>2100</v>
      </c>
      <c r="BW186">
        <v>2100</v>
      </c>
      <c r="BX186">
        <v>6300</v>
      </c>
      <c r="BY186">
        <v>1200</v>
      </c>
      <c r="BZ186">
        <v>1200</v>
      </c>
      <c r="CA186">
        <v>1200</v>
      </c>
      <c r="CB186">
        <v>3600</v>
      </c>
      <c r="CC186">
        <v>0</v>
      </c>
      <c r="CD186">
        <v>0</v>
      </c>
      <c r="CE186">
        <v>0</v>
      </c>
      <c r="CF186">
        <v>0</v>
      </c>
      <c r="CG186">
        <v>39515</v>
      </c>
      <c r="CH186">
        <v>0</v>
      </c>
      <c r="CI186">
        <v>0</v>
      </c>
      <c r="CJ186">
        <v>0</v>
      </c>
      <c r="CK186">
        <v>0</v>
      </c>
      <c r="CL186">
        <v>2065</v>
      </c>
      <c r="CM186">
        <v>2065</v>
      </c>
      <c r="CN186">
        <v>2065</v>
      </c>
      <c r="CO186">
        <v>6195</v>
      </c>
      <c r="CP186">
        <v>500</v>
      </c>
      <c r="CQ186">
        <v>500</v>
      </c>
      <c r="CR186">
        <v>500</v>
      </c>
      <c r="CS186">
        <v>1500</v>
      </c>
      <c r="CT186">
        <v>750</v>
      </c>
      <c r="CU186">
        <v>750</v>
      </c>
      <c r="CV186">
        <v>750</v>
      </c>
      <c r="CW186">
        <v>2250</v>
      </c>
      <c r="CX186">
        <v>3000</v>
      </c>
      <c r="CY186">
        <v>3000</v>
      </c>
      <c r="CZ186">
        <v>3000</v>
      </c>
      <c r="DA186">
        <v>9000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18945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M186">
        <v>0</v>
      </c>
      <c r="EN186">
        <v>660</v>
      </c>
      <c r="EO186">
        <v>660</v>
      </c>
      <c r="EP186">
        <v>660</v>
      </c>
      <c r="EQ186">
        <v>2000</v>
      </c>
      <c r="ER186">
        <v>21.18</v>
      </c>
      <c r="ES186">
        <v>0</v>
      </c>
      <c r="ET186">
        <v>0</v>
      </c>
      <c r="EU186">
        <v>0</v>
      </c>
      <c r="EW186">
        <v>0</v>
      </c>
      <c r="FA186">
        <v>0</v>
      </c>
      <c r="FE186">
        <v>0</v>
      </c>
      <c r="FI186">
        <v>0</v>
      </c>
      <c r="FJ186">
        <v>1978.82</v>
      </c>
      <c r="FK186">
        <v>20570</v>
      </c>
      <c r="FL186">
        <v>19413.537446221959</v>
      </c>
      <c r="FM186">
        <v>18591.18</v>
      </c>
    </row>
    <row r="187" spans="1:169" x14ac:dyDescent="0.35">
      <c r="A187">
        <v>195148</v>
      </c>
      <c r="B187" t="s">
        <v>2782</v>
      </c>
      <c r="C187" t="s">
        <v>406</v>
      </c>
      <c r="D187" t="s">
        <v>2783</v>
      </c>
      <c r="E187" s="43" t="s">
        <v>2784</v>
      </c>
      <c r="F187">
        <v>1</v>
      </c>
      <c r="I187">
        <v>43804</v>
      </c>
      <c r="J187" t="s">
        <v>4240</v>
      </c>
      <c r="K187" t="s">
        <v>1715</v>
      </c>
      <c r="L187" s="43" t="s">
        <v>3204</v>
      </c>
      <c r="M187" t="s">
        <v>2785</v>
      </c>
      <c r="N187" s="43" t="s">
        <v>2786</v>
      </c>
      <c r="O187" s="43" t="s">
        <v>2787</v>
      </c>
      <c r="P187" s="43" t="s">
        <v>677</v>
      </c>
      <c r="Q187" s="43" t="s">
        <v>2788</v>
      </c>
      <c r="S187">
        <v>44109</v>
      </c>
      <c r="T187" t="s">
        <v>265</v>
      </c>
      <c r="U187" t="s">
        <v>266</v>
      </c>
      <c r="V187" t="s">
        <v>267</v>
      </c>
      <c r="W187" t="s">
        <v>1718</v>
      </c>
      <c r="X187" t="s">
        <v>1719</v>
      </c>
      <c r="Y187">
        <v>8772802835</v>
      </c>
      <c r="Z187" t="s">
        <v>270</v>
      </c>
      <c r="AA187" t="s">
        <v>271</v>
      </c>
      <c r="AB187">
        <v>23</v>
      </c>
      <c r="AC187">
        <v>0</v>
      </c>
      <c r="AD187">
        <v>109</v>
      </c>
      <c r="AE187" t="s">
        <v>289</v>
      </c>
      <c r="AF187">
        <v>2</v>
      </c>
      <c r="AG187" t="s">
        <v>275</v>
      </c>
      <c r="AH187">
        <v>21291</v>
      </c>
      <c r="AI187">
        <v>21291</v>
      </c>
      <c r="AJ187">
        <v>43774</v>
      </c>
      <c r="AK187" s="43" t="s">
        <v>3208</v>
      </c>
      <c r="AL187" s="43" t="s">
        <v>3209</v>
      </c>
      <c r="AO187" s="23"/>
      <c r="AP187" s="23"/>
      <c r="AQ187" s="23"/>
      <c r="BC187" t="s">
        <v>2018</v>
      </c>
      <c r="BD187" s="43" t="s">
        <v>2018</v>
      </c>
      <c r="BE187" s="43" t="s">
        <v>2018</v>
      </c>
      <c r="BF187" s="43" t="s">
        <v>2018</v>
      </c>
      <c r="BG187" s="43" t="s">
        <v>2018</v>
      </c>
      <c r="BH187" t="s">
        <v>2018</v>
      </c>
      <c r="BI187" s="43" t="s">
        <v>2018</v>
      </c>
      <c r="BJ187">
        <v>0</v>
      </c>
      <c r="BK187">
        <v>44109</v>
      </c>
      <c r="BL187">
        <v>44356</v>
      </c>
      <c r="BM187">
        <v>8505</v>
      </c>
      <c r="BN187">
        <v>8505</v>
      </c>
      <c r="BO187">
        <v>8505</v>
      </c>
      <c r="BP187">
        <v>25515</v>
      </c>
      <c r="BQ187">
        <v>3300</v>
      </c>
      <c r="BR187">
        <v>400</v>
      </c>
      <c r="BS187">
        <v>400</v>
      </c>
      <c r="BT187">
        <v>4100</v>
      </c>
      <c r="BU187">
        <v>2100</v>
      </c>
      <c r="BV187">
        <v>2100</v>
      </c>
      <c r="BW187">
        <v>2100</v>
      </c>
      <c r="BX187">
        <v>6300</v>
      </c>
      <c r="BY187">
        <v>1200</v>
      </c>
      <c r="BZ187">
        <v>1200</v>
      </c>
      <c r="CA187">
        <v>1200</v>
      </c>
      <c r="CB187">
        <v>3600</v>
      </c>
      <c r="CC187">
        <v>0</v>
      </c>
      <c r="CD187">
        <v>0</v>
      </c>
      <c r="CE187">
        <v>0</v>
      </c>
      <c r="CF187">
        <v>0</v>
      </c>
      <c r="CG187">
        <v>39515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1500</v>
      </c>
      <c r="CU187">
        <v>1500</v>
      </c>
      <c r="CV187">
        <v>1500</v>
      </c>
      <c r="CW187">
        <v>4500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4500</v>
      </c>
      <c r="EE187">
        <v>0</v>
      </c>
      <c r="EF187">
        <v>0</v>
      </c>
      <c r="EG187">
        <v>0</v>
      </c>
      <c r="EH187">
        <v>0</v>
      </c>
      <c r="EI187">
        <v>1154</v>
      </c>
      <c r="EJ187">
        <v>1154</v>
      </c>
      <c r="EK187">
        <v>1155</v>
      </c>
      <c r="EL187">
        <v>3500</v>
      </c>
      <c r="EM187">
        <v>37.065000000000005</v>
      </c>
      <c r="EN187">
        <v>660</v>
      </c>
      <c r="EO187">
        <v>660</v>
      </c>
      <c r="EP187">
        <v>660</v>
      </c>
      <c r="EQ187">
        <v>2000</v>
      </c>
      <c r="ER187">
        <v>21.18</v>
      </c>
      <c r="ES187">
        <v>0</v>
      </c>
      <c r="ET187">
        <v>0</v>
      </c>
      <c r="EU187">
        <v>0</v>
      </c>
      <c r="EV187">
        <v>0</v>
      </c>
      <c r="EW187">
        <v>0</v>
      </c>
      <c r="FA187">
        <v>0</v>
      </c>
      <c r="FE187">
        <v>0</v>
      </c>
      <c r="FI187">
        <v>0</v>
      </c>
      <c r="FJ187">
        <v>5441.7550000000001</v>
      </c>
      <c r="FK187">
        <v>35015</v>
      </c>
      <c r="FL187">
        <v>30881.380268159221</v>
      </c>
      <c r="FM187">
        <v>29573.244999999999</v>
      </c>
    </row>
    <row r="188" spans="1:169" x14ac:dyDescent="0.35">
      <c r="A188">
        <v>196296</v>
      </c>
      <c r="B188" t="s">
        <v>2789</v>
      </c>
      <c r="C188" t="s">
        <v>3722</v>
      </c>
      <c r="D188" t="s">
        <v>3723</v>
      </c>
      <c r="E188" s="43" t="s">
        <v>3724</v>
      </c>
      <c r="F188">
        <v>1</v>
      </c>
      <c r="I188">
        <v>43804</v>
      </c>
      <c r="J188" t="s">
        <v>4242</v>
      </c>
      <c r="K188" t="s">
        <v>1715</v>
      </c>
      <c r="L188" s="43" t="s">
        <v>259</v>
      </c>
      <c r="M188" t="s">
        <v>3725</v>
      </c>
      <c r="N188" s="43" t="s">
        <v>3726</v>
      </c>
      <c r="O188" s="43" t="s">
        <v>3727</v>
      </c>
      <c r="P188" s="43" t="s">
        <v>1984</v>
      </c>
      <c r="Q188" s="43" t="s">
        <v>3728</v>
      </c>
      <c r="S188">
        <v>44109</v>
      </c>
      <c r="T188" t="s">
        <v>285</v>
      </c>
      <c r="U188" t="s">
        <v>266</v>
      </c>
      <c r="V188" t="s">
        <v>267</v>
      </c>
      <c r="W188" t="s">
        <v>1718</v>
      </c>
      <c r="X188" t="s">
        <v>1719</v>
      </c>
      <c r="Y188">
        <v>8772802835</v>
      </c>
      <c r="Z188" t="s">
        <v>270</v>
      </c>
      <c r="AA188" t="s">
        <v>271</v>
      </c>
      <c r="AB188">
        <v>0</v>
      </c>
      <c r="AC188">
        <v>1160</v>
      </c>
      <c r="AD188">
        <v>0</v>
      </c>
      <c r="AE188" t="s">
        <v>301</v>
      </c>
      <c r="AF188">
        <v>1</v>
      </c>
      <c r="AG188" t="s">
        <v>3345</v>
      </c>
      <c r="AK188" s="43" t="s">
        <v>259</v>
      </c>
      <c r="AL188" s="43" t="s">
        <v>259</v>
      </c>
      <c r="AO188" s="23"/>
      <c r="AP188" s="23"/>
      <c r="AQ188" s="23"/>
      <c r="BC188" t="s">
        <v>259</v>
      </c>
      <c r="BD188" s="43" t="s">
        <v>259</v>
      </c>
      <c r="BE188" s="43" t="s">
        <v>259</v>
      </c>
      <c r="BF188" s="43" t="s">
        <v>259</v>
      </c>
      <c r="BG188" s="43" t="s">
        <v>259</v>
      </c>
      <c r="BH188" t="s">
        <v>259</v>
      </c>
      <c r="BI188" s="43" t="s">
        <v>259</v>
      </c>
      <c r="BJ188">
        <v>0</v>
      </c>
      <c r="BK188">
        <v>44109</v>
      </c>
      <c r="BL188">
        <v>44356</v>
      </c>
      <c r="BM188">
        <v>8505</v>
      </c>
      <c r="BN188">
        <v>8505</v>
      </c>
      <c r="BO188">
        <v>8505</v>
      </c>
      <c r="BP188">
        <v>25515</v>
      </c>
      <c r="BQ188">
        <v>3300</v>
      </c>
      <c r="BR188">
        <v>400</v>
      </c>
      <c r="BS188">
        <v>400</v>
      </c>
      <c r="BT188">
        <v>4100</v>
      </c>
      <c r="BU188">
        <v>2100</v>
      </c>
      <c r="BV188">
        <v>2100</v>
      </c>
      <c r="BW188">
        <v>2100</v>
      </c>
      <c r="BX188">
        <v>6300</v>
      </c>
      <c r="BY188">
        <v>1200</v>
      </c>
      <c r="BZ188">
        <v>1200</v>
      </c>
      <c r="CA188">
        <v>1200</v>
      </c>
      <c r="CB188">
        <v>3600</v>
      </c>
      <c r="CC188">
        <v>0</v>
      </c>
      <c r="CD188">
        <v>0</v>
      </c>
      <c r="CE188">
        <v>0</v>
      </c>
      <c r="CF188">
        <v>0</v>
      </c>
      <c r="CG188">
        <v>39515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1700</v>
      </c>
      <c r="CU188">
        <v>1700</v>
      </c>
      <c r="CV188">
        <v>1700</v>
      </c>
      <c r="CW188">
        <v>5100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5100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M188">
        <v>0</v>
      </c>
      <c r="EN188">
        <v>660</v>
      </c>
      <c r="EO188">
        <v>660</v>
      </c>
      <c r="EP188">
        <v>660</v>
      </c>
      <c r="EQ188">
        <v>2000</v>
      </c>
      <c r="ER188">
        <v>21.18</v>
      </c>
      <c r="ES188">
        <v>0</v>
      </c>
      <c r="ET188">
        <v>0</v>
      </c>
      <c r="EU188">
        <v>0</v>
      </c>
      <c r="EW188">
        <v>0</v>
      </c>
      <c r="FA188">
        <v>0</v>
      </c>
      <c r="FE188">
        <v>0</v>
      </c>
      <c r="FI188">
        <v>0</v>
      </c>
      <c r="FJ188">
        <v>1978.82</v>
      </c>
      <c r="FK188">
        <v>34415</v>
      </c>
      <c r="FL188">
        <v>33870.953594252533</v>
      </c>
      <c r="FM188">
        <v>32436.18</v>
      </c>
    </row>
    <row r="189" spans="1:169" x14ac:dyDescent="0.35">
      <c r="A189">
        <v>197866</v>
      </c>
      <c r="B189" t="s">
        <v>2789</v>
      </c>
      <c r="C189" t="s">
        <v>389</v>
      </c>
      <c r="D189" t="s">
        <v>2790</v>
      </c>
      <c r="E189" s="43" t="s">
        <v>2791</v>
      </c>
      <c r="F189">
        <v>1</v>
      </c>
      <c r="I189">
        <v>43804</v>
      </c>
      <c r="J189" t="s">
        <v>4242</v>
      </c>
      <c r="K189" t="s">
        <v>1715</v>
      </c>
      <c r="L189" s="43" t="s">
        <v>259</v>
      </c>
      <c r="M189" t="s">
        <v>2792</v>
      </c>
      <c r="N189" s="43" t="s">
        <v>2793</v>
      </c>
      <c r="O189" s="43" t="s">
        <v>2794</v>
      </c>
      <c r="P189" s="43" t="s">
        <v>342</v>
      </c>
      <c r="Q189" s="43" t="s">
        <v>2795</v>
      </c>
      <c r="S189">
        <v>44109</v>
      </c>
      <c r="T189" t="s">
        <v>285</v>
      </c>
      <c r="U189" t="s">
        <v>266</v>
      </c>
      <c r="V189" t="s">
        <v>267</v>
      </c>
      <c r="W189" t="s">
        <v>1718</v>
      </c>
      <c r="X189" t="s">
        <v>1719</v>
      </c>
      <c r="Y189">
        <v>8772802835</v>
      </c>
      <c r="Z189" t="s">
        <v>270</v>
      </c>
      <c r="AA189" t="s">
        <v>271</v>
      </c>
      <c r="AB189">
        <v>25</v>
      </c>
      <c r="AC189">
        <v>1200</v>
      </c>
      <c r="AD189">
        <v>119</v>
      </c>
      <c r="AE189" t="s">
        <v>301</v>
      </c>
      <c r="AF189">
        <v>1</v>
      </c>
      <c r="AG189" t="s">
        <v>275</v>
      </c>
      <c r="AK189" s="43" t="s">
        <v>259</v>
      </c>
      <c r="AL189" s="43" t="s">
        <v>259</v>
      </c>
      <c r="AO189" s="23"/>
      <c r="AP189" s="23"/>
      <c r="AQ189" s="23"/>
      <c r="BC189" t="s">
        <v>259</v>
      </c>
      <c r="BD189" s="43" t="s">
        <v>259</v>
      </c>
      <c r="BE189" s="43" t="s">
        <v>259</v>
      </c>
      <c r="BF189" s="43" t="s">
        <v>259</v>
      </c>
      <c r="BG189" s="43" t="s">
        <v>259</v>
      </c>
      <c r="BH189" t="s">
        <v>259</v>
      </c>
      <c r="BI189" s="43" t="s">
        <v>259</v>
      </c>
      <c r="BJ189">
        <v>0</v>
      </c>
      <c r="BK189">
        <v>44109</v>
      </c>
      <c r="BL189">
        <v>44356</v>
      </c>
      <c r="BM189">
        <v>8505</v>
      </c>
      <c r="BN189">
        <v>8505</v>
      </c>
      <c r="BO189">
        <v>8505</v>
      </c>
      <c r="BP189">
        <v>25515</v>
      </c>
      <c r="BQ189">
        <v>3300</v>
      </c>
      <c r="BR189">
        <v>400</v>
      </c>
      <c r="BS189">
        <v>400</v>
      </c>
      <c r="BT189">
        <v>4100</v>
      </c>
      <c r="BU189">
        <v>2100</v>
      </c>
      <c r="BV189">
        <v>2100</v>
      </c>
      <c r="BW189">
        <v>2100</v>
      </c>
      <c r="BX189">
        <v>6300</v>
      </c>
      <c r="BY189">
        <v>1200</v>
      </c>
      <c r="BZ189">
        <v>1200</v>
      </c>
      <c r="CA189">
        <v>1200</v>
      </c>
      <c r="CB189">
        <v>3600</v>
      </c>
      <c r="CC189">
        <v>0</v>
      </c>
      <c r="CD189">
        <v>0</v>
      </c>
      <c r="CE189">
        <v>0</v>
      </c>
      <c r="CF189">
        <v>0</v>
      </c>
      <c r="CG189">
        <v>39515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1700</v>
      </c>
      <c r="CU189">
        <v>1700</v>
      </c>
      <c r="CV189">
        <v>1700</v>
      </c>
      <c r="CW189">
        <v>5100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5100</v>
      </c>
      <c r="EE189">
        <v>0</v>
      </c>
      <c r="EF189">
        <v>0</v>
      </c>
      <c r="EG189">
        <v>0</v>
      </c>
      <c r="EH189">
        <v>0</v>
      </c>
      <c r="EI189">
        <v>1154</v>
      </c>
      <c r="EJ189">
        <v>1154</v>
      </c>
      <c r="EK189">
        <v>1155</v>
      </c>
      <c r="EL189">
        <v>3500</v>
      </c>
      <c r="EM189">
        <v>37.065000000000005</v>
      </c>
      <c r="EN189">
        <v>660</v>
      </c>
      <c r="EO189">
        <v>660</v>
      </c>
      <c r="EP189">
        <v>660</v>
      </c>
      <c r="EQ189">
        <v>2000</v>
      </c>
      <c r="ER189">
        <v>21.18</v>
      </c>
      <c r="ES189">
        <v>0</v>
      </c>
      <c r="ET189">
        <v>0</v>
      </c>
      <c r="EU189">
        <v>0</v>
      </c>
      <c r="EV189">
        <v>0</v>
      </c>
      <c r="EW189">
        <v>0</v>
      </c>
      <c r="FA189">
        <v>0</v>
      </c>
      <c r="FE189">
        <v>0</v>
      </c>
      <c r="FI189">
        <v>0</v>
      </c>
      <c r="FJ189">
        <v>5441.7550000000001</v>
      </c>
      <c r="FK189">
        <v>34415</v>
      </c>
      <c r="FL189">
        <v>30254.840023390832</v>
      </c>
      <c r="FM189">
        <v>28973.244999999999</v>
      </c>
    </row>
    <row r="190" spans="1:169" x14ac:dyDescent="0.35">
      <c r="A190">
        <v>198987</v>
      </c>
      <c r="B190" t="s">
        <v>3384</v>
      </c>
      <c r="C190" t="s">
        <v>3385</v>
      </c>
      <c r="D190" t="s">
        <v>3386</v>
      </c>
      <c r="E190" s="43" t="s">
        <v>3387</v>
      </c>
      <c r="F190">
        <v>1</v>
      </c>
      <c r="G190">
        <v>43802</v>
      </c>
      <c r="H190">
        <v>43802</v>
      </c>
      <c r="I190">
        <v>43802</v>
      </c>
      <c r="J190" t="s">
        <v>4231</v>
      </c>
      <c r="K190" t="s">
        <v>1715</v>
      </c>
      <c r="L190" s="43" t="s">
        <v>259</v>
      </c>
      <c r="M190" t="s">
        <v>3388</v>
      </c>
      <c r="N190" s="43" t="s">
        <v>3389</v>
      </c>
      <c r="O190" s="43" t="s">
        <v>3390</v>
      </c>
      <c r="P190" s="43" t="s">
        <v>265</v>
      </c>
      <c r="Q190" s="43" t="s">
        <v>3391</v>
      </c>
      <c r="S190">
        <v>44109</v>
      </c>
      <c r="T190" t="s">
        <v>311</v>
      </c>
      <c r="U190" t="s">
        <v>286</v>
      </c>
      <c r="V190" t="s">
        <v>893</v>
      </c>
      <c r="W190" t="s">
        <v>1718</v>
      </c>
      <c r="X190" t="s">
        <v>1719</v>
      </c>
      <c r="Y190">
        <v>8772802835</v>
      </c>
      <c r="Z190" t="s">
        <v>270</v>
      </c>
      <c r="AA190" t="s">
        <v>271</v>
      </c>
      <c r="AB190">
        <v>18</v>
      </c>
      <c r="AC190">
        <v>0</v>
      </c>
      <c r="AD190">
        <v>99</v>
      </c>
      <c r="AE190" t="s">
        <v>416</v>
      </c>
      <c r="AF190">
        <v>5</v>
      </c>
      <c r="AG190" t="s">
        <v>3345</v>
      </c>
      <c r="AK190" s="43" t="s">
        <v>259</v>
      </c>
      <c r="AL190" s="43" t="s">
        <v>259</v>
      </c>
      <c r="AO190" s="23"/>
      <c r="AP190" s="23"/>
      <c r="AQ190" s="23"/>
      <c r="BC190" t="s">
        <v>259</v>
      </c>
      <c r="BD190" s="43" t="s">
        <v>259</v>
      </c>
      <c r="BE190" s="43" t="s">
        <v>259</v>
      </c>
      <c r="BF190" s="43" t="s">
        <v>259</v>
      </c>
      <c r="BG190" s="43" t="s">
        <v>259</v>
      </c>
      <c r="BH190" t="s">
        <v>259</v>
      </c>
      <c r="BI190" s="43" t="s">
        <v>259</v>
      </c>
      <c r="BJ190">
        <v>0</v>
      </c>
      <c r="BK190">
        <v>44109</v>
      </c>
      <c r="BL190">
        <v>44356</v>
      </c>
      <c r="BM190">
        <v>8505</v>
      </c>
      <c r="BN190">
        <v>8505</v>
      </c>
      <c r="BO190">
        <v>8505</v>
      </c>
      <c r="BP190">
        <v>25515</v>
      </c>
      <c r="BQ190">
        <v>3300</v>
      </c>
      <c r="BR190">
        <v>400</v>
      </c>
      <c r="BS190">
        <v>400</v>
      </c>
      <c r="BT190">
        <v>4100</v>
      </c>
      <c r="BU190">
        <v>2100</v>
      </c>
      <c r="BV190">
        <v>2100</v>
      </c>
      <c r="BW190">
        <v>2100</v>
      </c>
      <c r="BX190">
        <v>6300</v>
      </c>
      <c r="BY190">
        <v>1200</v>
      </c>
      <c r="BZ190">
        <v>1200</v>
      </c>
      <c r="CA190">
        <v>1200</v>
      </c>
      <c r="CB190">
        <v>3600</v>
      </c>
      <c r="CC190">
        <v>0</v>
      </c>
      <c r="CD190">
        <v>0</v>
      </c>
      <c r="CE190">
        <v>0</v>
      </c>
      <c r="CF190">
        <v>0</v>
      </c>
      <c r="CG190">
        <v>39515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1000</v>
      </c>
      <c r="CU190">
        <v>1000</v>
      </c>
      <c r="CV190">
        <v>1000</v>
      </c>
      <c r="CW190">
        <v>3000</v>
      </c>
      <c r="CX190">
        <v>0</v>
      </c>
      <c r="CY190">
        <v>0</v>
      </c>
      <c r="CZ190">
        <v>0</v>
      </c>
      <c r="DA190">
        <v>0</v>
      </c>
      <c r="DB190">
        <v>1000</v>
      </c>
      <c r="DC190">
        <v>1000</v>
      </c>
      <c r="DD190">
        <v>1000</v>
      </c>
      <c r="DE190">
        <v>3000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6000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M190">
        <v>0</v>
      </c>
      <c r="EN190">
        <v>660</v>
      </c>
      <c r="EO190">
        <v>660</v>
      </c>
      <c r="EP190">
        <v>660</v>
      </c>
      <c r="EQ190">
        <v>2000</v>
      </c>
      <c r="ER190">
        <v>21.18</v>
      </c>
      <c r="ES190">
        <v>0</v>
      </c>
      <c r="ET190">
        <v>0</v>
      </c>
      <c r="EU190">
        <v>0</v>
      </c>
      <c r="EW190">
        <v>0</v>
      </c>
      <c r="FA190">
        <v>0</v>
      </c>
      <c r="FE190">
        <v>0</v>
      </c>
      <c r="FI190">
        <v>0</v>
      </c>
      <c r="FJ190">
        <v>1978.82</v>
      </c>
      <c r="FK190">
        <v>33515</v>
      </c>
      <c r="FL190">
        <v>32931.14322709995</v>
      </c>
      <c r="FM190">
        <v>31536.18</v>
      </c>
    </row>
    <row r="191" spans="1:169" x14ac:dyDescent="0.35">
      <c r="A191">
        <v>196140</v>
      </c>
      <c r="B191" t="s">
        <v>2796</v>
      </c>
      <c r="C191" t="s">
        <v>2563</v>
      </c>
      <c r="D191" t="s">
        <v>2797</v>
      </c>
      <c r="E191" s="43" t="s">
        <v>2798</v>
      </c>
      <c r="F191">
        <v>1</v>
      </c>
      <c r="I191">
        <v>43804</v>
      </c>
      <c r="J191" t="s">
        <v>4242</v>
      </c>
      <c r="K191" t="s">
        <v>1715</v>
      </c>
      <c r="L191" s="43" t="s">
        <v>259</v>
      </c>
      <c r="M191" t="s">
        <v>2799</v>
      </c>
      <c r="N191" s="43" t="s">
        <v>2800</v>
      </c>
      <c r="O191" s="43" t="s">
        <v>2801</v>
      </c>
      <c r="P191" s="43" t="s">
        <v>384</v>
      </c>
      <c r="Q191" s="43" t="s">
        <v>2802</v>
      </c>
      <c r="S191">
        <v>44109</v>
      </c>
      <c r="T191" t="s">
        <v>311</v>
      </c>
      <c r="U191" t="s">
        <v>266</v>
      </c>
      <c r="V191" t="s">
        <v>267</v>
      </c>
      <c r="W191" t="s">
        <v>1718</v>
      </c>
      <c r="X191" t="s">
        <v>1719</v>
      </c>
      <c r="Y191">
        <v>8772802835</v>
      </c>
      <c r="Z191" t="s">
        <v>270</v>
      </c>
      <c r="AA191" t="s">
        <v>271</v>
      </c>
      <c r="AB191">
        <v>19</v>
      </c>
      <c r="AC191">
        <v>0</v>
      </c>
      <c r="AD191">
        <v>86</v>
      </c>
      <c r="AE191" t="s">
        <v>274</v>
      </c>
      <c r="AF191">
        <v>9</v>
      </c>
      <c r="AG191" t="s">
        <v>275</v>
      </c>
      <c r="AK191" s="43" t="s">
        <v>259</v>
      </c>
      <c r="AL191" s="43" t="s">
        <v>259</v>
      </c>
      <c r="AO191" s="23"/>
      <c r="AP191" s="23"/>
      <c r="AQ191" s="23"/>
      <c r="BC191" t="s">
        <v>259</v>
      </c>
      <c r="BD191" s="43" t="s">
        <v>259</v>
      </c>
      <c r="BE191" s="43" t="s">
        <v>259</v>
      </c>
      <c r="BF191" s="43" t="s">
        <v>259</v>
      </c>
      <c r="BG191" s="43" t="s">
        <v>259</v>
      </c>
      <c r="BH191" t="s">
        <v>259</v>
      </c>
      <c r="BI191" s="43" t="s">
        <v>259</v>
      </c>
      <c r="BJ191">
        <v>0</v>
      </c>
      <c r="BK191">
        <v>44109</v>
      </c>
      <c r="BL191">
        <v>44356</v>
      </c>
      <c r="BM191">
        <v>8505</v>
      </c>
      <c r="BN191">
        <v>8505</v>
      </c>
      <c r="BO191">
        <v>8505</v>
      </c>
      <c r="BP191">
        <v>25515</v>
      </c>
      <c r="BQ191">
        <v>3300</v>
      </c>
      <c r="BR191">
        <v>400</v>
      </c>
      <c r="BS191">
        <v>400</v>
      </c>
      <c r="BT191">
        <v>4100</v>
      </c>
      <c r="BU191">
        <v>2100</v>
      </c>
      <c r="BV191">
        <v>2100</v>
      </c>
      <c r="BW191">
        <v>2100</v>
      </c>
      <c r="BX191">
        <v>6300</v>
      </c>
      <c r="BY191">
        <v>1200</v>
      </c>
      <c r="BZ191">
        <v>1200</v>
      </c>
      <c r="CA191">
        <v>1200</v>
      </c>
      <c r="CB191">
        <v>3600</v>
      </c>
      <c r="CC191">
        <v>0</v>
      </c>
      <c r="CD191">
        <v>0</v>
      </c>
      <c r="CE191">
        <v>0</v>
      </c>
      <c r="CF191">
        <v>0</v>
      </c>
      <c r="CG191">
        <v>39515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1154</v>
      </c>
      <c r="EJ191">
        <v>1154</v>
      </c>
      <c r="EK191">
        <v>1155</v>
      </c>
      <c r="EL191">
        <v>3500</v>
      </c>
      <c r="EM191">
        <v>37.065000000000005</v>
      </c>
      <c r="EN191">
        <v>660</v>
      </c>
      <c r="EO191">
        <v>660</v>
      </c>
      <c r="EP191">
        <v>660</v>
      </c>
      <c r="EQ191">
        <v>2000</v>
      </c>
      <c r="ER191">
        <v>21.18</v>
      </c>
      <c r="ES191">
        <v>0</v>
      </c>
      <c r="ET191">
        <v>0</v>
      </c>
      <c r="EU191">
        <v>0</v>
      </c>
      <c r="EV191">
        <v>0</v>
      </c>
      <c r="EW191">
        <v>0</v>
      </c>
      <c r="FA191">
        <v>0</v>
      </c>
      <c r="FE191">
        <v>0</v>
      </c>
      <c r="FI191">
        <v>0</v>
      </c>
      <c r="FJ191">
        <v>5441.7550000000001</v>
      </c>
      <c r="FK191">
        <v>39515</v>
      </c>
      <c r="FL191">
        <v>35580.43210392214</v>
      </c>
      <c r="FM191">
        <v>34073.245000000003</v>
      </c>
    </row>
    <row r="192" spans="1:169" x14ac:dyDescent="0.35">
      <c r="A192">
        <v>196574</v>
      </c>
      <c r="B192" t="s">
        <v>4076</v>
      </c>
      <c r="C192" t="s">
        <v>4077</v>
      </c>
      <c r="D192" t="s">
        <v>4078</v>
      </c>
      <c r="E192" s="43" t="s">
        <v>4079</v>
      </c>
      <c r="F192">
        <v>1</v>
      </c>
      <c r="I192">
        <v>43804</v>
      </c>
      <c r="J192" t="s">
        <v>4241</v>
      </c>
      <c r="K192" t="s">
        <v>1715</v>
      </c>
      <c r="L192" s="43" t="s">
        <v>259</v>
      </c>
      <c r="M192" t="s">
        <v>4080</v>
      </c>
      <c r="N192" s="43" t="s">
        <v>4081</v>
      </c>
      <c r="O192" s="43" t="s">
        <v>4082</v>
      </c>
      <c r="P192" s="43" t="s">
        <v>735</v>
      </c>
      <c r="Q192" s="43" t="s">
        <v>4083</v>
      </c>
      <c r="S192">
        <v>44109</v>
      </c>
      <c r="T192" t="s">
        <v>311</v>
      </c>
      <c r="U192" t="s">
        <v>286</v>
      </c>
      <c r="V192" t="s">
        <v>267</v>
      </c>
      <c r="W192" t="s">
        <v>1718</v>
      </c>
      <c r="X192" t="s">
        <v>1719</v>
      </c>
      <c r="Y192">
        <v>8772802835</v>
      </c>
      <c r="Z192" t="s">
        <v>270</v>
      </c>
      <c r="AA192" t="s">
        <v>271</v>
      </c>
      <c r="AB192">
        <v>0</v>
      </c>
      <c r="AC192">
        <v>0</v>
      </c>
      <c r="AD192">
        <v>0</v>
      </c>
      <c r="AE192" t="s">
        <v>416</v>
      </c>
      <c r="AF192">
        <v>5</v>
      </c>
      <c r="AG192" t="s">
        <v>3345</v>
      </c>
      <c r="AK192" s="43" t="s">
        <v>259</v>
      </c>
      <c r="AL192" s="43" t="s">
        <v>259</v>
      </c>
      <c r="AO192" s="23"/>
      <c r="AP192" s="23"/>
      <c r="AQ192" s="23"/>
      <c r="BC192" t="s">
        <v>259</v>
      </c>
      <c r="BD192" s="43" t="s">
        <v>259</v>
      </c>
      <c r="BE192" s="43" t="s">
        <v>259</v>
      </c>
      <c r="BF192" s="43" t="s">
        <v>259</v>
      </c>
      <c r="BG192" s="43" t="s">
        <v>259</v>
      </c>
      <c r="BH192" t="s">
        <v>259</v>
      </c>
      <c r="BI192" s="43" t="s">
        <v>259</v>
      </c>
      <c r="BJ192">
        <v>0</v>
      </c>
      <c r="BK192">
        <v>44109</v>
      </c>
      <c r="BL192">
        <v>44356</v>
      </c>
      <c r="BM192">
        <v>8505</v>
      </c>
      <c r="BN192">
        <v>8505</v>
      </c>
      <c r="BO192">
        <v>8505</v>
      </c>
      <c r="BP192">
        <v>25515</v>
      </c>
      <c r="BQ192">
        <v>3300</v>
      </c>
      <c r="BR192">
        <v>400</v>
      </c>
      <c r="BS192">
        <v>400</v>
      </c>
      <c r="BT192">
        <v>4100</v>
      </c>
      <c r="BU192">
        <v>2100</v>
      </c>
      <c r="BV192">
        <v>2100</v>
      </c>
      <c r="BW192">
        <v>2100</v>
      </c>
      <c r="BX192">
        <v>6300</v>
      </c>
      <c r="BY192">
        <v>1200</v>
      </c>
      <c r="BZ192">
        <v>1200</v>
      </c>
      <c r="CA192">
        <v>1200</v>
      </c>
      <c r="CB192">
        <v>3600</v>
      </c>
      <c r="CC192">
        <v>0</v>
      </c>
      <c r="CD192">
        <v>0</v>
      </c>
      <c r="CE192">
        <v>0</v>
      </c>
      <c r="CF192">
        <v>0</v>
      </c>
      <c r="CG192">
        <v>39515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1000</v>
      </c>
      <c r="CU192">
        <v>1000</v>
      </c>
      <c r="CV192">
        <v>1000</v>
      </c>
      <c r="CW192">
        <v>3000</v>
      </c>
      <c r="CX192">
        <v>0</v>
      </c>
      <c r="CY192">
        <v>0</v>
      </c>
      <c r="CZ192">
        <v>0</v>
      </c>
      <c r="DA192">
        <v>0</v>
      </c>
      <c r="DB192">
        <v>1000</v>
      </c>
      <c r="DC192">
        <v>1000</v>
      </c>
      <c r="DD192">
        <v>1000</v>
      </c>
      <c r="DE192">
        <v>3000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6000</v>
      </c>
      <c r="EE192">
        <v>0</v>
      </c>
      <c r="EF192">
        <v>0</v>
      </c>
      <c r="EG192">
        <v>0</v>
      </c>
      <c r="EH192">
        <v>0</v>
      </c>
      <c r="EI192">
        <v>1154</v>
      </c>
      <c r="EJ192">
        <v>1154</v>
      </c>
      <c r="EK192">
        <v>1155</v>
      </c>
      <c r="EL192">
        <v>3500</v>
      </c>
      <c r="EM192">
        <v>37.065000000000005</v>
      </c>
      <c r="EN192">
        <v>660</v>
      </c>
      <c r="EO192">
        <v>660</v>
      </c>
      <c r="EP192">
        <v>660</v>
      </c>
      <c r="EQ192">
        <v>2000</v>
      </c>
      <c r="ER192">
        <v>21.18</v>
      </c>
      <c r="ES192">
        <v>0</v>
      </c>
      <c r="ET192">
        <v>0</v>
      </c>
      <c r="EU192">
        <v>0</v>
      </c>
      <c r="EV192">
        <v>0</v>
      </c>
      <c r="EW192">
        <v>0</v>
      </c>
      <c r="FA192">
        <v>0</v>
      </c>
      <c r="FE192">
        <v>0</v>
      </c>
      <c r="FI192">
        <v>0</v>
      </c>
      <c r="FJ192">
        <v>5441.7550000000001</v>
      </c>
      <c r="FK192">
        <v>33515</v>
      </c>
      <c r="FL192">
        <v>29315.02965623825</v>
      </c>
      <c r="FM192">
        <v>28073.244999999999</v>
      </c>
    </row>
    <row r="193" spans="1:169" x14ac:dyDescent="0.35">
      <c r="A193">
        <v>197977</v>
      </c>
      <c r="B193" t="s">
        <v>2803</v>
      </c>
      <c r="C193" t="s">
        <v>2804</v>
      </c>
      <c r="D193" t="s">
        <v>2805</v>
      </c>
      <c r="E193" s="43" t="s">
        <v>2806</v>
      </c>
      <c r="F193">
        <v>1</v>
      </c>
      <c r="I193">
        <v>43804</v>
      </c>
      <c r="J193" t="s">
        <v>4242</v>
      </c>
      <c r="K193" t="s">
        <v>1715</v>
      </c>
      <c r="L193" s="43" t="s">
        <v>259</v>
      </c>
      <c r="M193" t="s">
        <v>2807</v>
      </c>
      <c r="N193" s="43" t="s">
        <v>2808</v>
      </c>
      <c r="O193" s="43" t="s">
        <v>2809</v>
      </c>
      <c r="P193" s="43" t="s">
        <v>596</v>
      </c>
      <c r="Q193" s="43" t="s">
        <v>2810</v>
      </c>
      <c r="S193">
        <v>44109</v>
      </c>
      <c r="T193" t="s">
        <v>311</v>
      </c>
      <c r="U193" t="s">
        <v>266</v>
      </c>
      <c r="V193" t="s">
        <v>267</v>
      </c>
      <c r="W193" t="s">
        <v>1718</v>
      </c>
      <c r="X193" t="s">
        <v>1719</v>
      </c>
      <c r="Y193">
        <v>8772802835</v>
      </c>
      <c r="Z193" t="s">
        <v>270</v>
      </c>
      <c r="AA193" t="s">
        <v>271</v>
      </c>
      <c r="AB193">
        <v>23</v>
      </c>
      <c r="AC193">
        <v>0</v>
      </c>
      <c r="AD193">
        <v>97</v>
      </c>
      <c r="AE193" t="s">
        <v>354</v>
      </c>
      <c r="AF193">
        <v>6</v>
      </c>
      <c r="AG193" t="s">
        <v>275</v>
      </c>
      <c r="AK193" s="43" t="s">
        <v>259</v>
      </c>
      <c r="AL193" s="43" t="s">
        <v>259</v>
      </c>
      <c r="AO193" s="23"/>
      <c r="AP193" s="23"/>
      <c r="AQ193" s="23"/>
      <c r="BC193" t="s">
        <v>259</v>
      </c>
      <c r="BD193" s="43" t="s">
        <v>259</v>
      </c>
      <c r="BE193" s="43" t="s">
        <v>259</v>
      </c>
      <c r="BF193" s="43" t="s">
        <v>259</v>
      </c>
      <c r="BG193" s="43" t="s">
        <v>259</v>
      </c>
      <c r="BH193" t="s">
        <v>259</v>
      </c>
      <c r="BI193" s="43" t="s">
        <v>259</v>
      </c>
      <c r="BJ193">
        <v>0</v>
      </c>
      <c r="BK193">
        <v>44109</v>
      </c>
      <c r="BL193">
        <v>44356</v>
      </c>
      <c r="BM193">
        <v>8505</v>
      </c>
      <c r="BN193">
        <v>8505</v>
      </c>
      <c r="BO193">
        <v>8505</v>
      </c>
      <c r="BP193">
        <v>25515</v>
      </c>
      <c r="BQ193">
        <v>3300</v>
      </c>
      <c r="BR193">
        <v>400</v>
      </c>
      <c r="BS193">
        <v>400</v>
      </c>
      <c r="BT193">
        <v>4100</v>
      </c>
      <c r="BU193">
        <v>2100</v>
      </c>
      <c r="BV193">
        <v>2100</v>
      </c>
      <c r="BW193">
        <v>2100</v>
      </c>
      <c r="BX193">
        <v>6300</v>
      </c>
      <c r="BY193">
        <v>1200</v>
      </c>
      <c r="BZ193">
        <v>1200</v>
      </c>
      <c r="CA193">
        <v>1200</v>
      </c>
      <c r="CB193">
        <v>3600</v>
      </c>
      <c r="CC193">
        <v>0</v>
      </c>
      <c r="CD193">
        <v>0</v>
      </c>
      <c r="CE193">
        <v>0</v>
      </c>
      <c r="CF193">
        <v>0</v>
      </c>
      <c r="CG193">
        <v>39515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750</v>
      </c>
      <c r="CU193">
        <v>750</v>
      </c>
      <c r="CV193">
        <v>750</v>
      </c>
      <c r="CW193">
        <v>2250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2250</v>
      </c>
      <c r="EE193">
        <v>0</v>
      </c>
      <c r="EF193">
        <v>0</v>
      </c>
      <c r="EG193">
        <v>0</v>
      </c>
      <c r="EH193">
        <v>0</v>
      </c>
      <c r="EI193">
        <v>1154</v>
      </c>
      <c r="EJ193">
        <v>1154</v>
      </c>
      <c r="EK193">
        <v>1155</v>
      </c>
      <c r="EL193">
        <v>3500</v>
      </c>
      <c r="EM193">
        <v>37.065000000000005</v>
      </c>
      <c r="EN193">
        <v>660</v>
      </c>
      <c r="EO193">
        <v>660</v>
      </c>
      <c r="EP193">
        <v>660</v>
      </c>
      <c r="EQ193">
        <v>2000</v>
      </c>
      <c r="ER193">
        <v>21.18</v>
      </c>
      <c r="ES193">
        <v>0</v>
      </c>
      <c r="ET193">
        <v>0</v>
      </c>
      <c r="EU193">
        <v>0</v>
      </c>
      <c r="EV193">
        <v>0</v>
      </c>
      <c r="EW193">
        <v>0</v>
      </c>
      <c r="FA193">
        <v>0</v>
      </c>
      <c r="FE193">
        <v>0</v>
      </c>
      <c r="FI193">
        <v>0</v>
      </c>
      <c r="FJ193">
        <v>5441.7550000000001</v>
      </c>
      <c r="FK193">
        <v>37265</v>
      </c>
      <c r="FL193">
        <v>33230.906186040687</v>
      </c>
      <c r="FM193">
        <v>31823.245000000003</v>
      </c>
    </row>
    <row r="194" spans="1:169" x14ac:dyDescent="0.35">
      <c r="A194">
        <v>195706</v>
      </c>
      <c r="B194" t="s">
        <v>2811</v>
      </c>
      <c r="C194" t="s">
        <v>2812</v>
      </c>
      <c r="D194" t="s">
        <v>2813</v>
      </c>
      <c r="E194" s="43" t="s">
        <v>2814</v>
      </c>
      <c r="F194">
        <v>1</v>
      </c>
      <c r="I194">
        <v>43804</v>
      </c>
      <c r="J194" t="s">
        <v>4240</v>
      </c>
      <c r="K194" t="s">
        <v>1715</v>
      </c>
      <c r="L194" s="43" t="s">
        <v>3204</v>
      </c>
      <c r="M194" t="s">
        <v>2815</v>
      </c>
      <c r="N194" s="43" t="s">
        <v>2816</v>
      </c>
      <c r="O194" s="43" t="s">
        <v>1426</v>
      </c>
      <c r="P194" s="43" t="s">
        <v>297</v>
      </c>
      <c r="Q194" s="43" t="s">
        <v>2817</v>
      </c>
      <c r="S194">
        <v>44109</v>
      </c>
      <c r="T194" t="s">
        <v>311</v>
      </c>
      <c r="U194" t="s">
        <v>266</v>
      </c>
      <c r="V194" t="s">
        <v>267</v>
      </c>
      <c r="W194" t="s">
        <v>1718</v>
      </c>
      <c r="X194" t="s">
        <v>1719</v>
      </c>
      <c r="Y194">
        <v>8772802835</v>
      </c>
      <c r="Z194" t="s">
        <v>270</v>
      </c>
      <c r="AA194" t="s">
        <v>271</v>
      </c>
      <c r="AB194">
        <v>0</v>
      </c>
      <c r="AC194">
        <v>1170</v>
      </c>
      <c r="AD194">
        <v>108</v>
      </c>
      <c r="AE194" t="s">
        <v>289</v>
      </c>
      <c r="AF194">
        <v>2</v>
      </c>
      <c r="AG194" t="s">
        <v>275</v>
      </c>
      <c r="AH194">
        <v>737</v>
      </c>
      <c r="AI194">
        <v>737</v>
      </c>
      <c r="AJ194">
        <v>43801</v>
      </c>
      <c r="AK194" s="43" t="s">
        <v>1715</v>
      </c>
      <c r="AL194" s="43" t="s">
        <v>259</v>
      </c>
      <c r="AO194" s="23"/>
      <c r="AP194" s="23"/>
      <c r="AQ194" s="23"/>
      <c r="BC194" t="s">
        <v>259</v>
      </c>
      <c r="BD194" s="43" t="s">
        <v>259</v>
      </c>
      <c r="BE194" s="43" t="s">
        <v>259</v>
      </c>
      <c r="BF194" s="43" t="s">
        <v>259</v>
      </c>
      <c r="BG194" s="43" t="s">
        <v>259</v>
      </c>
      <c r="BH194" t="s">
        <v>259</v>
      </c>
      <c r="BI194" s="43" t="s">
        <v>259</v>
      </c>
      <c r="BJ194">
        <v>0</v>
      </c>
      <c r="BK194">
        <v>44109</v>
      </c>
      <c r="BL194">
        <v>44356</v>
      </c>
      <c r="BM194">
        <v>8505</v>
      </c>
      <c r="BN194">
        <v>8505</v>
      </c>
      <c r="BO194">
        <v>8505</v>
      </c>
      <c r="BP194">
        <v>25515</v>
      </c>
      <c r="BQ194">
        <v>3300</v>
      </c>
      <c r="BR194">
        <v>400</v>
      </c>
      <c r="BS194">
        <v>400</v>
      </c>
      <c r="BT194">
        <v>4100</v>
      </c>
      <c r="BU194">
        <v>2100</v>
      </c>
      <c r="BV194">
        <v>2100</v>
      </c>
      <c r="BW194">
        <v>2100</v>
      </c>
      <c r="BX194">
        <v>6300</v>
      </c>
      <c r="BY194">
        <v>1200</v>
      </c>
      <c r="BZ194">
        <v>1200</v>
      </c>
      <c r="CA194">
        <v>1200</v>
      </c>
      <c r="CB194">
        <v>3600</v>
      </c>
      <c r="CC194">
        <v>0</v>
      </c>
      <c r="CD194">
        <v>0</v>
      </c>
      <c r="CE194">
        <v>0</v>
      </c>
      <c r="CF194">
        <v>0</v>
      </c>
      <c r="CG194">
        <v>39515</v>
      </c>
      <c r="CH194">
        <v>0</v>
      </c>
      <c r="CI194">
        <v>0</v>
      </c>
      <c r="CJ194">
        <v>0</v>
      </c>
      <c r="CK194">
        <v>0</v>
      </c>
      <c r="CL194">
        <v>1815</v>
      </c>
      <c r="CM194">
        <v>1815</v>
      </c>
      <c r="CN194">
        <v>1815</v>
      </c>
      <c r="CO194">
        <v>5445</v>
      </c>
      <c r="CP194">
        <v>500</v>
      </c>
      <c r="CQ194">
        <v>500</v>
      </c>
      <c r="CR194">
        <v>500</v>
      </c>
      <c r="CS194">
        <v>1500</v>
      </c>
      <c r="CT194">
        <v>1500</v>
      </c>
      <c r="CU194">
        <v>1500</v>
      </c>
      <c r="CV194">
        <v>1500</v>
      </c>
      <c r="CW194">
        <v>4500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11445</v>
      </c>
      <c r="EE194">
        <v>0</v>
      </c>
      <c r="EF194">
        <v>0</v>
      </c>
      <c r="EG194">
        <v>0</v>
      </c>
      <c r="EH194">
        <v>0</v>
      </c>
      <c r="EI194">
        <v>1154</v>
      </c>
      <c r="EJ194">
        <v>1154</v>
      </c>
      <c r="EK194">
        <v>1155</v>
      </c>
      <c r="EL194">
        <v>3500</v>
      </c>
      <c r="EM194">
        <v>37.065000000000005</v>
      </c>
      <c r="EN194">
        <v>660</v>
      </c>
      <c r="EO194">
        <v>660</v>
      </c>
      <c r="EP194">
        <v>660</v>
      </c>
      <c r="EQ194">
        <v>2000</v>
      </c>
      <c r="ER194">
        <v>21.18</v>
      </c>
      <c r="ES194">
        <v>0</v>
      </c>
      <c r="ET194">
        <v>0</v>
      </c>
      <c r="EU194">
        <v>0</v>
      </c>
      <c r="EV194">
        <v>0</v>
      </c>
      <c r="EW194">
        <v>0</v>
      </c>
      <c r="FA194">
        <v>0</v>
      </c>
      <c r="FE194">
        <v>0</v>
      </c>
      <c r="FI194">
        <v>0</v>
      </c>
      <c r="FJ194">
        <v>5441.7550000000001</v>
      </c>
      <c r="FK194">
        <v>28070</v>
      </c>
      <c r="FL194">
        <v>23629.176934965119</v>
      </c>
      <c r="FM194">
        <v>22628.244999999999</v>
      </c>
    </row>
    <row r="195" spans="1:169" x14ac:dyDescent="0.35">
      <c r="A195">
        <v>197649</v>
      </c>
      <c r="B195" t="s">
        <v>2818</v>
      </c>
      <c r="C195" t="s">
        <v>2819</v>
      </c>
      <c r="D195" t="s">
        <v>2820</v>
      </c>
      <c r="E195" s="43" t="s">
        <v>2821</v>
      </c>
      <c r="F195">
        <v>1</v>
      </c>
      <c r="I195">
        <v>43804</v>
      </c>
      <c r="J195" t="s">
        <v>4242</v>
      </c>
      <c r="K195" t="s">
        <v>1715</v>
      </c>
      <c r="L195" s="43" t="s">
        <v>259</v>
      </c>
      <c r="M195" t="s">
        <v>2822</v>
      </c>
      <c r="N195" s="43" t="s">
        <v>2823</v>
      </c>
      <c r="O195" s="43" t="s">
        <v>2824</v>
      </c>
      <c r="P195" s="43" t="s">
        <v>687</v>
      </c>
      <c r="Q195" s="43" t="s">
        <v>2825</v>
      </c>
      <c r="S195">
        <v>44109</v>
      </c>
      <c r="T195" t="s">
        <v>285</v>
      </c>
      <c r="U195" t="s">
        <v>266</v>
      </c>
      <c r="V195" t="s">
        <v>267</v>
      </c>
      <c r="W195" t="s">
        <v>1718</v>
      </c>
      <c r="X195" t="s">
        <v>1719</v>
      </c>
      <c r="Y195">
        <v>8772802835</v>
      </c>
      <c r="Z195" t="s">
        <v>270</v>
      </c>
      <c r="AA195" t="s">
        <v>271</v>
      </c>
      <c r="AB195">
        <v>0</v>
      </c>
      <c r="AC195">
        <v>1150</v>
      </c>
      <c r="AD195">
        <v>112</v>
      </c>
      <c r="AE195" t="s">
        <v>445</v>
      </c>
      <c r="AF195">
        <v>4</v>
      </c>
      <c r="AG195" t="s">
        <v>275</v>
      </c>
      <c r="AK195" s="43" t="s">
        <v>259</v>
      </c>
      <c r="AL195" s="43" t="s">
        <v>259</v>
      </c>
      <c r="AO195" s="23"/>
      <c r="AP195" s="23"/>
      <c r="AQ195" s="23"/>
      <c r="BC195" t="s">
        <v>259</v>
      </c>
      <c r="BD195" s="43" t="s">
        <v>259</v>
      </c>
      <c r="BE195" s="43" t="s">
        <v>259</v>
      </c>
      <c r="BF195" s="43" t="s">
        <v>259</v>
      </c>
      <c r="BG195" s="43" t="s">
        <v>259</v>
      </c>
      <c r="BH195" t="s">
        <v>259</v>
      </c>
      <c r="BI195" s="43" t="s">
        <v>259</v>
      </c>
      <c r="BJ195">
        <v>0</v>
      </c>
      <c r="BK195">
        <v>44109</v>
      </c>
      <c r="BL195">
        <v>44356</v>
      </c>
      <c r="BM195">
        <v>8505</v>
      </c>
      <c r="BN195">
        <v>8505</v>
      </c>
      <c r="BO195">
        <v>8505</v>
      </c>
      <c r="BP195">
        <v>25515</v>
      </c>
      <c r="BQ195">
        <v>3300</v>
      </c>
      <c r="BR195">
        <v>400</v>
      </c>
      <c r="BS195">
        <v>400</v>
      </c>
      <c r="BT195">
        <v>4100</v>
      </c>
      <c r="BU195">
        <v>2100</v>
      </c>
      <c r="BV195">
        <v>2100</v>
      </c>
      <c r="BW195">
        <v>2100</v>
      </c>
      <c r="BX195">
        <v>6300</v>
      </c>
      <c r="BY195">
        <v>1200</v>
      </c>
      <c r="BZ195">
        <v>1200</v>
      </c>
      <c r="CA195">
        <v>1200</v>
      </c>
      <c r="CB195">
        <v>3600</v>
      </c>
      <c r="CC195">
        <v>0</v>
      </c>
      <c r="CD195">
        <v>0</v>
      </c>
      <c r="CE195">
        <v>0</v>
      </c>
      <c r="CF195">
        <v>0</v>
      </c>
      <c r="CG195">
        <v>39515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1250</v>
      </c>
      <c r="CU195">
        <v>1250</v>
      </c>
      <c r="CV195">
        <v>1250</v>
      </c>
      <c r="CW195">
        <v>3750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3750</v>
      </c>
      <c r="EE195">
        <v>0</v>
      </c>
      <c r="EF195">
        <v>0</v>
      </c>
      <c r="EG195">
        <v>0</v>
      </c>
      <c r="EH195">
        <v>0</v>
      </c>
      <c r="EI195">
        <v>1154</v>
      </c>
      <c r="EJ195">
        <v>1154</v>
      </c>
      <c r="EK195">
        <v>1155</v>
      </c>
      <c r="EL195">
        <v>3500</v>
      </c>
      <c r="EM195">
        <v>37.065000000000005</v>
      </c>
      <c r="EN195">
        <v>660</v>
      </c>
      <c r="EO195">
        <v>660</v>
      </c>
      <c r="EP195">
        <v>660</v>
      </c>
      <c r="EQ195">
        <v>2000</v>
      </c>
      <c r="ER195">
        <v>21.18</v>
      </c>
      <c r="ES195">
        <v>0</v>
      </c>
      <c r="ET195">
        <v>0</v>
      </c>
      <c r="EU195">
        <v>0</v>
      </c>
      <c r="EV195">
        <v>0</v>
      </c>
      <c r="EW195">
        <v>0</v>
      </c>
      <c r="FA195">
        <v>0</v>
      </c>
      <c r="FE195">
        <v>0</v>
      </c>
      <c r="FI195">
        <v>0</v>
      </c>
      <c r="FJ195">
        <v>5441.7550000000001</v>
      </c>
      <c r="FK195">
        <v>35765</v>
      </c>
      <c r="FL195">
        <v>31664.555574119709</v>
      </c>
      <c r="FM195">
        <v>30323.244999999999</v>
      </c>
    </row>
    <row r="196" spans="1:169" x14ac:dyDescent="0.35">
      <c r="A196">
        <v>193634</v>
      </c>
      <c r="B196" t="s">
        <v>2826</v>
      </c>
      <c r="C196" t="s">
        <v>2827</v>
      </c>
      <c r="D196" t="s">
        <v>2828</v>
      </c>
      <c r="E196" s="43" t="s">
        <v>2829</v>
      </c>
      <c r="F196">
        <v>1</v>
      </c>
      <c r="I196">
        <v>43804</v>
      </c>
      <c r="J196" t="s">
        <v>4245</v>
      </c>
      <c r="K196" t="s">
        <v>1715</v>
      </c>
      <c r="L196" s="43" t="s">
        <v>3204</v>
      </c>
      <c r="M196" t="s">
        <v>2830</v>
      </c>
      <c r="N196" s="43" t="s">
        <v>2831</v>
      </c>
      <c r="O196" s="43" t="s">
        <v>2832</v>
      </c>
      <c r="P196" s="43" t="s">
        <v>297</v>
      </c>
      <c r="Q196" s="43" t="s">
        <v>2833</v>
      </c>
      <c r="S196">
        <v>44109</v>
      </c>
      <c r="T196" t="s">
        <v>311</v>
      </c>
      <c r="U196" t="s">
        <v>266</v>
      </c>
      <c r="V196" t="s">
        <v>267</v>
      </c>
      <c r="W196" t="s">
        <v>1718</v>
      </c>
      <c r="X196" t="s">
        <v>1719</v>
      </c>
      <c r="Y196">
        <v>8772802835</v>
      </c>
      <c r="Z196" t="s">
        <v>270</v>
      </c>
      <c r="AA196" t="s">
        <v>271</v>
      </c>
      <c r="AB196">
        <v>0</v>
      </c>
      <c r="AC196">
        <v>1040</v>
      </c>
      <c r="AD196">
        <v>98</v>
      </c>
      <c r="AE196" t="s">
        <v>354</v>
      </c>
      <c r="AF196">
        <v>6</v>
      </c>
      <c r="AG196" t="s">
        <v>275</v>
      </c>
      <c r="AH196">
        <v>0</v>
      </c>
      <c r="AI196">
        <v>0</v>
      </c>
      <c r="AJ196">
        <v>43774</v>
      </c>
      <c r="AK196" s="43" t="s">
        <v>3208</v>
      </c>
      <c r="AL196" s="43" t="s">
        <v>3209</v>
      </c>
      <c r="AO196" s="23">
        <v>43789</v>
      </c>
      <c r="AP196" s="23">
        <v>43789</v>
      </c>
      <c r="AQ196" s="23">
        <v>43789</v>
      </c>
      <c r="BC196" t="s">
        <v>2018</v>
      </c>
      <c r="BD196" s="43" t="s">
        <v>2018</v>
      </c>
      <c r="BE196" s="43" t="s">
        <v>2018</v>
      </c>
      <c r="BF196" s="43" t="s">
        <v>2018</v>
      </c>
      <c r="BG196" s="43" t="s">
        <v>2018</v>
      </c>
      <c r="BH196" t="s">
        <v>2018</v>
      </c>
      <c r="BI196" s="43" t="s">
        <v>2018</v>
      </c>
      <c r="BJ196">
        <v>0.1875</v>
      </c>
      <c r="BK196">
        <v>44109</v>
      </c>
      <c r="BL196">
        <v>44356</v>
      </c>
      <c r="BM196">
        <v>8505</v>
      </c>
      <c r="BN196">
        <v>8505</v>
      </c>
      <c r="BO196">
        <v>8505</v>
      </c>
      <c r="BP196">
        <v>25515</v>
      </c>
      <c r="BQ196">
        <v>3300</v>
      </c>
      <c r="BR196">
        <v>400</v>
      </c>
      <c r="BS196">
        <v>400</v>
      </c>
      <c r="BT196">
        <v>4100</v>
      </c>
      <c r="BU196">
        <v>2100</v>
      </c>
      <c r="BV196">
        <v>2100</v>
      </c>
      <c r="BW196">
        <v>2100</v>
      </c>
      <c r="BX196">
        <v>6300</v>
      </c>
      <c r="BY196">
        <v>1200</v>
      </c>
      <c r="BZ196">
        <v>1200</v>
      </c>
      <c r="CA196">
        <v>1200</v>
      </c>
      <c r="CB196">
        <v>3600</v>
      </c>
      <c r="CC196">
        <v>0</v>
      </c>
      <c r="CD196">
        <v>0</v>
      </c>
      <c r="CE196">
        <v>0</v>
      </c>
      <c r="CF196">
        <v>0</v>
      </c>
      <c r="CG196">
        <v>39515</v>
      </c>
      <c r="CH196">
        <v>0</v>
      </c>
      <c r="CI196">
        <v>0</v>
      </c>
      <c r="CJ196">
        <v>0</v>
      </c>
      <c r="CK196">
        <v>0</v>
      </c>
      <c r="CL196">
        <v>2065</v>
      </c>
      <c r="CM196">
        <v>2065</v>
      </c>
      <c r="CN196">
        <v>2065</v>
      </c>
      <c r="CO196">
        <v>6195</v>
      </c>
      <c r="CP196">
        <v>500</v>
      </c>
      <c r="CQ196">
        <v>500</v>
      </c>
      <c r="CR196">
        <v>500</v>
      </c>
      <c r="CS196">
        <v>1500</v>
      </c>
      <c r="CT196">
        <v>750</v>
      </c>
      <c r="CU196">
        <v>750</v>
      </c>
      <c r="CV196">
        <v>750</v>
      </c>
      <c r="CW196">
        <v>2250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9945</v>
      </c>
      <c r="EE196">
        <v>0</v>
      </c>
      <c r="EF196">
        <v>0</v>
      </c>
      <c r="EG196">
        <v>0</v>
      </c>
      <c r="EH196">
        <v>0</v>
      </c>
      <c r="EI196">
        <v>1154</v>
      </c>
      <c r="EJ196">
        <v>1154</v>
      </c>
      <c r="EK196">
        <v>1155</v>
      </c>
      <c r="EL196">
        <v>3500</v>
      </c>
      <c r="EM196">
        <v>37.065000000000005</v>
      </c>
      <c r="EN196">
        <v>660</v>
      </c>
      <c r="EO196">
        <v>660</v>
      </c>
      <c r="EP196">
        <v>660</v>
      </c>
      <c r="EQ196">
        <v>2000</v>
      </c>
      <c r="ER196">
        <v>21.18</v>
      </c>
      <c r="ES196">
        <v>0</v>
      </c>
      <c r="ET196">
        <v>0</v>
      </c>
      <c r="EU196">
        <v>0</v>
      </c>
      <c r="EV196">
        <v>0</v>
      </c>
      <c r="EW196">
        <v>0</v>
      </c>
      <c r="FA196">
        <v>0</v>
      </c>
      <c r="FE196">
        <v>0</v>
      </c>
      <c r="FI196">
        <v>0</v>
      </c>
      <c r="FJ196">
        <v>5441.7550000000001</v>
      </c>
      <c r="FK196">
        <v>29570</v>
      </c>
      <c r="FL196">
        <v>25195.527546886093</v>
      </c>
      <c r="FM196">
        <v>24128.244999999999</v>
      </c>
    </row>
    <row r="197" spans="1:169" x14ac:dyDescent="0.35">
      <c r="A197">
        <v>191833</v>
      </c>
      <c r="B197" t="s">
        <v>2834</v>
      </c>
      <c r="C197" t="s">
        <v>1339</v>
      </c>
      <c r="D197" t="s">
        <v>2835</v>
      </c>
      <c r="E197" s="43" t="s">
        <v>2836</v>
      </c>
      <c r="F197">
        <v>1</v>
      </c>
      <c r="I197">
        <v>43804</v>
      </c>
      <c r="J197" t="s">
        <v>4242</v>
      </c>
      <c r="K197" t="s">
        <v>1715</v>
      </c>
      <c r="L197" s="43" t="s">
        <v>259</v>
      </c>
      <c r="M197" t="s">
        <v>2837</v>
      </c>
      <c r="N197" s="43" t="s">
        <v>2838</v>
      </c>
      <c r="O197" s="43" t="s">
        <v>2839</v>
      </c>
      <c r="P197" s="43" t="s">
        <v>553</v>
      </c>
      <c r="Q197" s="43" t="s">
        <v>2840</v>
      </c>
      <c r="S197">
        <v>44109</v>
      </c>
      <c r="T197" t="s">
        <v>265</v>
      </c>
      <c r="U197" t="s">
        <v>266</v>
      </c>
      <c r="V197" t="s">
        <v>267</v>
      </c>
      <c r="W197" t="s">
        <v>1718</v>
      </c>
      <c r="X197" t="s">
        <v>1719</v>
      </c>
      <c r="Y197">
        <v>8772802835</v>
      </c>
      <c r="Z197" t="s">
        <v>270</v>
      </c>
      <c r="AA197" t="s">
        <v>271</v>
      </c>
      <c r="AB197">
        <v>24</v>
      </c>
      <c r="AC197">
        <v>0</v>
      </c>
      <c r="AD197">
        <v>113</v>
      </c>
      <c r="AE197" t="s">
        <v>289</v>
      </c>
      <c r="AF197">
        <v>2</v>
      </c>
      <c r="AG197" t="s">
        <v>275</v>
      </c>
      <c r="AK197" s="43" t="s">
        <v>259</v>
      </c>
      <c r="AL197" s="43" t="s">
        <v>259</v>
      </c>
      <c r="AO197" s="23"/>
      <c r="AP197" s="23"/>
      <c r="AQ197" s="23"/>
      <c r="BC197" t="s">
        <v>259</v>
      </c>
      <c r="BD197" s="43" t="s">
        <v>259</v>
      </c>
      <c r="BE197" s="43" t="s">
        <v>259</v>
      </c>
      <c r="BF197" s="43" t="s">
        <v>259</v>
      </c>
      <c r="BG197" s="43" t="s">
        <v>259</v>
      </c>
      <c r="BH197" t="s">
        <v>259</v>
      </c>
      <c r="BI197" s="43" t="s">
        <v>259</v>
      </c>
      <c r="BJ197">
        <v>0</v>
      </c>
      <c r="BK197">
        <v>44109</v>
      </c>
      <c r="BL197">
        <v>44356</v>
      </c>
      <c r="BM197">
        <v>8505</v>
      </c>
      <c r="BN197">
        <v>8505</v>
      </c>
      <c r="BO197">
        <v>8505</v>
      </c>
      <c r="BP197">
        <v>25515</v>
      </c>
      <c r="BQ197">
        <v>3300</v>
      </c>
      <c r="BR197">
        <v>400</v>
      </c>
      <c r="BS197">
        <v>400</v>
      </c>
      <c r="BT197">
        <v>4100</v>
      </c>
      <c r="BU197">
        <v>2100</v>
      </c>
      <c r="BV197">
        <v>2100</v>
      </c>
      <c r="BW197">
        <v>2100</v>
      </c>
      <c r="BX197">
        <v>6300</v>
      </c>
      <c r="BY197">
        <v>1200</v>
      </c>
      <c r="BZ197">
        <v>1200</v>
      </c>
      <c r="CA197">
        <v>1200</v>
      </c>
      <c r="CB197">
        <v>3600</v>
      </c>
      <c r="CC197">
        <v>0</v>
      </c>
      <c r="CD197">
        <v>0</v>
      </c>
      <c r="CE197">
        <v>0</v>
      </c>
      <c r="CF197">
        <v>0</v>
      </c>
      <c r="CG197">
        <v>39515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1500</v>
      </c>
      <c r="CU197">
        <v>1500</v>
      </c>
      <c r="CV197">
        <v>1500</v>
      </c>
      <c r="CW197">
        <v>4500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4500</v>
      </c>
      <c r="EE197">
        <v>0</v>
      </c>
      <c r="EF197">
        <v>0</v>
      </c>
      <c r="EG197">
        <v>0</v>
      </c>
      <c r="EH197">
        <v>0</v>
      </c>
      <c r="EI197">
        <v>1154</v>
      </c>
      <c r="EJ197">
        <v>1154</v>
      </c>
      <c r="EK197">
        <v>1155</v>
      </c>
      <c r="EL197">
        <v>3500</v>
      </c>
      <c r="EM197">
        <v>37.065000000000005</v>
      </c>
      <c r="EN197">
        <v>660</v>
      </c>
      <c r="EO197">
        <v>660</v>
      </c>
      <c r="EP197">
        <v>660</v>
      </c>
      <c r="EQ197">
        <v>2000</v>
      </c>
      <c r="ER197">
        <v>21.18</v>
      </c>
      <c r="ES197">
        <v>0</v>
      </c>
      <c r="ET197">
        <v>0</v>
      </c>
      <c r="EU197">
        <v>0</v>
      </c>
      <c r="EV197">
        <v>0</v>
      </c>
      <c r="EW197">
        <v>0</v>
      </c>
      <c r="FA197">
        <v>0</v>
      </c>
      <c r="FE197">
        <v>0</v>
      </c>
      <c r="FI197">
        <v>0</v>
      </c>
      <c r="FJ197">
        <v>5441.7550000000001</v>
      </c>
      <c r="FK197">
        <v>35015</v>
      </c>
      <c r="FL197">
        <v>30881.380268159221</v>
      </c>
      <c r="FM197">
        <v>29573.244999999999</v>
      </c>
    </row>
    <row r="198" spans="1:169" x14ac:dyDescent="0.35">
      <c r="A198">
        <v>197382</v>
      </c>
      <c r="B198" t="s">
        <v>2834</v>
      </c>
      <c r="C198" t="s">
        <v>2841</v>
      </c>
      <c r="D198" t="s">
        <v>2842</v>
      </c>
      <c r="E198" s="43" t="s">
        <v>2843</v>
      </c>
      <c r="F198">
        <v>1</v>
      </c>
      <c r="I198">
        <v>43804</v>
      </c>
      <c r="J198" t="s">
        <v>4241</v>
      </c>
      <c r="K198" t="s">
        <v>1715</v>
      </c>
      <c r="L198" s="43" t="s">
        <v>259</v>
      </c>
      <c r="M198" t="s">
        <v>2844</v>
      </c>
      <c r="N198" s="43" t="s">
        <v>2845</v>
      </c>
      <c r="O198" s="43" t="s">
        <v>2846</v>
      </c>
      <c r="P198" s="43" t="s">
        <v>442</v>
      </c>
      <c r="Q198" s="43" t="s">
        <v>2847</v>
      </c>
      <c r="S198">
        <v>44109</v>
      </c>
      <c r="T198" t="s">
        <v>285</v>
      </c>
      <c r="U198" t="s">
        <v>286</v>
      </c>
      <c r="V198" t="s">
        <v>267</v>
      </c>
      <c r="W198" t="s">
        <v>1718</v>
      </c>
      <c r="X198" t="s">
        <v>1719</v>
      </c>
      <c r="Y198">
        <v>8772802835</v>
      </c>
      <c r="Z198" t="s">
        <v>270</v>
      </c>
      <c r="AA198" t="s">
        <v>271</v>
      </c>
      <c r="AB198">
        <v>13</v>
      </c>
      <c r="AC198">
        <v>0</v>
      </c>
      <c r="AD198">
        <v>79</v>
      </c>
      <c r="AE198" t="s">
        <v>344</v>
      </c>
      <c r="AF198">
        <v>10</v>
      </c>
      <c r="AG198" t="s">
        <v>275</v>
      </c>
      <c r="AK198" s="43" t="s">
        <v>259</v>
      </c>
      <c r="AL198" s="43" t="s">
        <v>259</v>
      </c>
      <c r="AO198" s="23"/>
      <c r="AP198" s="23"/>
      <c r="AQ198" s="23"/>
      <c r="BC198" t="s">
        <v>259</v>
      </c>
      <c r="BD198" s="43" t="s">
        <v>259</v>
      </c>
      <c r="BE198" s="43" t="s">
        <v>259</v>
      </c>
      <c r="BF198" s="43" t="s">
        <v>259</v>
      </c>
      <c r="BG198" s="43" t="s">
        <v>259</v>
      </c>
      <c r="BH198" t="s">
        <v>259</v>
      </c>
      <c r="BI198" s="43" t="s">
        <v>259</v>
      </c>
      <c r="BJ198">
        <v>0</v>
      </c>
      <c r="BK198">
        <v>44109</v>
      </c>
      <c r="BL198">
        <v>44356</v>
      </c>
      <c r="BM198">
        <v>8505</v>
      </c>
      <c r="BN198">
        <v>8505</v>
      </c>
      <c r="BO198">
        <v>8505</v>
      </c>
      <c r="BP198">
        <v>25515</v>
      </c>
      <c r="BQ198">
        <v>3300</v>
      </c>
      <c r="BR198">
        <v>400</v>
      </c>
      <c r="BS198">
        <v>400</v>
      </c>
      <c r="BT198">
        <v>4100</v>
      </c>
      <c r="BU198">
        <v>2100</v>
      </c>
      <c r="BV198">
        <v>2100</v>
      </c>
      <c r="BW198">
        <v>2100</v>
      </c>
      <c r="BX198">
        <v>6300</v>
      </c>
      <c r="BY198">
        <v>1200</v>
      </c>
      <c r="BZ198">
        <v>1200</v>
      </c>
      <c r="CA198">
        <v>1200</v>
      </c>
      <c r="CB198">
        <v>3600</v>
      </c>
      <c r="CC198">
        <v>0</v>
      </c>
      <c r="CD198">
        <v>0</v>
      </c>
      <c r="CE198">
        <v>0</v>
      </c>
      <c r="CF198">
        <v>0</v>
      </c>
      <c r="CG198">
        <v>39515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1000</v>
      </c>
      <c r="DC198">
        <v>1000</v>
      </c>
      <c r="DD198">
        <v>1000</v>
      </c>
      <c r="DE198">
        <v>3000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3000</v>
      </c>
      <c r="EE198">
        <v>0</v>
      </c>
      <c r="EF198">
        <v>0</v>
      </c>
      <c r="EG198">
        <v>0</v>
      </c>
      <c r="EH198">
        <v>0</v>
      </c>
      <c r="EI198">
        <v>1154</v>
      </c>
      <c r="EJ198">
        <v>1154</v>
      </c>
      <c r="EK198">
        <v>1155</v>
      </c>
      <c r="EL198">
        <v>3500</v>
      </c>
      <c r="EM198">
        <v>37.065000000000005</v>
      </c>
      <c r="EN198">
        <v>660</v>
      </c>
      <c r="EO198">
        <v>660</v>
      </c>
      <c r="EP198">
        <v>660</v>
      </c>
      <c r="EQ198">
        <v>2000</v>
      </c>
      <c r="ER198">
        <v>21.18</v>
      </c>
      <c r="ES198">
        <v>0</v>
      </c>
      <c r="ET198">
        <v>0</v>
      </c>
      <c r="EU198">
        <v>0</v>
      </c>
      <c r="EV198">
        <v>0</v>
      </c>
      <c r="EW198">
        <v>0</v>
      </c>
      <c r="FA198">
        <v>0</v>
      </c>
      <c r="FE198">
        <v>0</v>
      </c>
      <c r="FI198">
        <v>0</v>
      </c>
      <c r="FJ198">
        <v>5441.7550000000001</v>
      </c>
      <c r="FK198">
        <v>36515</v>
      </c>
      <c r="FL198">
        <v>32447.730880080198</v>
      </c>
      <c r="FM198">
        <v>31073.245000000003</v>
      </c>
    </row>
    <row r="199" spans="1:169" x14ac:dyDescent="0.35">
      <c r="A199">
        <v>189134</v>
      </c>
      <c r="B199" t="s">
        <v>3392</v>
      </c>
      <c r="C199" t="s">
        <v>3393</v>
      </c>
      <c r="D199" t="s">
        <v>3394</v>
      </c>
      <c r="E199" s="43" t="s">
        <v>3395</v>
      </c>
      <c r="F199">
        <v>1</v>
      </c>
      <c r="I199">
        <v>43804</v>
      </c>
      <c r="J199" t="s">
        <v>4242</v>
      </c>
      <c r="K199" t="s">
        <v>1715</v>
      </c>
      <c r="L199" s="43" t="s">
        <v>259</v>
      </c>
      <c r="M199" t="s">
        <v>3396</v>
      </c>
      <c r="N199" s="43" t="s">
        <v>3397</v>
      </c>
      <c r="O199" s="43" t="s">
        <v>3398</v>
      </c>
      <c r="P199" s="43" t="s">
        <v>2279</v>
      </c>
      <c r="Q199" s="43" t="s">
        <v>3399</v>
      </c>
      <c r="S199">
        <v>44109</v>
      </c>
      <c r="T199" t="s">
        <v>311</v>
      </c>
      <c r="U199" t="s">
        <v>266</v>
      </c>
      <c r="V199" t="s">
        <v>267</v>
      </c>
      <c r="W199" t="s">
        <v>1718</v>
      </c>
      <c r="X199" t="s">
        <v>1719</v>
      </c>
      <c r="Y199">
        <v>8772802835</v>
      </c>
      <c r="Z199" t="s">
        <v>270</v>
      </c>
      <c r="AA199" t="s">
        <v>271</v>
      </c>
      <c r="AB199">
        <v>0</v>
      </c>
      <c r="AC199">
        <v>930</v>
      </c>
      <c r="AD199">
        <v>85</v>
      </c>
      <c r="AE199" t="s">
        <v>344</v>
      </c>
      <c r="AF199">
        <v>10</v>
      </c>
      <c r="AG199" t="s">
        <v>3345</v>
      </c>
      <c r="AK199" s="43" t="s">
        <v>259</v>
      </c>
      <c r="AL199" s="43" t="s">
        <v>259</v>
      </c>
      <c r="AO199" s="23"/>
      <c r="AP199" s="23"/>
      <c r="AQ199" s="23"/>
      <c r="BC199" t="s">
        <v>259</v>
      </c>
      <c r="BD199" s="43" t="s">
        <v>259</v>
      </c>
      <c r="BE199" s="43" t="s">
        <v>259</v>
      </c>
      <c r="BF199" s="43" t="s">
        <v>259</v>
      </c>
      <c r="BG199" s="43" t="s">
        <v>259</v>
      </c>
      <c r="BH199" t="s">
        <v>259</v>
      </c>
      <c r="BI199" s="43" t="s">
        <v>259</v>
      </c>
      <c r="BJ199">
        <v>0</v>
      </c>
      <c r="BK199">
        <v>44109</v>
      </c>
      <c r="BL199">
        <v>44356</v>
      </c>
      <c r="BM199">
        <v>8505</v>
      </c>
      <c r="BN199">
        <v>8505</v>
      </c>
      <c r="BO199">
        <v>8505</v>
      </c>
      <c r="BP199">
        <v>25515</v>
      </c>
      <c r="BQ199">
        <v>3300</v>
      </c>
      <c r="BR199">
        <v>400</v>
      </c>
      <c r="BS199">
        <v>400</v>
      </c>
      <c r="BT199">
        <v>4100</v>
      </c>
      <c r="BU199">
        <v>2100</v>
      </c>
      <c r="BV199">
        <v>2100</v>
      </c>
      <c r="BW199">
        <v>2100</v>
      </c>
      <c r="BX199">
        <v>6300</v>
      </c>
      <c r="BY199">
        <v>1200</v>
      </c>
      <c r="BZ199">
        <v>1200</v>
      </c>
      <c r="CA199">
        <v>1200</v>
      </c>
      <c r="CB199">
        <v>3600</v>
      </c>
      <c r="CC199">
        <v>0</v>
      </c>
      <c r="CD199">
        <v>0</v>
      </c>
      <c r="CE199">
        <v>0</v>
      </c>
      <c r="CF199">
        <v>0</v>
      </c>
      <c r="CG199">
        <v>39515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M199">
        <v>0</v>
      </c>
      <c r="EN199">
        <v>660</v>
      </c>
      <c r="EO199">
        <v>660</v>
      </c>
      <c r="EP199">
        <v>660</v>
      </c>
      <c r="EQ199">
        <v>2000</v>
      </c>
      <c r="ER199">
        <v>21.18</v>
      </c>
      <c r="ES199">
        <v>0</v>
      </c>
      <c r="ET199">
        <v>0</v>
      </c>
      <c r="EU199">
        <v>0</v>
      </c>
      <c r="EW199">
        <v>0</v>
      </c>
      <c r="FA199">
        <v>0</v>
      </c>
      <c r="FE199">
        <v>0</v>
      </c>
      <c r="FI199">
        <v>0</v>
      </c>
      <c r="FJ199">
        <v>1978.82</v>
      </c>
      <c r="FK199">
        <v>39515</v>
      </c>
      <c r="FL199">
        <v>39196.54567478384</v>
      </c>
      <c r="FM199">
        <v>37536.18</v>
      </c>
    </row>
    <row r="200" spans="1:169" x14ac:dyDescent="0.35">
      <c r="A200">
        <v>196368</v>
      </c>
      <c r="B200" t="s">
        <v>2848</v>
      </c>
      <c r="C200" t="s">
        <v>1969</v>
      </c>
      <c r="D200" t="s">
        <v>2849</v>
      </c>
      <c r="E200" s="43" t="s">
        <v>2850</v>
      </c>
      <c r="F200">
        <v>1</v>
      </c>
      <c r="I200">
        <v>43804</v>
      </c>
      <c r="J200" t="s">
        <v>4242</v>
      </c>
      <c r="K200" t="s">
        <v>1715</v>
      </c>
      <c r="L200" s="43" t="s">
        <v>259</v>
      </c>
      <c r="M200" t="s">
        <v>2851</v>
      </c>
      <c r="N200" s="43" t="s">
        <v>2852</v>
      </c>
      <c r="O200" s="43" t="s">
        <v>910</v>
      </c>
      <c r="P200" s="43" t="s">
        <v>911</v>
      </c>
      <c r="Q200" s="43" t="s">
        <v>912</v>
      </c>
      <c r="S200">
        <v>44109</v>
      </c>
      <c r="T200" t="s">
        <v>311</v>
      </c>
      <c r="U200" t="s">
        <v>266</v>
      </c>
      <c r="V200" t="s">
        <v>267</v>
      </c>
      <c r="W200" t="s">
        <v>1718</v>
      </c>
      <c r="X200" t="s">
        <v>1719</v>
      </c>
      <c r="Y200">
        <v>8772802835</v>
      </c>
      <c r="Z200" t="s">
        <v>270</v>
      </c>
      <c r="AA200" t="s">
        <v>271</v>
      </c>
      <c r="AB200">
        <v>0</v>
      </c>
      <c r="AC200">
        <v>1370</v>
      </c>
      <c r="AD200">
        <v>121</v>
      </c>
      <c r="AE200" t="s">
        <v>301</v>
      </c>
      <c r="AF200">
        <v>1</v>
      </c>
      <c r="AG200" t="s">
        <v>275</v>
      </c>
      <c r="AK200" s="43" t="s">
        <v>259</v>
      </c>
      <c r="AL200" s="43" t="s">
        <v>259</v>
      </c>
      <c r="AO200" s="23"/>
      <c r="AP200" s="23"/>
      <c r="AQ200" s="23"/>
      <c r="BC200" t="s">
        <v>259</v>
      </c>
      <c r="BD200" s="43" t="s">
        <v>259</v>
      </c>
      <c r="BE200" s="43" t="s">
        <v>259</v>
      </c>
      <c r="BF200" s="43" t="s">
        <v>259</v>
      </c>
      <c r="BG200" s="43" t="s">
        <v>259</v>
      </c>
      <c r="BH200" t="s">
        <v>259</v>
      </c>
      <c r="BI200" s="43" t="s">
        <v>259</v>
      </c>
      <c r="BJ200">
        <v>0</v>
      </c>
      <c r="BK200">
        <v>44109</v>
      </c>
      <c r="BL200">
        <v>44356</v>
      </c>
      <c r="BM200">
        <v>8505</v>
      </c>
      <c r="BN200">
        <v>8505</v>
      </c>
      <c r="BO200">
        <v>8505</v>
      </c>
      <c r="BP200">
        <v>25515</v>
      </c>
      <c r="BQ200">
        <v>3300</v>
      </c>
      <c r="BR200">
        <v>400</v>
      </c>
      <c r="BS200">
        <v>400</v>
      </c>
      <c r="BT200">
        <v>4100</v>
      </c>
      <c r="BU200">
        <v>2100</v>
      </c>
      <c r="BV200">
        <v>2100</v>
      </c>
      <c r="BW200">
        <v>2100</v>
      </c>
      <c r="BX200">
        <v>6300</v>
      </c>
      <c r="BY200">
        <v>1200</v>
      </c>
      <c r="BZ200">
        <v>1200</v>
      </c>
      <c r="CA200">
        <v>1200</v>
      </c>
      <c r="CB200">
        <v>3600</v>
      </c>
      <c r="CC200">
        <v>0</v>
      </c>
      <c r="CD200">
        <v>0</v>
      </c>
      <c r="CE200">
        <v>0</v>
      </c>
      <c r="CF200">
        <v>0</v>
      </c>
      <c r="CG200">
        <v>39515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1700</v>
      </c>
      <c r="CU200">
        <v>1700</v>
      </c>
      <c r="CV200">
        <v>1700</v>
      </c>
      <c r="CW200">
        <v>5100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5100</v>
      </c>
      <c r="EE200">
        <v>0</v>
      </c>
      <c r="EF200">
        <v>0</v>
      </c>
      <c r="EG200">
        <v>0</v>
      </c>
      <c r="EH200">
        <v>0</v>
      </c>
      <c r="EI200">
        <v>1154</v>
      </c>
      <c r="EJ200">
        <v>1154</v>
      </c>
      <c r="EK200">
        <v>1155</v>
      </c>
      <c r="EL200">
        <v>3500</v>
      </c>
      <c r="EM200">
        <v>37.065000000000005</v>
      </c>
      <c r="EN200">
        <v>660</v>
      </c>
      <c r="EO200">
        <v>660</v>
      </c>
      <c r="EP200">
        <v>660</v>
      </c>
      <c r="EQ200">
        <v>2000</v>
      </c>
      <c r="ER200">
        <v>21.18</v>
      </c>
      <c r="ES200">
        <v>0</v>
      </c>
      <c r="ET200">
        <v>0</v>
      </c>
      <c r="EU200">
        <v>0</v>
      </c>
      <c r="EV200">
        <v>0</v>
      </c>
      <c r="EW200">
        <v>0</v>
      </c>
      <c r="FA200">
        <v>0</v>
      </c>
      <c r="FE200">
        <v>0</v>
      </c>
      <c r="FI200">
        <v>0</v>
      </c>
      <c r="FJ200">
        <v>5441.7550000000001</v>
      </c>
      <c r="FK200">
        <v>34415</v>
      </c>
      <c r="FL200">
        <v>30254.840023390832</v>
      </c>
      <c r="FM200">
        <v>28973.244999999999</v>
      </c>
    </row>
    <row r="201" spans="1:169" x14ac:dyDescent="0.35">
      <c r="A201">
        <v>198030</v>
      </c>
      <c r="B201" t="s">
        <v>2853</v>
      </c>
      <c r="C201" t="s">
        <v>629</v>
      </c>
      <c r="D201" t="s">
        <v>2854</v>
      </c>
      <c r="E201" s="43" t="s">
        <v>2855</v>
      </c>
      <c r="F201">
        <v>2</v>
      </c>
      <c r="G201">
        <v>43794</v>
      </c>
      <c r="H201">
        <v>43794</v>
      </c>
      <c r="I201">
        <v>43794</v>
      </c>
      <c r="J201" t="s">
        <v>3421</v>
      </c>
      <c r="K201" t="s">
        <v>1715</v>
      </c>
      <c r="L201" s="43" t="s">
        <v>3204</v>
      </c>
      <c r="M201" t="s">
        <v>2856</v>
      </c>
      <c r="N201" s="43" t="s">
        <v>2857</v>
      </c>
      <c r="O201" s="43" t="s">
        <v>2540</v>
      </c>
      <c r="P201" s="43" t="s">
        <v>342</v>
      </c>
      <c r="Q201" s="43" t="s">
        <v>2858</v>
      </c>
      <c r="S201">
        <v>44109</v>
      </c>
      <c r="T201" t="s">
        <v>311</v>
      </c>
      <c r="U201" t="s">
        <v>266</v>
      </c>
      <c r="V201" t="s">
        <v>267</v>
      </c>
      <c r="W201" t="s">
        <v>1718</v>
      </c>
      <c r="X201" t="s">
        <v>1719</v>
      </c>
      <c r="Y201">
        <v>8772802835</v>
      </c>
      <c r="Z201" t="s">
        <v>270</v>
      </c>
      <c r="AA201" t="s">
        <v>271</v>
      </c>
      <c r="AB201">
        <v>20</v>
      </c>
      <c r="AC201">
        <v>1040</v>
      </c>
      <c r="AD201">
        <v>108</v>
      </c>
      <c r="AE201" t="s">
        <v>289</v>
      </c>
      <c r="AF201">
        <v>2</v>
      </c>
      <c r="AG201" t="s">
        <v>275</v>
      </c>
      <c r="AH201">
        <v>0</v>
      </c>
      <c r="AI201">
        <v>0</v>
      </c>
      <c r="AJ201">
        <v>43804</v>
      </c>
      <c r="AK201" s="43" t="s">
        <v>3208</v>
      </c>
      <c r="AL201" s="43" t="s">
        <v>3209</v>
      </c>
      <c r="AM201">
        <v>43794</v>
      </c>
      <c r="AN201">
        <v>43794</v>
      </c>
      <c r="AO201" s="23">
        <v>43775</v>
      </c>
      <c r="AP201" s="23">
        <v>43775</v>
      </c>
      <c r="AQ201" s="23">
        <v>43775</v>
      </c>
      <c r="BC201" t="s">
        <v>2018</v>
      </c>
      <c r="BD201" s="43" t="s">
        <v>2018</v>
      </c>
      <c r="BE201" s="43" t="s">
        <v>2018</v>
      </c>
      <c r="BF201" s="43" t="s">
        <v>2018</v>
      </c>
      <c r="BG201" s="43" t="s">
        <v>2018</v>
      </c>
      <c r="BH201" t="s">
        <v>2018</v>
      </c>
      <c r="BI201" s="43" t="s">
        <v>2018</v>
      </c>
      <c r="BJ201">
        <v>0.3125</v>
      </c>
      <c r="BK201">
        <v>44109</v>
      </c>
      <c r="BL201">
        <v>44356</v>
      </c>
      <c r="BM201">
        <v>8505</v>
      </c>
      <c r="BN201">
        <v>8505</v>
      </c>
      <c r="BO201">
        <v>8505</v>
      </c>
      <c r="BP201">
        <v>25515</v>
      </c>
      <c r="BQ201">
        <v>3300</v>
      </c>
      <c r="BR201">
        <v>400</v>
      </c>
      <c r="BS201">
        <v>400</v>
      </c>
      <c r="BT201">
        <v>4100</v>
      </c>
      <c r="BU201">
        <v>2100</v>
      </c>
      <c r="BV201">
        <v>2100</v>
      </c>
      <c r="BW201">
        <v>2100</v>
      </c>
      <c r="BX201">
        <v>6300</v>
      </c>
      <c r="BY201">
        <v>1200</v>
      </c>
      <c r="BZ201">
        <v>1200</v>
      </c>
      <c r="CA201">
        <v>1200</v>
      </c>
      <c r="CB201">
        <v>3600</v>
      </c>
      <c r="CC201">
        <v>0</v>
      </c>
      <c r="CD201">
        <v>0</v>
      </c>
      <c r="CE201">
        <v>0</v>
      </c>
      <c r="CF201">
        <v>0</v>
      </c>
      <c r="CG201">
        <v>39515</v>
      </c>
      <c r="CH201">
        <v>0</v>
      </c>
      <c r="CI201">
        <v>0</v>
      </c>
      <c r="CJ201">
        <v>0</v>
      </c>
      <c r="CK201">
        <v>0</v>
      </c>
      <c r="CL201">
        <v>2065</v>
      </c>
      <c r="CM201">
        <v>2065</v>
      </c>
      <c r="CN201">
        <v>2065</v>
      </c>
      <c r="CO201">
        <v>6195</v>
      </c>
      <c r="CP201">
        <v>500</v>
      </c>
      <c r="CQ201">
        <v>500</v>
      </c>
      <c r="CR201">
        <v>500</v>
      </c>
      <c r="CS201">
        <v>1500</v>
      </c>
      <c r="CT201">
        <v>1500</v>
      </c>
      <c r="CU201">
        <v>1500</v>
      </c>
      <c r="CV201">
        <v>1500</v>
      </c>
      <c r="CW201">
        <v>4500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12195</v>
      </c>
      <c r="EE201">
        <v>0</v>
      </c>
      <c r="EF201">
        <v>0</v>
      </c>
      <c r="EG201">
        <v>0</v>
      </c>
      <c r="EH201">
        <v>0</v>
      </c>
      <c r="EI201">
        <v>1154</v>
      </c>
      <c r="EJ201">
        <v>1154</v>
      </c>
      <c r="EK201">
        <v>1155</v>
      </c>
      <c r="EL201">
        <v>3500</v>
      </c>
      <c r="EM201">
        <v>37.065000000000005</v>
      </c>
      <c r="EN201">
        <v>660</v>
      </c>
      <c r="EO201">
        <v>660</v>
      </c>
      <c r="EP201">
        <v>660</v>
      </c>
      <c r="EQ201">
        <v>2000</v>
      </c>
      <c r="ER201">
        <v>21.18</v>
      </c>
      <c r="ES201">
        <v>7306</v>
      </c>
      <c r="ET201">
        <v>7306</v>
      </c>
      <c r="EU201">
        <v>7306</v>
      </c>
      <c r="EV201">
        <v>22846</v>
      </c>
      <c r="EW201">
        <v>967.75656000000004</v>
      </c>
      <c r="FA201">
        <v>0</v>
      </c>
      <c r="FE201">
        <v>0</v>
      </c>
      <c r="FI201">
        <v>0</v>
      </c>
      <c r="FJ201">
        <v>27319.998439999999</v>
      </c>
      <c r="FK201">
        <v>27320</v>
      </c>
      <c r="FL201">
        <v>1.6290046370335952E-3</v>
      </c>
      <c r="FM201">
        <v>1.5600000006088519E-3</v>
      </c>
    </row>
    <row r="202" spans="1:169" x14ac:dyDescent="0.35">
      <c r="A202">
        <v>193345</v>
      </c>
      <c r="B202" t="s">
        <v>4084</v>
      </c>
      <c r="C202" t="s">
        <v>4085</v>
      </c>
      <c r="D202" t="s">
        <v>4086</v>
      </c>
      <c r="E202" s="43" t="s">
        <v>4087</v>
      </c>
      <c r="F202">
        <v>1</v>
      </c>
      <c r="I202">
        <v>43804</v>
      </c>
      <c r="J202" t="s">
        <v>4240</v>
      </c>
      <c r="K202" t="s">
        <v>1715</v>
      </c>
      <c r="L202" s="43" t="s">
        <v>3204</v>
      </c>
      <c r="M202" t="s">
        <v>4088</v>
      </c>
      <c r="N202" s="43" t="s">
        <v>4089</v>
      </c>
      <c r="O202" s="43" t="s">
        <v>595</v>
      </c>
      <c r="P202" s="43" t="s">
        <v>596</v>
      </c>
      <c r="Q202" s="43" t="s">
        <v>4090</v>
      </c>
      <c r="S202">
        <v>44109</v>
      </c>
      <c r="T202" t="s">
        <v>311</v>
      </c>
      <c r="U202" t="s">
        <v>266</v>
      </c>
      <c r="V202" t="s">
        <v>267</v>
      </c>
      <c r="W202" t="s">
        <v>1718</v>
      </c>
      <c r="X202" t="s">
        <v>1719</v>
      </c>
      <c r="Y202">
        <v>8772802835</v>
      </c>
      <c r="Z202" t="s">
        <v>270</v>
      </c>
      <c r="AA202" t="s">
        <v>271</v>
      </c>
      <c r="AB202">
        <v>24</v>
      </c>
      <c r="AC202">
        <v>0</v>
      </c>
      <c r="AD202">
        <v>108</v>
      </c>
      <c r="AE202" t="s">
        <v>301</v>
      </c>
      <c r="AF202">
        <v>1</v>
      </c>
      <c r="AG202" t="s">
        <v>3345</v>
      </c>
      <c r="AH202">
        <v>1564</v>
      </c>
      <c r="AI202">
        <v>1564</v>
      </c>
      <c r="AJ202">
        <v>43790</v>
      </c>
      <c r="AK202" s="43" t="s">
        <v>3208</v>
      </c>
      <c r="AL202" s="43" t="s">
        <v>3209</v>
      </c>
      <c r="AO202" s="23"/>
      <c r="AP202" s="23"/>
      <c r="AQ202" s="23"/>
      <c r="BC202" t="s">
        <v>2018</v>
      </c>
      <c r="BD202" s="43" t="s">
        <v>2018</v>
      </c>
      <c r="BE202" s="43" t="s">
        <v>2018</v>
      </c>
      <c r="BF202" s="43" t="s">
        <v>2018</v>
      </c>
      <c r="BG202" s="43" t="s">
        <v>2018</v>
      </c>
      <c r="BH202" t="s">
        <v>2018</v>
      </c>
      <c r="BI202" s="43" t="s">
        <v>2018</v>
      </c>
      <c r="BJ202">
        <v>0</v>
      </c>
      <c r="BK202">
        <v>44109</v>
      </c>
      <c r="BL202">
        <v>44356</v>
      </c>
      <c r="BM202">
        <v>8505</v>
      </c>
      <c r="BN202">
        <v>8505</v>
      </c>
      <c r="BO202">
        <v>8505</v>
      </c>
      <c r="BP202">
        <v>25515</v>
      </c>
      <c r="BQ202">
        <v>3300</v>
      </c>
      <c r="BR202">
        <v>400</v>
      </c>
      <c r="BS202">
        <v>400</v>
      </c>
      <c r="BT202">
        <v>4100</v>
      </c>
      <c r="BU202">
        <v>2100</v>
      </c>
      <c r="BV202">
        <v>2100</v>
      </c>
      <c r="BW202">
        <v>2100</v>
      </c>
      <c r="BX202">
        <v>6300</v>
      </c>
      <c r="BY202">
        <v>1200</v>
      </c>
      <c r="BZ202">
        <v>1200</v>
      </c>
      <c r="CA202">
        <v>1200</v>
      </c>
      <c r="CB202">
        <v>3600</v>
      </c>
      <c r="CC202">
        <v>0</v>
      </c>
      <c r="CD202">
        <v>0</v>
      </c>
      <c r="CE202">
        <v>0</v>
      </c>
      <c r="CF202">
        <v>0</v>
      </c>
      <c r="CG202">
        <v>39515</v>
      </c>
      <c r="CH202">
        <v>0</v>
      </c>
      <c r="CI202">
        <v>0</v>
      </c>
      <c r="CJ202">
        <v>0</v>
      </c>
      <c r="CK202">
        <v>0</v>
      </c>
      <c r="CL202">
        <v>1549</v>
      </c>
      <c r="CM202">
        <v>1548</v>
      </c>
      <c r="CN202">
        <v>1548</v>
      </c>
      <c r="CO202">
        <v>4645</v>
      </c>
      <c r="CP202">
        <v>500</v>
      </c>
      <c r="CQ202">
        <v>500</v>
      </c>
      <c r="CR202">
        <v>500</v>
      </c>
      <c r="CS202">
        <v>1500</v>
      </c>
      <c r="CT202">
        <v>1700</v>
      </c>
      <c r="CU202">
        <v>1700</v>
      </c>
      <c r="CV202">
        <v>1700</v>
      </c>
      <c r="CW202">
        <v>5100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11245</v>
      </c>
      <c r="EE202">
        <v>0</v>
      </c>
      <c r="EF202">
        <v>0</v>
      </c>
      <c r="EG202">
        <v>0</v>
      </c>
      <c r="EH202">
        <v>0</v>
      </c>
      <c r="EI202">
        <v>1154</v>
      </c>
      <c r="EJ202">
        <v>1154</v>
      </c>
      <c r="EK202">
        <v>1155</v>
      </c>
      <c r="EL202">
        <v>3500</v>
      </c>
      <c r="EM202">
        <v>37.065000000000005</v>
      </c>
      <c r="EN202">
        <v>660</v>
      </c>
      <c r="EO202">
        <v>660</v>
      </c>
      <c r="EP202">
        <v>660</v>
      </c>
      <c r="EQ202">
        <v>2000</v>
      </c>
      <c r="ER202">
        <v>21.18</v>
      </c>
      <c r="ES202">
        <v>0</v>
      </c>
      <c r="ET202">
        <v>0</v>
      </c>
      <c r="EU202">
        <v>0</v>
      </c>
      <c r="EV202">
        <v>0</v>
      </c>
      <c r="EW202">
        <v>0</v>
      </c>
      <c r="FA202">
        <v>0</v>
      </c>
      <c r="FE202">
        <v>0</v>
      </c>
      <c r="FI202">
        <v>0</v>
      </c>
      <c r="FJ202">
        <v>5441.7550000000001</v>
      </c>
      <c r="FK202">
        <v>28270</v>
      </c>
      <c r="FL202">
        <v>23838.02368322125</v>
      </c>
      <c r="FM202">
        <v>22828.244999999999</v>
      </c>
    </row>
    <row r="203" spans="1:169" x14ac:dyDescent="0.35">
      <c r="A203">
        <v>196822</v>
      </c>
      <c r="B203" t="s">
        <v>2090</v>
      </c>
      <c r="C203" t="s">
        <v>2859</v>
      </c>
      <c r="D203" t="s">
        <v>2860</v>
      </c>
      <c r="E203" s="43" t="s">
        <v>2861</v>
      </c>
      <c r="F203">
        <v>1</v>
      </c>
      <c r="I203">
        <v>43804</v>
      </c>
      <c r="J203" t="s">
        <v>4240</v>
      </c>
      <c r="K203" t="s">
        <v>1715</v>
      </c>
      <c r="L203" s="43" t="s">
        <v>3204</v>
      </c>
      <c r="M203" t="s">
        <v>2862</v>
      </c>
      <c r="N203" s="43" t="s">
        <v>2863</v>
      </c>
      <c r="O203" s="43" t="s">
        <v>2864</v>
      </c>
      <c r="P203" s="43" t="s">
        <v>332</v>
      </c>
      <c r="Q203" s="43" t="s">
        <v>2865</v>
      </c>
      <c r="S203">
        <v>44109</v>
      </c>
      <c r="T203" t="s">
        <v>311</v>
      </c>
      <c r="U203" t="s">
        <v>286</v>
      </c>
      <c r="V203" t="s">
        <v>267</v>
      </c>
      <c r="W203" t="s">
        <v>1718</v>
      </c>
      <c r="X203" t="s">
        <v>1719</v>
      </c>
      <c r="Y203">
        <v>8772802835</v>
      </c>
      <c r="Z203" t="s">
        <v>270</v>
      </c>
      <c r="AA203" t="s">
        <v>271</v>
      </c>
      <c r="AB203">
        <v>26</v>
      </c>
      <c r="AC203">
        <v>0</v>
      </c>
      <c r="AD203">
        <v>85</v>
      </c>
      <c r="AE203" t="s">
        <v>344</v>
      </c>
      <c r="AF203">
        <v>10</v>
      </c>
      <c r="AG203" t="s">
        <v>275</v>
      </c>
      <c r="AH203">
        <v>1084</v>
      </c>
      <c r="AI203">
        <v>1084</v>
      </c>
      <c r="AJ203">
        <v>43774</v>
      </c>
      <c r="AK203" s="43" t="s">
        <v>1715</v>
      </c>
      <c r="AL203" s="43" t="s">
        <v>259</v>
      </c>
      <c r="AO203" s="23"/>
      <c r="AP203" s="23"/>
      <c r="AQ203" s="23"/>
      <c r="BC203" t="s">
        <v>259</v>
      </c>
      <c r="BD203" s="43" t="s">
        <v>259</v>
      </c>
      <c r="BE203" s="43" t="s">
        <v>259</v>
      </c>
      <c r="BF203" s="43" t="s">
        <v>259</v>
      </c>
      <c r="BG203" s="43" t="s">
        <v>259</v>
      </c>
      <c r="BH203" t="s">
        <v>259</v>
      </c>
      <c r="BI203" s="43" t="s">
        <v>259</v>
      </c>
      <c r="BJ203">
        <v>0</v>
      </c>
      <c r="BK203">
        <v>44109</v>
      </c>
      <c r="BL203">
        <v>44356</v>
      </c>
      <c r="BM203">
        <v>8505</v>
      </c>
      <c r="BN203">
        <v>8505</v>
      </c>
      <c r="BO203">
        <v>8505</v>
      </c>
      <c r="BP203">
        <v>25515</v>
      </c>
      <c r="BQ203">
        <v>3300</v>
      </c>
      <c r="BR203">
        <v>400</v>
      </c>
      <c r="BS203">
        <v>400</v>
      </c>
      <c r="BT203">
        <v>4100</v>
      </c>
      <c r="BU203">
        <v>2100</v>
      </c>
      <c r="BV203">
        <v>2100</v>
      </c>
      <c r="BW203">
        <v>2100</v>
      </c>
      <c r="BX203">
        <v>6300</v>
      </c>
      <c r="BY203">
        <v>1200</v>
      </c>
      <c r="BZ203">
        <v>1200</v>
      </c>
      <c r="CA203">
        <v>1200</v>
      </c>
      <c r="CB203">
        <v>3600</v>
      </c>
      <c r="CC203">
        <v>0</v>
      </c>
      <c r="CD203">
        <v>0</v>
      </c>
      <c r="CE203">
        <v>0</v>
      </c>
      <c r="CF203">
        <v>0</v>
      </c>
      <c r="CG203">
        <v>39515</v>
      </c>
      <c r="CH203">
        <v>0</v>
      </c>
      <c r="CI203">
        <v>0</v>
      </c>
      <c r="CJ203">
        <v>0</v>
      </c>
      <c r="CK203">
        <v>0</v>
      </c>
      <c r="CL203">
        <v>1715</v>
      </c>
      <c r="CM203">
        <v>1715</v>
      </c>
      <c r="CN203">
        <v>1715</v>
      </c>
      <c r="CO203">
        <v>5145</v>
      </c>
      <c r="CP203">
        <v>500</v>
      </c>
      <c r="CQ203">
        <v>500</v>
      </c>
      <c r="CR203">
        <v>500</v>
      </c>
      <c r="CS203">
        <v>1500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1000</v>
      </c>
      <c r="DC203">
        <v>1000</v>
      </c>
      <c r="DD203">
        <v>1000</v>
      </c>
      <c r="DE203">
        <v>3000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9645</v>
      </c>
      <c r="EE203">
        <v>0</v>
      </c>
      <c r="EF203">
        <v>0</v>
      </c>
      <c r="EG203">
        <v>0</v>
      </c>
      <c r="EH203">
        <v>0</v>
      </c>
      <c r="EI203">
        <v>1154</v>
      </c>
      <c r="EJ203">
        <v>1154</v>
      </c>
      <c r="EK203">
        <v>1155</v>
      </c>
      <c r="EL203">
        <v>3500</v>
      </c>
      <c r="EM203">
        <v>37.065000000000005</v>
      </c>
      <c r="EN203">
        <v>660</v>
      </c>
      <c r="EO203">
        <v>660</v>
      </c>
      <c r="EP203">
        <v>660</v>
      </c>
      <c r="EQ203">
        <v>2000</v>
      </c>
      <c r="ER203">
        <v>21.18</v>
      </c>
      <c r="ES203">
        <v>0</v>
      </c>
      <c r="ET203">
        <v>0</v>
      </c>
      <c r="EU203">
        <v>0</v>
      </c>
      <c r="EV203">
        <v>0</v>
      </c>
      <c r="EW203">
        <v>0</v>
      </c>
      <c r="FA203">
        <v>0</v>
      </c>
      <c r="FE203">
        <v>0</v>
      </c>
      <c r="FI203">
        <v>0</v>
      </c>
      <c r="FJ203">
        <v>5441.7550000000001</v>
      </c>
      <c r="FK203">
        <v>29870</v>
      </c>
      <c r="FL203">
        <v>25508.797669270287</v>
      </c>
      <c r="FM203">
        <v>24428.244999999999</v>
      </c>
    </row>
    <row r="204" spans="1:169" x14ac:dyDescent="0.35">
      <c r="A204">
        <v>197644</v>
      </c>
      <c r="B204" t="s">
        <v>2866</v>
      </c>
      <c r="C204" t="s">
        <v>2867</v>
      </c>
      <c r="D204" t="s">
        <v>2868</v>
      </c>
      <c r="E204" s="43" t="s">
        <v>2869</v>
      </c>
      <c r="F204">
        <v>1</v>
      </c>
      <c r="G204">
        <v>43703</v>
      </c>
      <c r="H204">
        <v>43703</v>
      </c>
      <c r="I204">
        <v>43703</v>
      </c>
      <c r="J204" t="s">
        <v>2870</v>
      </c>
      <c r="K204" t="s">
        <v>1715</v>
      </c>
      <c r="L204" s="43" t="s">
        <v>301</v>
      </c>
      <c r="M204" t="s">
        <v>2871</v>
      </c>
      <c r="N204" s="43" t="s">
        <v>2872</v>
      </c>
      <c r="O204" s="43" t="s">
        <v>2873</v>
      </c>
      <c r="P204" s="43" t="s">
        <v>1370</v>
      </c>
      <c r="Q204" s="43" t="s">
        <v>2874</v>
      </c>
      <c r="S204">
        <v>44109</v>
      </c>
      <c r="T204" t="s">
        <v>265</v>
      </c>
      <c r="U204" t="s">
        <v>266</v>
      </c>
      <c r="V204" t="s">
        <v>267</v>
      </c>
      <c r="W204" t="s">
        <v>1718</v>
      </c>
      <c r="X204" t="s">
        <v>1719</v>
      </c>
      <c r="Y204">
        <v>8772802835</v>
      </c>
      <c r="Z204" t="s">
        <v>508</v>
      </c>
      <c r="AA204" t="s">
        <v>271</v>
      </c>
      <c r="AB204">
        <v>0</v>
      </c>
      <c r="AC204">
        <v>990</v>
      </c>
      <c r="AD204">
        <v>75</v>
      </c>
      <c r="AE204" t="s">
        <v>344</v>
      </c>
      <c r="AF204">
        <v>10</v>
      </c>
      <c r="AG204" t="s">
        <v>446</v>
      </c>
      <c r="AH204">
        <v>0</v>
      </c>
      <c r="AI204">
        <v>0</v>
      </c>
      <c r="AJ204">
        <v>43774</v>
      </c>
      <c r="AK204" s="43" t="s">
        <v>1715</v>
      </c>
      <c r="AL204" s="43" t="s">
        <v>259</v>
      </c>
      <c r="AO204" s="23">
        <v>43765</v>
      </c>
      <c r="AP204" s="23">
        <v>43765</v>
      </c>
      <c r="AQ204" s="23">
        <v>43765</v>
      </c>
      <c r="BC204" t="s">
        <v>259</v>
      </c>
      <c r="BD204" s="43" t="s">
        <v>259</v>
      </c>
      <c r="BE204" s="43" t="s">
        <v>259</v>
      </c>
      <c r="BF204" s="43" t="s">
        <v>2018</v>
      </c>
      <c r="BG204" s="43" t="s">
        <v>2018</v>
      </c>
      <c r="BH204" t="s">
        <v>2018</v>
      </c>
      <c r="BI204" s="43" t="s">
        <v>2018</v>
      </c>
      <c r="BJ204">
        <v>0.15789473684210531</v>
      </c>
      <c r="BK204">
        <v>44109</v>
      </c>
      <c r="BL204">
        <v>44356</v>
      </c>
      <c r="BM204">
        <v>8505</v>
      </c>
      <c r="BN204">
        <v>8505</v>
      </c>
      <c r="BO204">
        <v>8505</v>
      </c>
      <c r="BP204">
        <v>25515</v>
      </c>
      <c r="BQ204">
        <v>3300</v>
      </c>
      <c r="BR204">
        <v>400</v>
      </c>
      <c r="BS204">
        <v>400</v>
      </c>
      <c r="BT204">
        <v>4100</v>
      </c>
      <c r="BU204">
        <v>2100</v>
      </c>
      <c r="BV204">
        <v>2100</v>
      </c>
      <c r="BW204">
        <v>2100</v>
      </c>
      <c r="BX204">
        <v>6300</v>
      </c>
      <c r="BY204">
        <v>1200</v>
      </c>
      <c r="BZ204">
        <v>1200</v>
      </c>
      <c r="CA204">
        <v>1200</v>
      </c>
      <c r="CB204">
        <v>3600</v>
      </c>
      <c r="CC204">
        <v>0</v>
      </c>
      <c r="CD204">
        <v>0</v>
      </c>
      <c r="CE204">
        <v>0</v>
      </c>
      <c r="CF204">
        <v>0</v>
      </c>
      <c r="CG204">
        <v>39515</v>
      </c>
      <c r="CH204">
        <v>0</v>
      </c>
      <c r="CI204">
        <v>0</v>
      </c>
      <c r="CJ204">
        <v>0</v>
      </c>
      <c r="CK204">
        <v>0</v>
      </c>
      <c r="CL204">
        <v>2065</v>
      </c>
      <c r="CM204">
        <v>2065</v>
      </c>
      <c r="CN204">
        <v>2065</v>
      </c>
      <c r="CO204">
        <v>6195</v>
      </c>
      <c r="CP204">
        <v>500</v>
      </c>
      <c r="CQ204">
        <v>500</v>
      </c>
      <c r="CR204">
        <v>500</v>
      </c>
      <c r="CS204">
        <v>1500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7695</v>
      </c>
      <c r="EE204">
        <v>0</v>
      </c>
      <c r="EF204">
        <v>0</v>
      </c>
      <c r="EG204">
        <v>0</v>
      </c>
      <c r="EH204">
        <v>0</v>
      </c>
      <c r="EI204">
        <v>1154</v>
      </c>
      <c r="EJ204">
        <v>1154</v>
      </c>
      <c r="EK204">
        <v>1155</v>
      </c>
      <c r="EL204">
        <v>3500</v>
      </c>
      <c r="EM204">
        <v>37.065000000000005</v>
      </c>
      <c r="EN204">
        <v>1979</v>
      </c>
      <c r="EO204">
        <v>1979</v>
      </c>
      <c r="EP204">
        <v>1979</v>
      </c>
      <c r="EQ204">
        <v>6000</v>
      </c>
      <c r="ER204">
        <v>63.540000000000006</v>
      </c>
      <c r="ES204">
        <v>0</v>
      </c>
      <c r="ET204">
        <v>0</v>
      </c>
      <c r="EU204">
        <v>0</v>
      </c>
      <c r="EV204">
        <v>0</v>
      </c>
      <c r="EW204">
        <v>0</v>
      </c>
      <c r="FA204">
        <v>0</v>
      </c>
      <c r="FE204">
        <v>0</v>
      </c>
      <c r="FI204">
        <v>0</v>
      </c>
      <c r="FJ204">
        <v>9399.3950000000004</v>
      </c>
      <c r="FK204">
        <v>31820</v>
      </c>
      <c r="FL204">
        <v>23412.352240925607</v>
      </c>
      <c r="FM204">
        <v>22420.605</v>
      </c>
    </row>
    <row r="205" spans="1:169" x14ac:dyDescent="0.35">
      <c r="A205">
        <v>198394</v>
      </c>
      <c r="B205" t="s">
        <v>2875</v>
      </c>
      <c r="C205" t="s">
        <v>2876</v>
      </c>
      <c r="D205" t="s">
        <v>2877</v>
      </c>
      <c r="E205" s="43" t="s">
        <v>2878</v>
      </c>
      <c r="F205">
        <v>1</v>
      </c>
      <c r="I205">
        <v>43804</v>
      </c>
      <c r="J205" t="s">
        <v>4242</v>
      </c>
      <c r="K205" t="s">
        <v>1715</v>
      </c>
      <c r="L205" s="43" t="s">
        <v>259</v>
      </c>
      <c r="M205" t="s">
        <v>2879</v>
      </c>
      <c r="N205" s="43" t="s">
        <v>2880</v>
      </c>
      <c r="O205" s="43" t="s">
        <v>2881</v>
      </c>
      <c r="P205" s="43" t="s">
        <v>831</v>
      </c>
      <c r="Q205" s="43" t="s">
        <v>2882</v>
      </c>
      <c r="S205">
        <v>44109</v>
      </c>
      <c r="T205" t="s">
        <v>311</v>
      </c>
      <c r="U205" t="s">
        <v>266</v>
      </c>
      <c r="V205" t="s">
        <v>267</v>
      </c>
      <c r="W205" t="s">
        <v>1718</v>
      </c>
      <c r="X205" t="s">
        <v>1719</v>
      </c>
      <c r="Y205">
        <v>8772802835</v>
      </c>
      <c r="Z205" t="s">
        <v>270</v>
      </c>
      <c r="AA205" t="s">
        <v>271</v>
      </c>
      <c r="AB205">
        <v>0</v>
      </c>
      <c r="AC205">
        <v>1470</v>
      </c>
      <c r="AD205">
        <v>134</v>
      </c>
      <c r="AE205" t="s">
        <v>301</v>
      </c>
      <c r="AF205">
        <v>1</v>
      </c>
      <c r="AG205" t="s">
        <v>275</v>
      </c>
      <c r="AK205" s="43" t="s">
        <v>259</v>
      </c>
      <c r="AL205" s="43" t="s">
        <v>259</v>
      </c>
      <c r="AO205" s="23"/>
      <c r="AP205" s="23"/>
      <c r="AQ205" s="23"/>
      <c r="BC205" t="s">
        <v>259</v>
      </c>
      <c r="BD205" s="43" t="s">
        <v>259</v>
      </c>
      <c r="BE205" s="43" t="s">
        <v>259</v>
      </c>
      <c r="BF205" s="43" t="s">
        <v>259</v>
      </c>
      <c r="BG205" s="43" t="s">
        <v>259</v>
      </c>
      <c r="BH205" t="s">
        <v>259</v>
      </c>
      <c r="BI205" s="43" t="s">
        <v>259</v>
      </c>
      <c r="BJ205">
        <v>0</v>
      </c>
      <c r="BK205">
        <v>44109</v>
      </c>
      <c r="BL205">
        <v>44356</v>
      </c>
      <c r="BM205">
        <v>8505</v>
      </c>
      <c r="BN205">
        <v>8505</v>
      </c>
      <c r="BO205">
        <v>8505</v>
      </c>
      <c r="BP205">
        <v>25515</v>
      </c>
      <c r="BQ205">
        <v>3300</v>
      </c>
      <c r="BR205">
        <v>400</v>
      </c>
      <c r="BS205">
        <v>400</v>
      </c>
      <c r="BT205">
        <v>4100</v>
      </c>
      <c r="BU205">
        <v>2100</v>
      </c>
      <c r="BV205">
        <v>2100</v>
      </c>
      <c r="BW205">
        <v>2100</v>
      </c>
      <c r="BX205">
        <v>6300</v>
      </c>
      <c r="BY205">
        <v>1200</v>
      </c>
      <c r="BZ205">
        <v>1200</v>
      </c>
      <c r="CA205">
        <v>1200</v>
      </c>
      <c r="CB205">
        <v>3600</v>
      </c>
      <c r="CC205">
        <v>0</v>
      </c>
      <c r="CD205">
        <v>0</v>
      </c>
      <c r="CE205">
        <v>0</v>
      </c>
      <c r="CF205">
        <v>0</v>
      </c>
      <c r="CG205">
        <v>39515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1700</v>
      </c>
      <c r="CU205">
        <v>1700</v>
      </c>
      <c r="CV205">
        <v>1700</v>
      </c>
      <c r="CW205">
        <v>5100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5100</v>
      </c>
      <c r="EE205">
        <v>0</v>
      </c>
      <c r="EF205">
        <v>0</v>
      </c>
      <c r="EG205">
        <v>0</v>
      </c>
      <c r="EH205">
        <v>0</v>
      </c>
      <c r="EI205">
        <v>1154</v>
      </c>
      <c r="EJ205">
        <v>1154</v>
      </c>
      <c r="EK205">
        <v>1155</v>
      </c>
      <c r="EL205">
        <v>3500</v>
      </c>
      <c r="EM205">
        <v>37.065000000000005</v>
      </c>
      <c r="EN205">
        <v>660</v>
      </c>
      <c r="EO205">
        <v>660</v>
      </c>
      <c r="EP205">
        <v>660</v>
      </c>
      <c r="EQ205">
        <v>2000</v>
      </c>
      <c r="ER205">
        <v>21.18</v>
      </c>
      <c r="ES205">
        <v>0</v>
      </c>
      <c r="ET205">
        <v>0</v>
      </c>
      <c r="EU205">
        <v>0</v>
      </c>
      <c r="EV205">
        <v>0</v>
      </c>
      <c r="EW205">
        <v>0</v>
      </c>
      <c r="FA205">
        <v>0</v>
      </c>
      <c r="FE205">
        <v>0</v>
      </c>
      <c r="FI205">
        <v>0</v>
      </c>
      <c r="FJ205">
        <v>5441.7550000000001</v>
      </c>
      <c r="FK205">
        <v>34415</v>
      </c>
      <c r="FL205">
        <v>30254.840023390832</v>
      </c>
      <c r="FM205">
        <v>28973.244999999999</v>
      </c>
    </row>
    <row r="206" spans="1:169" x14ac:dyDescent="0.35">
      <c r="A206">
        <v>197544</v>
      </c>
      <c r="B206" t="s">
        <v>2883</v>
      </c>
      <c r="C206" t="s">
        <v>406</v>
      </c>
      <c r="D206" t="s">
        <v>2884</v>
      </c>
      <c r="E206" s="43" t="s">
        <v>2885</v>
      </c>
      <c r="F206">
        <v>1</v>
      </c>
      <c r="I206">
        <v>43783</v>
      </c>
      <c r="J206" t="s">
        <v>3305</v>
      </c>
      <c r="K206" t="s">
        <v>1715</v>
      </c>
      <c r="L206" s="43" t="s">
        <v>3204</v>
      </c>
      <c r="M206" t="s">
        <v>2886</v>
      </c>
      <c r="N206" s="43" t="s">
        <v>2887</v>
      </c>
      <c r="O206" s="43" t="s">
        <v>2888</v>
      </c>
      <c r="P206" s="43" t="s">
        <v>542</v>
      </c>
      <c r="Q206" s="43" t="s">
        <v>2889</v>
      </c>
      <c r="S206">
        <v>44109</v>
      </c>
      <c r="T206" t="s">
        <v>544</v>
      </c>
      <c r="U206" t="s">
        <v>266</v>
      </c>
      <c r="V206" t="s">
        <v>267</v>
      </c>
      <c r="W206" t="s">
        <v>1718</v>
      </c>
      <c r="X206" t="s">
        <v>1719</v>
      </c>
      <c r="Y206">
        <v>8772802835</v>
      </c>
      <c r="Z206" t="s">
        <v>270</v>
      </c>
      <c r="AA206" t="s">
        <v>271</v>
      </c>
      <c r="AB206">
        <v>24</v>
      </c>
      <c r="AC206">
        <v>0</v>
      </c>
      <c r="AD206">
        <v>0</v>
      </c>
      <c r="AE206" t="s">
        <v>376</v>
      </c>
      <c r="AF206">
        <v>7</v>
      </c>
      <c r="AG206" t="s">
        <v>275</v>
      </c>
      <c r="AH206">
        <v>14768</v>
      </c>
      <c r="AI206">
        <v>14768</v>
      </c>
      <c r="AJ206">
        <v>43774</v>
      </c>
      <c r="AK206" s="43" t="s">
        <v>3208</v>
      </c>
      <c r="AL206" s="43" t="s">
        <v>3209</v>
      </c>
      <c r="AO206" s="23"/>
      <c r="AP206" s="23"/>
      <c r="AQ206" s="23"/>
      <c r="BC206" t="s">
        <v>2018</v>
      </c>
      <c r="BD206" s="43" t="s">
        <v>2018</v>
      </c>
      <c r="BE206" s="43" t="s">
        <v>2018</v>
      </c>
      <c r="BF206" s="43" t="s">
        <v>2018</v>
      </c>
      <c r="BG206" s="43" t="s">
        <v>2018</v>
      </c>
      <c r="BH206" t="s">
        <v>2018</v>
      </c>
      <c r="BI206" s="43" t="s">
        <v>2018</v>
      </c>
      <c r="BJ206">
        <v>0</v>
      </c>
      <c r="BK206">
        <v>44109</v>
      </c>
      <c r="BL206">
        <v>44356</v>
      </c>
      <c r="BM206">
        <v>8505</v>
      </c>
      <c r="BN206">
        <v>8505</v>
      </c>
      <c r="BO206">
        <v>8505</v>
      </c>
      <c r="BP206">
        <v>25515</v>
      </c>
      <c r="BQ206">
        <v>3300</v>
      </c>
      <c r="BR206">
        <v>400</v>
      </c>
      <c r="BS206">
        <v>400</v>
      </c>
      <c r="BT206">
        <v>4100</v>
      </c>
      <c r="BU206">
        <v>2100</v>
      </c>
      <c r="BV206">
        <v>2100</v>
      </c>
      <c r="BW206">
        <v>2100</v>
      </c>
      <c r="BX206">
        <v>6300</v>
      </c>
      <c r="BY206">
        <v>1200</v>
      </c>
      <c r="BZ206">
        <v>1200</v>
      </c>
      <c r="CA206">
        <v>1200</v>
      </c>
      <c r="CB206">
        <v>3600</v>
      </c>
      <c r="CC206">
        <v>0</v>
      </c>
      <c r="CD206">
        <v>0</v>
      </c>
      <c r="CE206">
        <v>0</v>
      </c>
      <c r="CF206">
        <v>0</v>
      </c>
      <c r="CG206">
        <v>39515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3000</v>
      </c>
      <c r="CY206">
        <v>3000</v>
      </c>
      <c r="CZ206">
        <v>3000</v>
      </c>
      <c r="DA206">
        <v>9000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9000</v>
      </c>
      <c r="EE206">
        <v>0</v>
      </c>
      <c r="EF206">
        <v>0</v>
      </c>
      <c r="EG206">
        <v>0</v>
      </c>
      <c r="EH206">
        <v>0</v>
      </c>
      <c r="EI206">
        <v>1154</v>
      </c>
      <c r="EJ206">
        <v>1154</v>
      </c>
      <c r="EK206">
        <v>1155</v>
      </c>
      <c r="EL206">
        <v>3500</v>
      </c>
      <c r="EM206">
        <v>37.065000000000005</v>
      </c>
      <c r="EN206">
        <v>660</v>
      </c>
      <c r="EO206">
        <v>660</v>
      </c>
      <c r="EP206">
        <v>660</v>
      </c>
      <c r="EQ206">
        <v>2000</v>
      </c>
      <c r="ER206">
        <v>21.18</v>
      </c>
      <c r="ES206">
        <v>0</v>
      </c>
      <c r="ET206">
        <v>0</v>
      </c>
      <c r="EU206">
        <v>0</v>
      </c>
      <c r="EV206">
        <v>0</v>
      </c>
      <c r="EW206">
        <v>0</v>
      </c>
      <c r="FA206">
        <v>0</v>
      </c>
      <c r="FE206">
        <v>0</v>
      </c>
      <c r="FI206">
        <v>0</v>
      </c>
      <c r="FJ206">
        <v>5441.7550000000001</v>
      </c>
      <c r="FK206">
        <v>30515</v>
      </c>
      <c r="FL206">
        <v>26182.328432396305</v>
      </c>
      <c r="FM206">
        <v>25073.244999999999</v>
      </c>
    </row>
    <row r="207" spans="1:169" x14ac:dyDescent="0.35">
      <c r="A207">
        <v>198706</v>
      </c>
      <c r="B207" t="s">
        <v>3400</v>
      </c>
      <c r="C207" t="s">
        <v>3401</v>
      </c>
      <c r="D207" t="s">
        <v>3402</v>
      </c>
      <c r="E207" s="43" t="s">
        <v>3403</v>
      </c>
      <c r="F207">
        <v>1</v>
      </c>
      <c r="I207">
        <v>43804</v>
      </c>
      <c r="J207" t="s">
        <v>4240</v>
      </c>
      <c r="K207" t="s">
        <v>1715</v>
      </c>
      <c r="L207" s="43" t="s">
        <v>3204</v>
      </c>
      <c r="M207" t="s">
        <v>3404</v>
      </c>
      <c r="N207" s="43" t="s">
        <v>3405</v>
      </c>
      <c r="O207" s="43" t="s">
        <v>3406</v>
      </c>
      <c r="P207" s="43" t="s">
        <v>687</v>
      </c>
      <c r="Q207" s="43" t="s">
        <v>3407</v>
      </c>
      <c r="S207">
        <v>44109</v>
      </c>
      <c r="T207" t="s">
        <v>311</v>
      </c>
      <c r="U207" t="s">
        <v>286</v>
      </c>
      <c r="V207" t="s">
        <v>267</v>
      </c>
      <c r="W207" t="s">
        <v>1718</v>
      </c>
      <c r="X207" t="s">
        <v>1719</v>
      </c>
      <c r="Y207">
        <v>8772802835</v>
      </c>
      <c r="Z207" t="s">
        <v>270</v>
      </c>
      <c r="AA207" t="s">
        <v>271</v>
      </c>
      <c r="AB207">
        <v>0</v>
      </c>
      <c r="AC207">
        <v>1140</v>
      </c>
      <c r="AD207">
        <v>115</v>
      </c>
      <c r="AE207" t="s">
        <v>301</v>
      </c>
      <c r="AF207">
        <v>1</v>
      </c>
      <c r="AG207" t="s">
        <v>3345</v>
      </c>
      <c r="AH207">
        <v>54175</v>
      </c>
      <c r="AI207">
        <v>54175</v>
      </c>
      <c r="AJ207">
        <v>43774</v>
      </c>
      <c r="AK207" s="43" t="s">
        <v>3208</v>
      </c>
      <c r="AL207" s="43" t="s">
        <v>3209</v>
      </c>
      <c r="AO207" s="23"/>
      <c r="AP207" s="23"/>
      <c r="AQ207" s="23"/>
      <c r="BC207" t="s">
        <v>2018</v>
      </c>
      <c r="BD207" s="43" t="s">
        <v>2018</v>
      </c>
      <c r="BE207" s="43" t="s">
        <v>2018</v>
      </c>
      <c r="BF207" s="43" t="s">
        <v>2018</v>
      </c>
      <c r="BG207" s="43" t="s">
        <v>2018</v>
      </c>
      <c r="BH207" t="s">
        <v>2018</v>
      </c>
      <c r="BI207" s="43" t="s">
        <v>2018</v>
      </c>
      <c r="BJ207">
        <v>0</v>
      </c>
      <c r="BK207">
        <v>44109</v>
      </c>
      <c r="BL207">
        <v>44356</v>
      </c>
      <c r="BM207">
        <v>8505</v>
      </c>
      <c r="BN207">
        <v>8505</v>
      </c>
      <c r="BO207">
        <v>8505</v>
      </c>
      <c r="BP207">
        <v>25515</v>
      </c>
      <c r="BQ207">
        <v>3300</v>
      </c>
      <c r="BR207">
        <v>400</v>
      </c>
      <c r="BS207">
        <v>400</v>
      </c>
      <c r="BT207">
        <v>4100</v>
      </c>
      <c r="BU207">
        <v>2100</v>
      </c>
      <c r="BV207">
        <v>2100</v>
      </c>
      <c r="BW207">
        <v>2100</v>
      </c>
      <c r="BX207">
        <v>6300</v>
      </c>
      <c r="BY207">
        <v>1200</v>
      </c>
      <c r="BZ207">
        <v>1200</v>
      </c>
      <c r="CA207">
        <v>1200</v>
      </c>
      <c r="CB207">
        <v>3600</v>
      </c>
      <c r="CC207">
        <v>0</v>
      </c>
      <c r="CD207">
        <v>0</v>
      </c>
      <c r="CE207">
        <v>0</v>
      </c>
      <c r="CF207">
        <v>0</v>
      </c>
      <c r="CG207">
        <v>39515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1700</v>
      </c>
      <c r="CU207">
        <v>1700</v>
      </c>
      <c r="CV207">
        <v>1700</v>
      </c>
      <c r="CW207">
        <v>5100</v>
      </c>
      <c r="CX207">
        <v>0</v>
      </c>
      <c r="CY207">
        <v>0</v>
      </c>
      <c r="CZ207">
        <v>0</v>
      </c>
      <c r="DA207">
        <v>0</v>
      </c>
      <c r="DB207">
        <v>1000</v>
      </c>
      <c r="DC207">
        <v>1000</v>
      </c>
      <c r="DD207">
        <v>1000</v>
      </c>
      <c r="DE207">
        <v>3000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8100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M207">
        <v>0</v>
      </c>
      <c r="EN207">
        <v>660</v>
      </c>
      <c r="EO207">
        <v>660</v>
      </c>
      <c r="EP207">
        <v>660</v>
      </c>
      <c r="EQ207">
        <v>2000</v>
      </c>
      <c r="ER207">
        <v>21.18</v>
      </c>
      <c r="ES207">
        <v>0</v>
      </c>
      <c r="ET207">
        <v>0</v>
      </c>
      <c r="EU207">
        <v>0</v>
      </c>
      <c r="EW207">
        <v>0</v>
      </c>
      <c r="FA207">
        <v>0</v>
      </c>
      <c r="FE207">
        <v>0</v>
      </c>
      <c r="FI207">
        <v>0</v>
      </c>
      <c r="FJ207">
        <v>1978.82</v>
      </c>
      <c r="FK207">
        <v>31415</v>
      </c>
      <c r="FL207">
        <v>30738.252370410592</v>
      </c>
      <c r="FM207">
        <v>29436.18</v>
      </c>
    </row>
    <row r="208" spans="1:169" x14ac:dyDescent="0.35">
      <c r="A208">
        <v>195734</v>
      </c>
      <c r="B208" t="s">
        <v>2890</v>
      </c>
      <c r="C208" t="s">
        <v>954</v>
      </c>
      <c r="D208" t="s">
        <v>2891</v>
      </c>
      <c r="E208" s="43" t="s">
        <v>2892</v>
      </c>
      <c r="F208">
        <v>1</v>
      </c>
      <c r="G208">
        <v>43491</v>
      </c>
      <c r="H208">
        <v>43802</v>
      </c>
      <c r="I208">
        <v>43804</v>
      </c>
      <c r="J208" t="s">
        <v>4246</v>
      </c>
      <c r="K208" t="s">
        <v>1715</v>
      </c>
      <c r="L208" s="43" t="s">
        <v>3204</v>
      </c>
      <c r="M208" t="s">
        <v>2893</v>
      </c>
      <c r="N208" s="43" t="s">
        <v>2894</v>
      </c>
      <c r="O208" s="43" t="s">
        <v>2895</v>
      </c>
      <c r="P208" s="43" t="s">
        <v>542</v>
      </c>
      <c r="Q208" s="43" t="s">
        <v>2896</v>
      </c>
      <c r="S208">
        <v>44109</v>
      </c>
      <c r="T208" t="s">
        <v>265</v>
      </c>
      <c r="U208" t="s">
        <v>266</v>
      </c>
      <c r="V208" t="s">
        <v>893</v>
      </c>
      <c r="W208" t="s">
        <v>1718</v>
      </c>
      <c r="X208" t="s">
        <v>1719</v>
      </c>
      <c r="Y208">
        <v>8772802835</v>
      </c>
      <c r="Z208" t="s">
        <v>508</v>
      </c>
      <c r="AA208" t="s">
        <v>271</v>
      </c>
      <c r="AB208">
        <v>14</v>
      </c>
      <c r="AC208">
        <v>0</v>
      </c>
      <c r="AD208">
        <v>77</v>
      </c>
      <c r="AE208" t="s">
        <v>274</v>
      </c>
      <c r="AF208">
        <v>9</v>
      </c>
      <c r="AG208" t="s">
        <v>446</v>
      </c>
      <c r="AH208">
        <v>8371</v>
      </c>
      <c r="AI208">
        <v>8371</v>
      </c>
      <c r="AJ208">
        <v>43801</v>
      </c>
      <c r="AK208" s="43" t="s">
        <v>3208</v>
      </c>
      <c r="AL208" s="43" t="s">
        <v>3209</v>
      </c>
      <c r="AO208" s="23">
        <v>43795</v>
      </c>
      <c r="AP208" s="23">
        <v>43795</v>
      </c>
      <c r="AQ208" s="23">
        <v>43795</v>
      </c>
      <c r="BC208" t="s">
        <v>2018</v>
      </c>
      <c r="BD208" s="43" t="s">
        <v>2018</v>
      </c>
      <c r="BE208" s="43" t="s">
        <v>2018</v>
      </c>
      <c r="BF208" s="43" t="s">
        <v>2018</v>
      </c>
      <c r="BG208" s="43" t="s">
        <v>2018</v>
      </c>
      <c r="BH208" t="s">
        <v>2018</v>
      </c>
      <c r="BI208" s="43" t="s">
        <v>2018</v>
      </c>
      <c r="BJ208">
        <v>0.1875</v>
      </c>
      <c r="BK208">
        <v>44109</v>
      </c>
      <c r="BL208">
        <v>44356</v>
      </c>
      <c r="BM208">
        <v>8505</v>
      </c>
      <c r="BN208">
        <v>8505</v>
      </c>
      <c r="BO208">
        <v>8505</v>
      </c>
      <c r="BP208">
        <v>25515</v>
      </c>
      <c r="BQ208">
        <v>3300</v>
      </c>
      <c r="BR208">
        <v>400</v>
      </c>
      <c r="BS208">
        <v>400</v>
      </c>
      <c r="BT208">
        <v>4100</v>
      </c>
      <c r="BU208">
        <v>2100</v>
      </c>
      <c r="BV208">
        <v>2100</v>
      </c>
      <c r="BW208">
        <v>2100</v>
      </c>
      <c r="BX208">
        <v>6300</v>
      </c>
      <c r="BY208">
        <v>1200</v>
      </c>
      <c r="BZ208">
        <v>1200</v>
      </c>
      <c r="CA208">
        <v>1200</v>
      </c>
      <c r="CB208">
        <v>3600</v>
      </c>
      <c r="CC208">
        <v>0</v>
      </c>
      <c r="CD208">
        <v>0</v>
      </c>
      <c r="CE208">
        <v>0</v>
      </c>
      <c r="CF208">
        <v>0</v>
      </c>
      <c r="CG208">
        <v>39515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3000</v>
      </c>
      <c r="CY208">
        <v>3000</v>
      </c>
      <c r="CZ208">
        <v>3000</v>
      </c>
      <c r="DA208">
        <v>9000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9000</v>
      </c>
      <c r="EE208">
        <v>0</v>
      </c>
      <c r="EF208">
        <v>0</v>
      </c>
      <c r="EG208">
        <v>0</v>
      </c>
      <c r="EH208">
        <v>0</v>
      </c>
      <c r="EI208">
        <v>1154</v>
      </c>
      <c r="EJ208">
        <v>1154</v>
      </c>
      <c r="EK208">
        <v>1155</v>
      </c>
      <c r="EL208">
        <v>3500</v>
      </c>
      <c r="EM208">
        <v>37.065000000000005</v>
      </c>
      <c r="EN208">
        <v>660</v>
      </c>
      <c r="EO208">
        <v>660</v>
      </c>
      <c r="EP208">
        <v>660</v>
      </c>
      <c r="EQ208">
        <v>2000</v>
      </c>
      <c r="ER208">
        <v>21.18</v>
      </c>
      <c r="ES208">
        <v>0</v>
      </c>
      <c r="ET208">
        <v>0</v>
      </c>
      <c r="EU208">
        <v>0</v>
      </c>
      <c r="EV208">
        <v>0</v>
      </c>
      <c r="EW208">
        <v>0</v>
      </c>
      <c r="FA208">
        <v>0</v>
      </c>
      <c r="FE208">
        <v>0</v>
      </c>
      <c r="FI208">
        <v>0</v>
      </c>
      <c r="FJ208">
        <v>5441.7550000000001</v>
      </c>
      <c r="FK208">
        <v>30515</v>
      </c>
      <c r="FL208">
        <v>26182.328432396305</v>
      </c>
      <c r="FM208">
        <v>25073.244999999999</v>
      </c>
    </row>
    <row r="209" spans="1:169" x14ac:dyDescent="0.35">
      <c r="A209">
        <v>189129</v>
      </c>
      <c r="B209" t="s">
        <v>2897</v>
      </c>
      <c r="C209" t="s">
        <v>2898</v>
      </c>
      <c r="D209" t="s">
        <v>2899</v>
      </c>
      <c r="E209" s="43" t="s">
        <v>2900</v>
      </c>
      <c r="F209">
        <v>1</v>
      </c>
      <c r="G209">
        <v>43783</v>
      </c>
      <c r="H209">
        <v>43783</v>
      </c>
      <c r="I209">
        <v>43783</v>
      </c>
      <c r="J209" t="s">
        <v>3335</v>
      </c>
      <c r="K209" t="s">
        <v>1715</v>
      </c>
      <c r="L209" s="43" t="s">
        <v>3204</v>
      </c>
      <c r="M209" t="s">
        <v>2901</v>
      </c>
      <c r="N209" s="43" t="s">
        <v>2902</v>
      </c>
      <c r="O209" s="43" t="s">
        <v>2903</v>
      </c>
      <c r="P209" s="43" t="s">
        <v>542</v>
      </c>
      <c r="Q209" s="43" t="s">
        <v>2904</v>
      </c>
      <c r="S209">
        <v>44109</v>
      </c>
      <c r="T209" t="s">
        <v>265</v>
      </c>
      <c r="U209" t="s">
        <v>286</v>
      </c>
      <c r="V209" t="s">
        <v>1110</v>
      </c>
      <c r="W209" t="s">
        <v>1718</v>
      </c>
      <c r="X209" t="s">
        <v>1719</v>
      </c>
      <c r="Y209">
        <v>8772802835</v>
      </c>
      <c r="Z209" t="s">
        <v>270</v>
      </c>
      <c r="AA209" t="s">
        <v>271</v>
      </c>
      <c r="AB209">
        <v>16</v>
      </c>
      <c r="AC209">
        <v>0</v>
      </c>
      <c r="AD209">
        <v>92</v>
      </c>
      <c r="AE209" t="s">
        <v>354</v>
      </c>
      <c r="AF209">
        <v>6</v>
      </c>
      <c r="AG209" t="s">
        <v>275</v>
      </c>
      <c r="AH209">
        <v>2680</v>
      </c>
      <c r="AI209">
        <v>2680</v>
      </c>
      <c r="AJ209">
        <v>43774</v>
      </c>
      <c r="AK209" s="43" t="s">
        <v>3208</v>
      </c>
      <c r="AL209" s="43" t="s">
        <v>3209</v>
      </c>
      <c r="AO209" s="23"/>
      <c r="AP209" s="23"/>
      <c r="AQ209" s="23"/>
      <c r="BC209" t="s">
        <v>2018</v>
      </c>
      <c r="BD209" s="43" t="s">
        <v>2018</v>
      </c>
      <c r="BE209" s="43" t="s">
        <v>2018</v>
      </c>
      <c r="BF209" s="43" t="s">
        <v>2018</v>
      </c>
      <c r="BG209" s="43" t="s">
        <v>2018</v>
      </c>
      <c r="BH209" t="s">
        <v>2018</v>
      </c>
      <c r="BI209" s="43" t="s">
        <v>2018</v>
      </c>
      <c r="BJ209">
        <v>0</v>
      </c>
      <c r="BK209">
        <v>44109</v>
      </c>
      <c r="BL209">
        <v>44356</v>
      </c>
      <c r="BM209">
        <v>8505</v>
      </c>
      <c r="BN209">
        <v>8505</v>
      </c>
      <c r="BO209">
        <v>8505</v>
      </c>
      <c r="BP209">
        <v>25515</v>
      </c>
      <c r="BQ209">
        <v>3300</v>
      </c>
      <c r="BR209">
        <v>400</v>
      </c>
      <c r="BS209">
        <v>400</v>
      </c>
      <c r="BT209">
        <v>4100</v>
      </c>
      <c r="BU209">
        <v>2100</v>
      </c>
      <c r="BV209">
        <v>2100</v>
      </c>
      <c r="BW209">
        <v>2100</v>
      </c>
      <c r="BX209">
        <v>6300</v>
      </c>
      <c r="BY209">
        <v>1200</v>
      </c>
      <c r="BZ209">
        <v>1200</v>
      </c>
      <c r="CA209">
        <v>1200</v>
      </c>
      <c r="CB209">
        <v>3600</v>
      </c>
      <c r="CC209">
        <v>0</v>
      </c>
      <c r="CD209">
        <v>0</v>
      </c>
      <c r="CE209">
        <v>0</v>
      </c>
      <c r="CF209">
        <v>0</v>
      </c>
      <c r="CG209">
        <v>39515</v>
      </c>
      <c r="CH209">
        <v>0</v>
      </c>
      <c r="CI209">
        <v>0</v>
      </c>
      <c r="CJ209">
        <v>0</v>
      </c>
      <c r="CK209">
        <v>0</v>
      </c>
      <c r="CL209">
        <v>1182</v>
      </c>
      <c r="CM209">
        <v>1182</v>
      </c>
      <c r="CN209">
        <v>1181</v>
      </c>
      <c r="CO209">
        <v>3545</v>
      </c>
      <c r="CP209">
        <v>500</v>
      </c>
      <c r="CQ209">
        <v>500</v>
      </c>
      <c r="CR209">
        <v>500</v>
      </c>
      <c r="CS209">
        <v>1500</v>
      </c>
      <c r="CT209">
        <v>750</v>
      </c>
      <c r="CU209">
        <v>750</v>
      </c>
      <c r="CV209">
        <v>750</v>
      </c>
      <c r="CW209">
        <v>2250</v>
      </c>
      <c r="CX209">
        <v>3000</v>
      </c>
      <c r="CY209">
        <v>3000</v>
      </c>
      <c r="CZ209">
        <v>3000</v>
      </c>
      <c r="DA209">
        <v>9000</v>
      </c>
      <c r="DB209">
        <v>1000</v>
      </c>
      <c r="DC209">
        <v>1000</v>
      </c>
      <c r="DD209">
        <v>1000</v>
      </c>
      <c r="DE209">
        <v>3000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19295</v>
      </c>
      <c r="EE209">
        <v>0</v>
      </c>
      <c r="EF209">
        <v>0</v>
      </c>
      <c r="EG209">
        <v>0</v>
      </c>
      <c r="EH209">
        <v>0</v>
      </c>
      <c r="EI209">
        <v>1154</v>
      </c>
      <c r="EJ209">
        <v>1154</v>
      </c>
      <c r="EK209">
        <v>1155</v>
      </c>
      <c r="EL209">
        <v>3500</v>
      </c>
      <c r="EM209">
        <v>37.065000000000005</v>
      </c>
      <c r="EN209">
        <v>660</v>
      </c>
      <c r="EO209">
        <v>660</v>
      </c>
      <c r="EP209">
        <v>660</v>
      </c>
      <c r="EQ209">
        <v>2000</v>
      </c>
      <c r="ER209">
        <v>21.18</v>
      </c>
      <c r="ES209">
        <v>0</v>
      </c>
      <c r="ET209">
        <v>0</v>
      </c>
      <c r="EU209">
        <v>0</v>
      </c>
      <c r="EV209">
        <v>0</v>
      </c>
      <c r="EW209">
        <v>0</v>
      </c>
      <c r="FA209">
        <v>0</v>
      </c>
      <c r="FE209">
        <v>0</v>
      </c>
      <c r="FI209">
        <v>0</v>
      </c>
      <c r="FJ209">
        <v>5441.7550000000001</v>
      </c>
      <c r="FK209">
        <v>20220</v>
      </c>
      <c r="FL209">
        <v>15431.942065912031</v>
      </c>
      <c r="FM209">
        <v>14778.245000000001</v>
      </c>
    </row>
    <row r="210" spans="1:169" x14ac:dyDescent="0.35">
      <c r="A210">
        <v>196178</v>
      </c>
      <c r="B210" t="s">
        <v>2905</v>
      </c>
      <c r="C210" t="s">
        <v>537</v>
      </c>
      <c r="D210" t="s">
        <v>2906</v>
      </c>
      <c r="E210" s="43" t="s">
        <v>2907</v>
      </c>
      <c r="F210">
        <v>1</v>
      </c>
      <c r="I210">
        <v>43781</v>
      </c>
      <c r="J210" t="s">
        <v>3304</v>
      </c>
      <c r="K210" t="s">
        <v>1715</v>
      </c>
      <c r="L210" s="43" t="s">
        <v>3204</v>
      </c>
      <c r="M210" t="s">
        <v>2908</v>
      </c>
      <c r="N210" s="43" t="s">
        <v>2909</v>
      </c>
      <c r="O210" s="43" t="s">
        <v>2910</v>
      </c>
      <c r="P210" s="43" t="s">
        <v>524</v>
      </c>
      <c r="Q210" s="43" t="s">
        <v>2911</v>
      </c>
      <c r="S210">
        <v>44109</v>
      </c>
      <c r="T210" t="s">
        <v>311</v>
      </c>
      <c r="U210" t="s">
        <v>266</v>
      </c>
      <c r="V210" t="s">
        <v>267</v>
      </c>
      <c r="W210" t="s">
        <v>1718</v>
      </c>
      <c r="X210" t="s">
        <v>1719</v>
      </c>
      <c r="Y210">
        <v>8772802835</v>
      </c>
      <c r="Z210" t="s">
        <v>270</v>
      </c>
      <c r="AA210" t="s">
        <v>271</v>
      </c>
      <c r="AB210">
        <v>27</v>
      </c>
      <c r="AC210">
        <v>0</v>
      </c>
      <c r="AD210">
        <v>105</v>
      </c>
      <c r="AE210" t="s">
        <v>364</v>
      </c>
      <c r="AF210">
        <v>3</v>
      </c>
      <c r="AG210" t="s">
        <v>275</v>
      </c>
      <c r="AH210">
        <v>0</v>
      </c>
      <c r="AI210">
        <v>0</v>
      </c>
      <c r="AJ210">
        <v>43774</v>
      </c>
      <c r="AK210" s="43" t="s">
        <v>3208</v>
      </c>
      <c r="AL210" s="43" t="s">
        <v>3209</v>
      </c>
      <c r="AO210" s="23">
        <v>43767</v>
      </c>
      <c r="AP210" s="23"/>
      <c r="AQ210" s="23"/>
      <c r="BC210" t="s">
        <v>2018</v>
      </c>
      <c r="BD210" s="43" t="s">
        <v>2018</v>
      </c>
      <c r="BE210" s="43" t="s">
        <v>2018</v>
      </c>
      <c r="BF210" s="43" t="s">
        <v>2018</v>
      </c>
      <c r="BG210" s="43" t="s">
        <v>2018</v>
      </c>
      <c r="BH210" t="s">
        <v>2018</v>
      </c>
      <c r="BI210" s="43" t="s">
        <v>2018</v>
      </c>
      <c r="BJ210">
        <v>6.25E-2</v>
      </c>
      <c r="BK210">
        <v>44109</v>
      </c>
      <c r="BL210">
        <v>44356</v>
      </c>
      <c r="BM210">
        <v>8505</v>
      </c>
      <c r="BN210">
        <v>8505</v>
      </c>
      <c r="BO210">
        <v>8505</v>
      </c>
      <c r="BP210">
        <v>25515</v>
      </c>
      <c r="BQ210">
        <v>3300</v>
      </c>
      <c r="BR210">
        <v>400</v>
      </c>
      <c r="BS210">
        <v>400</v>
      </c>
      <c r="BT210">
        <v>4100</v>
      </c>
      <c r="BU210">
        <v>2100</v>
      </c>
      <c r="BV210">
        <v>2100</v>
      </c>
      <c r="BW210">
        <v>2100</v>
      </c>
      <c r="BX210">
        <v>6300</v>
      </c>
      <c r="BY210">
        <v>1200</v>
      </c>
      <c r="BZ210">
        <v>1200</v>
      </c>
      <c r="CA210">
        <v>1200</v>
      </c>
      <c r="CB210">
        <v>3600</v>
      </c>
      <c r="CC210">
        <v>0</v>
      </c>
      <c r="CD210">
        <v>0</v>
      </c>
      <c r="CE210">
        <v>0</v>
      </c>
      <c r="CF210">
        <v>0</v>
      </c>
      <c r="CG210">
        <v>39515</v>
      </c>
      <c r="CH210">
        <v>0</v>
      </c>
      <c r="CI210">
        <v>0</v>
      </c>
      <c r="CJ210">
        <v>0</v>
      </c>
      <c r="CK210">
        <v>0</v>
      </c>
      <c r="CL210">
        <v>2065</v>
      </c>
      <c r="CM210">
        <v>2065</v>
      </c>
      <c r="CN210">
        <v>2065</v>
      </c>
      <c r="CO210">
        <v>6195</v>
      </c>
      <c r="CP210">
        <v>500</v>
      </c>
      <c r="CQ210">
        <v>500</v>
      </c>
      <c r="CR210">
        <v>500</v>
      </c>
      <c r="CS210">
        <v>1500</v>
      </c>
      <c r="CT210">
        <v>1300</v>
      </c>
      <c r="CU210">
        <v>1300</v>
      </c>
      <c r="CV210">
        <v>1300</v>
      </c>
      <c r="CW210">
        <v>3900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11595</v>
      </c>
      <c r="EE210">
        <v>0</v>
      </c>
      <c r="EF210">
        <v>0</v>
      </c>
      <c r="EG210">
        <v>0</v>
      </c>
      <c r="EH210">
        <v>0</v>
      </c>
      <c r="EI210">
        <v>1154</v>
      </c>
      <c r="EJ210">
        <v>1154</v>
      </c>
      <c r="EK210">
        <v>1155</v>
      </c>
      <c r="EL210">
        <v>3500</v>
      </c>
      <c r="EM210">
        <v>37.065000000000005</v>
      </c>
      <c r="EN210">
        <v>660</v>
      </c>
      <c r="EO210">
        <v>660</v>
      </c>
      <c r="EP210">
        <v>660</v>
      </c>
      <c r="EQ210">
        <v>2000</v>
      </c>
      <c r="ER210">
        <v>21.18</v>
      </c>
      <c r="ES210">
        <v>0</v>
      </c>
      <c r="ET210">
        <v>0</v>
      </c>
      <c r="EU210">
        <v>0</v>
      </c>
      <c r="EV210">
        <v>0</v>
      </c>
      <c r="EW210">
        <v>0</v>
      </c>
      <c r="FA210">
        <v>0</v>
      </c>
      <c r="FE210">
        <v>0</v>
      </c>
      <c r="FI210">
        <v>0</v>
      </c>
      <c r="FJ210">
        <v>5441.7550000000001</v>
      </c>
      <c r="FK210">
        <v>27920</v>
      </c>
      <c r="FL210">
        <v>23472.541873773025</v>
      </c>
      <c r="FM210">
        <v>22478.244999999999</v>
      </c>
    </row>
    <row r="211" spans="1:169" x14ac:dyDescent="0.35">
      <c r="A211">
        <v>192406</v>
      </c>
      <c r="B211" t="s">
        <v>2912</v>
      </c>
      <c r="C211" t="s">
        <v>2913</v>
      </c>
      <c r="D211" t="s">
        <v>2914</v>
      </c>
      <c r="E211" s="43" t="s">
        <v>2915</v>
      </c>
      <c r="F211">
        <v>1</v>
      </c>
      <c r="G211">
        <v>43781</v>
      </c>
      <c r="H211">
        <v>43781</v>
      </c>
      <c r="I211">
        <v>43781</v>
      </c>
      <c r="J211" t="s">
        <v>3335</v>
      </c>
      <c r="K211" t="s">
        <v>1715</v>
      </c>
      <c r="L211" s="43" t="s">
        <v>3204</v>
      </c>
      <c r="M211" t="s">
        <v>2916</v>
      </c>
      <c r="N211" s="43" t="s">
        <v>2917</v>
      </c>
      <c r="O211" s="43" t="s">
        <v>2918</v>
      </c>
      <c r="P211" s="43" t="s">
        <v>735</v>
      </c>
      <c r="Q211" s="43" t="s">
        <v>2919</v>
      </c>
      <c r="S211">
        <v>44109</v>
      </c>
      <c r="T211" t="s">
        <v>311</v>
      </c>
      <c r="U211" t="s">
        <v>266</v>
      </c>
      <c r="V211" t="s">
        <v>267</v>
      </c>
      <c r="W211" t="s">
        <v>1718</v>
      </c>
      <c r="X211" t="s">
        <v>1719</v>
      </c>
      <c r="Y211">
        <v>8772802835</v>
      </c>
      <c r="Z211" t="s">
        <v>270</v>
      </c>
      <c r="AA211" t="s">
        <v>271</v>
      </c>
      <c r="AB211">
        <v>0</v>
      </c>
      <c r="AC211">
        <v>0</v>
      </c>
      <c r="AD211">
        <v>0</v>
      </c>
      <c r="AE211" t="s">
        <v>416</v>
      </c>
      <c r="AF211">
        <v>5</v>
      </c>
      <c r="AG211" t="s">
        <v>275</v>
      </c>
      <c r="AH211">
        <v>648</v>
      </c>
      <c r="AI211">
        <v>648</v>
      </c>
      <c r="AJ211">
        <v>43774</v>
      </c>
      <c r="AK211" s="43" t="s">
        <v>1715</v>
      </c>
      <c r="AL211" s="43" t="s">
        <v>259</v>
      </c>
      <c r="AO211" s="23"/>
      <c r="AP211" s="23"/>
      <c r="AQ211" s="23"/>
      <c r="BC211" t="s">
        <v>259</v>
      </c>
      <c r="BD211" s="43" t="s">
        <v>259</v>
      </c>
      <c r="BE211" s="43" t="s">
        <v>259</v>
      </c>
      <c r="BF211" s="43" t="s">
        <v>2018</v>
      </c>
      <c r="BG211" s="43" t="s">
        <v>2018</v>
      </c>
      <c r="BH211">
        <v>43763</v>
      </c>
      <c r="BI211" s="43" t="s">
        <v>2018</v>
      </c>
      <c r="BJ211">
        <v>5.0000000000000044E-2</v>
      </c>
      <c r="BK211">
        <v>44109</v>
      </c>
      <c r="BL211">
        <v>44356</v>
      </c>
      <c r="BM211">
        <v>8505</v>
      </c>
      <c r="BN211">
        <v>8505</v>
      </c>
      <c r="BO211">
        <v>8505</v>
      </c>
      <c r="BP211">
        <v>25515</v>
      </c>
      <c r="BQ211">
        <v>3300</v>
      </c>
      <c r="BR211">
        <v>400</v>
      </c>
      <c r="BS211">
        <v>400</v>
      </c>
      <c r="BT211">
        <v>4100</v>
      </c>
      <c r="BU211">
        <v>2100</v>
      </c>
      <c r="BV211">
        <v>2100</v>
      </c>
      <c r="BW211">
        <v>2100</v>
      </c>
      <c r="BX211">
        <v>6300</v>
      </c>
      <c r="BY211">
        <v>1200</v>
      </c>
      <c r="BZ211">
        <v>1200</v>
      </c>
      <c r="CA211">
        <v>1200</v>
      </c>
      <c r="CB211">
        <v>3600</v>
      </c>
      <c r="CC211">
        <v>0</v>
      </c>
      <c r="CD211">
        <v>0</v>
      </c>
      <c r="CE211">
        <v>0</v>
      </c>
      <c r="CF211">
        <v>0</v>
      </c>
      <c r="CG211">
        <v>39515</v>
      </c>
      <c r="CH211">
        <v>0</v>
      </c>
      <c r="CI211">
        <v>0</v>
      </c>
      <c r="CJ211">
        <v>0</v>
      </c>
      <c r="CK211">
        <v>0</v>
      </c>
      <c r="CL211">
        <v>1849</v>
      </c>
      <c r="CM211">
        <v>1848</v>
      </c>
      <c r="CN211">
        <v>1848</v>
      </c>
      <c r="CO211">
        <v>5545</v>
      </c>
      <c r="CP211">
        <v>500</v>
      </c>
      <c r="CQ211">
        <v>500</v>
      </c>
      <c r="CR211">
        <v>500</v>
      </c>
      <c r="CS211">
        <v>1500</v>
      </c>
      <c r="CT211">
        <v>1000</v>
      </c>
      <c r="CU211">
        <v>1000</v>
      </c>
      <c r="CV211">
        <v>1000</v>
      </c>
      <c r="CW211">
        <v>3000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10045</v>
      </c>
      <c r="EE211">
        <v>0</v>
      </c>
      <c r="EF211">
        <v>0</v>
      </c>
      <c r="EG211">
        <v>0</v>
      </c>
      <c r="EH211">
        <v>0</v>
      </c>
      <c r="EI211">
        <v>1154</v>
      </c>
      <c r="EJ211">
        <v>1154</v>
      </c>
      <c r="EK211">
        <v>1155</v>
      </c>
      <c r="EL211">
        <v>3500</v>
      </c>
      <c r="EM211">
        <v>37.065000000000005</v>
      </c>
      <c r="EN211">
        <v>660</v>
      </c>
      <c r="EO211">
        <v>660</v>
      </c>
      <c r="EP211">
        <v>660</v>
      </c>
      <c r="EQ211">
        <v>2000</v>
      </c>
      <c r="ER211">
        <v>21.18</v>
      </c>
      <c r="ES211">
        <v>0</v>
      </c>
      <c r="ET211">
        <v>0</v>
      </c>
      <c r="EU211">
        <v>0</v>
      </c>
      <c r="EV211">
        <v>0</v>
      </c>
      <c r="EW211">
        <v>0</v>
      </c>
      <c r="FA211">
        <v>0</v>
      </c>
      <c r="FE211">
        <v>0</v>
      </c>
      <c r="FI211">
        <v>0</v>
      </c>
      <c r="FJ211">
        <v>5441.7550000000001</v>
      </c>
      <c r="FK211">
        <v>29470</v>
      </c>
      <c r="FL211">
        <v>25091.104172758027</v>
      </c>
      <c r="FM211">
        <v>24028.244999999999</v>
      </c>
    </row>
    <row r="212" spans="1:169" x14ac:dyDescent="0.35">
      <c r="A212">
        <v>197937</v>
      </c>
      <c r="B212" t="s">
        <v>4091</v>
      </c>
      <c r="C212" t="s">
        <v>4092</v>
      </c>
      <c r="D212" t="s">
        <v>4093</v>
      </c>
      <c r="E212" s="43" t="s">
        <v>4094</v>
      </c>
      <c r="F212">
        <v>1</v>
      </c>
      <c r="I212">
        <v>43804</v>
      </c>
      <c r="J212" t="s">
        <v>4242</v>
      </c>
      <c r="K212" t="s">
        <v>1715</v>
      </c>
      <c r="L212" s="43" t="s">
        <v>259</v>
      </c>
      <c r="M212" t="s">
        <v>4095</v>
      </c>
      <c r="N212" s="43" t="s">
        <v>4096</v>
      </c>
      <c r="O212" s="43" t="s">
        <v>3713</v>
      </c>
      <c r="P212" s="43" t="s">
        <v>542</v>
      </c>
      <c r="Q212" s="43" t="s">
        <v>3465</v>
      </c>
      <c r="S212">
        <v>44109</v>
      </c>
      <c r="T212" t="s">
        <v>544</v>
      </c>
      <c r="U212" t="s">
        <v>286</v>
      </c>
      <c r="V212" t="s">
        <v>267</v>
      </c>
      <c r="W212" t="s">
        <v>1718</v>
      </c>
      <c r="X212" t="s">
        <v>1719</v>
      </c>
      <c r="Y212">
        <v>8772802835</v>
      </c>
      <c r="Z212" t="s">
        <v>270</v>
      </c>
      <c r="AA212" t="s">
        <v>271</v>
      </c>
      <c r="AB212">
        <v>20</v>
      </c>
      <c r="AC212">
        <v>0</v>
      </c>
      <c r="AD212">
        <v>94</v>
      </c>
      <c r="AE212" t="s">
        <v>354</v>
      </c>
      <c r="AF212">
        <v>6</v>
      </c>
      <c r="AG212" t="s">
        <v>3345</v>
      </c>
      <c r="AK212" s="43" t="s">
        <v>259</v>
      </c>
      <c r="AL212" s="43" t="s">
        <v>259</v>
      </c>
      <c r="AO212" s="23"/>
      <c r="AP212" s="23"/>
      <c r="AQ212" s="23"/>
      <c r="BC212" t="s">
        <v>259</v>
      </c>
      <c r="BD212" s="43" t="s">
        <v>259</v>
      </c>
      <c r="BE212" s="43" t="s">
        <v>259</v>
      </c>
      <c r="BF212" s="43" t="s">
        <v>259</v>
      </c>
      <c r="BG212" s="43" t="s">
        <v>259</v>
      </c>
      <c r="BH212" t="s">
        <v>259</v>
      </c>
      <c r="BI212" s="43" t="s">
        <v>259</v>
      </c>
      <c r="BJ212">
        <v>0</v>
      </c>
      <c r="BK212">
        <v>44109</v>
      </c>
      <c r="BL212">
        <v>44356</v>
      </c>
      <c r="BM212">
        <v>8505</v>
      </c>
      <c r="BN212">
        <v>8505</v>
      </c>
      <c r="BO212">
        <v>8505</v>
      </c>
      <c r="BP212">
        <v>25515</v>
      </c>
      <c r="BQ212">
        <v>3300</v>
      </c>
      <c r="BR212">
        <v>400</v>
      </c>
      <c r="BS212">
        <v>400</v>
      </c>
      <c r="BT212">
        <v>4100</v>
      </c>
      <c r="BU212">
        <v>2100</v>
      </c>
      <c r="BV212">
        <v>2100</v>
      </c>
      <c r="BW212">
        <v>2100</v>
      </c>
      <c r="BX212">
        <v>6300</v>
      </c>
      <c r="BY212">
        <v>1200</v>
      </c>
      <c r="BZ212">
        <v>1200</v>
      </c>
      <c r="CA212">
        <v>1200</v>
      </c>
      <c r="CB212">
        <v>3600</v>
      </c>
      <c r="CC212">
        <v>0</v>
      </c>
      <c r="CD212">
        <v>0</v>
      </c>
      <c r="CE212">
        <v>0</v>
      </c>
      <c r="CF212">
        <v>0</v>
      </c>
      <c r="CG212">
        <v>39515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750</v>
      </c>
      <c r="CU212">
        <v>750</v>
      </c>
      <c r="CV212">
        <v>750</v>
      </c>
      <c r="CW212">
        <v>2250</v>
      </c>
      <c r="CX212">
        <v>3000</v>
      </c>
      <c r="CY212">
        <v>3000</v>
      </c>
      <c r="CZ212">
        <v>3000</v>
      </c>
      <c r="DA212">
        <v>9000</v>
      </c>
      <c r="DB212">
        <v>1000</v>
      </c>
      <c r="DC212">
        <v>1000</v>
      </c>
      <c r="DD212">
        <v>1000</v>
      </c>
      <c r="DE212">
        <v>3000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14250</v>
      </c>
      <c r="EE212">
        <v>0</v>
      </c>
      <c r="EF212">
        <v>0</v>
      </c>
      <c r="EG212">
        <v>0</v>
      </c>
      <c r="EH212">
        <v>0</v>
      </c>
      <c r="EI212">
        <v>1154</v>
      </c>
      <c r="EJ212">
        <v>1154</v>
      </c>
      <c r="EK212">
        <v>1155</v>
      </c>
      <c r="EL212">
        <v>3500</v>
      </c>
      <c r="EM212">
        <v>37.065000000000005</v>
      </c>
      <c r="EN212">
        <v>660</v>
      </c>
      <c r="EO212">
        <v>660</v>
      </c>
      <c r="EP212">
        <v>660</v>
      </c>
      <c r="EQ212">
        <v>2000</v>
      </c>
      <c r="ER212">
        <v>21.18</v>
      </c>
      <c r="ES212">
        <v>0</v>
      </c>
      <c r="ET212">
        <v>0</v>
      </c>
      <c r="EU212">
        <v>0</v>
      </c>
      <c r="EV212">
        <v>0</v>
      </c>
      <c r="EW212">
        <v>0</v>
      </c>
      <c r="FA212">
        <v>0</v>
      </c>
      <c r="FE212">
        <v>0</v>
      </c>
      <c r="FI212">
        <v>0</v>
      </c>
      <c r="FJ212">
        <v>5441.7550000000001</v>
      </c>
      <c r="FK212">
        <v>25265</v>
      </c>
      <c r="FL212">
        <v>20700.101290672901</v>
      </c>
      <c r="FM212">
        <v>19823.244999999999</v>
      </c>
    </row>
    <row r="213" spans="1:169" x14ac:dyDescent="0.35">
      <c r="A213">
        <v>199202</v>
      </c>
      <c r="B213" t="s">
        <v>768</v>
      </c>
      <c r="C213" t="s">
        <v>3729</v>
      </c>
      <c r="D213" t="s">
        <v>3730</v>
      </c>
      <c r="E213" s="43" t="s">
        <v>3731</v>
      </c>
      <c r="F213">
        <v>1</v>
      </c>
      <c r="I213">
        <v>43804</v>
      </c>
      <c r="J213" t="s">
        <v>4241</v>
      </c>
      <c r="K213" t="s">
        <v>1715</v>
      </c>
      <c r="L213" s="43" t="s">
        <v>259</v>
      </c>
      <c r="M213" t="s">
        <v>3732</v>
      </c>
      <c r="N213" s="43" t="s">
        <v>3733</v>
      </c>
      <c r="O213" s="43" t="s">
        <v>3734</v>
      </c>
      <c r="P213" s="43" t="s">
        <v>1172</v>
      </c>
      <c r="Q213" s="43" t="s">
        <v>3735</v>
      </c>
      <c r="S213">
        <v>44109</v>
      </c>
      <c r="T213" t="s">
        <v>311</v>
      </c>
      <c r="U213" t="s">
        <v>286</v>
      </c>
      <c r="V213" t="s">
        <v>267</v>
      </c>
      <c r="W213" t="s">
        <v>1718</v>
      </c>
      <c r="X213" t="s">
        <v>1719</v>
      </c>
      <c r="Y213">
        <v>8772802835</v>
      </c>
      <c r="Z213" t="s">
        <v>270</v>
      </c>
      <c r="AA213" t="s">
        <v>271</v>
      </c>
      <c r="AB213">
        <v>18</v>
      </c>
      <c r="AC213">
        <v>0</v>
      </c>
      <c r="AD213">
        <v>106</v>
      </c>
      <c r="AE213" t="s">
        <v>301</v>
      </c>
      <c r="AF213">
        <v>1</v>
      </c>
      <c r="AG213" t="s">
        <v>3345</v>
      </c>
      <c r="AK213" s="43" t="s">
        <v>259</v>
      </c>
      <c r="AL213" s="43" t="s">
        <v>259</v>
      </c>
      <c r="AO213" s="23"/>
      <c r="AP213" s="23"/>
      <c r="AQ213" s="23"/>
      <c r="BC213" t="s">
        <v>259</v>
      </c>
      <c r="BD213" s="43" t="s">
        <v>259</v>
      </c>
      <c r="BE213" s="43" t="s">
        <v>259</v>
      </c>
      <c r="BF213" s="43" t="s">
        <v>259</v>
      </c>
      <c r="BG213" s="43" t="s">
        <v>259</v>
      </c>
      <c r="BH213" t="s">
        <v>259</v>
      </c>
      <c r="BI213" s="43" t="s">
        <v>259</v>
      </c>
      <c r="BJ213">
        <v>0</v>
      </c>
      <c r="BK213">
        <v>44109</v>
      </c>
      <c r="BL213">
        <v>44356</v>
      </c>
      <c r="BM213">
        <v>8505</v>
      </c>
      <c r="BN213">
        <v>8505</v>
      </c>
      <c r="BO213">
        <v>8505</v>
      </c>
      <c r="BP213">
        <v>25515</v>
      </c>
      <c r="BQ213">
        <v>3300</v>
      </c>
      <c r="BR213">
        <v>400</v>
      </c>
      <c r="BS213">
        <v>400</v>
      </c>
      <c r="BT213">
        <v>4100</v>
      </c>
      <c r="BU213">
        <v>2100</v>
      </c>
      <c r="BV213">
        <v>2100</v>
      </c>
      <c r="BW213">
        <v>2100</v>
      </c>
      <c r="BX213">
        <v>6300</v>
      </c>
      <c r="BY213">
        <v>1200</v>
      </c>
      <c r="BZ213">
        <v>1200</v>
      </c>
      <c r="CA213">
        <v>1200</v>
      </c>
      <c r="CB213">
        <v>3600</v>
      </c>
      <c r="CC213">
        <v>0</v>
      </c>
      <c r="CD213">
        <v>0</v>
      </c>
      <c r="CE213">
        <v>0</v>
      </c>
      <c r="CF213">
        <v>0</v>
      </c>
      <c r="CG213">
        <v>39515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1700</v>
      </c>
      <c r="CU213">
        <v>1700</v>
      </c>
      <c r="CV213">
        <v>1700</v>
      </c>
      <c r="CW213">
        <v>5100</v>
      </c>
      <c r="CX213">
        <v>0</v>
      </c>
      <c r="CY213">
        <v>0</v>
      </c>
      <c r="CZ213">
        <v>0</v>
      </c>
      <c r="DA213">
        <v>0</v>
      </c>
      <c r="DB213">
        <v>1000</v>
      </c>
      <c r="DC213">
        <v>1000</v>
      </c>
      <c r="DD213">
        <v>1000</v>
      </c>
      <c r="DE213">
        <v>3000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8100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M213">
        <v>0</v>
      </c>
      <c r="EN213">
        <v>660</v>
      </c>
      <c r="EO213">
        <v>660</v>
      </c>
      <c r="EP213">
        <v>660</v>
      </c>
      <c r="EQ213">
        <v>2000</v>
      </c>
      <c r="ER213">
        <v>21.18</v>
      </c>
      <c r="ES213">
        <v>0</v>
      </c>
      <c r="ET213">
        <v>0</v>
      </c>
      <c r="EU213">
        <v>0</v>
      </c>
      <c r="EW213">
        <v>0</v>
      </c>
      <c r="FA213">
        <v>0</v>
      </c>
      <c r="FE213">
        <v>0</v>
      </c>
      <c r="FI213">
        <v>0</v>
      </c>
      <c r="FJ213">
        <v>1978.82</v>
      </c>
      <c r="FK213">
        <v>31415</v>
      </c>
      <c r="FL213">
        <v>30738.252370410592</v>
      </c>
      <c r="FM213">
        <v>29436.18</v>
      </c>
    </row>
    <row r="214" spans="1:169" x14ac:dyDescent="0.35">
      <c r="A214">
        <v>197683</v>
      </c>
      <c r="B214" t="s">
        <v>4097</v>
      </c>
      <c r="C214" t="s">
        <v>4098</v>
      </c>
      <c r="D214" t="s">
        <v>4099</v>
      </c>
      <c r="E214" s="43" t="s">
        <v>4100</v>
      </c>
      <c r="F214">
        <v>1</v>
      </c>
      <c r="I214">
        <v>43804</v>
      </c>
      <c r="J214" t="s">
        <v>4241</v>
      </c>
      <c r="K214" t="s">
        <v>1715</v>
      </c>
      <c r="L214" s="43" t="s">
        <v>259</v>
      </c>
      <c r="M214" t="s">
        <v>4101</v>
      </c>
      <c r="N214" s="43" t="s">
        <v>4102</v>
      </c>
      <c r="O214" s="43" t="s">
        <v>4103</v>
      </c>
      <c r="P214" s="43" t="s">
        <v>454</v>
      </c>
      <c r="Q214" s="43" t="s">
        <v>4104</v>
      </c>
      <c r="S214">
        <v>44109</v>
      </c>
      <c r="T214" t="s">
        <v>311</v>
      </c>
      <c r="U214" t="s">
        <v>286</v>
      </c>
      <c r="V214" t="s">
        <v>267</v>
      </c>
      <c r="W214" t="s">
        <v>1718</v>
      </c>
      <c r="X214" t="s">
        <v>1719</v>
      </c>
      <c r="Y214">
        <v>8772802835</v>
      </c>
      <c r="Z214" t="s">
        <v>270</v>
      </c>
      <c r="AA214" t="s">
        <v>271</v>
      </c>
      <c r="AB214">
        <v>0</v>
      </c>
      <c r="AC214">
        <v>950</v>
      </c>
      <c r="AD214">
        <v>111</v>
      </c>
      <c r="AE214" t="s">
        <v>289</v>
      </c>
      <c r="AF214">
        <v>2</v>
      </c>
      <c r="AG214" t="s">
        <v>3345</v>
      </c>
      <c r="AK214" s="43" t="s">
        <v>259</v>
      </c>
      <c r="AL214" s="43" t="s">
        <v>259</v>
      </c>
      <c r="AO214" s="23"/>
      <c r="AP214" s="23"/>
      <c r="AQ214" s="23"/>
      <c r="BC214" t="s">
        <v>259</v>
      </c>
      <c r="BD214" s="43" t="s">
        <v>259</v>
      </c>
      <c r="BE214" s="43" t="s">
        <v>259</v>
      </c>
      <c r="BF214" s="43" t="s">
        <v>259</v>
      </c>
      <c r="BG214" s="43" t="s">
        <v>259</v>
      </c>
      <c r="BH214" t="s">
        <v>259</v>
      </c>
      <c r="BI214" s="43" t="s">
        <v>259</v>
      </c>
      <c r="BJ214">
        <v>0</v>
      </c>
      <c r="BK214">
        <v>44109</v>
      </c>
      <c r="BL214">
        <v>44356</v>
      </c>
      <c r="BM214">
        <v>8505</v>
      </c>
      <c r="BN214">
        <v>8505</v>
      </c>
      <c r="BO214">
        <v>8505</v>
      </c>
      <c r="BP214">
        <v>25515</v>
      </c>
      <c r="BQ214">
        <v>3300</v>
      </c>
      <c r="BR214">
        <v>400</v>
      </c>
      <c r="BS214">
        <v>400</v>
      </c>
      <c r="BT214">
        <v>4100</v>
      </c>
      <c r="BU214">
        <v>2100</v>
      </c>
      <c r="BV214">
        <v>2100</v>
      </c>
      <c r="BW214">
        <v>2100</v>
      </c>
      <c r="BX214">
        <v>6300</v>
      </c>
      <c r="BY214">
        <v>1200</v>
      </c>
      <c r="BZ214">
        <v>1200</v>
      </c>
      <c r="CA214">
        <v>1200</v>
      </c>
      <c r="CB214">
        <v>3600</v>
      </c>
      <c r="CC214">
        <v>0</v>
      </c>
      <c r="CD214">
        <v>0</v>
      </c>
      <c r="CE214">
        <v>0</v>
      </c>
      <c r="CF214">
        <v>0</v>
      </c>
      <c r="CG214">
        <v>39515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1500</v>
      </c>
      <c r="CU214">
        <v>1500</v>
      </c>
      <c r="CV214">
        <v>1500</v>
      </c>
      <c r="CW214">
        <v>4500</v>
      </c>
      <c r="CX214">
        <v>0</v>
      </c>
      <c r="CY214">
        <v>0</v>
      </c>
      <c r="CZ214">
        <v>0</v>
      </c>
      <c r="DA214">
        <v>0</v>
      </c>
      <c r="DB214">
        <v>1000</v>
      </c>
      <c r="DC214">
        <v>1000</v>
      </c>
      <c r="DD214">
        <v>1000</v>
      </c>
      <c r="DE214">
        <v>3000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7500</v>
      </c>
      <c r="EE214">
        <v>0</v>
      </c>
      <c r="EF214">
        <v>0</v>
      </c>
      <c r="EG214">
        <v>0</v>
      </c>
      <c r="EH214">
        <v>0</v>
      </c>
      <c r="EI214">
        <v>1154</v>
      </c>
      <c r="EJ214">
        <v>1154</v>
      </c>
      <c r="EK214">
        <v>1155</v>
      </c>
      <c r="EL214">
        <v>3500</v>
      </c>
      <c r="EM214">
        <v>37.065000000000005</v>
      </c>
      <c r="EN214">
        <v>660</v>
      </c>
      <c r="EO214">
        <v>660</v>
      </c>
      <c r="EP214">
        <v>660</v>
      </c>
      <c r="EQ214">
        <v>2000</v>
      </c>
      <c r="ER214">
        <v>21.18</v>
      </c>
      <c r="ES214">
        <v>0</v>
      </c>
      <c r="ET214">
        <v>0</v>
      </c>
      <c r="EU214">
        <v>0</v>
      </c>
      <c r="EV214">
        <v>0</v>
      </c>
      <c r="EW214">
        <v>0</v>
      </c>
      <c r="FA214">
        <v>0</v>
      </c>
      <c r="FE214">
        <v>0</v>
      </c>
      <c r="FI214">
        <v>0</v>
      </c>
      <c r="FJ214">
        <v>5441.7550000000001</v>
      </c>
      <c r="FK214">
        <v>32015</v>
      </c>
      <c r="FL214">
        <v>27748.679044317276</v>
      </c>
      <c r="FM214">
        <v>26573.244999999999</v>
      </c>
    </row>
    <row r="215" spans="1:169" x14ac:dyDescent="0.35">
      <c r="A215">
        <v>196207</v>
      </c>
      <c r="B215" t="s">
        <v>4105</v>
      </c>
      <c r="C215" t="s">
        <v>4106</v>
      </c>
      <c r="D215" t="s">
        <v>4107</v>
      </c>
      <c r="E215" s="43" t="s">
        <v>4108</v>
      </c>
      <c r="F215">
        <v>1</v>
      </c>
      <c r="I215">
        <v>43804</v>
      </c>
      <c r="J215" t="s">
        <v>4242</v>
      </c>
      <c r="K215" t="s">
        <v>1715</v>
      </c>
      <c r="L215" s="43" t="s">
        <v>259</v>
      </c>
      <c r="M215" t="s">
        <v>4109</v>
      </c>
      <c r="N215" s="43" t="s">
        <v>4110</v>
      </c>
      <c r="O215" s="43" t="s">
        <v>4111</v>
      </c>
      <c r="P215" s="43" t="s">
        <v>342</v>
      </c>
      <c r="Q215" s="43" t="s">
        <v>4112</v>
      </c>
      <c r="S215">
        <v>44109</v>
      </c>
      <c r="T215" t="s">
        <v>285</v>
      </c>
      <c r="U215" t="s">
        <v>266</v>
      </c>
      <c r="V215" t="s">
        <v>267</v>
      </c>
      <c r="W215" t="s">
        <v>1718</v>
      </c>
      <c r="X215" t="s">
        <v>1719</v>
      </c>
      <c r="Y215">
        <v>8772802835</v>
      </c>
      <c r="Z215" t="s">
        <v>270</v>
      </c>
      <c r="AA215" t="s">
        <v>271</v>
      </c>
      <c r="AB215">
        <v>0</v>
      </c>
      <c r="AC215">
        <v>1010</v>
      </c>
      <c r="AD215">
        <v>92</v>
      </c>
      <c r="AE215" t="s">
        <v>376</v>
      </c>
      <c r="AF215">
        <v>7</v>
      </c>
      <c r="AG215" t="s">
        <v>3345</v>
      </c>
      <c r="AK215" s="43" t="s">
        <v>259</v>
      </c>
      <c r="AL215" s="43" t="s">
        <v>259</v>
      </c>
      <c r="AO215" s="23"/>
      <c r="AP215" s="23"/>
      <c r="AQ215" s="23"/>
      <c r="BC215" t="s">
        <v>259</v>
      </c>
      <c r="BD215" s="43" t="s">
        <v>259</v>
      </c>
      <c r="BE215" s="43" t="s">
        <v>259</v>
      </c>
      <c r="BF215" s="43" t="s">
        <v>259</v>
      </c>
      <c r="BG215" s="43" t="s">
        <v>259</v>
      </c>
      <c r="BH215" t="s">
        <v>259</v>
      </c>
      <c r="BI215" s="43" t="s">
        <v>259</v>
      </c>
      <c r="BJ215">
        <v>0</v>
      </c>
      <c r="BK215">
        <v>44109</v>
      </c>
      <c r="BL215">
        <v>44356</v>
      </c>
      <c r="BM215">
        <v>8505</v>
      </c>
      <c r="BN215">
        <v>8505</v>
      </c>
      <c r="BO215">
        <v>8505</v>
      </c>
      <c r="BP215">
        <v>25515</v>
      </c>
      <c r="BQ215">
        <v>3300</v>
      </c>
      <c r="BR215">
        <v>400</v>
      </c>
      <c r="BS215">
        <v>400</v>
      </c>
      <c r="BT215">
        <v>4100</v>
      </c>
      <c r="BU215">
        <v>2100</v>
      </c>
      <c r="BV215">
        <v>2100</v>
      </c>
      <c r="BW215">
        <v>2100</v>
      </c>
      <c r="BX215">
        <v>6300</v>
      </c>
      <c r="BY215">
        <v>1200</v>
      </c>
      <c r="BZ215">
        <v>1200</v>
      </c>
      <c r="CA215">
        <v>1200</v>
      </c>
      <c r="CB215">
        <v>3600</v>
      </c>
      <c r="CC215">
        <v>0</v>
      </c>
      <c r="CD215">
        <v>0</v>
      </c>
      <c r="CE215">
        <v>0</v>
      </c>
      <c r="CF215">
        <v>0</v>
      </c>
      <c r="CG215">
        <v>39515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1154</v>
      </c>
      <c r="EJ215">
        <v>1154</v>
      </c>
      <c r="EK215">
        <v>1155</v>
      </c>
      <c r="EL215">
        <v>3500</v>
      </c>
      <c r="EM215">
        <v>37.065000000000005</v>
      </c>
      <c r="EN215">
        <v>660</v>
      </c>
      <c r="EO215">
        <v>660</v>
      </c>
      <c r="EP215">
        <v>660</v>
      </c>
      <c r="EQ215">
        <v>2000</v>
      </c>
      <c r="ER215">
        <v>21.18</v>
      </c>
      <c r="ES215">
        <v>0</v>
      </c>
      <c r="ET215">
        <v>0</v>
      </c>
      <c r="EU215">
        <v>0</v>
      </c>
      <c r="EV215">
        <v>0</v>
      </c>
      <c r="EW215">
        <v>0</v>
      </c>
      <c r="FA215">
        <v>0</v>
      </c>
      <c r="FE215">
        <v>0</v>
      </c>
      <c r="FI215">
        <v>0</v>
      </c>
      <c r="FJ215">
        <v>5441.7550000000001</v>
      </c>
      <c r="FK215">
        <v>39515</v>
      </c>
      <c r="FL215">
        <v>35580.43210392214</v>
      </c>
      <c r="FM215">
        <v>34073.245000000003</v>
      </c>
    </row>
    <row r="216" spans="1:169" x14ac:dyDescent="0.35">
      <c r="A216">
        <v>195573</v>
      </c>
      <c r="B216" t="s">
        <v>2920</v>
      </c>
      <c r="C216" t="s">
        <v>2921</v>
      </c>
      <c r="D216" t="s">
        <v>2922</v>
      </c>
      <c r="E216" s="43" t="s">
        <v>2923</v>
      </c>
      <c r="F216">
        <v>1</v>
      </c>
      <c r="I216">
        <v>43804</v>
      </c>
      <c r="J216" t="s">
        <v>4242</v>
      </c>
      <c r="K216" t="s">
        <v>1715</v>
      </c>
      <c r="L216" s="43" t="s">
        <v>259</v>
      </c>
      <c r="M216" t="s">
        <v>2924</v>
      </c>
      <c r="N216" s="43" t="s">
        <v>2925</v>
      </c>
      <c r="O216" s="43" t="s">
        <v>2926</v>
      </c>
      <c r="P216" s="43" t="s">
        <v>297</v>
      </c>
      <c r="Q216" s="43" t="s">
        <v>2927</v>
      </c>
      <c r="S216">
        <v>44109</v>
      </c>
      <c r="T216" t="s">
        <v>311</v>
      </c>
      <c r="U216" t="s">
        <v>286</v>
      </c>
      <c r="V216" t="s">
        <v>267</v>
      </c>
      <c r="W216" t="s">
        <v>1718</v>
      </c>
      <c r="X216" t="s">
        <v>1719</v>
      </c>
      <c r="Y216">
        <v>8772802835</v>
      </c>
      <c r="Z216" t="s">
        <v>270</v>
      </c>
      <c r="AA216" t="s">
        <v>271</v>
      </c>
      <c r="AB216">
        <v>15</v>
      </c>
      <c r="AC216">
        <v>0</v>
      </c>
      <c r="AD216">
        <v>97</v>
      </c>
      <c r="AE216" t="s">
        <v>445</v>
      </c>
      <c r="AF216">
        <v>4</v>
      </c>
      <c r="AG216" t="s">
        <v>275</v>
      </c>
      <c r="AK216" s="43" t="s">
        <v>259</v>
      </c>
      <c r="AL216" s="43" t="s">
        <v>259</v>
      </c>
      <c r="AO216" s="23"/>
      <c r="AP216" s="23"/>
      <c r="AQ216" s="23"/>
      <c r="BC216" t="s">
        <v>259</v>
      </c>
      <c r="BD216" s="43" t="s">
        <v>259</v>
      </c>
      <c r="BE216" s="43" t="s">
        <v>259</v>
      </c>
      <c r="BF216" s="43" t="s">
        <v>259</v>
      </c>
      <c r="BG216" s="43" t="s">
        <v>259</v>
      </c>
      <c r="BH216" t="s">
        <v>259</v>
      </c>
      <c r="BI216" s="43" t="s">
        <v>259</v>
      </c>
      <c r="BJ216">
        <v>0</v>
      </c>
      <c r="BK216">
        <v>44109</v>
      </c>
      <c r="BL216">
        <v>44356</v>
      </c>
      <c r="BM216">
        <v>8505</v>
      </c>
      <c r="BN216">
        <v>8505</v>
      </c>
      <c r="BO216">
        <v>8505</v>
      </c>
      <c r="BP216">
        <v>25515</v>
      </c>
      <c r="BQ216">
        <v>3300</v>
      </c>
      <c r="BR216">
        <v>400</v>
      </c>
      <c r="BS216">
        <v>400</v>
      </c>
      <c r="BT216">
        <v>4100</v>
      </c>
      <c r="BU216">
        <v>2100</v>
      </c>
      <c r="BV216">
        <v>2100</v>
      </c>
      <c r="BW216">
        <v>2100</v>
      </c>
      <c r="BX216">
        <v>6300</v>
      </c>
      <c r="BY216">
        <v>1200</v>
      </c>
      <c r="BZ216">
        <v>1200</v>
      </c>
      <c r="CA216">
        <v>1200</v>
      </c>
      <c r="CB216">
        <v>3600</v>
      </c>
      <c r="CC216">
        <v>0</v>
      </c>
      <c r="CD216">
        <v>0</v>
      </c>
      <c r="CE216">
        <v>0</v>
      </c>
      <c r="CF216">
        <v>0</v>
      </c>
      <c r="CG216">
        <v>39515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1250</v>
      </c>
      <c r="CU216">
        <v>1250</v>
      </c>
      <c r="CV216">
        <v>1250</v>
      </c>
      <c r="CW216">
        <v>3750</v>
      </c>
      <c r="CX216">
        <v>0</v>
      </c>
      <c r="CY216">
        <v>0</v>
      </c>
      <c r="CZ216">
        <v>0</v>
      </c>
      <c r="DA216">
        <v>0</v>
      </c>
      <c r="DB216">
        <v>1000</v>
      </c>
      <c r="DC216">
        <v>1000</v>
      </c>
      <c r="DD216">
        <v>1000</v>
      </c>
      <c r="DE216">
        <v>3000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6750</v>
      </c>
      <c r="EE216">
        <v>0</v>
      </c>
      <c r="EF216">
        <v>0</v>
      </c>
      <c r="EG216">
        <v>0</v>
      </c>
      <c r="EH216">
        <v>0</v>
      </c>
      <c r="EI216">
        <v>1154</v>
      </c>
      <c r="EJ216">
        <v>1154</v>
      </c>
      <c r="EK216">
        <v>1155</v>
      </c>
      <c r="EL216">
        <v>3500</v>
      </c>
      <c r="EM216">
        <v>37.065000000000005</v>
      </c>
      <c r="EN216">
        <v>660</v>
      </c>
      <c r="EO216">
        <v>660</v>
      </c>
      <c r="EP216">
        <v>660</v>
      </c>
      <c r="EQ216">
        <v>2000</v>
      </c>
      <c r="ER216">
        <v>21.18</v>
      </c>
      <c r="ES216">
        <v>0</v>
      </c>
      <c r="ET216">
        <v>0</v>
      </c>
      <c r="EU216">
        <v>0</v>
      </c>
      <c r="EV216">
        <v>0</v>
      </c>
      <c r="EW216">
        <v>0</v>
      </c>
      <c r="FA216">
        <v>0</v>
      </c>
      <c r="FE216">
        <v>0</v>
      </c>
      <c r="FI216">
        <v>0</v>
      </c>
      <c r="FJ216">
        <v>5441.7550000000001</v>
      </c>
      <c r="FK216">
        <v>32765</v>
      </c>
      <c r="FL216">
        <v>28531.854350277765</v>
      </c>
      <c r="FM216">
        <v>27323.244999999999</v>
      </c>
    </row>
    <row r="217" spans="1:169" x14ac:dyDescent="0.35">
      <c r="A217">
        <v>198091</v>
      </c>
      <c r="B217" t="s">
        <v>2928</v>
      </c>
      <c r="C217" t="s">
        <v>2563</v>
      </c>
      <c r="D217" t="s">
        <v>2929</v>
      </c>
      <c r="E217" s="43" t="s">
        <v>2930</v>
      </c>
      <c r="F217">
        <v>1</v>
      </c>
      <c r="I217">
        <v>43804</v>
      </c>
      <c r="J217" t="s">
        <v>4240</v>
      </c>
      <c r="K217" t="s">
        <v>1715</v>
      </c>
      <c r="L217" s="43" t="s">
        <v>3204</v>
      </c>
      <c r="M217" t="s">
        <v>2931</v>
      </c>
      <c r="N217" s="43" t="s">
        <v>2932</v>
      </c>
      <c r="O217" s="43" t="s">
        <v>2933</v>
      </c>
      <c r="P217" s="43" t="s">
        <v>372</v>
      </c>
      <c r="Q217" s="43" t="s">
        <v>2934</v>
      </c>
      <c r="S217">
        <v>44109</v>
      </c>
      <c r="T217" t="s">
        <v>311</v>
      </c>
      <c r="U217" t="s">
        <v>266</v>
      </c>
      <c r="V217" t="s">
        <v>267</v>
      </c>
      <c r="W217" t="s">
        <v>1718</v>
      </c>
      <c r="X217" t="s">
        <v>1719</v>
      </c>
      <c r="Y217">
        <v>8772802835</v>
      </c>
      <c r="Z217" t="s">
        <v>270</v>
      </c>
      <c r="AA217" t="s">
        <v>271</v>
      </c>
      <c r="AB217">
        <v>0</v>
      </c>
      <c r="AC217">
        <v>1330</v>
      </c>
      <c r="AD217">
        <v>128</v>
      </c>
      <c r="AE217" t="s">
        <v>301</v>
      </c>
      <c r="AF217">
        <v>1</v>
      </c>
      <c r="AG217" t="s">
        <v>446</v>
      </c>
      <c r="AH217">
        <v>78464</v>
      </c>
      <c r="AI217">
        <v>78464</v>
      </c>
      <c r="AJ217">
        <v>43774</v>
      </c>
      <c r="AK217" s="43" t="s">
        <v>3208</v>
      </c>
      <c r="AL217" s="43" t="s">
        <v>3209</v>
      </c>
      <c r="AO217" s="23"/>
      <c r="AP217" s="23"/>
      <c r="AQ217" s="23"/>
      <c r="BC217" t="s">
        <v>2018</v>
      </c>
      <c r="BD217" s="43" t="s">
        <v>2018</v>
      </c>
      <c r="BE217" s="43" t="s">
        <v>2018</v>
      </c>
      <c r="BF217" s="43" t="s">
        <v>2018</v>
      </c>
      <c r="BG217" s="43" t="s">
        <v>2018</v>
      </c>
      <c r="BH217" t="s">
        <v>2018</v>
      </c>
      <c r="BI217" s="43" t="s">
        <v>2018</v>
      </c>
      <c r="BJ217">
        <v>0</v>
      </c>
      <c r="BK217">
        <v>44109</v>
      </c>
      <c r="BL217">
        <v>44356</v>
      </c>
      <c r="BM217">
        <v>8505</v>
      </c>
      <c r="BN217">
        <v>8505</v>
      </c>
      <c r="BO217">
        <v>8505</v>
      </c>
      <c r="BP217">
        <v>25515</v>
      </c>
      <c r="BQ217">
        <v>3300</v>
      </c>
      <c r="BR217">
        <v>400</v>
      </c>
      <c r="BS217">
        <v>400</v>
      </c>
      <c r="BT217">
        <v>4100</v>
      </c>
      <c r="BU217">
        <v>2100</v>
      </c>
      <c r="BV217">
        <v>2100</v>
      </c>
      <c r="BW217">
        <v>2100</v>
      </c>
      <c r="BX217">
        <v>6300</v>
      </c>
      <c r="BY217">
        <v>1200</v>
      </c>
      <c r="BZ217">
        <v>1200</v>
      </c>
      <c r="CA217">
        <v>1200</v>
      </c>
      <c r="CB217">
        <v>3600</v>
      </c>
      <c r="CC217">
        <v>0</v>
      </c>
      <c r="CD217">
        <v>0</v>
      </c>
      <c r="CE217">
        <v>0</v>
      </c>
      <c r="CF217">
        <v>0</v>
      </c>
      <c r="CG217">
        <v>39515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1700</v>
      </c>
      <c r="CU217">
        <v>1700</v>
      </c>
      <c r="CV217">
        <v>1700</v>
      </c>
      <c r="CW217">
        <v>5100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5100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1814</v>
      </c>
      <c r="EO217">
        <v>1814</v>
      </c>
      <c r="EP217">
        <v>1814</v>
      </c>
      <c r="EQ217">
        <v>5500</v>
      </c>
      <c r="ER217">
        <v>58.245000000000005</v>
      </c>
      <c r="ES217">
        <v>0</v>
      </c>
      <c r="ET217">
        <v>0</v>
      </c>
      <c r="EU217">
        <v>0</v>
      </c>
      <c r="EV217">
        <v>0</v>
      </c>
      <c r="EW217">
        <v>0</v>
      </c>
      <c r="FA217">
        <v>0</v>
      </c>
      <c r="FE217">
        <v>0</v>
      </c>
      <c r="FI217">
        <v>0</v>
      </c>
      <c r="FJ217">
        <v>5441.7550000000001</v>
      </c>
      <c r="FK217">
        <v>34415</v>
      </c>
      <c r="FL217">
        <v>30254.840023390832</v>
      </c>
      <c r="FM217">
        <v>28973.244999999999</v>
      </c>
    </row>
    <row r="218" spans="1:169" x14ac:dyDescent="0.35">
      <c r="A218">
        <v>197677</v>
      </c>
      <c r="B218" t="s">
        <v>2935</v>
      </c>
      <c r="C218" t="s">
        <v>2936</v>
      </c>
      <c r="D218" t="s">
        <v>2937</v>
      </c>
      <c r="E218" s="43" t="s">
        <v>2938</v>
      </c>
      <c r="F218">
        <v>1</v>
      </c>
      <c r="G218">
        <v>43781</v>
      </c>
      <c r="H218">
        <v>43783</v>
      </c>
      <c r="I218">
        <v>43783</v>
      </c>
      <c r="J218" t="s">
        <v>3421</v>
      </c>
      <c r="K218" t="s">
        <v>1715</v>
      </c>
      <c r="L218" s="43" t="s">
        <v>3204</v>
      </c>
      <c r="M218" t="s">
        <v>2939</v>
      </c>
      <c r="N218" s="43" t="s">
        <v>2940</v>
      </c>
      <c r="O218" s="43" t="s">
        <v>2941</v>
      </c>
      <c r="P218" s="43" t="s">
        <v>1650</v>
      </c>
      <c r="Q218" s="43" t="s">
        <v>2942</v>
      </c>
      <c r="S218">
        <v>44109</v>
      </c>
      <c r="T218" t="s">
        <v>265</v>
      </c>
      <c r="U218" t="s">
        <v>266</v>
      </c>
      <c r="V218" t="s">
        <v>267</v>
      </c>
      <c r="W218" t="s">
        <v>1718</v>
      </c>
      <c r="X218" t="s">
        <v>1719</v>
      </c>
      <c r="Y218">
        <v>8772802835</v>
      </c>
      <c r="Z218" t="s">
        <v>270</v>
      </c>
      <c r="AA218" t="s">
        <v>271</v>
      </c>
      <c r="AB218">
        <v>0</v>
      </c>
      <c r="AC218">
        <v>690</v>
      </c>
      <c r="AD218">
        <v>92</v>
      </c>
      <c r="AE218" t="s">
        <v>376</v>
      </c>
      <c r="AF218">
        <v>7</v>
      </c>
      <c r="AG218" t="s">
        <v>275</v>
      </c>
      <c r="AH218">
        <v>1146</v>
      </c>
      <c r="AI218">
        <v>1146</v>
      </c>
      <c r="AJ218">
        <v>43774</v>
      </c>
      <c r="AK218" s="43" t="s">
        <v>1715</v>
      </c>
      <c r="AL218" s="43" t="s">
        <v>259</v>
      </c>
      <c r="AM218">
        <v>43783</v>
      </c>
      <c r="AN218">
        <v>43783</v>
      </c>
      <c r="AO218" s="23">
        <v>43782</v>
      </c>
      <c r="AP218" s="23"/>
      <c r="AQ218" s="23"/>
      <c r="BC218" t="s">
        <v>259</v>
      </c>
      <c r="BD218" s="43" t="s">
        <v>259</v>
      </c>
      <c r="BE218" s="43" t="s">
        <v>259</v>
      </c>
      <c r="BF218" s="43" t="s">
        <v>2018</v>
      </c>
      <c r="BG218" s="43" t="s">
        <v>2018</v>
      </c>
      <c r="BH218">
        <v>43761</v>
      </c>
      <c r="BI218" s="43" t="s">
        <v>2018</v>
      </c>
      <c r="BJ218">
        <v>0.19999999999999996</v>
      </c>
      <c r="BK218">
        <v>44109</v>
      </c>
      <c r="BL218">
        <v>44356</v>
      </c>
      <c r="BM218">
        <v>8505</v>
      </c>
      <c r="BN218">
        <v>8505</v>
      </c>
      <c r="BO218">
        <v>8505</v>
      </c>
      <c r="BP218">
        <v>25515</v>
      </c>
      <c r="BQ218">
        <v>3300</v>
      </c>
      <c r="BR218">
        <v>400</v>
      </c>
      <c r="BS218">
        <v>400</v>
      </c>
      <c r="BT218">
        <v>4100</v>
      </c>
      <c r="BU218">
        <v>2100</v>
      </c>
      <c r="BV218">
        <v>2100</v>
      </c>
      <c r="BW218">
        <v>2100</v>
      </c>
      <c r="BX218">
        <v>6300</v>
      </c>
      <c r="BY218">
        <v>1200</v>
      </c>
      <c r="BZ218">
        <v>1200</v>
      </c>
      <c r="CA218">
        <v>1200</v>
      </c>
      <c r="CB218">
        <v>3600</v>
      </c>
      <c r="CC218">
        <v>0</v>
      </c>
      <c r="CD218">
        <v>0</v>
      </c>
      <c r="CE218">
        <v>0</v>
      </c>
      <c r="CF218">
        <v>0</v>
      </c>
      <c r="CG218">
        <v>39515</v>
      </c>
      <c r="CH218">
        <v>0</v>
      </c>
      <c r="CI218">
        <v>0</v>
      </c>
      <c r="CJ218">
        <v>0</v>
      </c>
      <c r="CK218">
        <v>0</v>
      </c>
      <c r="CL218">
        <v>1682</v>
      </c>
      <c r="CM218">
        <v>1682</v>
      </c>
      <c r="CN218">
        <v>1681</v>
      </c>
      <c r="CO218">
        <v>5045</v>
      </c>
      <c r="CP218">
        <v>500</v>
      </c>
      <c r="CQ218">
        <v>500</v>
      </c>
      <c r="CR218">
        <v>500</v>
      </c>
      <c r="CS218">
        <v>1500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6545</v>
      </c>
      <c r="EE218">
        <v>0</v>
      </c>
      <c r="EF218">
        <v>0</v>
      </c>
      <c r="EG218">
        <v>0</v>
      </c>
      <c r="EH218">
        <v>0</v>
      </c>
      <c r="EI218">
        <v>1154</v>
      </c>
      <c r="EJ218">
        <v>1154</v>
      </c>
      <c r="EK218">
        <v>1155</v>
      </c>
      <c r="EL218">
        <v>3500</v>
      </c>
      <c r="EM218">
        <v>37.065000000000005</v>
      </c>
      <c r="EN218">
        <v>660</v>
      </c>
      <c r="EO218">
        <v>660</v>
      </c>
      <c r="EP218">
        <v>660</v>
      </c>
      <c r="EQ218">
        <v>2000</v>
      </c>
      <c r="ER218">
        <v>21.18</v>
      </c>
      <c r="ES218">
        <v>9193</v>
      </c>
      <c r="ET218">
        <v>9193</v>
      </c>
      <c r="EU218">
        <v>9193</v>
      </c>
      <c r="EV218">
        <v>28746</v>
      </c>
      <c r="EW218">
        <v>1217.68056</v>
      </c>
      <c r="FA218">
        <v>0</v>
      </c>
      <c r="FE218">
        <v>0</v>
      </c>
      <c r="FI218">
        <v>0</v>
      </c>
      <c r="FJ218">
        <v>32970.074439999997</v>
      </c>
      <c r="FK218">
        <v>32970</v>
      </c>
      <c r="FL218">
        <v>-7.7732759701268181E-2</v>
      </c>
      <c r="FM218">
        <v>-7.444000000032247E-2</v>
      </c>
    </row>
    <row r="219" spans="1:169" x14ac:dyDescent="0.35">
      <c r="A219">
        <v>198531</v>
      </c>
      <c r="B219" t="s">
        <v>2943</v>
      </c>
      <c r="C219" t="s">
        <v>602</v>
      </c>
      <c r="D219" t="s">
        <v>4113</v>
      </c>
      <c r="E219" s="43" t="s">
        <v>4114</v>
      </c>
      <c r="F219">
        <v>1</v>
      </c>
      <c r="I219">
        <v>43804</v>
      </c>
      <c r="J219" t="s">
        <v>4256</v>
      </c>
      <c r="K219" t="s">
        <v>1715</v>
      </c>
      <c r="L219" s="43" t="s">
        <v>259</v>
      </c>
      <c r="M219" t="s">
        <v>4115</v>
      </c>
      <c r="N219" s="43" t="s">
        <v>4116</v>
      </c>
      <c r="O219" s="43" t="s">
        <v>4117</v>
      </c>
      <c r="P219" s="43" t="s">
        <v>372</v>
      </c>
      <c r="Q219" s="43" t="s">
        <v>4118</v>
      </c>
      <c r="S219">
        <v>44109</v>
      </c>
      <c r="T219" t="s">
        <v>311</v>
      </c>
      <c r="U219" t="s">
        <v>312</v>
      </c>
      <c r="V219" t="s">
        <v>267</v>
      </c>
      <c r="W219" t="s">
        <v>1718</v>
      </c>
      <c r="X219" t="s">
        <v>1719</v>
      </c>
      <c r="Y219">
        <v>8772802835</v>
      </c>
      <c r="Z219" t="s">
        <v>270</v>
      </c>
      <c r="AA219" t="s">
        <v>271</v>
      </c>
      <c r="AB219">
        <v>0</v>
      </c>
      <c r="AC219">
        <v>0</v>
      </c>
      <c r="AD219">
        <v>0</v>
      </c>
      <c r="AE219" t="s">
        <v>274</v>
      </c>
      <c r="AF219">
        <v>9</v>
      </c>
      <c r="AG219" t="s">
        <v>3345</v>
      </c>
      <c r="AK219" s="43" t="s">
        <v>259</v>
      </c>
      <c r="AL219" s="43" t="s">
        <v>259</v>
      </c>
      <c r="AO219" s="23"/>
      <c r="AP219" s="23"/>
      <c r="AQ219" s="23"/>
      <c r="BC219" t="s">
        <v>259</v>
      </c>
      <c r="BD219" s="43" t="s">
        <v>259</v>
      </c>
      <c r="BE219" s="43" t="s">
        <v>259</v>
      </c>
      <c r="BF219" s="43" t="s">
        <v>259</v>
      </c>
      <c r="BG219" s="43" t="s">
        <v>259</v>
      </c>
      <c r="BH219" t="s">
        <v>259</v>
      </c>
      <c r="BI219" s="43" t="s">
        <v>259</v>
      </c>
      <c r="BJ219">
        <v>0</v>
      </c>
      <c r="BK219">
        <v>44109</v>
      </c>
      <c r="BL219">
        <v>44356</v>
      </c>
      <c r="BM219">
        <v>8505</v>
      </c>
      <c r="BN219">
        <v>8505</v>
      </c>
      <c r="BO219">
        <v>8505</v>
      </c>
      <c r="BP219">
        <v>25515</v>
      </c>
      <c r="BQ219">
        <v>3300</v>
      </c>
      <c r="BR219">
        <v>400</v>
      </c>
      <c r="BS219">
        <v>400</v>
      </c>
      <c r="BT219">
        <v>4100</v>
      </c>
      <c r="BU219">
        <v>2100</v>
      </c>
      <c r="BV219">
        <v>2100</v>
      </c>
      <c r="BW219">
        <v>2100</v>
      </c>
      <c r="BX219">
        <v>6300</v>
      </c>
      <c r="BY219">
        <v>1200</v>
      </c>
      <c r="BZ219">
        <v>1200</v>
      </c>
      <c r="CA219">
        <v>1200</v>
      </c>
      <c r="CB219">
        <v>3600</v>
      </c>
      <c r="CC219">
        <v>0</v>
      </c>
      <c r="CD219">
        <v>0</v>
      </c>
      <c r="CE219">
        <v>0</v>
      </c>
      <c r="CF219">
        <v>0</v>
      </c>
      <c r="CG219">
        <v>39515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1154</v>
      </c>
      <c r="EJ219">
        <v>1154</v>
      </c>
      <c r="EK219">
        <v>1155</v>
      </c>
      <c r="EL219">
        <v>3500</v>
      </c>
      <c r="EM219">
        <v>37.065000000000005</v>
      </c>
      <c r="EN219">
        <v>660</v>
      </c>
      <c r="EO219">
        <v>660</v>
      </c>
      <c r="EP219">
        <v>660</v>
      </c>
      <c r="EQ219">
        <v>2000</v>
      </c>
      <c r="ER219">
        <v>21.18</v>
      </c>
      <c r="ES219">
        <v>0</v>
      </c>
      <c r="ET219">
        <v>0</v>
      </c>
      <c r="EU219">
        <v>0</v>
      </c>
      <c r="EV219">
        <v>0</v>
      </c>
      <c r="EW219">
        <v>0</v>
      </c>
      <c r="FA219">
        <v>0</v>
      </c>
      <c r="FE219">
        <v>0</v>
      </c>
      <c r="FI219">
        <v>0</v>
      </c>
      <c r="FJ219">
        <v>5441.7550000000001</v>
      </c>
      <c r="FK219">
        <v>39515</v>
      </c>
      <c r="FL219">
        <v>35580.43210392214</v>
      </c>
      <c r="FM219">
        <v>34073.245000000003</v>
      </c>
    </row>
    <row r="220" spans="1:169" x14ac:dyDescent="0.35">
      <c r="A220">
        <v>199163</v>
      </c>
      <c r="B220" t="s">
        <v>4119</v>
      </c>
      <c r="C220" t="s">
        <v>1987</v>
      </c>
      <c r="D220" t="s">
        <v>4120</v>
      </c>
      <c r="E220" s="43" t="s">
        <v>4121</v>
      </c>
      <c r="F220">
        <v>1</v>
      </c>
      <c r="I220">
        <v>43804</v>
      </c>
      <c r="J220" t="s">
        <v>4245</v>
      </c>
      <c r="K220" t="s">
        <v>1715</v>
      </c>
      <c r="L220" s="43" t="s">
        <v>3204</v>
      </c>
      <c r="M220" t="s">
        <v>4122</v>
      </c>
      <c r="N220" s="43" t="s">
        <v>4123</v>
      </c>
      <c r="O220" s="43" t="s">
        <v>4124</v>
      </c>
      <c r="P220" s="43" t="s">
        <v>542</v>
      </c>
      <c r="Q220" s="43" t="s">
        <v>4125</v>
      </c>
      <c r="S220">
        <v>44109</v>
      </c>
      <c r="T220" t="s">
        <v>311</v>
      </c>
      <c r="U220" t="s">
        <v>266</v>
      </c>
      <c r="V220" t="s">
        <v>893</v>
      </c>
      <c r="W220" t="s">
        <v>1718</v>
      </c>
      <c r="X220" t="s">
        <v>1719</v>
      </c>
      <c r="Y220">
        <v>8772802835</v>
      </c>
      <c r="Z220" t="s">
        <v>270</v>
      </c>
      <c r="AA220" t="s">
        <v>271</v>
      </c>
      <c r="AB220">
        <v>27</v>
      </c>
      <c r="AC220">
        <v>0</v>
      </c>
      <c r="AD220">
        <v>114</v>
      </c>
      <c r="AE220" t="s">
        <v>301</v>
      </c>
      <c r="AF220">
        <v>1</v>
      </c>
      <c r="AG220" t="s">
        <v>3345</v>
      </c>
      <c r="AH220">
        <v>17890</v>
      </c>
      <c r="AI220">
        <v>17890</v>
      </c>
      <c r="AJ220">
        <v>43774</v>
      </c>
      <c r="AK220" s="43" t="s">
        <v>3208</v>
      </c>
      <c r="AL220" s="43" t="s">
        <v>3209</v>
      </c>
      <c r="AO220" s="23">
        <v>43802</v>
      </c>
      <c r="AP220" s="23">
        <v>43802</v>
      </c>
      <c r="AQ220" s="23">
        <v>43802</v>
      </c>
      <c r="BC220" t="s">
        <v>2018</v>
      </c>
      <c r="BD220" s="43" t="s">
        <v>2018</v>
      </c>
      <c r="BE220" s="43" t="s">
        <v>2018</v>
      </c>
      <c r="BF220" s="43" t="s">
        <v>2018</v>
      </c>
      <c r="BG220" s="43" t="s">
        <v>2018</v>
      </c>
      <c r="BH220" t="s">
        <v>2018</v>
      </c>
      <c r="BI220" s="43" t="s">
        <v>2018</v>
      </c>
      <c r="BJ220">
        <v>0.1875</v>
      </c>
      <c r="BK220">
        <v>44109</v>
      </c>
      <c r="BL220">
        <v>44356</v>
      </c>
      <c r="BM220">
        <v>8505</v>
      </c>
      <c r="BN220">
        <v>8505</v>
      </c>
      <c r="BO220">
        <v>8505</v>
      </c>
      <c r="BP220">
        <v>25515</v>
      </c>
      <c r="BQ220">
        <v>3300</v>
      </c>
      <c r="BR220">
        <v>400</v>
      </c>
      <c r="BS220">
        <v>400</v>
      </c>
      <c r="BT220">
        <v>4100</v>
      </c>
      <c r="BU220">
        <v>2100</v>
      </c>
      <c r="BV220">
        <v>2100</v>
      </c>
      <c r="BW220">
        <v>2100</v>
      </c>
      <c r="BX220">
        <v>6300</v>
      </c>
      <c r="BY220">
        <v>1200</v>
      </c>
      <c r="BZ220">
        <v>1200</v>
      </c>
      <c r="CA220">
        <v>1200</v>
      </c>
      <c r="CB220">
        <v>3600</v>
      </c>
      <c r="CC220">
        <v>0</v>
      </c>
      <c r="CD220">
        <v>0</v>
      </c>
      <c r="CE220">
        <v>0</v>
      </c>
      <c r="CF220">
        <v>0</v>
      </c>
      <c r="CG220">
        <v>39515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1700</v>
      </c>
      <c r="CU220">
        <v>1700</v>
      </c>
      <c r="CV220">
        <v>1700</v>
      </c>
      <c r="CW220">
        <v>5100</v>
      </c>
      <c r="CX220">
        <v>3000</v>
      </c>
      <c r="CY220">
        <v>3000</v>
      </c>
      <c r="CZ220">
        <v>3000</v>
      </c>
      <c r="DA220">
        <v>9000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14100</v>
      </c>
      <c r="EE220">
        <v>0</v>
      </c>
      <c r="EF220">
        <v>0</v>
      </c>
      <c r="EG220">
        <v>0</v>
      </c>
      <c r="EH220">
        <v>0</v>
      </c>
      <c r="EI220">
        <v>1154</v>
      </c>
      <c r="EJ220">
        <v>1154</v>
      </c>
      <c r="EK220">
        <v>1155</v>
      </c>
      <c r="EL220">
        <v>3500</v>
      </c>
      <c r="EM220">
        <v>37.065000000000005</v>
      </c>
      <c r="EN220">
        <v>660</v>
      </c>
      <c r="EO220">
        <v>660</v>
      </c>
      <c r="EP220">
        <v>660</v>
      </c>
      <c r="EQ220">
        <v>2000</v>
      </c>
      <c r="ER220">
        <v>21.18</v>
      </c>
      <c r="ES220">
        <v>0</v>
      </c>
      <c r="ET220">
        <v>0</v>
      </c>
      <c r="EU220">
        <v>0</v>
      </c>
      <c r="EV220">
        <v>0</v>
      </c>
      <c r="EW220">
        <v>0</v>
      </c>
      <c r="FA220">
        <v>0</v>
      </c>
      <c r="FE220">
        <v>0</v>
      </c>
      <c r="FI220">
        <v>0</v>
      </c>
      <c r="FJ220">
        <v>5441.7550000000001</v>
      </c>
      <c r="FK220">
        <v>25415</v>
      </c>
      <c r="FL220">
        <v>20856.736351865002</v>
      </c>
      <c r="FM220">
        <v>19973.244999999999</v>
      </c>
    </row>
    <row r="221" spans="1:169" x14ac:dyDescent="0.35">
      <c r="A221">
        <v>198540</v>
      </c>
      <c r="B221" t="s">
        <v>2943</v>
      </c>
      <c r="C221" t="s">
        <v>2944</v>
      </c>
      <c r="D221" t="s">
        <v>2945</v>
      </c>
      <c r="E221" s="43" t="s">
        <v>2946</v>
      </c>
      <c r="F221">
        <v>1</v>
      </c>
      <c r="I221">
        <v>43804</v>
      </c>
      <c r="J221" t="s">
        <v>4256</v>
      </c>
      <c r="K221" t="s">
        <v>1715</v>
      </c>
      <c r="L221" s="43" t="s">
        <v>259</v>
      </c>
      <c r="M221" t="s">
        <v>2947</v>
      </c>
      <c r="N221" s="43" t="s">
        <v>2948</v>
      </c>
      <c r="O221" s="43" t="s">
        <v>2949</v>
      </c>
      <c r="P221" s="43" t="s">
        <v>687</v>
      </c>
      <c r="Q221" s="43" t="s">
        <v>2950</v>
      </c>
      <c r="S221">
        <v>44109</v>
      </c>
      <c r="T221" t="s">
        <v>311</v>
      </c>
      <c r="U221" t="s">
        <v>312</v>
      </c>
      <c r="V221" t="s">
        <v>267</v>
      </c>
      <c r="W221" t="s">
        <v>1718</v>
      </c>
      <c r="X221" t="s">
        <v>1719</v>
      </c>
      <c r="Y221">
        <v>8772802835</v>
      </c>
      <c r="Z221" t="s">
        <v>270</v>
      </c>
      <c r="AA221" t="s">
        <v>271</v>
      </c>
      <c r="AB221">
        <v>0</v>
      </c>
      <c r="AC221">
        <v>0</v>
      </c>
      <c r="AD221">
        <v>0</v>
      </c>
      <c r="AE221" t="s">
        <v>376</v>
      </c>
      <c r="AF221">
        <v>7</v>
      </c>
      <c r="AG221" t="s">
        <v>275</v>
      </c>
      <c r="AK221" s="43" t="s">
        <v>259</v>
      </c>
      <c r="AL221" s="43" t="s">
        <v>259</v>
      </c>
      <c r="AO221" s="23"/>
      <c r="AP221" s="23"/>
      <c r="AQ221" s="23"/>
      <c r="BC221" t="s">
        <v>259</v>
      </c>
      <c r="BD221" s="43" t="s">
        <v>259</v>
      </c>
      <c r="BE221" s="43" t="s">
        <v>259</v>
      </c>
      <c r="BF221" s="43" t="s">
        <v>259</v>
      </c>
      <c r="BG221" s="43" t="s">
        <v>259</v>
      </c>
      <c r="BH221" t="s">
        <v>259</v>
      </c>
      <c r="BI221" s="43" t="s">
        <v>259</v>
      </c>
      <c r="BJ221">
        <v>0</v>
      </c>
      <c r="BK221">
        <v>44109</v>
      </c>
      <c r="BL221">
        <v>44356</v>
      </c>
      <c r="BM221">
        <v>8505</v>
      </c>
      <c r="BN221">
        <v>8505</v>
      </c>
      <c r="BO221">
        <v>8505</v>
      </c>
      <c r="BP221">
        <v>25515</v>
      </c>
      <c r="BQ221">
        <v>3300</v>
      </c>
      <c r="BR221">
        <v>400</v>
      </c>
      <c r="BS221">
        <v>400</v>
      </c>
      <c r="BT221">
        <v>4100</v>
      </c>
      <c r="BU221">
        <v>2100</v>
      </c>
      <c r="BV221">
        <v>2100</v>
      </c>
      <c r="BW221">
        <v>2100</v>
      </c>
      <c r="BX221">
        <v>6300</v>
      </c>
      <c r="BY221">
        <v>1200</v>
      </c>
      <c r="BZ221">
        <v>1200</v>
      </c>
      <c r="CA221">
        <v>1200</v>
      </c>
      <c r="CB221">
        <v>3600</v>
      </c>
      <c r="CC221">
        <v>0</v>
      </c>
      <c r="CD221">
        <v>0</v>
      </c>
      <c r="CE221">
        <v>0</v>
      </c>
      <c r="CF221">
        <v>0</v>
      </c>
      <c r="CG221">
        <v>39515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1154</v>
      </c>
      <c r="EJ221">
        <v>1154</v>
      </c>
      <c r="EK221">
        <v>1155</v>
      </c>
      <c r="EL221">
        <v>3500</v>
      </c>
      <c r="EM221">
        <v>37.065000000000005</v>
      </c>
      <c r="EN221">
        <v>660</v>
      </c>
      <c r="EO221">
        <v>660</v>
      </c>
      <c r="EP221">
        <v>660</v>
      </c>
      <c r="EQ221">
        <v>2000</v>
      </c>
      <c r="ER221">
        <v>21.18</v>
      </c>
      <c r="ES221">
        <v>0</v>
      </c>
      <c r="ET221">
        <v>0</v>
      </c>
      <c r="EU221">
        <v>0</v>
      </c>
      <c r="EV221">
        <v>0</v>
      </c>
      <c r="EW221">
        <v>0</v>
      </c>
      <c r="FA221">
        <v>0</v>
      </c>
      <c r="FE221">
        <v>0</v>
      </c>
      <c r="FI221">
        <v>0</v>
      </c>
      <c r="FJ221">
        <v>5441.7550000000001</v>
      </c>
      <c r="FK221">
        <v>39515</v>
      </c>
      <c r="FL221">
        <v>35580.43210392214</v>
      </c>
      <c r="FM221">
        <v>34073.245000000003</v>
      </c>
    </row>
    <row r="222" spans="1:169" x14ac:dyDescent="0.35">
      <c r="A222">
        <v>198714</v>
      </c>
      <c r="B222" t="s">
        <v>2943</v>
      </c>
      <c r="C222" t="s">
        <v>2563</v>
      </c>
      <c r="D222" t="s">
        <v>2951</v>
      </c>
      <c r="E222" s="43" t="s">
        <v>2952</v>
      </c>
      <c r="F222">
        <v>1</v>
      </c>
      <c r="I222">
        <v>43804</v>
      </c>
      <c r="J222" t="s">
        <v>4240</v>
      </c>
      <c r="K222" t="s">
        <v>1715</v>
      </c>
      <c r="L222" s="43" t="s">
        <v>3204</v>
      </c>
      <c r="M222" t="s">
        <v>2953</v>
      </c>
      <c r="N222" s="43" t="s">
        <v>2954</v>
      </c>
      <c r="O222" s="43" t="s">
        <v>2955</v>
      </c>
      <c r="P222" s="43" t="s">
        <v>309</v>
      </c>
      <c r="Q222" s="43" t="s">
        <v>2956</v>
      </c>
      <c r="S222">
        <v>44109</v>
      </c>
      <c r="T222" t="s">
        <v>311</v>
      </c>
      <c r="U222" t="s">
        <v>266</v>
      </c>
      <c r="V222" t="s">
        <v>267</v>
      </c>
      <c r="W222" t="s">
        <v>1718</v>
      </c>
      <c r="X222" t="s">
        <v>1719</v>
      </c>
      <c r="Y222">
        <v>8772802835</v>
      </c>
      <c r="Z222" t="s">
        <v>270</v>
      </c>
      <c r="AA222" t="s">
        <v>271</v>
      </c>
      <c r="AB222">
        <v>0</v>
      </c>
      <c r="AC222">
        <v>1240</v>
      </c>
      <c r="AD222">
        <v>119</v>
      </c>
      <c r="AE222" t="s">
        <v>301</v>
      </c>
      <c r="AF222">
        <v>1</v>
      </c>
      <c r="AG222" t="s">
        <v>275</v>
      </c>
      <c r="AH222">
        <v>892</v>
      </c>
      <c r="AI222">
        <v>892</v>
      </c>
      <c r="AJ222">
        <v>43774</v>
      </c>
      <c r="AK222" s="43" t="s">
        <v>1715</v>
      </c>
      <c r="AL222" s="43" t="s">
        <v>259</v>
      </c>
      <c r="AO222" s="23"/>
      <c r="AP222" s="23"/>
      <c r="AQ222" s="23"/>
      <c r="BC222" t="s">
        <v>259</v>
      </c>
      <c r="BD222" s="43" t="s">
        <v>259</v>
      </c>
      <c r="BE222" s="43" t="s">
        <v>259</v>
      </c>
      <c r="BF222" s="43" t="s">
        <v>2018</v>
      </c>
      <c r="BG222" s="43" t="s">
        <v>2018</v>
      </c>
      <c r="BH222">
        <v>43739</v>
      </c>
      <c r="BI222" s="43" t="s">
        <v>2018</v>
      </c>
      <c r="BJ222">
        <v>5.0000000000000044E-2</v>
      </c>
      <c r="BK222">
        <v>44109</v>
      </c>
      <c r="BL222">
        <v>44356</v>
      </c>
      <c r="BM222">
        <v>8505</v>
      </c>
      <c r="BN222">
        <v>8505</v>
      </c>
      <c r="BO222">
        <v>8505</v>
      </c>
      <c r="BP222">
        <v>25515</v>
      </c>
      <c r="BQ222">
        <v>3300</v>
      </c>
      <c r="BR222">
        <v>400</v>
      </c>
      <c r="BS222">
        <v>400</v>
      </c>
      <c r="BT222">
        <v>4100</v>
      </c>
      <c r="BU222">
        <v>2100</v>
      </c>
      <c r="BV222">
        <v>2100</v>
      </c>
      <c r="BW222">
        <v>2100</v>
      </c>
      <c r="BX222">
        <v>6300</v>
      </c>
      <c r="BY222">
        <v>1200</v>
      </c>
      <c r="BZ222">
        <v>1200</v>
      </c>
      <c r="CA222">
        <v>1200</v>
      </c>
      <c r="CB222">
        <v>3600</v>
      </c>
      <c r="CC222">
        <v>0</v>
      </c>
      <c r="CD222">
        <v>0</v>
      </c>
      <c r="CE222">
        <v>0</v>
      </c>
      <c r="CF222">
        <v>0</v>
      </c>
      <c r="CG222">
        <v>39515</v>
      </c>
      <c r="CH222">
        <v>0</v>
      </c>
      <c r="CI222">
        <v>0</v>
      </c>
      <c r="CJ222">
        <v>0</v>
      </c>
      <c r="CK222">
        <v>0</v>
      </c>
      <c r="CL222">
        <v>1782</v>
      </c>
      <c r="CM222">
        <v>1782</v>
      </c>
      <c r="CN222">
        <v>1781</v>
      </c>
      <c r="CO222">
        <v>5345</v>
      </c>
      <c r="CP222">
        <v>500</v>
      </c>
      <c r="CQ222">
        <v>500</v>
      </c>
      <c r="CR222">
        <v>500</v>
      </c>
      <c r="CS222">
        <v>1500</v>
      </c>
      <c r="CT222">
        <v>1700</v>
      </c>
      <c r="CU222">
        <v>1700</v>
      </c>
      <c r="CV222">
        <v>1700</v>
      </c>
      <c r="CW222">
        <v>5100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11945</v>
      </c>
      <c r="EE222">
        <v>0</v>
      </c>
      <c r="EF222">
        <v>0</v>
      </c>
      <c r="EG222">
        <v>0</v>
      </c>
      <c r="EH222">
        <v>0</v>
      </c>
      <c r="EI222">
        <v>1154</v>
      </c>
      <c r="EJ222">
        <v>1154</v>
      </c>
      <c r="EK222">
        <v>1155</v>
      </c>
      <c r="EL222">
        <v>3500</v>
      </c>
      <c r="EM222">
        <v>37.065000000000005</v>
      </c>
      <c r="EN222">
        <v>660</v>
      </c>
      <c r="EO222">
        <v>660</v>
      </c>
      <c r="EP222">
        <v>660</v>
      </c>
      <c r="EQ222">
        <v>2000</v>
      </c>
      <c r="ER222">
        <v>21.18</v>
      </c>
      <c r="ES222">
        <v>0</v>
      </c>
      <c r="ET222">
        <v>0</v>
      </c>
      <c r="EU222">
        <v>0</v>
      </c>
      <c r="EV222">
        <v>0</v>
      </c>
      <c r="EW222">
        <v>0</v>
      </c>
      <c r="FA222">
        <v>0</v>
      </c>
      <c r="FE222">
        <v>0</v>
      </c>
      <c r="FI222">
        <v>0</v>
      </c>
      <c r="FJ222">
        <v>5441.7550000000001</v>
      </c>
      <c r="FK222">
        <v>27570</v>
      </c>
      <c r="FL222">
        <v>23107.060064324796</v>
      </c>
      <c r="FM222">
        <v>22128.244999999999</v>
      </c>
    </row>
    <row r="223" spans="1:169" x14ac:dyDescent="0.35">
      <c r="A223">
        <v>196378</v>
      </c>
      <c r="B223" t="s">
        <v>2957</v>
      </c>
      <c r="C223" t="s">
        <v>2958</v>
      </c>
      <c r="D223" t="s">
        <v>2959</v>
      </c>
      <c r="E223" s="43" t="s">
        <v>2960</v>
      </c>
      <c r="F223">
        <v>1</v>
      </c>
      <c r="I223">
        <v>43804</v>
      </c>
      <c r="J223" t="s">
        <v>4242</v>
      </c>
      <c r="K223" t="s">
        <v>1715</v>
      </c>
      <c r="L223" s="43" t="s">
        <v>259</v>
      </c>
      <c r="M223" t="s">
        <v>2961</v>
      </c>
      <c r="N223" s="43" t="s">
        <v>2962</v>
      </c>
      <c r="O223" s="43" t="s">
        <v>2963</v>
      </c>
      <c r="P223" s="43" t="s">
        <v>687</v>
      </c>
      <c r="Q223" s="43" t="s">
        <v>2964</v>
      </c>
      <c r="S223">
        <v>44109</v>
      </c>
      <c r="T223" t="s">
        <v>311</v>
      </c>
      <c r="U223" t="s">
        <v>266</v>
      </c>
      <c r="V223" t="s">
        <v>267</v>
      </c>
      <c r="W223" t="s">
        <v>1718</v>
      </c>
      <c r="X223" t="s">
        <v>1719</v>
      </c>
      <c r="Y223">
        <v>8772802835</v>
      </c>
      <c r="Z223" t="s">
        <v>270</v>
      </c>
      <c r="AA223" t="s">
        <v>271</v>
      </c>
      <c r="AB223">
        <v>0</v>
      </c>
      <c r="AC223">
        <v>1210</v>
      </c>
      <c r="AD223">
        <v>110</v>
      </c>
      <c r="AE223" t="s">
        <v>445</v>
      </c>
      <c r="AF223">
        <v>4</v>
      </c>
      <c r="AG223" t="s">
        <v>275</v>
      </c>
      <c r="AK223" s="43" t="s">
        <v>259</v>
      </c>
      <c r="AL223" s="43" t="s">
        <v>259</v>
      </c>
      <c r="AO223" s="23"/>
      <c r="AP223" s="23"/>
      <c r="AQ223" s="23"/>
      <c r="BC223" t="s">
        <v>259</v>
      </c>
      <c r="BD223" s="43" t="s">
        <v>259</v>
      </c>
      <c r="BE223" s="43" t="s">
        <v>259</v>
      </c>
      <c r="BF223" s="43" t="s">
        <v>259</v>
      </c>
      <c r="BG223" s="43" t="s">
        <v>259</v>
      </c>
      <c r="BH223" t="s">
        <v>259</v>
      </c>
      <c r="BI223" s="43" t="s">
        <v>259</v>
      </c>
      <c r="BJ223">
        <v>0</v>
      </c>
      <c r="BK223">
        <v>44109</v>
      </c>
      <c r="BL223">
        <v>44356</v>
      </c>
      <c r="BM223">
        <v>8505</v>
      </c>
      <c r="BN223">
        <v>8505</v>
      </c>
      <c r="BO223">
        <v>8505</v>
      </c>
      <c r="BP223">
        <v>25515</v>
      </c>
      <c r="BQ223">
        <v>3300</v>
      </c>
      <c r="BR223">
        <v>400</v>
      </c>
      <c r="BS223">
        <v>400</v>
      </c>
      <c r="BT223">
        <v>4100</v>
      </c>
      <c r="BU223">
        <v>2100</v>
      </c>
      <c r="BV223">
        <v>2100</v>
      </c>
      <c r="BW223">
        <v>2100</v>
      </c>
      <c r="BX223">
        <v>6300</v>
      </c>
      <c r="BY223">
        <v>1200</v>
      </c>
      <c r="BZ223">
        <v>1200</v>
      </c>
      <c r="CA223">
        <v>1200</v>
      </c>
      <c r="CB223">
        <v>3600</v>
      </c>
      <c r="CC223">
        <v>0</v>
      </c>
      <c r="CD223">
        <v>0</v>
      </c>
      <c r="CE223">
        <v>0</v>
      </c>
      <c r="CF223">
        <v>0</v>
      </c>
      <c r="CG223">
        <v>39515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1250</v>
      </c>
      <c r="CU223">
        <v>1250</v>
      </c>
      <c r="CV223">
        <v>1250</v>
      </c>
      <c r="CW223">
        <v>3750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3750</v>
      </c>
      <c r="EE223">
        <v>0</v>
      </c>
      <c r="EF223">
        <v>0</v>
      </c>
      <c r="EG223">
        <v>0</v>
      </c>
      <c r="EH223">
        <v>0</v>
      </c>
      <c r="EI223">
        <v>1154</v>
      </c>
      <c r="EJ223">
        <v>1154</v>
      </c>
      <c r="EK223">
        <v>1155</v>
      </c>
      <c r="EL223">
        <v>3500</v>
      </c>
      <c r="EM223">
        <v>37.065000000000005</v>
      </c>
      <c r="EN223">
        <v>660</v>
      </c>
      <c r="EO223">
        <v>660</v>
      </c>
      <c r="EP223">
        <v>660</v>
      </c>
      <c r="EQ223">
        <v>2000</v>
      </c>
      <c r="ER223">
        <v>21.18</v>
      </c>
      <c r="ES223">
        <v>0</v>
      </c>
      <c r="ET223">
        <v>0</v>
      </c>
      <c r="EU223">
        <v>0</v>
      </c>
      <c r="EV223">
        <v>0</v>
      </c>
      <c r="EW223">
        <v>0</v>
      </c>
      <c r="FA223">
        <v>0</v>
      </c>
      <c r="FE223">
        <v>0</v>
      </c>
      <c r="FI223">
        <v>0</v>
      </c>
      <c r="FJ223">
        <v>5441.7550000000001</v>
      </c>
      <c r="FK223">
        <v>35765</v>
      </c>
      <c r="FL223">
        <v>31664.555574119709</v>
      </c>
      <c r="FM223">
        <v>30323.244999999999</v>
      </c>
    </row>
    <row r="224" spans="1:169" x14ac:dyDescent="0.35">
      <c r="A224">
        <v>199222</v>
      </c>
      <c r="B224" t="s">
        <v>2965</v>
      </c>
      <c r="C224" t="s">
        <v>2935</v>
      </c>
      <c r="D224" t="s">
        <v>3736</v>
      </c>
      <c r="E224" s="43" t="s">
        <v>3737</v>
      </c>
      <c r="F224">
        <v>1</v>
      </c>
      <c r="I224">
        <v>43803</v>
      </c>
      <c r="J224" t="s">
        <v>4257</v>
      </c>
      <c r="K224" t="s">
        <v>1715</v>
      </c>
      <c r="L224" s="43" t="s">
        <v>3204</v>
      </c>
      <c r="M224" t="s">
        <v>3738</v>
      </c>
      <c r="N224" s="43" t="s">
        <v>3739</v>
      </c>
      <c r="O224" s="43" t="s">
        <v>3740</v>
      </c>
      <c r="P224" s="43" t="s">
        <v>542</v>
      </c>
      <c r="Q224" s="43" t="s">
        <v>3741</v>
      </c>
      <c r="S224">
        <v>44109</v>
      </c>
      <c r="T224" t="s">
        <v>544</v>
      </c>
      <c r="U224" t="s">
        <v>266</v>
      </c>
      <c r="V224" t="s">
        <v>1110</v>
      </c>
      <c r="W224" t="s">
        <v>1718</v>
      </c>
      <c r="X224" t="s">
        <v>1719</v>
      </c>
      <c r="Y224">
        <v>8772802835</v>
      </c>
      <c r="Z224" t="s">
        <v>270</v>
      </c>
      <c r="AA224" t="s">
        <v>271</v>
      </c>
      <c r="AB224">
        <v>19</v>
      </c>
      <c r="AC224">
        <v>0</v>
      </c>
      <c r="AD224">
        <v>95</v>
      </c>
      <c r="AE224" t="s">
        <v>376</v>
      </c>
      <c r="AF224">
        <v>7</v>
      </c>
      <c r="AG224" t="s">
        <v>3345</v>
      </c>
      <c r="AH224">
        <v>0</v>
      </c>
      <c r="AI224">
        <v>0</v>
      </c>
      <c r="AJ224">
        <v>43776</v>
      </c>
      <c r="AK224" s="43" t="s">
        <v>3208</v>
      </c>
      <c r="AL224" s="43" t="s">
        <v>3209</v>
      </c>
      <c r="AO224" s="23"/>
      <c r="AP224" s="23"/>
      <c r="AQ224" s="23"/>
      <c r="BC224" t="s">
        <v>2018</v>
      </c>
      <c r="BD224" s="43" t="s">
        <v>2018</v>
      </c>
      <c r="BE224" s="43" t="s">
        <v>2018</v>
      </c>
      <c r="BF224" s="43" t="s">
        <v>2018</v>
      </c>
      <c r="BG224" s="43" t="s">
        <v>2018</v>
      </c>
      <c r="BH224" t="s">
        <v>2018</v>
      </c>
      <c r="BI224" s="43" t="s">
        <v>2018</v>
      </c>
      <c r="BJ224">
        <v>0</v>
      </c>
      <c r="BK224">
        <v>44109</v>
      </c>
      <c r="BL224">
        <v>44356</v>
      </c>
      <c r="BM224">
        <v>8505</v>
      </c>
      <c r="BN224">
        <v>8505</v>
      </c>
      <c r="BO224">
        <v>8505</v>
      </c>
      <c r="BP224">
        <v>25515</v>
      </c>
      <c r="BQ224">
        <v>3300</v>
      </c>
      <c r="BR224">
        <v>400</v>
      </c>
      <c r="BS224">
        <v>400</v>
      </c>
      <c r="BT224">
        <v>4100</v>
      </c>
      <c r="BU224">
        <v>2100</v>
      </c>
      <c r="BV224">
        <v>2100</v>
      </c>
      <c r="BW224">
        <v>2100</v>
      </c>
      <c r="BX224">
        <v>6300</v>
      </c>
      <c r="BY224">
        <v>1200</v>
      </c>
      <c r="BZ224">
        <v>1200</v>
      </c>
      <c r="CA224">
        <v>1200</v>
      </c>
      <c r="CB224">
        <v>3600</v>
      </c>
      <c r="CC224">
        <v>0</v>
      </c>
      <c r="CD224">
        <v>0</v>
      </c>
      <c r="CE224">
        <v>0</v>
      </c>
      <c r="CF224">
        <v>0</v>
      </c>
      <c r="CG224">
        <v>39515</v>
      </c>
      <c r="CH224">
        <v>0</v>
      </c>
      <c r="CI224">
        <v>0</v>
      </c>
      <c r="CJ224">
        <v>0</v>
      </c>
      <c r="CK224">
        <v>0</v>
      </c>
      <c r="CL224">
        <v>2065</v>
      </c>
      <c r="CM224">
        <v>2065</v>
      </c>
      <c r="CN224">
        <v>2065</v>
      </c>
      <c r="CO224">
        <v>6195</v>
      </c>
      <c r="CP224">
        <v>500</v>
      </c>
      <c r="CQ224">
        <v>500</v>
      </c>
      <c r="CR224">
        <v>500</v>
      </c>
      <c r="CS224">
        <v>1500</v>
      </c>
      <c r="CT224">
        <v>0</v>
      </c>
      <c r="CU224">
        <v>0</v>
      </c>
      <c r="CV224">
        <v>0</v>
      </c>
      <c r="CW224">
        <v>0</v>
      </c>
      <c r="CX224">
        <v>3000</v>
      </c>
      <c r="CY224">
        <v>3000</v>
      </c>
      <c r="CZ224">
        <v>3000</v>
      </c>
      <c r="DA224">
        <v>9000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16695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M224">
        <v>0</v>
      </c>
      <c r="EN224">
        <v>660</v>
      </c>
      <c r="EO224">
        <v>660</v>
      </c>
      <c r="EP224">
        <v>660</v>
      </c>
      <c r="EQ224">
        <v>2000</v>
      </c>
      <c r="ER224">
        <v>21.18</v>
      </c>
      <c r="ES224">
        <v>0</v>
      </c>
      <c r="ET224">
        <v>0</v>
      </c>
      <c r="EU224">
        <v>0</v>
      </c>
      <c r="EW224">
        <v>0</v>
      </c>
      <c r="FA224">
        <v>0</v>
      </c>
      <c r="FE224">
        <v>0</v>
      </c>
      <c r="FI224">
        <v>0</v>
      </c>
      <c r="FJ224">
        <v>1978.82</v>
      </c>
      <c r="FK224">
        <v>22820</v>
      </c>
      <c r="FL224">
        <v>21763.063364103426</v>
      </c>
      <c r="FM224">
        <v>20841.18</v>
      </c>
    </row>
    <row r="225" spans="1:169" x14ac:dyDescent="0.35">
      <c r="A225">
        <v>192027</v>
      </c>
      <c r="B225" t="s">
        <v>2965</v>
      </c>
      <c r="C225" t="s">
        <v>2666</v>
      </c>
      <c r="D225" t="s">
        <v>2966</v>
      </c>
      <c r="E225" s="43" t="s">
        <v>2967</v>
      </c>
      <c r="F225">
        <v>1</v>
      </c>
      <c r="I225">
        <v>43804</v>
      </c>
      <c r="J225" t="s">
        <v>4242</v>
      </c>
      <c r="K225" t="s">
        <v>1715</v>
      </c>
      <c r="L225" s="43" t="s">
        <v>259</v>
      </c>
      <c r="M225" t="s">
        <v>2968</v>
      </c>
      <c r="N225" s="43" t="s">
        <v>2969</v>
      </c>
      <c r="O225" s="43" t="s">
        <v>2970</v>
      </c>
      <c r="P225" s="43" t="s">
        <v>1018</v>
      </c>
      <c r="Q225" s="43" t="s">
        <v>2971</v>
      </c>
      <c r="S225">
        <v>44109</v>
      </c>
      <c r="T225" t="s">
        <v>285</v>
      </c>
      <c r="U225" t="s">
        <v>266</v>
      </c>
      <c r="V225" t="s">
        <v>267</v>
      </c>
      <c r="W225" t="s">
        <v>1718</v>
      </c>
      <c r="X225" t="s">
        <v>1719</v>
      </c>
      <c r="Y225">
        <v>8772802835</v>
      </c>
      <c r="Z225" t="s">
        <v>508</v>
      </c>
      <c r="AA225" t="s">
        <v>271</v>
      </c>
      <c r="AB225">
        <v>0</v>
      </c>
      <c r="AC225">
        <v>1080</v>
      </c>
      <c r="AD225">
        <v>99</v>
      </c>
      <c r="AE225" t="s">
        <v>354</v>
      </c>
      <c r="AF225">
        <v>6</v>
      </c>
      <c r="AG225" t="s">
        <v>275</v>
      </c>
      <c r="AK225" s="43" t="s">
        <v>259</v>
      </c>
      <c r="AL225" s="43" t="s">
        <v>259</v>
      </c>
      <c r="AO225" s="23"/>
      <c r="AP225" s="23"/>
      <c r="AQ225" s="23"/>
      <c r="BC225" t="s">
        <v>259</v>
      </c>
      <c r="BD225" s="43" t="s">
        <v>259</v>
      </c>
      <c r="BE225" s="43" t="s">
        <v>259</v>
      </c>
      <c r="BF225" s="43" t="s">
        <v>259</v>
      </c>
      <c r="BG225" s="43" t="s">
        <v>259</v>
      </c>
      <c r="BH225" t="s">
        <v>259</v>
      </c>
      <c r="BI225" s="43" t="s">
        <v>259</v>
      </c>
      <c r="BJ225">
        <v>0</v>
      </c>
      <c r="BK225">
        <v>44109</v>
      </c>
      <c r="BL225">
        <v>44356</v>
      </c>
      <c r="BM225">
        <v>8505</v>
      </c>
      <c r="BN225">
        <v>8505</v>
      </c>
      <c r="BO225">
        <v>8505</v>
      </c>
      <c r="BP225">
        <v>25515</v>
      </c>
      <c r="BQ225">
        <v>3300</v>
      </c>
      <c r="BR225">
        <v>400</v>
      </c>
      <c r="BS225">
        <v>400</v>
      </c>
      <c r="BT225">
        <v>4100</v>
      </c>
      <c r="BU225">
        <v>2100</v>
      </c>
      <c r="BV225">
        <v>2100</v>
      </c>
      <c r="BW225">
        <v>2100</v>
      </c>
      <c r="BX225">
        <v>6300</v>
      </c>
      <c r="BY225">
        <v>1200</v>
      </c>
      <c r="BZ225">
        <v>1200</v>
      </c>
      <c r="CA225">
        <v>1200</v>
      </c>
      <c r="CB225">
        <v>3600</v>
      </c>
      <c r="CC225">
        <v>0</v>
      </c>
      <c r="CD225">
        <v>0</v>
      </c>
      <c r="CE225">
        <v>0</v>
      </c>
      <c r="CF225">
        <v>0</v>
      </c>
      <c r="CG225">
        <v>39515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750</v>
      </c>
      <c r="CU225">
        <v>750</v>
      </c>
      <c r="CV225">
        <v>750</v>
      </c>
      <c r="CW225">
        <v>2250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2250</v>
      </c>
      <c r="EE225">
        <v>0</v>
      </c>
      <c r="EF225">
        <v>0</v>
      </c>
      <c r="EG225">
        <v>0</v>
      </c>
      <c r="EH225">
        <v>0</v>
      </c>
      <c r="EI225">
        <v>1154</v>
      </c>
      <c r="EJ225">
        <v>1154</v>
      </c>
      <c r="EK225">
        <v>1155</v>
      </c>
      <c r="EL225">
        <v>3500</v>
      </c>
      <c r="EM225">
        <v>37.065000000000005</v>
      </c>
      <c r="EN225">
        <v>660</v>
      </c>
      <c r="EO225">
        <v>660</v>
      </c>
      <c r="EP225">
        <v>660</v>
      </c>
      <c r="EQ225">
        <v>2000</v>
      </c>
      <c r="ER225">
        <v>21.18</v>
      </c>
      <c r="ES225">
        <v>0</v>
      </c>
      <c r="ET225">
        <v>0</v>
      </c>
      <c r="EU225">
        <v>0</v>
      </c>
      <c r="EV225">
        <v>0</v>
      </c>
      <c r="EW225">
        <v>0</v>
      </c>
      <c r="FA225">
        <v>0</v>
      </c>
      <c r="FE225">
        <v>0</v>
      </c>
      <c r="FI225">
        <v>0</v>
      </c>
      <c r="FJ225">
        <v>5441.7550000000001</v>
      </c>
      <c r="FK225">
        <v>37265</v>
      </c>
      <c r="FL225">
        <v>33230.906186040687</v>
      </c>
      <c r="FM225">
        <v>31823.245000000003</v>
      </c>
    </row>
    <row r="226" spans="1:169" x14ac:dyDescent="0.35">
      <c r="A226">
        <v>197833</v>
      </c>
      <c r="B226" t="s">
        <v>389</v>
      </c>
      <c r="C226" t="s">
        <v>2972</v>
      </c>
      <c r="D226" t="s">
        <v>2973</v>
      </c>
      <c r="E226" s="43" t="s">
        <v>2974</v>
      </c>
      <c r="F226">
        <v>1</v>
      </c>
      <c r="G226">
        <v>43804</v>
      </c>
      <c r="H226">
        <v>43804</v>
      </c>
      <c r="I226">
        <v>43804</v>
      </c>
      <c r="J226" t="s">
        <v>4229</v>
      </c>
      <c r="K226" t="s">
        <v>1715</v>
      </c>
      <c r="L226" s="43" t="s">
        <v>3204</v>
      </c>
      <c r="M226" t="s">
        <v>2975</v>
      </c>
      <c r="N226" s="43" t="s">
        <v>2976</v>
      </c>
      <c r="O226" s="43" t="s">
        <v>2977</v>
      </c>
      <c r="P226" s="43" t="s">
        <v>1018</v>
      </c>
      <c r="Q226" s="43" t="s">
        <v>2978</v>
      </c>
      <c r="S226">
        <v>44109</v>
      </c>
      <c r="T226" t="s">
        <v>265</v>
      </c>
      <c r="U226" t="s">
        <v>266</v>
      </c>
      <c r="V226" t="s">
        <v>267</v>
      </c>
      <c r="W226" t="s">
        <v>1718</v>
      </c>
      <c r="X226" t="s">
        <v>1719</v>
      </c>
      <c r="Y226">
        <v>8772802835</v>
      </c>
      <c r="Z226" t="s">
        <v>270</v>
      </c>
      <c r="AA226" t="s">
        <v>271</v>
      </c>
      <c r="AB226">
        <v>0</v>
      </c>
      <c r="AC226">
        <v>1150</v>
      </c>
      <c r="AD226">
        <v>113</v>
      </c>
      <c r="AE226" t="s">
        <v>354</v>
      </c>
      <c r="AF226">
        <v>6</v>
      </c>
      <c r="AG226" t="s">
        <v>275</v>
      </c>
      <c r="AH226">
        <v>18501</v>
      </c>
      <c r="AI226">
        <v>18501</v>
      </c>
      <c r="AJ226">
        <v>43774</v>
      </c>
      <c r="AK226" s="43" t="s">
        <v>3208</v>
      </c>
      <c r="AL226" s="43" t="s">
        <v>3209</v>
      </c>
      <c r="AO226" s="23"/>
      <c r="AP226" s="23"/>
      <c r="AQ226" s="23"/>
      <c r="BC226" t="s">
        <v>2018</v>
      </c>
      <c r="BD226" s="43" t="s">
        <v>2018</v>
      </c>
      <c r="BE226" s="43" t="s">
        <v>2018</v>
      </c>
      <c r="BF226" s="43" t="s">
        <v>2018</v>
      </c>
      <c r="BG226" s="43" t="s">
        <v>2018</v>
      </c>
      <c r="BH226" t="s">
        <v>2018</v>
      </c>
      <c r="BI226" s="43" t="s">
        <v>2018</v>
      </c>
      <c r="BJ226">
        <v>0</v>
      </c>
      <c r="BK226">
        <v>44109</v>
      </c>
      <c r="BL226">
        <v>44356</v>
      </c>
      <c r="BM226">
        <v>8505</v>
      </c>
      <c r="BN226">
        <v>8505</v>
      </c>
      <c r="BO226">
        <v>8505</v>
      </c>
      <c r="BP226">
        <v>25515</v>
      </c>
      <c r="BQ226">
        <v>3300</v>
      </c>
      <c r="BR226">
        <v>400</v>
      </c>
      <c r="BS226">
        <v>400</v>
      </c>
      <c r="BT226">
        <v>4100</v>
      </c>
      <c r="BU226">
        <v>2100</v>
      </c>
      <c r="BV226">
        <v>2100</v>
      </c>
      <c r="BW226">
        <v>2100</v>
      </c>
      <c r="BX226">
        <v>6300</v>
      </c>
      <c r="BY226">
        <v>1200</v>
      </c>
      <c r="BZ226">
        <v>1200</v>
      </c>
      <c r="CA226">
        <v>1200</v>
      </c>
      <c r="CB226">
        <v>3600</v>
      </c>
      <c r="CC226">
        <v>0</v>
      </c>
      <c r="CD226">
        <v>0</v>
      </c>
      <c r="CE226">
        <v>0</v>
      </c>
      <c r="CF226">
        <v>0</v>
      </c>
      <c r="CG226">
        <v>39515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750</v>
      </c>
      <c r="CU226">
        <v>750</v>
      </c>
      <c r="CV226">
        <v>750</v>
      </c>
      <c r="CW226">
        <v>2250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2250</v>
      </c>
      <c r="EE226">
        <v>0</v>
      </c>
      <c r="EF226">
        <v>0</v>
      </c>
      <c r="EG226">
        <v>0</v>
      </c>
      <c r="EH226">
        <v>0</v>
      </c>
      <c r="EI226">
        <v>1154</v>
      </c>
      <c r="EJ226">
        <v>1154</v>
      </c>
      <c r="EK226">
        <v>1155</v>
      </c>
      <c r="EL226">
        <v>3500</v>
      </c>
      <c r="EM226">
        <v>37.065000000000005</v>
      </c>
      <c r="EN226">
        <v>660</v>
      </c>
      <c r="EO226">
        <v>660</v>
      </c>
      <c r="EP226">
        <v>660</v>
      </c>
      <c r="EQ226">
        <v>2000</v>
      </c>
      <c r="ER226">
        <v>21.18</v>
      </c>
      <c r="ES226">
        <v>0</v>
      </c>
      <c r="ET226">
        <v>0</v>
      </c>
      <c r="EU226">
        <v>0</v>
      </c>
      <c r="EV226">
        <v>0</v>
      </c>
      <c r="EW226">
        <v>0</v>
      </c>
      <c r="FA226">
        <v>0</v>
      </c>
      <c r="FE226">
        <v>0</v>
      </c>
      <c r="FI226">
        <v>0</v>
      </c>
      <c r="FJ226">
        <v>5441.7550000000001</v>
      </c>
      <c r="FK226">
        <v>37265</v>
      </c>
      <c r="FL226">
        <v>33230.906186040687</v>
      </c>
      <c r="FM226">
        <v>31823.245000000003</v>
      </c>
    </row>
    <row r="227" spans="1:169" x14ac:dyDescent="0.35">
      <c r="A227">
        <v>198365</v>
      </c>
      <c r="B227" t="s">
        <v>1457</v>
      </c>
      <c r="C227" t="s">
        <v>2979</v>
      </c>
      <c r="D227" t="s">
        <v>2980</v>
      </c>
      <c r="E227" s="43" t="s">
        <v>2981</v>
      </c>
      <c r="F227">
        <v>1</v>
      </c>
      <c r="I227">
        <v>43804</v>
      </c>
      <c r="J227" t="s">
        <v>4241</v>
      </c>
      <c r="K227" t="s">
        <v>1715</v>
      </c>
      <c r="L227" s="43" t="s">
        <v>259</v>
      </c>
      <c r="M227" t="s">
        <v>2982</v>
      </c>
      <c r="N227" s="43" t="s">
        <v>2983</v>
      </c>
      <c r="O227" s="43" t="s">
        <v>2984</v>
      </c>
      <c r="P227" s="43" t="s">
        <v>735</v>
      </c>
      <c r="Q227" s="43" t="s">
        <v>2985</v>
      </c>
      <c r="S227">
        <v>44109</v>
      </c>
      <c r="T227" t="s">
        <v>311</v>
      </c>
      <c r="U227" t="s">
        <v>286</v>
      </c>
      <c r="V227" t="s">
        <v>267</v>
      </c>
      <c r="W227" t="s">
        <v>1718</v>
      </c>
      <c r="X227" t="s">
        <v>1719</v>
      </c>
      <c r="Y227">
        <v>8772802835</v>
      </c>
      <c r="Z227" t="s">
        <v>270</v>
      </c>
      <c r="AA227" t="s">
        <v>271</v>
      </c>
      <c r="AB227">
        <v>0</v>
      </c>
      <c r="AC227">
        <v>1000</v>
      </c>
      <c r="AD227">
        <v>97</v>
      </c>
      <c r="AE227" t="s">
        <v>289</v>
      </c>
      <c r="AF227">
        <v>2</v>
      </c>
      <c r="AG227" t="s">
        <v>275</v>
      </c>
      <c r="AK227" s="43" t="s">
        <v>259</v>
      </c>
      <c r="AL227" s="43" t="s">
        <v>259</v>
      </c>
      <c r="AO227" s="23"/>
      <c r="AP227" s="23"/>
      <c r="AQ227" s="23"/>
      <c r="BC227" t="s">
        <v>259</v>
      </c>
      <c r="BD227" s="43" t="s">
        <v>259</v>
      </c>
      <c r="BE227" s="43" t="s">
        <v>259</v>
      </c>
      <c r="BF227" s="43" t="s">
        <v>259</v>
      </c>
      <c r="BG227" s="43" t="s">
        <v>259</v>
      </c>
      <c r="BH227" t="s">
        <v>259</v>
      </c>
      <c r="BI227" s="43" t="s">
        <v>259</v>
      </c>
      <c r="BJ227">
        <v>0</v>
      </c>
      <c r="BK227">
        <v>44109</v>
      </c>
      <c r="BL227">
        <v>44356</v>
      </c>
      <c r="BM227">
        <v>8505</v>
      </c>
      <c r="BN227">
        <v>8505</v>
      </c>
      <c r="BO227">
        <v>8505</v>
      </c>
      <c r="BP227">
        <v>25515</v>
      </c>
      <c r="BQ227">
        <v>3300</v>
      </c>
      <c r="BR227">
        <v>400</v>
      </c>
      <c r="BS227">
        <v>400</v>
      </c>
      <c r="BT227">
        <v>4100</v>
      </c>
      <c r="BU227">
        <v>2100</v>
      </c>
      <c r="BV227">
        <v>2100</v>
      </c>
      <c r="BW227">
        <v>2100</v>
      </c>
      <c r="BX227">
        <v>6300</v>
      </c>
      <c r="BY227">
        <v>1200</v>
      </c>
      <c r="BZ227">
        <v>1200</v>
      </c>
      <c r="CA227">
        <v>1200</v>
      </c>
      <c r="CB227">
        <v>3600</v>
      </c>
      <c r="CC227">
        <v>0</v>
      </c>
      <c r="CD227">
        <v>0</v>
      </c>
      <c r="CE227">
        <v>0</v>
      </c>
      <c r="CF227">
        <v>0</v>
      </c>
      <c r="CG227">
        <v>39515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1500</v>
      </c>
      <c r="CU227">
        <v>1500</v>
      </c>
      <c r="CV227">
        <v>1500</v>
      </c>
      <c r="CW227">
        <v>4500</v>
      </c>
      <c r="CX227">
        <v>0</v>
      </c>
      <c r="CY227">
        <v>0</v>
      </c>
      <c r="CZ227">
        <v>0</v>
      </c>
      <c r="DA227">
        <v>0</v>
      </c>
      <c r="DB227">
        <v>1000</v>
      </c>
      <c r="DC227">
        <v>1000</v>
      </c>
      <c r="DD227">
        <v>1000</v>
      </c>
      <c r="DE227">
        <v>3000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7500</v>
      </c>
      <c r="EE227">
        <v>0</v>
      </c>
      <c r="EF227">
        <v>0</v>
      </c>
      <c r="EG227">
        <v>0</v>
      </c>
      <c r="EH227">
        <v>0</v>
      </c>
      <c r="EI227">
        <v>1154</v>
      </c>
      <c r="EJ227">
        <v>1154</v>
      </c>
      <c r="EK227">
        <v>1155</v>
      </c>
      <c r="EL227">
        <v>3500</v>
      </c>
      <c r="EM227">
        <v>37.065000000000005</v>
      </c>
      <c r="EN227">
        <v>660</v>
      </c>
      <c r="EO227">
        <v>660</v>
      </c>
      <c r="EP227">
        <v>660</v>
      </c>
      <c r="EQ227">
        <v>2000</v>
      </c>
      <c r="ER227">
        <v>21.18</v>
      </c>
      <c r="ES227">
        <v>0</v>
      </c>
      <c r="ET227">
        <v>0</v>
      </c>
      <c r="EU227">
        <v>0</v>
      </c>
      <c r="EV227">
        <v>0</v>
      </c>
      <c r="EW227">
        <v>0</v>
      </c>
      <c r="FA227">
        <v>0</v>
      </c>
      <c r="FE227">
        <v>0</v>
      </c>
      <c r="FI227">
        <v>0</v>
      </c>
      <c r="FJ227">
        <v>5441.7550000000001</v>
      </c>
      <c r="FK227">
        <v>32015</v>
      </c>
      <c r="FL227">
        <v>27748.679044317276</v>
      </c>
      <c r="FM227">
        <v>26573.244999999999</v>
      </c>
    </row>
    <row r="228" spans="1:169" x14ac:dyDescent="0.35">
      <c r="A228">
        <v>195541</v>
      </c>
      <c r="B228" t="s">
        <v>2986</v>
      </c>
      <c r="C228" t="s">
        <v>1809</v>
      </c>
      <c r="D228" t="s">
        <v>2987</v>
      </c>
      <c r="E228" s="43" t="s">
        <v>2988</v>
      </c>
      <c r="F228">
        <v>1</v>
      </c>
      <c r="I228">
        <v>43804</v>
      </c>
      <c r="J228" t="s">
        <v>4240</v>
      </c>
      <c r="K228" t="s">
        <v>1715</v>
      </c>
      <c r="L228" s="43" t="s">
        <v>3204</v>
      </c>
      <c r="M228" t="s">
        <v>2989</v>
      </c>
      <c r="N228" s="43" t="s">
        <v>2990</v>
      </c>
      <c r="O228" s="43" t="s">
        <v>350</v>
      </c>
      <c r="P228" s="43" t="s">
        <v>342</v>
      </c>
      <c r="Q228" s="43" t="s">
        <v>2991</v>
      </c>
      <c r="S228">
        <v>44109</v>
      </c>
      <c r="T228" t="s">
        <v>311</v>
      </c>
      <c r="U228" t="s">
        <v>266</v>
      </c>
      <c r="V228" t="s">
        <v>267</v>
      </c>
      <c r="W228" t="s">
        <v>1718</v>
      </c>
      <c r="X228" t="s">
        <v>1719</v>
      </c>
      <c r="Y228">
        <v>8772802835</v>
      </c>
      <c r="Z228" t="s">
        <v>270</v>
      </c>
      <c r="AA228" t="s">
        <v>271</v>
      </c>
      <c r="AB228">
        <v>0</v>
      </c>
      <c r="AC228">
        <v>1070</v>
      </c>
      <c r="AD228">
        <v>106</v>
      </c>
      <c r="AE228" t="s">
        <v>289</v>
      </c>
      <c r="AF228">
        <v>2</v>
      </c>
      <c r="AG228" t="s">
        <v>275</v>
      </c>
      <c r="AH228">
        <v>18977</v>
      </c>
      <c r="AI228">
        <v>18977</v>
      </c>
      <c r="AJ228">
        <v>43783</v>
      </c>
      <c r="AK228" s="43" t="s">
        <v>3208</v>
      </c>
      <c r="AL228" s="43" t="s">
        <v>3209</v>
      </c>
      <c r="AO228" s="23"/>
      <c r="AP228" s="23"/>
      <c r="AQ228" s="23"/>
      <c r="BC228" t="s">
        <v>2018</v>
      </c>
      <c r="BD228" s="43" t="s">
        <v>2018</v>
      </c>
      <c r="BE228" s="43" t="s">
        <v>2018</v>
      </c>
      <c r="BF228" s="43" t="s">
        <v>2018</v>
      </c>
      <c r="BG228" s="43" t="s">
        <v>2018</v>
      </c>
      <c r="BH228" t="s">
        <v>2018</v>
      </c>
      <c r="BI228" s="43" t="s">
        <v>2018</v>
      </c>
      <c r="BJ228">
        <v>0</v>
      </c>
      <c r="BK228">
        <v>44109</v>
      </c>
      <c r="BL228">
        <v>44356</v>
      </c>
      <c r="BM228">
        <v>8505</v>
      </c>
      <c r="BN228">
        <v>8505</v>
      </c>
      <c r="BO228">
        <v>8505</v>
      </c>
      <c r="BP228">
        <v>25515</v>
      </c>
      <c r="BQ228">
        <v>3300</v>
      </c>
      <c r="BR228">
        <v>400</v>
      </c>
      <c r="BS228">
        <v>400</v>
      </c>
      <c r="BT228">
        <v>4100</v>
      </c>
      <c r="BU228">
        <v>2100</v>
      </c>
      <c r="BV228">
        <v>2100</v>
      </c>
      <c r="BW228">
        <v>2100</v>
      </c>
      <c r="BX228">
        <v>6300</v>
      </c>
      <c r="BY228">
        <v>1200</v>
      </c>
      <c r="BZ228">
        <v>1200</v>
      </c>
      <c r="CA228">
        <v>1200</v>
      </c>
      <c r="CB228">
        <v>3600</v>
      </c>
      <c r="CC228">
        <v>0</v>
      </c>
      <c r="CD228">
        <v>0</v>
      </c>
      <c r="CE228">
        <v>0</v>
      </c>
      <c r="CF228">
        <v>0</v>
      </c>
      <c r="CG228">
        <v>39515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1500</v>
      </c>
      <c r="CU228">
        <v>1500</v>
      </c>
      <c r="CV228">
        <v>1500</v>
      </c>
      <c r="CW228">
        <v>4500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4500</v>
      </c>
      <c r="EE228">
        <v>0</v>
      </c>
      <c r="EF228">
        <v>0</v>
      </c>
      <c r="EG228">
        <v>0</v>
      </c>
      <c r="EH228">
        <v>0</v>
      </c>
      <c r="EI228">
        <v>1154</v>
      </c>
      <c r="EJ228">
        <v>1154</v>
      </c>
      <c r="EK228">
        <v>1155</v>
      </c>
      <c r="EL228">
        <v>3500</v>
      </c>
      <c r="EM228">
        <v>37.065000000000005</v>
      </c>
      <c r="EN228">
        <v>660</v>
      </c>
      <c r="EO228">
        <v>660</v>
      </c>
      <c r="EP228">
        <v>660</v>
      </c>
      <c r="EQ228">
        <v>2000</v>
      </c>
      <c r="ER228">
        <v>21.18</v>
      </c>
      <c r="ES228">
        <v>0</v>
      </c>
      <c r="ET228">
        <v>0</v>
      </c>
      <c r="EU228">
        <v>0</v>
      </c>
      <c r="EV228">
        <v>0</v>
      </c>
      <c r="EW228">
        <v>0</v>
      </c>
      <c r="FA228">
        <v>0</v>
      </c>
      <c r="FE228">
        <v>0</v>
      </c>
      <c r="FI228">
        <v>0</v>
      </c>
      <c r="FJ228">
        <v>5441.7550000000001</v>
      </c>
      <c r="FK228">
        <v>35015</v>
      </c>
      <c r="FL228">
        <v>30881.380268159221</v>
      </c>
      <c r="FM228">
        <v>29573.244999999999</v>
      </c>
    </row>
    <row r="229" spans="1:169" x14ac:dyDescent="0.35">
      <c r="A229">
        <v>198271</v>
      </c>
      <c r="B229" t="s">
        <v>2986</v>
      </c>
      <c r="C229" t="s">
        <v>3408</v>
      </c>
      <c r="D229" t="s">
        <v>3409</v>
      </c>
      <c r="E229" s="43" t="s">
        <v>3410</v>
      </c>
      <c r="F229">
        <v>1</v>
      </c>
      <c r="I229">
        <v>43803</v>
      </c>
      <c r="J229" t="s">
        <v>3304</v>
      </c>
      <c r="K229" t="s">
        <v>1715</v>
      </c>
      <c r="L229" s="43" t="s">
        <v>3204</v>
      </c>
      <c r="M229" t="s">
        <v>3411</v>
      </c>
      <c r="N229" s="43" t="s">
        <v>3412</v>
      </c>
      <c r="O229" s="43" t="s">
        <v>3413</v>
      </c>
      <c r="P229" s="43" t="s">
        <v>297</v>
      </c>
      <c r="Q229" s="43" t="s">
        <v>3414</v>
      </c>
      <c r="S229">
        <v>44109</v>
      </c>
      <c r="T229" t="s">
        <v>265</v>
      </c>
      <c r="U229" t="s">
        <v>312</v>
      </c>
      <c r="V229" t="s">
        <v>267</v>
      </c>
      <c r="W229" t="s">
        <v>1718</v>
      </c>
      <c r="X229" t="s">
        <v>1719</v>
      </c>
      <c r="Y229">
        <v>8772802835</v>
      </c>
      <c r="Z229" t="s">
        <v>270</v>
      </c>
      <c r="AA229" t="s">
        <v>271</v>
      </c>
      <c r="AB229">
        <v>0</v>
      </c>
      <c r="AC229">
        <v>0</v>
      </c>
      <c r="AD229">
        <v>0</v>
      </c>
      <c r="AE229" t="s">
        <v>445</v>
      </c>
      <c r="AF229">
        <v>4</v>
      </c>
      <c r="AG229" t="s">
        <v>3345</v>
      </c>
      <c r="AH229">
        <v>7174</v>
      </c>
      <c r="AI229">
        <v>7174</v>
      </c>
      <c r="AJ229">
        <v>43804</v>
      </c>
      <c r="AK229" s="43" t="s">
        <v>3208</v>
      </c>
      <c r="AL229" s="43" t="s">
        <v>3209</v>
      </c>
      <c r="AO229" s="23">
        <v>43799</v>
      </c>
      <c r="AP229" s="23"/>
      <c r="AQ229" s="23"/>
      <c r="BC229" t="s">
        <v>2018</v>
      </c>
      <c r="BD229" s="43" t="s">
        <v>2018</v>
      </c>
      <c r="BE229" s="43" t="s">
        <v>2018</v>
      </c>
      <c r="BF229" s="43" t="s">
        <v>2018</v>
      </c>
      <c r="BG229" s="43" t="s">
        <v>2018</v>
      </c>
      <c r="BH229" t="s">
        <v>2018</v>
      </c>
      <c r="BI229" s="43" t="s">
        <v>2018</v>
      </c>
      <c r="BJ229">
        <v>6.25E-2</v>
      </c>
      <c r="BK229">
        <v>44109</v>
      </c>
      <c r="BL229">
        <v>44356</v>
      </c>
      <c r="BM229">
        <v>8505</v>
      </c>
      <c r="BN229">
        <v>8505</v>
      </c>
      <c r="BO229">
        <v>8505</v>
      </c>
      <c r="BP229">
        <v>25515</v>
      </c>
      <c r="BQ229">
        <v>3300</v>
      </c>
      <c r="BR229">
        <v>400</v>
      </c>
      <c r="BS229">
        <v>400</v>
      </c>
      <c r="BT229">
        <v>4100</v>
      </c>
      <c r="BU229">
        <v>2100</v>
      </c>
      <c r="BV229">
        <v>2100</v>
      </c>
      <c r="BW229">
        <v>2100</v>
      </c>
      <c r="BX229">
        <v>6300</v>
      </c>
      <c r="BY229">
        <v>1200</v>
      </c>
      <c r="BZ229">
        <v>1200</v>
      </c>
      <c r="CA229">
        <v>1200</v>
      </c>
      <c r="CB229">
        <v>3600</v>
      </c>
      <c r="CC229">
        <v>0</v>
      </c>
      <c r="CD229">
        <v>0</v>
      </c>
      <c r="CE229">
        <v>0</v>
      </c>
      <c r="CF229">
        <v>0</v>
      </c>
      <c r="CG229">
        <v>39515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1250</v>
      </c>
      <c r="CU229">
        <v>1250</v>
      </c>
      <c r="CV229">
        <v>1250</v>
      </c>
      <c r="CW229">
        <v>3750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3750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M229">
        <v>0</v>
      </c>
      <c r="EN229">
        <v>660</v>
      </c>
      <c r="EO229">
        <v>660</v>
      </c>
      <c r="EP229">
        <v>660</v>
      </c>
      <c r="EQ229">
        <v>2000</v>
      </c>
      <c r="ER229">
        <v>21.18</v>
      </c>
      <c r="ES229">
        <v>0</v>
      </c>
      <c r="ET229">
        <v>0</v>
      </c>
      <c r="EU229">
        <v>0</v>
      </c>
      <c r="EW229">
        <v>0</v>
      </c>
      <c r="FA229">
        <v>0</v>
      </c>
      <c r="FE229">
        <v>0</v>
      </c>
      <c r="FI229">
        <v>0</v>
      </c>
      <c r="FJ229">
        <v>1978.82</v>
      </c>
      <c r="FK229">
        <v>35765</v>
      </c>
      <c r="FL229">
        <v>35280.66914498141</v>
      </c>
      <c r="FM229">
        <v>33786.18</v>
      </c>
    </row>
    <row r="230" spans="1:169" x14ac:dyDescent="0.35">
      <c r="A230">
        <v>195732</v>
      </c>
      <c r="B230" t="s">
        <v>2992</v>
      </c>
      <c r="C230" t="s">
        <v>2993</v>
      </c>
      <c r="D230" t="s">
        <v>2994</v>
      </c>
      <c r="E230" s="43" t="s">
        <v>2995</v>
      </c>
      <c r="F230">
        <v>1</v>
      </c>
      <c r="I230">
        <v>43804</v>
      </c>
      <c r="J230" t="s">
        <v>4242</v>
      </c>
      <c r="K230" t="s">
        <v>1715</v>
      </c>
      <c r="L230" s="43" t="s">
        <v>259</v>
      </c>
      <c r="M230" t="s">
        <v>2996</v>
      </c>
      <c r="N230" s="43" t="s">
        <v>2997</v>
      </c>
      <c r="O230" s="43" t="s">
        <v>2998</v>
      </c>
      <c r="P230" s="43" t="s">
        <v>677</v>
      </c>
      <c r="Q230" s="43" t="s">
        <v>2999</v>
      </c>
      <c r="S230">
        <v>44109</v>
      </c>
      <c r="T230" t="s">
        <v>265</v>
      </c>
      <c r="U230" t="s">
        <v>266</v>
      </c>
      <c r="V230" t="s">
        <v>267</v>
      </c>
      <c r="W230" t="s">
        <v>1718</v>
      </c>
      <c r="X230" t="s">
        <v>1719</v>
      </c>
      <c r="Y230">
        <v>8772802835</v>
      </c>
      <c r="Z230" t="s">
        <v>270</v>
      </c>
      <c r="AA230" t="s">
        <v>271</v>
      </c>
      <c r="AB230">
        <v>25</v>
      </c>
      <c r="AC230">
        <v>0</v>
      </c>
      <c r="AD230">
        <v>97</v>
      </c>
      <c r="AE230" t="s">
        <v>354</v>
      </c>
      <c r="AF230">
        <v>6</v>
      </c>
      <c r="AG230" t="s">
        <v>275</v>
      </c>
      <c r="AK230" s="43" t="s">
        <v>259</v>
      </c>
      <c r="AL230" s="43" t="s">
        <v>259</v>
      </c>
      <c r="AO230" s="23"/>
      <c r="AP230" s="23"/>
      <c r="AQ230" s="23"/>
      <c r="BC230" t="s">
        <v>259</v>
      </c>
      <c r="BD230" s="43" t="s">
        <v>259</v>
      </c>
      <c r="BE230" s="43" t="s">
        <v>259</v>
      </c>
      <c r="BF230" s="43" t="s">
        <v>259</v>
      </c>
      <c r="BG230" s="43" t="s">
        <v>259</v>
      </c>
      <c r="BH230" t="s">
        <v>259</v>
      </c>
      <c r="BI230" s="43" t="s">
        <v>259</v>
      </c>
      <c r="BJ230">
        <v>0</v>
      </c>
      <c r="BK230">
        <v>44109</v>
      </c>
      <c r="BL230">
        <v>44356</v>
      </c>
      <c r="BM230">
        <v>8505</v>
      </c>
      <c r="BN230">
        <v>8505</v>
      </c>
      <c r="BO230">
        <v>8505</v>
      </c>
      <c r="BP230">
        <v>25515</v>
      </c>
      <c r="BQ230">
        <v>3300</v>
      </c>
      <c r="BR230">
        <v>400</v>
      </c>
      <c r="BS230">
        <v>400</v>
      </c>
      <c r="BT230">
        <v>4100</v>
      </c>
      <c r="BU230">
        <v>2100</v>
      </c>
      <c r="BV230">
        <v>2100</v>
      </c>
      <c r="BW230">
        <v>2100</v>
      </c>
      <c r="BX230">
        <v>6300</v>
      </c>
      <c r="BY230">
        <v>1200</v>
      </c>
      <c r="BZ230">
        <v>1200</v>
      </c>
      <c r="CA230">
        <v>1200</v>
      </c>
      <c r="CB230">
        <v>3600</v>
      </c>
      <c r="CC230">
        <v>0</v>
      </c>
      <c r="CD230">
        <v>0</v>
      </c>
      <c r="CE230">
        <v>0</v>
      </c>
      <c r="CF230">
        <v>0</v>
      </c>
      <c r="CG230">
        <v>39515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750</v>
      </c>
      <c r="CU230">
        <v>750</v>
      </c>
      <c r="CV230">
        <v>750</v>
      </c>
      <c r="CW230">
        <v>2250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2250</v>
      </c>
      <c r="EE230">
        <v>0</v>
      </c>
      <c r="EF230">
        <v>0</v>
      </c>
      <c r="EG230">
        <v>0</v>
      </c>
      <c r="EH230">
        <v>0</v>
      </c>
      <c r="EI230">
        <v>1154</v>
      </c>
      <c r="EJ230">
        <v>1154</v>
      </c>
      <c r="EK230">
        <v>1155</v>
      </c>
      <c r="EL230">
        <v>3500</v>
      </c>
      <c r="EM230">
        <v>37.065000000000005</v>
      </c>
      <c r="EN230">
        <v>660</v>
      </c>
      <c r="EO230">
        <v>660</v>
      </c>
      <c r="EP230">
        <v>660</v>
      </c>
      <c r="EQ230">
        <v>2000</v>
      </c>
      <c r="ER230">
        <v>21.18</v>
      </c>
      <c r="ES230">
        <v>0</v>
      </c>
      <c r="ET230">
        <v>0</v>
      </c>
      <c r="EU230">
        <v>0</v>
      </c>
      <c r="EV230">
        <v>0</v>
      </c>
      <c r="EW230">
        <v>0</v>
      </c>
      <c r="FA230">
        <v>0</v>
      </c>
      <c r="FE230">
        <v>0</v>
      </c>
      <c r="FI230">
        <v>0</v>
      </c>
      <c r="FJ230">
        <v>5441.7550000000001</v>
      </c>
      <c r="FK230">
        <v>37265</v>
      </c>
      <c r="FL230">
        <v>33230.906186040687</v>
      </c>
      <c r="FM230">
        <v>31823.245000000003</v>
      </c>
    </row>
    <row r="231" spans="1:169" x14ac:dyDescent="0.35">
      <c r="A231">
        <v>197956</v>
      </c>
      <c r="B231" t="s">
        <v>3000</v>
      </c>
      <c r="C231" t="s">
        <v>3001</v>
      </c>
      <c r="D231" t="s">
        <v>3002</v>
      </c>
      <c r="E231" s="43" t="s">
        <v>3003</v>
      </c>
      <c r="F231">
        <v>1</v>
      </c>
      <c r="I231">
        <v>43804</v>
      </c>
      <c r="J231" t="s">
        <v>4240</v>
      </c>
      <c r="K231" t="s">
        <v>1715</v>
      </c>
      <c r="L231" s="43" t="s">
        <v>3204</v>
      </c>
      <c r="M231" t="s">
        <v>3004</v>
      </c>
      <c r="N231" s="43" t="s">
        <v>3005</v>
      </c>
      <c r="O231" s="43" t="s">
        <v>3006</v>
      </c>
      <c r="P231" s="43" t="s">
        <v>412</v>
      </c>
      <c r="Q231" s="43" t="s">
        <v>3007</v>
      </c>
      <c r="S231">
        <v>44109</v>
      </c>
      <c r="T231" t="s">
        <v>265</v>
      </c>
      <c r="U231" t="s">
        <v>266</v>
      </c>
      <c r="V231" t="s">
        <v>267</v>
      </c>
      <c r="W231" t="s">
        <v>1718</v>
      </c>
      <c r="X231" t="s">
        <v>1719</v>
      </c>
      <c r="Y231">
        <v>8772802835</v>
      </c>
      <c r="Z231" t="s">
        <v>270</v>
      </c>
      <c r="AA231" t="s">
        <v>271</v>
      </c>
      <c r="AB231">
        <v>0</v>
      </c>
      <c r="AC231">
        <v>1070</v>
      </c>
      <c r="AD231">
        <v>118</v>
      </c>
      <c r="AE231" t="s">
        <v>301</v>
      </c>
      <c r="AF231">
        <v>1</v>
      </c>
      <c r="AG231" t="s">
        <v>275</v>
      </c>
      <c r="AH231">
        <v>0</v>
      </c>
      <c r="AI231">
        <v>0</v>
      </c>
      <c r="AJ231">
        <v>43774</v>
      </c>
      <c r="AK231" s="43" t="s">
        <v>1715</v>
      </c>
      <c r="AL231" s="43" t="s">
        <v>259</v>
      </c>
      <c r="AO231" s="23"/>
      <c r="AP231" s="23"/>
      <c r="AQ231" s="23"/>
      <c r="BC231" t="s">
        <v>259</v>
      </c>
      <c r="BD231" s="43" t="s">
        <v>259</v>
      </c>
      <c r="BE231" s="43" t="s">
        <v>259</v>
      </c>
      <c r="BF231" s="43" t="s">
        <v>2018</v>
      </c>
      <c r="BG231" s="43" t="s">
        <v>2018</v>
      </c>
      <c r="BH231" t="s">
        <v>2018</v>
      </c>
      <c r="BI231" s="43" t="s">
        <v>259</v>
      </c>
      <c r="BJ231">
        <v>0</v>
      </c>
      <c r="BK231">
        <v>44109</v>
      </c>
      <c r="BL231">
        <v>44356</v>
      </c>
      <c r="BM231">
        <v>8505</v>
      </c>
      <c r="BN231">
        <v>8505</v>
      </c>
      <c r="BO231">
        <v>8505</v>
      </c>
      <c r="BP231">
        <v>25515</v>
      </c>
      <c r="BQ231">
        <v>3300</v>
      </c>
      <c r="BR231">
        <v>400</v>
      </c>
      <c r="BS231">
        <v>400</v>
      </c>
      <c r="BT231">
        <v>4100</v>
      </c>
      <c r="BU231">
        <v>2100</v>
      </c>
      <c r="BV231">
        <v>2100</v>
      </c>
      <c r="BW231">
        <v>2100</v>
      </c>
      <c r="BX231">
        <v>6300</v>
      </c>
      <c r="BY231">
        <v>1200</v>
      </c>
      <c r="BZ231">
        <v>1200</v>
      </c>
      <c r="CA231">
        <v>1200</v>
      </c>
      <c r="CB231">
        <v>3600</v>
      </c>
      <c r="CC231">
        <v>0</v>
      </c>
      <c r="CD231">
        <v>0</v>
      </c>
      <c r="CE231">
        <v>0</v>
      </c>
      <c r="CF231">
        <v>0</v>
      </c>
      <c r="CG231">
        <v>39515</v>
      </c>
      <c r="CH231">
        <v>0</v>
      </c>
      <c r="CI231">
        <v>0</v>
      </c>
      <c r="CJ231">
        <v>0</v>
      </c>
      <c r="CK231">
        <v>0</v>
      </c>
      <c r="CL231">
        <v>2065</v>
      </c>
      <c r="CM231">
        <v>2065</v>
      </c>
      <c r="CN231">
        <v>2065</v>
      </c>
      <c r="CO231">
        <v>6195</v>
      </c>
      <c r="CP231">
        <v>500</v>
      </c>
      <c r="CQ231">
        <v>500</v>
      </c>
      <c r="CR231">
        <v>500</v>
      </c>
      <c r="CS231">
        <v>1500</v>
      </c>
      <c r="CT231">
        <v>1700</v>
      </c>
      <c r="CU231">
        <v>1700</v>
      </c>
      <c r="CV231">
        <v>1700</v>
      </c>
      <c r="CW231">
        <v>5100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12795</v>
      </c>
      <c r="EE231">
        <v>0</v>
      </c>
      <c r="EF231">
        <v>0</v>
      </c>
      <c r="EG231">
        <v>0</v>
      </c>
      <c r="EH231">
        <v>0</v>
      </c>
      <c r="EI231">
        <v>1154</v>
      </c>
      <c r="EJ231">
        <v>1154</v>
      </c>
      <c r="EK231">
        <v>1155</v>
      </c>
      <c r="EL231">
        <v>3500</v>
      </c>
      <c r="EM231">
        <v>37.065000000000005</v>
      </c>
      <c r="EN231">
        <v>660</v>
      </c>
      <c r="EO231">
        <v>660</v>
      </c>
      <c r="EP231">
        <v>660</v>
      </c>
      <c r="EQ231">
        <v>2000</v>
      </c>
      <c r="ER231">
        <v>21.18</v>
      </c>
      <c r="ES231">
        <v>0</v>
      </c>
      <c r="ET231">
        <v>0</v>
      </c>
      <c r="EU231">
        <v>0</v>
      </c>
      <c r="EV231">
        <v>0</v>
      </c>
      <c r="EW231">
        <v>0</v>
      </c>
      <c r="FA231">
        <v>0</v>
      </c>
      <c r="FE231">
        <v>0</v>
      </c>
      <c r="FI231">
        <v>0</v>
      </c>
      <c r="FJ231">
        <v>5441.7550000000001</v>
      </c>
      <c r="FK231">
        <v>26720</v>
      </c>
      <c r="FL231">
        <v>22219.461384236245</v>
      </c>
      <c r="FM231">
        <v>21278.244999999999</v>
      </c>
    </row>
    <row r="232" spans="1:169" x14ac:dyDescent="0.35">
      <c r="A232">
        <v>198565</v>
      </c>
      <c r="B232" t="s">
        <v>3008</v>
      </c>
      <c r="C232" t="s">
        <v>3009</v>
      </c>
      <c r="D232" t="s">
        <v>3010</v>
      </c>
      <c r="E232" s="43" t="s">
        <v>3011</v>
      </c>
      <c r="F232">
        <v>1</v>
      </c>
      <c r="I232">
        <v>43804</v>
      </c>
      <c r="J232" t="s">
        <v>4240</v>
      </c>
      <c r="K232" t="s">
        <v>1715</v>
      </c>
      <c r="L232" s="43" t="s">
        <v>3204</v>
      </c>
      <c r="M232" t="s">
        <v>3012</v>
      </c>
      <c r="N232" s="43" t="s">
        <v>3013</v>
      </c>
      <c r="O232" s="43" t="s">
        <v>3014</v>
      </c>
      <c r="P232" s="43" t="s">
        <v>2591</v>
      </c>
      <c r="Q232" s="43" t="s">
        <v>3015</v>
      </c>
      <c r="S232">
        <v>44109</v>
      </c>
      <c r="T232" t="s">
        <v>311</v>
      </c>
      <c r="U232" t="s">
        <v>286</v>
      </c>
      <c r="V232" t="s">
        <v>267</v>
      </c>
      <c r="W232" t="s">
        <v>1718</v>
      </c>
      <c r="X232" t="s">
        <v>1719</v>
      </c>
      <c r="Y232">
        <v>8772802835</v>
      </c>
      <c r="Z232" t="s">
        <v>270</v>
      </c>
      <c r="AA232" t="s">
        <v>271</v>
      </c>
      <c r="AB232">
        <v>18</v>
      </c>
      <c r="AC232">
        <v>1050</v>
      </c>
      <c r="AD232">
        <v>109</v>
      </c>
      <c r="AE232" t="s">
        <v>289</v>
      </c>
      <c r="AF232">
        <v>2</v>
      </c>
      <c r="AG232" t="s">
        <v>275</v>
      </c>
      <c r="AH232">
        <v>8538</v>
      </c>
      <c r="AI232">
        <v>8538</v>
      </c>
      <c r="AJ232">
        <v>43774</v>
      </c>
      <c r="AK232" s="43" t="s">
        <v>3208</v>
      </c>
      <c r="AL232" s="43" t="s">
        <v>3209</v>
      </c>
      <c r="AO232" s="23"/>
      <c r="AP232" s="23"/>
      <c r="AQ232" s="23"/>
      <c r="BC232" t="s">
        <v>2018</v>
      </c>
      <c r="BD232" s="43" t="s">
        <v>2018</v>
      </c>
      <c r="BE232" s="43" t="s">
        <v>2018</v>
      </c>
      <c r="BF232" s="43" t="s">
        <v>2018</v>
      </c>
      <c r="BG232" s="43" t="s">
        <v>2018</v>
      </c>
      <c r="BH232" t="s">
        <v>2018</v>
      </c>
      <c r="BI232" s="43" t="s">
        <v>2018</v>
      </c>
      <c r="BJ232">
        <v>0</v>
      </c>
      <c r="BK232">
        <v>44109</v>
      </c>
      <c r="BL232">
        <v>44356</v>
      </c>
      <c r="BM232">
        <v>8505</v>
      </c>
      <c r="BN232">
        <v>8505</v>
      </c>
      <c r="BO232">
        <v>8505</v>
      </c>
      <c r="BP232">
        <v>25515</v>
      </c>
      <c r="BQ232">
        <v>3300</v>
      </c>
      <c r="BR232">
        <v>400</v>
      </c>
      <c r="BS232">
        <v>400</v>
      </c>
      <c r="BT232">
        <v>4100</v>
      </c>
      <c r="BU232">
        <v>2100</v>
      </c>
      <c r="BV232">
        <v>2100</v>
      </c>
      <c r="BW232">
        <v>2100</v>
      </c>
      <c r="BX232">
        <v>6300</v>
      </c>
      <c r="BY232">
        <v>1200</v>
      </c>
      <c r="BZ232">
        <v>1200</v>
      </c>
      <c r="CA232">
        <v>1200</v>
      </c>
      <c r="CB232">
        <v>3600</v>
      </c>
      <c r="CC232">
        <v>0</v>
      </c>
      <c r="CD232">
        <v>0</v>
      </c>
      <c r="CE232">
        <v>0</v>
      </c>
      <c r="CF232">
        <v>0</v>
      </c>
      <c r="CG232">
        <v>39515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1500</v>
      </c>
      <c r="CU232">
        <v>1500</v>
      </c>
      <c r="CV232">
        <v>1500</v>
      </c>
      <c r="CW232">
        <v>4500</v>
      </c>
      <c r="CX232">
        <v>0</v>
      </c>
      <c r="CY232">
        <v>0</v>
      </c>
      <c r="CZ232">
        <v>0</v>
      </c>
      <c r="DA232">
        <v>0</v>
      </c>
      <c r="DB232">
        <v>1000</v>
      </c>
      <c r="DC232">
        <v>1000</v>
      </c>
      <c r="DD232">
        <v>1000</v>
      </c>
      <c r="DE232">
        <v>3000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7500</v>
      </c>
      <c r="EE232">
        <v>0</v>
      </c>
      <c r="EF232">
        <v>0</v>
      </c>
      <c r="EG232">
        <v>0</v>
      </c>
      <c r="EH232">
        <v>0</v>
      </c>
      <c r="EI232">
        <v>1154</v>
      </c>
      <c r="EJ232">
        <v>1154</v>
      </c>
      <c r="EK232">
        <v>1155</v>
      </c>
      <c r="EL232">
        <v>3500</v>
      </c>
      <c r="EM232">
        <v>37.065000000000005</v>
      </c>
      <c r="EN232">
        <v>660</v>
      </c>
      <c r="EO232">
        <v>660</v>
      </c>
      <c r="EP232">
        <v>660</v>
      </c>
      <c r="EQ232">
        <v>2000</v>
      </c>
      <c r="ER232">
        <v>21.18</v>
      </c>
      <c r="ES232">
        <v>0</v>
      </c>
      <c r="ET232">
        <v>0</v>
      </c>
      <c r="EU232">
        <v>0</v>
      </c>
      <c r="EV232">
        <v>0</v>
      </c>
      <c r="EW232">
        <v>0</v>
      </c>
      <c r="FA232">
        <v>0</v>
      </c>
      <c r="FE232">
        <v>0</v>
      </c>
      <c r="FI232">
        <v>0</v>
      </c>
      <c r="FJ232">
        <v>5441.7550000000001</v>
      </c>
      <c r="FK232">
        <v>32015</v>
      </c>
      <c r="FL232">
        <v>27748.679044317276</v>
      </c>
      <c r="FM232">
        <v>26573.244999999999</v>
      </c>
    </row>
    <row r="233" spans="1:169" x14ac:dyDescent="0.35">
      <c r="A233">
        <v>195167</v>
      </c>
      <c r="B233" t="s">
        <v>3016</v>
      </c>
      <c r="C233" t="s">
        <v>3017</v>
      </c>
      <c r="D233" t="s">
        <v>3018</v>
      </c>
      <c r="E233" s="43" t="s">
        <v>3019</v>
      </c>
      <c r="F233">
        <v>1</v>
      </c>
      <c r="I233">
        <v>43804</v>
      </c>
      <c r="J233" t="s">
        <v>4242</v>
      </c>
      <c r="K233" t="s">
        <v>1715</v>
      </c>
      <c r="L233" s="43" t="s">
        <v>259</v>
      </c>
      <c r="M233" t="s">
        <v>3020</v>
      </c>
      <c r="N233" s="43" t="s">
        <v>3021</v>
      </c>
      <c r="O233" s="43" t="s">
        <v>3022</v>
      </c>
      <c r="P233" s="43" t="s">
        <v>384</v>
      </c>
      <c r="Q233" s="43" t="s">
        <v>3023</v>
      </c>
      <c r="S233">
        <v>44109</v>
      </c>
      <c r="T233" t="s">
        <v>311</v>
      </c>
      <c r="U233" t="s">
        <v>266</v>
      </c>
      <c r="V233" t="s">
        <v>267</v>
      </c>
      <c r="W233" t="s">
        <v>1718</v>
      </c>
      <c r="X233" t="s">
        <v>1719</v>
      </c>
      <c r="Y233">
        <v>8772802835</v>
      </c>
      <c r="Z233" t="s">
        <v>270</v>
      </c>
      <c r="AA233" t="s">
        <v>271</v>
      </c>
      <c r="AB233">
        <v>27</v>
      </c>
      <c r="AC233">
        <v>0</v>
      </c>
      <c r="AD233">
        <v>114</v>
      </c>
      <c r="AE233" t="s">
        <v>301</v>
      </c>
      <c r="AF233">
        <v>1</v>
      </c>
      <c r="AG233" t="s">
        <v>275</v>
      </c>
      <c r="AK233" s="43" t="s">
        <v>259</v>
      </c>
      <c r="AL233" s="43" t="s">
        <v>259</v>
      </c>
      <c r="AO233" s="23"/>
      <c r="AP233" s="23"/>
      <c r="AQ233" s="23"/>
      <c r="BC233" t="s">
        <v>259</v>
      </c>
      <c r="BD233" s="43" t="s">
        <v>259</v>
      </c>
      <c r="BE233" s="43" t="s">
        <v>259</v>
      </c>
      <c r="BF233" s="43" t="s">
        <v>259</v>
      </c>
      <c r="BG233" s="43" t="s">
        <v>259</v>
      </c>
      <c r="BH233" t="s">
        <v>259</v>
      </c>
      <c r="BI233" s="43" t="s">
        <v>259</v>
      </c>
      <c r="BJ233">
        <v>0</v>
      </c>
      <c r="BK233">
        <v>44109</v>
      </c>
      <c r="BL233">
        <v>44356</v>
      </c>
      <c r="BM233">
        <v>8505</v>
      </c>
      <c r="BN233">
        <v>8505</v>
      </c>
      <c r="BO233">
        <v>8505</v>
      </c>
      <c r="BP233">
        <v>25515</v>
      </c>
      <c r="BQ233">
        <v>3300</v>
      </c>
      <c r="BR233">
        <v>400</v>
      </c>
      <c r="BS233">
        <v>400</v>
      </c>
      <c r="BT233">
        <v>4100</v>
      </c>
      <c r="BU233">
        <v>2100</v>
      </c>
      <c r="BV233">
        <v>2100</v>
      </c>
      <c r="BW233">
        <v>2100</v>
      </c>
      <c r="BX233">
        <v>6300</v>
      </c>
      <c r="BY233">
        <v>1200</v>
      </c>
      <c r="BZ233">
        <v>1200</v>
      </c>
      <c r="CA233">
        <v>1200</v>
      </c>
      <c r="CB233">
        <v>3600</v>
      </c>
      <c r="CC233">
        <v>0</v>
      </c>
      <c r="CD233">
        <v>0</v>
      </c>
      <c r="CE233">
        <v>0</v>
      </c>
      <c r="CF233">
        <v>0</v>
      </c>
      <c r="CG233">
        <v>39515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1700</v>
      </c>
      <c r="CU233">
        <v>1700</v>
      </c>
      <c r="CV233">
        <v>1700</v>
      </c>
      <c r="CW233">
        <v>5100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5100</v>
      </c>
      <c r="EE233">
        <v>0</v>
      </c>
      <c r="EF233">
        <v>0</v>
      </c>
      <c r="EG233">
        <v>0</v>
      </c>
      <c r="EH233">
        <v>0</v>
      </c>
      <c r="EI233">
        <v>1154</v>
      </c>
      <c r="EJ233">
        <v>1154</v>
      </c>
      <c r="EK233">
        <v>1155</v>
      </c>
      <c r="EL233">
        <v>3500</v>
      </c>
      <c r="EM233">
        <v>37.065000000000005</v>
      </c>
      <c r="EN233">
        <v>660</v>
      </c>
      <c r="EO233">
        <v>660</v>
      </c>
      <c r="EP233">
        <v>660</v>
      </c>
      <c r="EQ233">
        <v>2000</v>
      </c>
      <c r="ER233">
        <v>21.18</v>
      </c>
      <c r="ES233">
        <v>0</v>
      </c>
      <c r="ET233">
        <v>0</v>
      </c>
      <c r="EU233">
        <v>0</v>
      </c>
      <c r="EV233">
        <v>0</v>
      </c>
      <c r="EW233">
        <v>0</v>
      </c>
      <c r="FA233">
        <v>0</v>
      </c>
      <c r="FE233">
        <v>0</v>
      </c>
      <c r="FI233">
        <v>0</v>
      </c>
      <c r="FJ233">
        <v>5441.7550000000001</v>
      </c>
      <c r="FK233">
        <v>34415</v>
      </c>
      <c r="FL233">
        <v>30254.840023390832</v>
      </c>
      <c r="FM233">
        <v>28973.244999999999</v>
      </c>
    </row>
    <row r="234" spans="1:169" x14ac:dyDescent="0.35">
      <c r="A234">
        <v>198508</v>
      </c>
      <c r="B234" t="s">
        <v>3016</v>
      </c>
      <c r="C234" t="s">
        <v>1032</v>
      </c>
      <c r="D234" t="s">
        <v>3024</v>
      </c>
      <c r="E234" s="43" t="s">
        <v>3025</v>
      </c>
      <c r="F234">
        <v>1</v>
      </c>
      <c r="I234">
        <v>43804</v>
      </c>
      <c r="J234" t="s">
        <v>4240</v>
      </c>
      <c r="K234" t="s">
        <v>1715</v>
      </c>
      <c r="L234" s="43" t="s">
        <v>3204</v>
      </c>
      <c r="M234" t="s">
        <v>3026</v>
      </c>
      <c r="N234" s="43" t="s">
        <v>3027</v>
      </c>
      <c r="O234" s="43" t="s">
        <v>3028</v>
      </c>
      <c r="P234" s="43" t="s">
        <v>309</v>
      </c>
      <c r="Q234" s="43" t="s">
        <v>3029</v>
      </c>
      <c r="S234">
        <v>44109</v>
      </c>
      <c r="T234" t="s">
        <v>265</v>
      </c>
      <c r="U234" t="s">
        <v>266</v>
      </c>
      <c r="V234" t="s">
        <v>267</v>
      </c>
      <c r="W234" t="s">
        <v>1718</v>
      </c>
      <c r="X234" t="s">
        <v>1719</v>
      </c>
      <c r="Y234">
        <v>8772802835</v>
      </c>
      <c r="Z234" t="s">
        <v>270</v>
      </c>
      <c r="AA234" t="s">
        <v>271</v>
      </c>
      <c r="AB234">
        <v>0</v>
      </c>
      <c r="AC234">
        <v>1080</v>
      </c>
      <c r="AD234">
        <v>86</v>
      </c>
      <c r="AE234" t="s">
        <v>274</v>
      </c>
      <c r="AF234">
        <v>9</v>
      </c>
      <c r="AG234" t="s">
        <v>446</v>
      </c>
      <c r="AH234">
        <v>29207</v>
      </c>
      <c r="AI234">
        <v>29207</v>
      </c>
      <c r="AJ234">
        <v>43774</v>
      </c>
      <c r="AK234" s="43" t="s">
        <v>3208</v>
      </c>
      <c r="AL234" s="43" t="s">
        <v>3209</v>
      </c>
      <c r="AO234" s="23"/>
      <c r="AP234" s="23"/>
      <c r="AQ234" s="23"/>
      <c r="BC234" t="s">
        <v>2018</v>
      </c>
      <c r="BD234" s="43" t="s">
        <v>2018</v>
      </c>
      <c r="BE234" s="43" t="s">
        <v>2018</v>
      </c>
      <c r="BF234" s="43" t="s">
        <v>2018</v>
      </c>
      <c r="BG234" s="43" t="s">
        <v>2018</v>
      </c>
      <c r="BH234" t="s">
        <v>2018</v>
      </c>
      <c r="BI234" s="43" t="s">
        <v>2018</v>
      </c>
      <c r="BJ234">
        <v>0</v>
      </c>
      <c r="BK234">
        <v>44109</v>
      </c>
      <c r="BL234">
        <v>44356</v>
      </c>
      <c r="BM234">
        <v>8505</v>
      </c>
      <c r="BN234">
        <v>8505</v>
      </c>
      <c r="BO234">
        <v>8505</v>
      </c>
      <c r="BP234">
        <v>25515</v>
      </c>
      <c r="BQ234">
        <v>3300</v>
      </c>
      <c r="BR234">
        <v>400</v>
      </c>
      <c r="BS234">
        <v>400</v>
      </c>
      <c r="BT234">
        <v>4100</v>
      </c>
      <c r="BU234">
        <v>2100</v>
      </c>
      <c r="BV234">
        <v>2100</v>
      </c>
      <c r="BW234">
        <v>2100</v>
      </c>
      <c r="BX234">
        <v>6300</v>
      </c>
      <c r="BY234">
        <v>1200</v>
      </c>
      <c r="BZ234">
        <v>1200</v>
      </c>
      <c r="CA234">
        <v>1200</v>
      </c>
      <c r="CB234">
        <v>3600</v>
      </c>
      <c r="CC234">
        <v>0</v>
      </c>
      <c r="CD234">
        <v>0</v>
      </c>
      <c r="CE234">
        <v>0</v>
      </c>
      <c r="CF234">
        <v>0</v>
      </c>
      <c r="CG234">
        <v>39515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1154</v>
      </c>
      <c r="EJ234">
        <v>1154</v>
      </c>
      <c r="EK234">
        <v>1155</v>
      </c>
      <c r="EL234">
        <v>3500</v>
      </c>
      <c r="EM234">
        <v>37.065000000000005</v>
      </c>
      <c r="EN234">
        <v>660</v>
      </c>
      <c r="EO234">
        <v>660</v>
      </c>
      <c r="EP234">
        <v>660</v>
      </c>
      <c r="EQ234">
        <v>2000</v>
      </c>
      <c r="ER234">
        <v>21.18</v>
      </c>
      <c r="ES234">
        <v>0</v>
      </c>
      <c r="ET234">
        <v>0</v>
      </c>
      <c r="EU234">
        <v>0</v>
      </c>
      <c r="EV234">
        <v>0</v>
      </c>
      <c r="EW234">
        <v>0</v>
      </c>
      <c r="FA234">
        <v>0</v>
      </c>
      <c r="FE234">
        <v>0</v>
      </c>
      <c r="FI234">
        <v>0</v>
      </c>
      <c r="FJ234">
        <v>5441.7550000000001</v>
      </c>
      <c r="FK234">
        <v>39515</v>
      </c>
      <c r="FL234">
        <v>35580.43210392214</v>
      </c>
      <c r="FM234">
        <v>34073.245000000003</v>
      </c>
    </row>
    <row r="235" spans="1:169" x14ac:dyDescent="0.35">
      <c r="A235">
        <v>197661</v>
      </c>
      <c r="B235" t="s">
        <v>3030</v>
      </c>
      <c r="C235" t="s">
        <v>3031</v>
      </c>
      <c r="D235" t="s">
        <v>3032</v>
      </c>
      <c r="E235" s="43" t="s">
        <v>3033</v>
      </c>
      <c r="F235">
        <v>1</v>
      </c>
      <c r="I235">
        <v>43804</v>
      </c>
      <c r="J235" t="s">
        <v>4240</v>
      </c>
      <c r="K235" t="s">
        <v>1715</v>
      </c>
      <c r="L235" s="43" t="s">
        <v>3204</v>
      </c>
      <c r="M235" t="s">
        <v>3034</v>
      </c>
      <c r="N235" s="43" t="s">
        <v>4232</v>
      </c>
      <c r="O235" s="43" t="s">
        <v>3035</v>
      </c>
      <c r="P235" s="43" t="s">
        <v>1018</v>
      </c>
      <c r="Q235" s="43" t="s">
        <v>3036</v>
      </c>
      <c r="S235">
        <v>44109</v>
      </c>
      <c r="T235" t="s">
        <v>285</v>
      </c>
      <c r="U235" t="s">
        <v>286</v>
      </c>
      <c r="V235" t="s">
        <v>267</v>
      </c>
      <c r="W235" t="s">
        <v>1718</v>
      </c>
      <c r="X235" t="s">
        <v>1719</v>
      </c>
      <c r="Y235">
        <v>8772802835</v>
      </c>
      <c r="Z235" t="s">
        <v>270</v>
      </c>
      <c r="AA235" t="s">
        <v>271</v>
      </c>
      <c r="AB235">
        <v>0</v>
      </c>
      <c r="AC235">
        <v>0</v>
      </c>
      <c r="AD235">
        <v>0</v>
      </c>
      <c r="AE235" t="s">
        <v>301</v>
      </c>
      <c r="AF235">
        <v>1</v>
      </c>
      <c r="AG235" t="s">
        <v>275</v>
      </c>
      <c r="AH235">
        <v>4020</v>
      </c>
      <c r="AI235">
        <v>4020</v>
      </c>
      <c r="AJ235">
        <v>43776</v>
      </c>
      <c r="AK235" s="43" t="s">
        <v>1715</v>
      </c>
      <c r="AL235" s="43" t="s">
        <v>259</v>
      </c>
      <c r="AO235" s="23"/>
      <c r="AP235" s="23"/>
      <c r="AQ235" s="23"/>
      <c r="BC235" t="s">
        <v>259</v>
      </c>
      <c r="BD235" s="43" t="s">
        <v>259</v>
      </c>
      <c r="BE235" s="43" t="s">
        <v>259</v>
      </c>
      <c r="BF235" s="43" t="s">
        <v>259</v>
      </c>
      <c r="BG235" s="43" t="s">
        <v>259</v>
      </c>
      <c r="BH235" t="s">
        <v>259</v>
      </c>
      <c r="BI235" s="43" t="s">
        <v>259</v>
      </c>
      <c r="BJ235">
        <v>0</v>
      </c>
      <c r="BK235">
        <v>44109</v>
      </c>
      <c r="BL235">
        <v>44356</v>
      </c>
      <c r="BM235">
        <v>8505</v>
      </c>
      <c r="BN235">
        <v>8505</v>
      </c>
      <c r="BO235">
        <v>8505</v>
      </c>
      <c r="BP235">
        <v>25515</v>
      </c>
      <c r="BQ235">
        <v>3300</v>
      </c>
      <c r="BR235">
        <v>400</v>
      </c>
      <c r="BS235">
        <v>400</v>
      </c>
      <c r="BT235">
        <v>4100</v>
      </c>
      <c r="BU235">
        <v>2100</v>
      </c>
      <c r="BV235">
        <v>2100</v>
      </c>
      <c r="BW235">
        <v>2100</v>
      </c>
      <c r="BX235">
        <v>6300</v>
      </c>
      <c r="BY235">
        <v>1200</v>
      </c>
      <c r="BZ235">
        <v>1200</v>
      </c>
      <c r="CA235">
        <v>1200</v>
      </c>
      <c r="CB235">
        <v>3600</v>
      </c>
      <c r="CC235">
        <v>0</v>
      </c>
      <c r="CD235">
        <v>0</v>
      </c>
      <c r="CE235">
        <v>0</v>
      </c>
      <c r="CF235">
        <v>0</v>
      </c>
      <c r="CG235">
        <v>39515</v>
      </c>
      <c r="CH235">
        <v>0</v>
      </c>
      <c r="CI235">
        <v>0</v>
      </c>
      <c r="CJ235">
        <v>0</v>
      </c>
      <c r="CK235">
        <v>0</v>
      </c>
      <c r="CL235">
        <v>715</v>
      </c>
      <c r="CM235">
        <v>715</v>
      </c>
      <c r="CN235">
        <v>715</v>
      </c>
      <c r="CO235">
        <v>2145</v>
      </c>
      <c r="CP235">
        <v>500</v>
      </c>
      <c r="CQ235">
        <v>500</v>
      </c>
      <c r="CR235">
        <v>500</v>
      </c>
      <c r="CS235">
        <v>1500</v>
      </c>
      <c r="CT235">
        <v>1700</v>
      </c>
      <c r="CU235">
        <v>1700</v>
      </c>
      <c r="CV235">
        <v>1700</v>
      </c>
      <c r="CW235">
        <v>5100</v>
      </c>
      <c r="CX235">
        <v>0</v>
      </c>
      <c r="CY235">
        <v>0</v>
      </c>
      <c r="CZ235">
        <v>0</v>
      </c>
      <c r="DA235">
        <v>0</v>
      </c>
      <c r="DB235">
        <v>1000</v>
      </c>
      <c r="DC235">
        <v>1000</v>
      </c>
      <c r="DD235">
        <v>1000</v>
      </c>
      <c r="DE235">
        <v>3000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11745</v>
      </c>
      <c r="EE235">
        <v>0</v>
      </c>
      <c r="EF235">
        <v>0</v>
      </c>
      <c r="EG235">
        <v>0</v>
      </c>
      <c r="EH235">
        <v>0</v>
      </c>
      <c r="EI235">
        <v>1154</v>
      </c>
      <c r="EJ235">
        <v>1154</v>
      </c>
      <c r="EK235">
        <v>1155</v>
      </c>
      <c r="EL235">
        <v>3500</v>
      </c>
      <c r="EM235">
        <v>37.065000000000005</v>
      </c>
      <c r="EN235">
        <v>660</v>
      </c>
      <c r="EO235">
        <v>660</v>
      </c>
      <c r="EP235">
        <v>660</v>
      </c>
      <c r="EQ235">
        <v>2000</v>
      </c>
      <c r="ER235">
        <v>21.18</v>
      </c>
      <c r="ES235">
        <v>0</v>
      </c>
      <c r="ET235">
        <v>0</v>
      </c>
      <c r="EU235">
        <v>0</v>
      </c>
      <c r="EV235">
        <v>0</v>
      </c>
      <c r="EW235">
        <v>0</v>
      </c>
      <c r="FA235">
        <v>0</v>
      </c>
      <c r="FE235">
        <v>0</v>
      </c>
      <c r="FI235">
        <v>0</v>
      </c>
      <c r="FJ235">
        <v>5441.7550000000001</v>
      </c>
      <c r="FK235">
        <v>27770</v>
      </c>
      <c r="FL235">
        <v>23315.906812580924</v>
      </c>
      <c r="FM235">
        <v>22328.244999999999</v>
      </c>
    </row>
    <row r="236" spans="1:169" x14ac:dyDescent="0.35">
      <c r="A236">
        <v>199456</v>
      </c>
      <c r="B236" t="s">
        <v>3037</v>
      </c>
      <c r="C236" t="s">
        <v>4126</v>
      </c>
      <c r="D236" t="s">
        <v>4127</v>
      </c>
      <c r="E236" s="43" t="s">
        <v>4128</v>
      </c>
      <c r="F236">
        <v>1</v>
      </c>
      <c r="I236">
        <v>43804</v>
      </c>
      <c r="J236" t="s">
        <v>4240</v>
      </c>
      <c r="K236" t="s">
        <v>1715</v>
      </c>
      <c r="L236" s="43" t="s">
        <v>3204</v>
      </c>
      <c r="M236" t="s">
        <v>4129</v>
      </c>
      <c r="N236" s="43" t="s">
        <v>4130</v>
      </c>
      <c r="O236" s="43" t="s">
        <v>4131</v>
      </c>
      <c r="P236" s="43" t="s">
        <v>297</v>
      </c>
      <c r="Q236" s="43" t="s">
        <v>4132</v>
      </c>
      <c r="S236">
        <v>44109</v>
      </c>
      <c r="T236" t="s">
        <v>311</v>
      </c>
      <c r="U236" t="s">
        <v>266</v>
      </c>
      <c r="V236" t="s">
        <v>267</v>
      </c>
      <c r="W236" t="s">
        <v>1718</v>
      </c>
      <c r="X236" t="s">
        <v>1719</v>
      </c>
      <c r="Y236">
        <v>8772802835</v>
      </c>
      <c r="Z236" t="s">
        <v>270</v>
      </c>
      <c r="AA236" t="s">
        <v>271</v>
      </c>
      <c r="AB236">
        <v>0</v>
      </c>
      <c r="AC236">
        <v>950</v>
      </c>
      <c r="AD236">
        <v>101</v>
      </c>
      <c r="AE236" t="s">
        <v>301</v>
      </c>
      <c r="AF236">
        <v>1</v>
      </c>
      <c r="AG236" t="s">
        <v>3345</v>
      </c>
      <c r="AH236">
        <v>32264</v>
      </c>
      <c r="AI236">
        <v>32264</v>
      </c>
      <c r="AJ236">
        <v>43801</v>
      </c>
      <c r="AK236" s="43" t="s">
        <v>1715</v>
      </c>
      <c r="AL236" s="43" t="s">
        <v>259</v>
      </c>
      <c r="AO236" s="23"/>
      <c r="AP236" s="23"/>
      <c r="AQ236" s="23"/>
      <c r="BC236" t="s">
        <v>259</v>
      </c>
      <c r="BD236" s="43" t="s">
        <v>259</v>
      </c>
      <c r="BE236" s="43" t="s">
        <v>259</v>
      </c>
      <c r="BF236" s="43" t="s">
        <v>259</v>
      </c>
      <c r="BG236" s="43" t="s">
        <v>259</v>
      </c>
      <c r="BH236" t="s">
        <v>259</v>
      </c>
      <c r="BI236" s="43" t="s">
        <v>259</v>
      </c>
      <c r="BJ236">
        <v>0</v>
      </c>
      <c r="BK236">
        <v>44109</v>
      </c>
      <c r="BL236">
        <v>44356</v>
      </c>
      <c r="BM236">
        <v>8505</v>
      </c>
      <c r="BN236">
        <v>8505</v>
      </c>
      <c r="BO236">
        <v>8505</v>
      </c>
      <c r="BP236">
        <v>25515</v>
      </c>
      <c r="BQ236">
        <v>3300</v>
      </c>
      <c r="BR236">
        <v>400</v>
      </c>
      <c r="BS236">
        <v>400</v>
      </c>
      <c r="BT236">
        <v>4100</v>
      </c>
      <c r="BU236">
        <v>2100</v>
      </c>
      <c r="BV236">
        <v>2100</v>
      </c>
      <c r="BW236">
        <v>2100</v>
      </c>
      <c r="BX236">
        <v>6300</v>
      </c>
      <c r="BY236">
        <v>1200</v>
      </c>
      <c r="BZ236">
        <v>1200</v>
      </c>
      <c r="CA236">
        <v>1200</v>
      </c>
      <c r="CB236">
        <v>3600</v>
      </c>
      <c r="CC236">
        <v>0</v>
      </c>
      <c r="CD236">
        <v>0</v>
      </c>
      <c r="CE236">
        <v>0</v>
      </c>
      <c r="CF236">
        <v>0</v>
      </c>
      <c r="CG236">
        <v>39515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1700</v>
      </c>
      <c r="CU236">
        <v>1700</v>
      </c>
      <c r="CV236">
        <v>1700</v>
      </c>
      <c r="CW236">
        <v>5100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5100</v>
      </c>
      <c r="EE236">
        <v>0</v>
      </c>
      <c r="EF236">
        <v>0</v>
      </c>
      <c r="EG236">
        <v>0</v>
      </c>
      <c r="EH236">
        <v>0</v>
      </c>
      <c r="EI236">
        <v>1154</v>
      </c>
      <c r="EJ236">
        <v>1154</v>
      </c>
      <c r="EK236">
        <v>1155</v>
      </c>
      <c r="EL236">
        <v>3500</v>
      </c>
      <c r="EM236">
        <v>37.065000000000005</v>
      </c>
      <c r="EN236">
        <v>660</v>
      </c>
      <c r="EO236">
        <v>660</v>
      </c>
      <c r="EP236">
        <v>660</v>
      </c>
      <c r="EQ236">
        <v>2000</v>
      </c>
      <c r="ER236">
        <v>21.18</v>
      </c>
      <c r="ES236">
        <v>0</v>
      </c>
      <c r="ET236">
        <v>0</v>
      </c>
      <c r="EU236">
        <v>0</v>
      </c>
      <c r="EV236">
        <v>0</v>
      </c>
      <c r="EW236">
        <v>0</v>
      </c>
      <c r="FA236">
        <v>0</v>
      </c>
      <c r="FE236">
        <v>0</v>
      </c>
      <c r="FI236">
        <v>0</v>
      </c>
      <c r="FJ236">
        <v>5441.7550000000001</v>
      </c>
      <c r="FK236">
        <v>34415</v>
      </c>
      <c r="FL236">
        <v>30254.840023390832</v>
      </c>
      <c r="FM236">
        <v>28973.244999999999</v>
      </c>
    </row>
    <row r="237" spans="1:169" x14ac:dyDescent="0.35">
      <c r="A237">
        <v>196370</v>
      </c>
      <c r="B237" t="s">
        <v>3037</v>
      </c>
      <c r="C237" t="s">
        <v>690</v>
      </c>
      <c r="D237" t="s">
        <v>3038</v>
      </c>
      <c r="E237" s="43" t="s">
        <v>3039</v>
      </c>
      <c r="F237">
        <v>1</v>
      </c>
      <c r="I237">
        <v>43804</v>
      </c>
      <c r="J237" t="s">
        <v>4245</v>
      </c>
      <c r="K237" t="s">
        <v>1715</v>
      </c>
      <c r="L237" s="43" t="s">
        <v>3204</v>
      </c>
      <c r="M237" t="s">
        <v>3040</v>
      </c>
      <c r="N237" s="43" t="s">
        <v>3041</v>
      </c>
      <c r="O237" s="43" t="s">
        <v>3042</v>
      </c>
      <c r="P237" s="43" t="s">
        <v>332</v>
      </c>
      <c r="Q237" s="43" t="s">
        <v>3043</v>
      </c>
      <c r="S237">
        <v>44109</v>
      </c>
      <c r="T237" t="s">
        <v>285</v>
      </c>
      <c r="U237" t="s">
        <v>266</v>
      </c>
      <c r="V237" t="s">
        <v>267</v>
      </c>
      <c r="W237" t="s">
        <v>1718</v>
      </c>
      <c r="X237" t="s">
        <v>1719</v>
      </c>
      <c r="Y237">
        <v>8772802835</v>
      </c>
      <c r="Z237" t="s">
        <v>270</v>
      </c>
      <c r="AA237" t="s">
        <v>271</v>
      </c>
      <c r="AB237">
        <v>23</v>
      </c>
      <c r="AC237">
        <v>0</v>
      </c>
      <c r="AD237">
        <v>109</v>
      </c>
      <c r="AE237" t="s">
        <v>445</v>
      </c>
      <c r="AF237">
        <v>4</v>
      </c>
      <c r="AG237" t="s">
        <v>446</v>
      </c>
      <c r="AH237">
        <v>2450</v>
      </c>
      <c r="AI237">
        <v>2450</v>
      </c>
      <c r="AJ237">
        <v>43783</v>
      </c>
      <c r="AK237" s="43" t="s">
        <v>3208</v>
      </c>
      <c r="AL237" s="43" t="s">
        <v>3209</v>
      </c>
      <c r="AO237" s="23">
        <v>43778</v>
      </c>
      <c r="AP237" s="23">
        <v>43778</v>
      </c>
      <c r="AQ237" s="23">
        <v>43778</v>
      </c>
      <c r="BC237" t="s">
        <v>2018</v>
      </c>
      <c r="BD237" s="43" t="s">
        <v>2018</v>
      </c>
      <c r="BE237" s="43" t="s">
        <v>2018</v>
      </c>
      <c r="BF237" s="43" t="s">
        <v>2018</v>
      </c>
      <c r="BG237" s="43" t="s">
        <v>2018</v>
      </c>
      <c r="BH237" t="s">
        <v>2018</v>
      </c>
      <c r="BI237" s="43" t="s">
        <v>2018</v>
      </c>
      <c r="BJ237">
        <v>0.1875</v>
      </c>
      <c r="BK237">
        <v>44109</v>
      </c>
      <c r="BL237">
        <v>44356</v>
      </c>
      <c r="BM237">
        <v>8505</v>
      </c>
      <c r="BN237">
        <v>8505</v>
      </c>
      <c r="BO237">
        <v>8505</v>
      </c>
      <c r="BP237">
        <v>25515</v>
      </c>
      <c r="BQ237">
        <v>3300</v>
      </c>
      <c r="BR237">
        <v>400</v>
      </c>
      <c r="BS237">
        <v>400</v>
      </c>
      <c r="BT237">
        <v>4100</v>
      </c>
      <c r="BU237">
        <v>2100</v>
      </c>
      <c r="BV237">
        <v>2100</v>
      </c>
      <c r="BW237">
        <v>2100</v>
      </c>
      <c r="BX237">
        <v>6300</v>
      </c>
      <c r="BY237">
        <v>1200</v>
      </c>
      <c r="BZ237">
        <v>1200</v>
      </c>
      <c r="CA237">
        <v>1200</v>
      </c>
      <c r="CB237">
        <v>3600</v>
      </c>
      <c r="CC237">
        <v>0</v>
      </c>
      <c r="CD237">
        <v>0</v>
      </c>
      <c r="CE237">
        <v>0</v>
      </c>
      <c r="CF237">
        <v>0</v>
      </c>
      <c r="CG237">
        <v>39515</v>
      </c>
      <c r="CH237">
        <v>0</v>
      </c>
      <c r="CI237">
        <v>0</v>
      </c>
      <c r="CJ237">
        <v>0</v>
      </c>
      <c r="CK237">
        <v>0</v>
      </c>
      <c r="CL237">
        <v>1249</v>
      </c>
      <c r="CM237">
        <v>1248</v>
      </c>
      <c r="CN237">
        <v>1248</v>
      </c>
      <c r="CO237">
        <v>3745</v>
      </c>
      <c r="CP237">
        <v>500</v>
      </c>
      <c r="CQ237">
        <v>500</v>
      </c>
      <c r="CR237">
        <v>500</v>
      </c>
      <c r="CS237">
        <v>1500</v>
      </c>
      <c r="CT237">
        <v>1250</v>
      </c>
      <c r="CU237">
        <v>1250</v>
      </c>
      <c r="CV237">
        <v>1250</v>
      </c>
      <c r="CW237">
        <v>3750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8995</v>
      </c>
      <c r="EE237">
        <v>0</v>
      </c>
      <c r="EF237">
        <v>0</v>
      </c>
      <c r="EG237">
        <v>0</v>
      </c>
      <c r="EH237">
        <v>0</v>
      </c>
      <c r="EI237">
        <v>1154</v>
      </c>
      <c r="EJ237">
        <v>1154</v>
      </c>
      <c r="EK237">
        <v>1155</v>
      </c>
      <c r="EL237">
        <v>3500</v>
      </c>
      <c r="EM237">
        <v>37.065000000000005</v>
      </c>
      <c r="EN237">
        <v>660</v>
      </c>
      <c r="EO237">
        <v>660</v>
      </c>
      <c r="EP237">
        <v>660</v>
      </c>
      <c r="EQ237">
        <v>2000</v>
      </c>
      <c r="ER237">
        <v>21.18</v>
      </c>
      <c r="ES237">
        <v>0</v>
      </c>
      <c r="ET237">
        <v>0</v>
      </c>
      <c r="EU237">
        <v>0</v>
      </c>
      <c r="EV237">
        <v>0</v>
      </c>
      <c r="EW237">
        <v>0</v>
      </c>
      <c r="FA237">
        <v>0</v>
      </c>
      <c r="FE237">
        <v>0</v>
      </c>
      <c r="FI237">
        <v>0</v>
      </c>
      <c r="FJ237">
        <v>5441.7550000000001</v>
      </c>
      <c r="FK237">
        <v>30520</v>
      </c>
      <c r="FL237">
        <v>26187.54960110271</v>
      </c>
      <c r="FM237">
        <v>25078.244999999999</v>
      </c>
    </row>
    <row r="238" spans="1:169" x14ac:dyDescent="0.35">
      <c r="A238">
        <v>198259</v>
      </c>
      <c r="B238" t="s">
        <v>4133</v>
      </c>
      <c r="C238" t="s">
        <v>406</v>
      </c>
      <c r="D238" t="s">
        <v>4134</v>
      </c>
      <c r="E238" s="43" t="s">
        <v>4135</v>
      </c>
      <c r="F238">
        <v>1</v>
      </c>
      <c r="I238">
        <v>43804</v>
      </c>
      <c r="J238" t="s">
        <v>4240</v>
      </c>
      <c r="K238" t="s">
        <v>1715</v>
      </c>
      <c r="L238" s="43" t="s">
        <v>3204</v>
      </c>
      <c r="M238" t="s">
        <v>4136</v>
      </c>
      <c r="N238" s="43" t="s">
        <v>4137</v>
      </c>
      <c r="O238" s="43" t="s">
        <v>4138</v>
      </c>
      <c r="P238" s="43" t="s">
        <v>297</v>
      </c>
      <c r="Q238" s="43" t="s">
        <v>4139</v>
      </c>
      <c r="S238">
        <v>44109</v>
      </c>
      <c r="T238" t="s">
        <v>285</v>
      </c>
      <c r="U238" t="s">
        <v>266</v>
      </c>
      <c r="V238" t="s">
        <v>267</v>
      </c>
      <c r="W238" t="s">
        <v>1718</v>
      </c>
      <c r="X238" t="s">
        <v>1719</v>
      </c>
      <c r="Y238">
        <v>8772802835</v>
      </c>
      <c r="Z238" t="s">
        <v>270</v>
      </c>
      <c r="AA238" t="s">
        <v>271</v>
      </c>
      <c r="AB238">
        <v>0</v>
      </c>
      <c r="AC238">
        <v>0</v>
      </c>
      <c r="AD238">
        <v>0</v>
      </c>
      <c r="AE238" t="s">
        <v>445</v>
      </c>
      <c r="AF238">
        <v>4</v>
      </c>
      <c r="AG238" t="s">
        <v>3345</v>
      </c>
      <c r="AH238">
        <v>27694</v>
      </c>
      <c r="AI238">
        <v>27694</v>
      </c>
      <c r="AJ238">
        <v>43774</v>
      </c>
      <c r="AK238" s="43" t="s">
        <v>3208</v>
      </c>
      <c r="AL238" s="43" t="s">
        <v>3209</v>
      </c>
      <c r="AO238" s="23"/>
      <c r="AP238" s="23"/>
      <c r="AQ238" s="23"/>
      <c r="BC238" t="s">
        <v>2018</v>
      </c>
      <c r="BD238" s="43" t="s">
        <v>2018</v>
      </c>
      <c r="BE238" s="43" t="s">
        <v>2018</v>
      </c>
      <c r="BF238" s="43" t="s">
        <v>2018</v>
      </c>
      <c r="BG238" s="43" t="s">
        <v>2018</v>
      </c>
      <c r="BH238" t="s">
        <v>2018</v>
      </c>
      <c r="BI238" s="43" t="s">
        <v>2018</v>
      </c>
      <c r="BJ238">
        <v>0</v>
      </c>
      <c r="BK238">
        <v>44109</v>
      </c>
      <c r="BL238">
        <v>44356</v>
      </c>
      <c r="BM238">
        <v>8505</v>
      </c>
      <c r="BN238">
        <v>8505</v>
      </c>
      <c r="BO238">
        <v>8505</v>
      </c>
      <c r="BP238">
        <v>25515</v>
      </c>
      <c r="BQ238">
        <v>3300</v>
      </c>
      <c r="BR238">
        <v>400</v>
      </c>
      <c r="BS238">
        <v>400</v>
      </c>
      <c r="BT238">
        <v>4100</v>
      </c>
      <c r="BU238">
        <v>2100</v>
      </c>
      <c r="BV238">
        <v>2100</v>
      </c>
      <c r="BW238">
        <v>2100</v>
      </c>
      <c r="BX238">
        <v>6300</v>
      </c>
      <c r="BY238">
        <v>1200</v>
      </c>
      <c r="BZ238">
        <v>1200</v>
      </c>
      <c r="CA238">
        <v>1200</v>
      </c>
      <c r="CB238">
        <v>3600</v>
      </c>
      <c r="CC238">
        <v>0</v>
      </c>
      <c r="CD238">
        <v>0</v>
      </c>
      <c r="CE238">
        <v>0</v>
      </c>
      <c r="CF238">
        <v>0</v>
      </c>
      <c r="CG238">
        <v>39515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1250</v>
      </c>
      <c r="CU238">
        <v>1250</v>
      </c>
      <c r="CV238">
        <v>1250</v>
      </c>
      <c r="CW238">
        <v>3750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3750</v>
      </c>
      <c r="EE238">
        <v>0</v>
      </c>
      <c r="EF238">
        <v>0</v>
      </c>
      <c r="EG238">
        <v>0</v>
      </c>
      <c r="EH238">
        <v>0</v>
      </c>
      <c r="EI238">
        <v>1154</v>
      </c>
      <c r="EJ238">
        <v>1154</v>
      </c>
      <c r="EK238">
        <v>1155</v>
      </c>
      <c r="EL238">
        <v>3500</v>
      </c>
      <c r="EM238">
        <v>37.065000000000005</v>
      </c>
      <c r="EN238">
        <v>660</v>
      </c>
      <c r="EO238">
        <v>660</v>
      </c>
      <c r="EP238">
        <v>660</v>
      </c>
      <c r="EQ238">
        <v>2000</v>
      </c>
      <c r="ER238">
        <v>21.18</v>
      </c>
      <c r="ES238">
        <v>0</v>
      </c>
      <c r="ET238">
        <v>0</v>
      </c>
      <c r="EU238">
        <v>0</v>
      </c>
      <c r="EV238">
        <v>0</v>
      </c>
      <c r="EW238">
        <v>0</v>
      </c>
      <c r="FA238">
        <v>0</v>
      </c>
      <c r="FE238">
        <v>0</v>
      </c>
      <c r="FI238">
        <v>0</v>
      </c>
      <c r="FJ238">
        <v>5441.7550000000001</v>
      </c>
      <c r="FK238">
        <v>35765</v>
      </c>
      <c r="FL238">
        <v>31664.555574119709</v>
      </c>
      <c r="FM238">
        <v>30323.244999999999</v>
      </c>
    </row>
    <row r="239" spans="1:169" x14ac:dyDescent="0.35">
      <c r="A239">
        <v>193495</v>
      </c>
      <c r="B239" t="s">
        <v>3044</v>
      </c>
      <c r="C239" t="s">
        <v>3045</v>
      </c>
      <c r="D239" t="s">
        <v>3046</v>
      </c>
      <c r="E239" s="43" t="s">
        <v>3047</v>
      </c>
      <c r="F239">
        <v>1</v>
      </c>
      <c r="I239">
        <v>43804</v>
      </c>
      <c r="J239" t="s">
        <v>4245</v>
      </c>
      <c r="K239" t="s">
        <v>1715</v>
      </c>
      <c r="L239" s="43" t="s">
        <v>3204</v>
      </c>
      <c r="M239" t="s">
        <v>3048</v>
      </c>
      <c r="N239" s="43" t="s">
        <v>3049</v>
      </c>
      <c r="O239" s="43" t="s">
        <v>3050</v>
      </c>
      <c r="P239" s="43" t="s">
        <v>442</v>
      </c>
      <c r="Q239" s="43" t="s">
        <v>3051</v>
      </c>
      <c r="S239">
        <v>44109</v>
      </c>
      <c r="T239" t="s">
        <v>311</v>
      </c>
      <c r="U239" t="s">
        <v>286</v>
      </c>
      <c r="V239" t="s">
        <v>267</v>
      </c>
      <c r="W239" t="s">
        <v>1718</v>
      </c>
      <c r="X239" t="s">
        <v>1719</v>
      </c>
      <c r="Y239">
        <v>8772802835</v>
      </c>
      <c r="Z239" t="s">
        <v>270</v>
      </c>
      <c r="AA239" t="s">
        <v>271</v>
      </c>
      <c r="AB239">
        <v>29</v>
      </c>
      <c r="AC239">
        <v>0</v>
      </c>
      <c r="AD239">
        <v>129</v>
      </c>
      <c r="AE239" t="s">
        <v>301</v>
      </c>
      <c r="AF239">
        <v>1</v>
      </c>
      <c r="AG239" t="s">
        <v>275</v>
      </c>
      <c r="AH239">
        <v>0</v>
      </c>
      <c r="AI239">
        <v>0</v>
      </c>
      <c r="AJ239">
        <v>43774</v>
      </c>
      <c r="AK239" s="43" t="s">
        <v>3208</v>
      </c>
      <c r="AL239" s="43" t="s">
        <v>3209</v>
      </c>
      <c r="AO239" s="23">
        <v>43774</v>
      </c>
      <c r="AP239" s="23">
        <v>43774</v>
      </c>
      <c r="AQ239" s="23">
        <v>43774</v>
      </c>
      <c r="BC239" t="s">
        <v>2018</v>
      </c>
      <c r="BD239" s="43" t="s">
        <v>2018</v>
      </c>
      <c r="BE239" s="43" t="s">
        <v>2018</v>
      </c>
      <c r="BF239" s="43" t="s">
        <v>2018</v>
      </c>
      <c r="BG239" s="43" t="s">
        <v>2018</v>
      </c>
      <c r="BH239" t="s">
        <v>2018</v>
      </c>
      <c r="BI239" s="43" t="s">
        <v>2018</v>
      </c>
      <c r="BJ239">
        <v>0.1875</v>
      </c>
      <c r="BK239">
        <v>44109</v>
      </c>
      <c r="BL239">
        <v>44356</v>
      </c>
      <c r="BM239">
        <v>8505</v>
      </c>
      <c r="BN239">
        <v>8505</v>
      </c>
      <c r="BO239">
        <v>8505</v>
      </c>
      <c r="BP239">
        <v>25515</v>
      </c>
      <c r="BQ239">
        <v>3300</v>
      </c>
      <c r="BR239">
        <v>400</v>
      </c>
      <c r="BS239">
        <v>400</v>
      </c>
      <c r="BT239">
        <v>4100</v>
      </c>
      <c r="BU239">
        <v>2100</v>
      </c>
      <c r="BV239">
        <v>2100</v>
      </c>
      <c r="BW239">
        <v>2100</v>
      </c>
      <c r="BX239">
        <v>6300</v>
      </c>
      <c r="BY239">
        <v>1200</v>
      </c>
      <c r="BZ239">
        <v>1200</v>
      </c>
      <c r="CA239">
        <v>1200</v>
      </c>
      <c r="CB239">
        <v>3600</v>
      </c>
      <c r="CC239">
        <v>0</v>
      </c>
      <c r="CD239">
        <v>0</v>
      </c>
      <c r="CE239">
        <v>0</v>
      </c>
      <c r="CF239">
        <v>0</v>
      </c>
      <c r="CG239">
        <v>39515</v>
      </c>
      <c r="CH239">
        <v>0</v>
      </c>
      <c r="CI239">
        <v>0</v>
      </c>
      <c r="CJ239">
        <v>0</v>
      </c>
      <c r="CK239">
        <v>0</v>
      </c>
      <c r="CL239">
        <v>2065</v>
      </c>
      <c r="CM239">
        <v>2065</v>
      </c>
      <c r="CN239">
        <v>2065</v>
      </c>
      <c r="CO239">
        <v>6195</v>
      </c>
      <c r="CP239">
        <v>500</v>
      </c>
      <c r="CQ239">
        <v>500</v>
      </c>
      <c r="CR239">
        <v>500</v>
      </c>
      <c r="CS239">
        <v>1500</v>
      </c>
      <c r="CT239">
        <v>1700</v>
      </c>
      <c r="CU239">
        <v>1700</v>
      </c>
      <c r="CV239">
        <v>1700</v>
      </c>
      <c r="CW239">
        <v>5100</v>
      </c>
      <c r="CX239">
        <v>0</v>
      </c>
      <c r="CY239">
        <v>0</v>
      </c>
      <c r="CZ239">
        <v>0</v>
      </c>
      <c r="DA239">
        <v>0</v>
      </c>
      <c r="DB239">
        <v>1000</v>
      </c>
      <c r="DC239">
        <v>1000</v>
      </c>
      <c r="DD239">
        <v>1000</v>
      </c>
      <c r="DE239">
        <v>3000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15795</v>
      </c>
      <c r="EE239">
        <v>0</v>
      </c>
      <c r="EF239">
        <v>0</v>
      </c>
      <c r="EG239">
        <v>0</v>
      </c>
      <c r="EH239">
        <v>0</v>
      </c>
      <c r="EI239">
        <v>1154</v>
      </c>
      <c r="EJ239">
        <v>1154</v>
      </c>
      <c r="EK239">
        <v>1155</v>
      </c>
      <c r="EL239">
        <v>3500</v>
      </c>
      <c r="EM239">
        <v>37.065000000000005</v>
      </c>
      <c r="EN239">
        <v>660</v>
      </c>
      <c r="EO239">
        <v>660</v>
      </c>
      <c r="EP239">
        <v>660</v>
      </c>
      <c r="EQ239">
        <v>2000</v>
      </c>
      <c r="ER239">
        <v>21.18</v>
      </c>
      <c r="ES239">
        <v>0</v>
      </c>
      <c r="ET239">
        <v>0</v>
      </c>
      <c r="EU239">
        <v>0</v>
      </c>
      <c r="EV239">
        <v>0</v>
      </c>
      <c r="EW239">
        <v>0</v>
      </c>
      <c r="FA239">
        <v>0</v>
      </c>
      <c r="FE239">
        <v>0</v>
      </c>
      <c r="FI239">
        <v>0</v>
      </c>
      <c r="FJ239">
        <v>5441.7550000000001</v>
      </c>
      <c r="FK239">
        <v>23720</v>
      </c>
      <c r="FL239">
        <v>19086.7601603943</v>
      </c>
      <c r="FM239">
        <v>18278.244999999999</v>
      </c>
    </row>
    <row r="240" spans="1:169" x14ac:dyDescent="0.35">
      <c r="A240">
        <v>198604</v>
      </c>
      <c r="B240" t="s">
        <v>3052</v>
      </c>
      <c r="C240" t="s">
        <v>3053</v>
      </c>
      <c r="D240" t="s">
        <v>3054</v>
      </c>
      <c r="E240" s="43" t="s">
        <v>3055</v>
      </c>
      <c r="F240">
        <v>1</v>
      </c>
      <c r="I240">
        <v>43804</v>
      </c>
      <c r="J240" t="s">
        <v>4242</v>
      </c>
      <c r="K240" t="s">
        <v>1715</v>
      </c>
      <c r="L240" s="43" t="s">
        <v>259</v>
      </c>
      <c r="M240" t="s">
        <v>3056</v>
      </c>
      <c r="N240" s="43" t="s">
        <v>3057</v>
      </c>
      <c r="O240" s="43" t="s">
        <v>1382</v>
      </c>
      <c r="P240" s="43" t="s">
        <v>705</v>
      </c>
      <c r="Q240" s="43" t="s">
        <v>3058</v>
      </c>
      <c r="S240">
        <v>44109</v>
      </c>
      <c r="T240" t="s">
        <v>311</v>
      </c>
      <c r="U240" t="s">
        <v>286</v>
      </c>
      <c r="V240" t="s">
        <v>267</v>
      </c>
      <c r="W240" t="s">
        <v>1718</v>
      </c>
      <c r="X240" t="s">
        <v>1719</v>
      </c>
      <c r="Y240">
        <v>8772802835</v>
      </c>
      <c r="Z240" t="s">
        <v>270</v>
      </c>
      <c r="AA240" t="s">
        <v>271</v>
      </c>
      <c r="AB240">
        <v>0</v>
      </c>
      <c r="AC240">
        <v>960</v>
      </c>
      <c r="AD240">
        <v>103</v>
      </c>
      <c r="AE240" t="s">
        <v>445</v>
      </c>
      <c r="AF240">
        <v>4</v>
      </c>
      <c r="AG240" t="s">
        <v>275</v>
      </c>
      <c r="AK240" s="43" t="s">
        <v>259</v>
      </c>
      <c r="AL240" s="43" t="s">
        <v>259</v>
      </c>
      <c r="AO240" s="23"/>
      <c r="AP240" s="23"/>
      <c r="AQ240" s="23"/>
      <c r="BC240" t="s">
        <v>259</v>
      </c>
      <c r="BD240" s="43" t="s">
        <v>259</v>
      </c>
      <c r="BE240" s="43" t="s">
        <v>259</v>
      </c>
      <c r="BF240" s="43" t="s">
        <v>259</v>
      </c>
      <c r="BG240" s="43" t="s">
        <v>259</v>
      </c>
      <c r="BH240" t="s">
        <v>259</v>
      </c>
      <c r="BI240" s="43" t="s">
        <v>259</v>
      </c>
      <c r="BJ240">
        <v>0</v>
      </c>
      <c r="BK240">
        <v>44109</v>
      </c>
      <c r="BL240">
        <v>44356</v>
      </c>
      <c r="BM240">
        <v>8505</v>
      </c>
      <c r="BN240">
        <v>8505</v>
      </c>
      <c r="BO240">
        <v>8505</v>
      </c>
      <c r="BP240">
        <v>25515</v>
      </c>
      <c r="BQ240">
        <v>3300</v>
      </c>
      <c r="BR240">
        <v>400</v>
      </c>
      <c r="BS240">
        <v>400</v>
      </c>
      <c r="BT240">
        <v>4100</v>
      </c>
      <c r="BU240">
        <v>2100</v>
      </c>
      <c r="BV240">
        <v>2100</v>
      </c>
      <c r="BW240">
        <v>2100</v>
      </c>
      <c r="BX240">
        <v>6300</v>
      </c>
      <c r="BY240">
        <v>1200</v>
      </c>
      <c r="BZ240">
        <v>1200</v>
      </c>
      <c r="CA240">
        <v>1200</v>
      </c>
      <c r="CB240">
        <v>3600</v>
      </c>
      <c r="CC240">
        <v>0</v>
      </c>
      <c r="CD240">
        <v>0</v>
      </c>
      <c r="CE240">
        <v>0</v>
      </c>
      <c r="CF240">
        <v>0</v>
      </c>
      <c r="CG240">
        <v>39515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1250</v>
      </c>
      <c r="CU240">
        <v>1250</v>
      </c>
      <c r="CV240">
        <v>1250</v>
      </c>
      <c r="CW240">
        <v>3750</v>
      </c>
      <c r="CX240">
        <v>0</v>
      </c>
      <c r="CY240">
        <v>0</v>
      </c>
      <c r="CZ240">
        <v>0</v>
      </c>
      <c r="DA240">
        <v>0</v>
      </c>
      <c r="DB240">
        <v>1000</v>
      </c>
      <c r="DC240">
        <v>1000</v>
      </c>
      <c r="DD240">
        <v>1000</v>
      </c>
      <c r="DE240">
        <v>3000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6750</v>
      </c>
      <c r="EE240">
        <v>0</v>
      </c>
      <c r="EF240">
        <v>0</v>
      </c>
      <c r="EG240">
        <v>0</v>
      </c>
      <c r="EH240">
        <v>0</v>
      </c>
      <c r="EI240">
        <v>1154</v>
      </c>
      <c r="EJ240">
        <v>1154</v>
      </c>
      <c r="EK240">
        <v>1155</v>
      </c>
      <c r="EL240">
        <v>3500</v>
      </c>
      <c r="EM240">
        <v>37.065000000000005</v>
      </c>
      <c r="EN240">
        <v>660</v>
      </c>
      <c r="EO240">
        <v>660</v>
      </c>
      <c r="EP240">
        <v>660</v>
      </c>
      <c r="EQ240">
        <v>2000</v>
      </c>
      <c r="ER240">
        <v>21.18</v>
      </c>
      <c r="ES240">
        <v>0</v>
      </c>
      <c r="ET240">
        <v>0</v>
      </c>
      <c r="EU240">
        <v>0</v>
      </c>
      <c r="EV240">
        <v>0</v>
      </c>
      <c r="EW240">
        <v>0</v>
      </c>
      <c r="FA240">
        <v>0</v>
      </c>
      <c r="FE240">
        <v>0</v>
      </c>
      <c r="FI240">
        <v>0</v>
      </c>
      <c r="FJ240">
        <v>5441.7550000000001</v>
      </c>
      <c r="FK240">
        <v>32765</v>
      </c>
      <c r="FL240">
        <v>28531.854350277765</v>
      </c>
      <c r="FM240">
        <v>27323.244999999999</v>
      </c>
    </row>
    <row r="241" spans="1:169" x14ac:dyDescent="0.35">
      <c r="A241">
        <v>199399</v>
      </c>
      <c r="B241" t="s">
        <v>4140</v>
      </c>
      <c r="C241" t="s">
        <v>4141</v>
      </c>
      <c r="D241" t="s">
        <v>4142</v>
      </c>
      <c r="E241" s="43" t="s">
        <v>4143</v>
      </c>
      <c r="F241">
        <v>1</v>
      </c>
      <c r="I241">
        <v>43804</v>
      </c>
      <c r="J241" t="s">
        <v>4240</v>
      </c>
      <c r="K241" t="s">
        <v>1715</v>
      </c>
      <c r="L241" s="43" t="s">
        <v>3204</v>
      </c>
      <c r="M241" t="s">
        <v>4144</v>
      </c>
      <c r="N241" s="43" t="s">
        <v>4145</v>
      </c>
      <c r="O241" s="43" t="s">
        <v>4146</v>
      </c>
      <c r="P241" s="43" t="s">
        <v>1091</v>
      </c>
      <c r="Q241" s="43" t="s">
        <v>4147</v>
      </c>
      <c r="S241">
        <v>44109</v>
      </c>
      <c r="T241" t="s">
        <v>265</v>
      </c>
      <c r="U241" t="s">
        <v>266</v>
      </c>
      <c r="V241" t="s">
        <v>267</v>
      </c>
      <c r="W241" t="s">
        <v>1718</v>
      </c>
      <c r="X241" t="s">
        <v>1719</v>
      </c>
      <c r="Y241">
        <v>8772802835</v>
      </c>
      <c r="Z241" t="s">
        <v>270</v>
      </c>
      <c r="AA241" t="s">
        <v>271</v>
      </c>
      <c r="AB241">
        <v>23</v>
      </c>
      <c r="AC241">
        <v>0</v>
      </c>
      <c r="AD241">
        <v>108</v>
      </c>
      <c r="AE241" t="s">
        <v>445</v>
      </c>
      <c r="AF241">
        <v>4</v>
      </c>
      <c r="AG241" t="s">
        <v>3345</v>
      </c>
      <c r="AH241">
        <v>28076</v>
      </c>
      <c r="AI241">
        <v>28076</v>
      </c>
      <c r="AJ241">
        <v>43776</v>
      </c>
      <c r="AK241" s="43" t="s">
        <v>3208</v>
      </c>
      <c r="AL241" s="43" t="s">
        <v>3209</v>
      </c>
      <c r="AO241" s="23"/>
      <c r="AP241" s="23"/>
      <c r="AQ241" s="23"/>
      <c r="BC241" t="s">
        <v>2018</v>
      </c>
      <c r="BD241" s="43" t="s">
        <v>2018</v>
      </c>
      <c r="BE241" s="43" t="s">
        <v>2018</v>
      </c>
      <c r="BF241" s="43" t="s">
        <v>2018</v>
      </c>
      <c r="BG241" s="43" t="s">
        <v>2018</v>
      </c>
      <c r="BH241" t="s">
        <v>2018</v>
      </c>
      <c r="BI241" s="43" t="s">
        <v>2018</v>
      </c>
      <c r="BJ241">
        <v>0</v>
      </c>
      <c r="BK241">
        <v>44109</v>
      </c>
      <c r="BL241">
        <v>44356</v>
      </c>
      <c r="BM241">
        <v>8505</v>
      </c>
      <c r="BN241">
        <v>8505</v>
      </c>
      <c r="BO241">
        <v>8505</v>
      </c>
      <c r="BP241">
        <v>25515</v>
      </c>
      <c r="BQ241">
        <v>3300</v>
      </c>
      <c r="BR241">
        <v>400</v>
      </c>
      <c r="BS241">
        <v>400</v>
      </c>
      <c r="BT241">
        <v>4100</v>
      </c>
      <c r="BU241">
        <v>2100</v>
      </c>
      <c r="BV241">
        <v>2100</v>
      </c>
      <c r="BW241">
        <v>2100</v>
      </c>
      <c r="BX241">
        <v>6300</v>
      </c>
      <c r="BY241">
        <v>1200</v>
      </c>
      <c r="BZ241">
        <v>1200</v>
      </c>
      <c r="CA241">
        <v>1200</v>
      </c>
      <c r="CB241">
        <v>3600</v>
      </c>
      <c r="CC241">
        <v>0</v>
      </c>
      <c r="CD241">
        <v>0</v>
      </c>
      <c r="CE241">
        <v>0</v>
      </c>
      <c r="CF241">
        <v>0</v>
      </c>
      <c r="CG241">
        <v>39515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1250</v>
      </c>
      <c r="CU241">
        <v>1250</v>
      </c>
      <c r="CV241">
        <v>1250</v>
      </c>
      <c r="CW241">
        <v>3750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3750</v>
      </c>
      <c r="EE241">
        <v>0</v>
      </c>
      <c r="EF241">
        <v>0</v>
      </c>
      <c r="EG241">
        <v>0</v>
      </c>
      <c r="EH241">
        <v>0</v>
      </c>
      <c r="EI241">
        <v>1154</v>
      </c>
      <c r="EJ241">
        <v>1154</v>
      </c>
      <c r="EK241">
        <v>1155</v>
      </c>
      <c r="EL241">
        <v>3500</v>
      </c>
      <c r="EM241">
        <v>37.065000000000005</v>
      </c>
      <c r="EN241">
        <v>660</v>
      </c>
      <c r="EO241">
        <v>660</v>
      </c>
      <c r="EP241">
        <v>660</v>
      </c>
      <c r="EQ241">
        <v>2000</v>
      </c>
      <c r="ER241">
        <v>21.18</v>
      </c>
      <c r="ES241">
        <v>0</v>
      </c>
      <c r="ET241">
        <v>0</v>
      </c>
      <c r="EU241">
        <v>0</v>
      </c>
      <c r="EV241">
        <v>0</v>
      </c>
      <c r="EW241">
        <v>0</v>
      </c>
      <c r="FA241">
        <v>0</v>
      </c>
      <c r="FE241">
        <v>0</v>
      </c>
      <c r="FI241">
        <v>0</v>
      </c>
      <c r="FJ241">
        <v>5441.7550000000001</v>
      </c>
      <c r="FK241">
        <v>35765</v>
      </c>
      <c r="FL241">
        <v>31664.555574119709</v>
      </c>
      <c r="FM241">
        <v>30323.244999999999</v>
      </c>
    </row>
    <row r="242" spans="1:169" x14ac:dyDescent="0.35">
      <c r="A242">
        <v>196576</v>
      </c>
      <c r="B242" t="s">
        <v>3059</v>
      </c>
      <c r="C242" t="s">
        <v>457</v>
      </c>
      <c r="D242" t="s">
        <v>3060</v>
      </c>
      <c r="E242" s="43" t="s">
        <v>3061</v>
      </c>
      <c r="F242">
        <v>1</v>
      </c>
      <c r="I242">
        <v>43804</v>
      </c>
      <c r="J242" t="s">
        <v>4240</v>
      </c>
      <c r="K242" t="s">
        <v>1715</v>
      </c>
      <c r="L242" s="43" t="s">
        <v>3204</v>
      </c>
      <c r="M242" t="s">
        <v>3062</v>
      </c>
      <c r="N242" s="43" t="s">
        <v>3063</v>
      </c>
      <c r="O242" s="43" t="s">
        <v>667</v>
      </c>
      <c r="P242" s="43" t="s">
        <v>342</v>
      </c>
      <c r="Q242" s="43" t="s">
        <v>3064</v>
      </c>
      <c r="S242">
        <v>44109</v>
      </c>
      <c r="T242" t="s">
        <v>311</v>
      </c>
      <c r="U242" t="s">
        <v>266</v>
      </c>
      <c r="V242" t="s">
        <v>267</v>
      </c>
      <c r="W242" t="s">
        <v>1718</v>
      </c>
      <c r="X242" t="s">
        <v>1719</v>
      </c>
      <c r="Y242">
        <v>8772802835</v>
      </c>
      <c r="Z242" t="s">
        <v>270</v>
      </c>
      <c r="AA242" t="s">
        <v>271</v>
      </c>
      <c r="AB242">
        <v>0</v>
      </c>
      <c r="AC242">
        <v>1210</v>
      </c>
      <c r="AD242">
        <v>124</v>
      </c>
      <c r="AE242" t="s">
        <v>301</v>
      </c>
      <c r="AF242">
        <v>1</v>
      </c>
      <c r="AG242" t="s">
        <v>275</v>
      </c>
      <c r="AH242">
        <v>11502</v>
      </c>
      <c r="AI242">
        <v>11502</v>
      </c>
      <c r="AJ242">
        <v>43804</v>
      </c>
      <c r="AK242" s="43" t="s">
        <v>3208</v>
      </c>
      <c r="AL242" s="43" t="s">
        <v>3209</v>
      </c>
      <c r="AO242" s="23"/>
      <c r="AP242" s="23"/>
      <c r="AQ242" s="23"/>
      <c r="BC242" t="s">
        <v>2018</v>
      </c>
      <c r="BD242" s="43" t="s">
        <v>2018</v>
      </c>
      <c r="BE242" s="43" t="s">
        <v>2018</v>
      </c>
      <c r="BF242" s="43" t="s">
        <v>2018</v>
      </c>
      <c r="BG242" s="43" t="s">
        <v>2018</v>
      </c>
      <c r="BH242" t="s">
        <v>2018</v>
      </c>
      <c r="BI242" s="43" t="s">
        <v>2018</v>
      </c>
      <c r="BJ242">
        <v>0</v>
      </c>
      <c r="BK242">
        <v>44109</v>
      </c>
      <c r="BL242">
        <v>44356</v>
      </c>
      <c r="BM242">
        <v>8505</v>
      </c>
      <c r="BN242">
        <v>8505</v>
      </c>
      <c r="BO242">
        <v>8505</v>
      </c>
      <c r="BP242">
        <v>25515</v>
      </c>
      <c r="BQ242">
        <v>3300</v>
      </c>
      <c r="BR242">
        <v>400</v>
      </c>
      <c r="BS242">
        <v>400</v>
      </c>
      <c r="BT242">
        <v>4100</v>
      </c>
      <c r="BU242">
        <v>2100</v>
      </c>
      <c r="BV242">
        <v>2100</v>
      </c>
      <c r="BW242">
        <v>2100</v>
      </c>
      <c r="BX242">
        <v>6300</v>
      </c>
      <c r="BY242">
        <v>1200</v>
      </c>
      <c r="BZ242">
        <v>1200</v>
      </c>
      <c r="CA242">
        <v>1200</v>
      </c>
      <c r="CB242">
        <v>3600</v>
      </c>
      <c r="CC242">
        <v>0</v>
      </c>
      <c r="CD242">
        <v>0</v>
      </c>
      <c r="CE242">
        <v>0</v>
      </c>
      <c r="CF242">
        <v>0</v>
      </c>
      <c r="CG242">
        <v>39515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1700</v>
      </c>
      <c r="CU242">
        <v>1700</v>
      </c>
      <c r="CV242">
        <v>1700</v>
      </c>
      <c r="CW242">
        <v>5100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5100</v>
      </c>
      <c r="EE242">
        <v>0</v>
      </c>
      <c r="EF242">
        <v>0</v>
      </c>
      <c r="EG242">
        <v>0</v>
      </c>
      <c r="EH242">
        <v>0</v>
      </c>
      <c r="EI242">
        <v>1154</v>
      </c>
      <c r="EJ242">
        <v>1154</v>
      </c>
      <c r="EK242">
        <v>1155</v>
      </c>
      <c r="EL242">
        <v>3500</v>
      </c>
      <c r="EM242">
        <v>37.065000000000005</v>
      </c>
      <c r="EN242">
        <v>660</v>
      </c>
      <c r="EO242">
        <v>660</v>
      </c>
      <c r="EP242">
        <v>660</v>
      </c>
      <c r="EQ242">
        <v>2000</v>
      </c>
      <c r="ER242">
        <v>21.18</v>
      </c>
      <c r="ES242">
        <v>0</v>
      </c>
      <c r="ET242">
        <v>0</v>
      </c>
      <c r="EU242">
        <v>0</v>
      </c>
      <c r="EV242">
        <v>0</v>
      </c>
      <c r="EW242">
        <v>0</v>
      </c>
      <c r="FA242">
        <v>0</v>
      </c>
      <c r="FE242">
        <v>0</v>
      </c>
      <c r="FI242">
        <v>0</v>
      </c>
      <c r="FJ242">
        <v>5441.7550000000001</v>
      </c>
      <c r="FK242">
        <v>34415</v>
      </c>
      <c r="FL242">
        <v>30254.840023390832</v>
      </c>
      <c r="FM242">
        <v>28973.244999999999</v>
      </c>
    </row>
    <row r="243" spans="1:169" x14ac:dyDescent="0.35">
      <c r="A243">
        <v>196422</v>
      </c>
      <c r="B243" t="s">
        <v>3065</v>
      </c>
      <c r="C243" t="s">
        <v>2804</v>
      </c>
      <c r="D243" t="s">
        <v>3066</v>
      </c>
      <c r="E243" s="43" t="s">
        <v>3067</v>
      </c>
      <c r="F243">
        <v>1</v>
      </c>
      <c r="I243">
        <v>43804</v>
      </c>
      <c r="J243" t="s">
        <v>4240</v>
      </c>
      <c r="K243" t="s">
        <v>1715</v>
      </c>
      <c r="L243" s="43" t="s">
        <v>3204</v>
      </c>
      <c r="M243" t="s">
        <v>3068</v>
      </c>
      <c r="N243" s="43" t="s">
        <v>3069</v>
      </c>
      <c r="O243" s="43" t="s">
        <v>3070</v>
      </c>
      <c r="P243" s="43" t="s">
        <v>442</v>
      </c>
      <c r="Q243" s="43" t="s">
        <v>3071</v>
      </c>
      <c r="S243">
        <v>44109</v>
      </c>
      <c r="T243" t="s">
        <v>265</v>
      </c>
      <c r="U243" t="s">
        <v>266</v>
      </c>
      <c r="V243" t="s">
        <v>267</v>
      </c>
      <c r="W243" t="s">
        <v>1718</v>
      </c>
      <c r="X243" t="s">
        <v>1719</v>
      </c>
      <c r="Y243">
        <v>8772802835</v>
      </c>
      <c r="Z243" t="s">
        <v>270</v>
      </c>
      <c r="AA243" t="s">
        <v>271</v>
      </c>
      <c r="AB243">
        <v>35</v>
      </c>
      <c r="AC243">
        <v>0</v>
      </c>
      <c r="AD243">
        <v>138</v>
      </c>
      <c r="AE243" t="s">
        <v>301</v>
      </c>
      <c r="AF243">
        <v>1</v>
      </c>
      <c r="AG243" t="s">
        <v>275</v>
      </c>
      <c r="AH243">
        <v>40795</v>
      </c>
      <c r="AI243">
        <v>40795</v>
      </c>
      <c r="AJ243">
        <v>43774</v>
      </c>
      <c r="AK243" s="43" t="s">
        <v>3208</v>
      </c>
      <c r="AL243" s="43" t="s">
        <v>3209</v>
      </c>
      <c r="AO243" s="23"/>
      <c r="AP243" s="23"/>
      <c r="AQ243" s="23"/>
      <c r="BC243" t="s">
        <v>2018</v>
      </c>
      <c r="BD243" s="43" t="s">
        <v>2018</v>
      </c>
      <c r="BE243" s="43" t="s">
        <v>2018</v>
      </c>
      <c r="BF243" s="43" t="s">
        <v>2018</v>
      </c>
      <c r="BG243" s="43" t="s">
        <v>2018</v>
      </c>
      <c r="BH243" t="s">
        <v>2018</v>
      </c>
      <c r="BI243" s="43" t="s">
        <v>2018</v>
      </c>
      <c r="BJ243">
        <v>0</v>
      </c>
      <c r="BK243">
        <v>44109</v>
      </c>
      <c r="BL243">
        <v>44356</v>
      </c>
      <c r="BM243">
        <v>8505</v>
      </c>
      <c r="BN243">
        <v>8505</v>
      </c>
      <c r="BO243">
        <v>8505</v>
      </c>
      <c r="BP243">
        <v>25515</v>
      </c>
      <c r="BQ243">
        <v>3300</v>
      </c>
      <c r="BR243">
        <v>400</v>
      </c>
      <c r="BS243">
        <v>400</v>
      </c>
      <c r="BT243">
        <v>4100</v>
      </c>
      <c r="BU243">
        <v>2100</v>
      </c>
      <c r="BV243">
        <v>2100</v>
      </c>
      <c r="BW243">
        <v>2100</v>
      </c>
      <c r="BX243">
        <v>6300</v>
      </c>
      <c r="BY243">
        <v>1200</v>
      </c>
      <c r="BZ243">
        <v>1200</v>
      </c>
      <c r="CA243">
        <v>1200</v>
      </c>
      <c r="CB243">
        <v>3600</v>
      </c>
      <c r="CC243">
        <v>0</v>
      </c>
      <c r="CD243">
        <v>0</v>
      </c>
      <c r="CE243">
        <v>0</v>
      </c>
      <c r="CF243">
        <v>0</v>
      </c>
      <c r="CG243">
        <v>39515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1700</v>
      </c>
      <c r="CU243">
        <v>1700</v>
      </c>
      <c r="CV243">
        <v>1700</v>
      </c>
      <c r="CW243">
        <v>5100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5100</v>
      </c>
      <c r="EE243">
        <v>0</v>
      </c>
      <c r="EF243">
        <v>0</v>
      </c>
      <c r="EG243">
        <v>0</v>
      </c>
      <c r="EH243">
        <v>0</v>
      </c>
      <c r="EI243">
        <v>1154</v>
      </c>
      <c r="EJ243">
        <v>1154</v>
      </c>
      <c r="EK243">
        <v>1155</v>
      </c>
      <c r="EL243">
        <v>3500</v>
      </c>
      <c r="EM243">
        <v>37.065000000000005</v>
      </c>
      <c r="EN243">
        <v>660</v>
      </c>
      <c r="EO243">
        <v>660</v>
      </c>
      <c r="EP243">
        <v>660</v>
      </c>
      <c r="EQ243">
        <v>2000</v>
      </c>
      <c r="ER243">
        <v>21.18</v>
      </c>
      <c r="ES243">
        <v>0</v>
      </c>
      <c r="ET243">
        <v>0</v>
      </c>
      <c r="EU243">
        <v>0</v>
      </c>
      <c r="EV243">
        <v>0</v>
      </c>
      <c r="EW243">
        <v>0</v>
      </c>
      <c r="FA243">
        <v>0</v>
      </c>
      <c r="FE243">
        <v>0</v>
      </c>
      <c r="FI243">
        <v>0</v>
      </c>
      <c r="FJ243">
        <v>5441.7550000000001</v>
      </c>
      <c r="FK243">
        <v>34415</v>
      </c>
      <c r="FL243">
        <v>30254.840023390832</v>
      </c>
      <c r="FM243">
        <v>28973.244999999999</v>
      </c>
    </row>
    <row r="244" spans="1:169" x14ac:dyDescent="0.35">
      <c r="A244">
        <v>196623</v>
      </c>
      <c r="B244" t="s">
        <v>4148</v>
      </c>
      <c r="C244" t="s">
        <v>1323</v>
      </c>
      <c r="D244" t="s">
        <v>4149</v>
      </c>
      <c r="E244" s="43" t="s">
        <v>4150</v>
      </c>
      <c r="F244">
        <v>1</v>
      </c>
      <c r="I244">
        <v>43804</v>
      </c>
      <c r="J244" t="s">
        <v>4242</v>
      </c>
      <c r="K244" t="s">
        <v>1715</v>
      </c>
      <c r="L244" s="43" t="s">
        <v>259</v>
      </c>
      <c r="M244" t="s">
        <v>4151</v>
      </c>
      <c r="N244" s="43" t="s">
        <v>4152</v>
      </c>
      <c r="O244" s="43" t="s">
        <v>4153</v>
      </c>
      <c r="P244" s="43" t="s">
        <v>542</v>
      </c>
      <c r="Q244" s="43" t="s">
        <v>4154</v>
      </c>
      <c r="S244">
        <v>44109</v>
      </c>
      <c r="T244" t="s">
        <v>265</v>
      </c>
      <c r="U244" t="s">
        <v>266</v>
      </c>
      <c r="V244" t="s">
        <v>267</v>
      </c>
      <c r="W244" t="s">
        <v>1718</v>
      </c>
      <c r="X244" t="s">
        <v>1719</v>
      </c>
      <c r="Y244">
        <v>8772802835</v>
      </c>
      <c r="Z244" t="s">
        <v>270</v>
      </c>
      <c r="AA244" t="s">
        <v>271</v>
      </c>
      <c r="AB244">
        <v>30</v>
      </c>
      <c r="AC244">
        <v>0</v>
      </c>
      <c r="AD244">
        <v>122</v>
      </c>
      <c r="AE244" t="s">
        <v>301</v>
      </c>
      <c r="AF244">
        <v>1</v>
      </c>
      <c r="AG244" t="s">
        <v>3345</v>
      </c>
      <c r="AK244" s="43" t="s">
        <v>259</v>
      </c>
      <c r="AL244" s="43" t="s">
        <v>259</v>
      </c>
      <c r="AO244" s="23"/>
      <c r="AP244" s="23"/>
      <c r="AQ244" s="23"/>
      <c r="BC244" t="s">
        <v>259</v>
      </c>
      <c r="BD244" s="43" t="s">
        <v>259</v>
      </c>
      <c r="BE244" s="43" t="s">
        <v>259</v>
      </c>
      <c r="BF244" s="43" t="s">
        <v>259</v>
      </c>
      <c r="BG244" s="43" t="s">
        <v>259</v>
      </c>
      <c r="BH244" t="s">
        <v>259</v>
      </c>
      <c r="BI244" s="43" t="s">
        <v>259</v>
      </c>
      <c r="BJ244">
        <v>0</v>
      </c>
      <c r="BK244">
        <v>44109</v>
      </c>
      <c r="BL244">
        <v>44356</v>
      </c>
      <c r="BM244">
        <v>8505</v>
      </c>
      <c r="BN244">
        <v>8505</v>
      </c>
      <c r="BO244">
        <v>8505</v>
      </c>
      <c r="BP244">
        <v>25515</v>
      </c>
      <c r="BQ244">
        <v>3300</v>
      </c>
      <c r="BR244">
        <v>400</v>
      </c>
      <c r="BS244">
        <v>400</v>
      </c>
      <c r="BT244">
        <v>4100</v>
      </c>
      <c r="BU244">
        <v>2100</v>
      </c>
      <c r="BV244">
        <v>2100</v>
      </c>
      <c r="BW244">
        <v>2100</v>
      </c>
      <c r="BX244">
        <v>6300</v>
      </c>
      <c r="BY244">
        <v>1200</v>
      </c>
      <c r="BZ244">
        <v>1200</v>
      </c>
      <c r="CA244">
        <v>1200</v>
      </c>
      <c r="CB244">
        <v>3600</v>
      </c>
      <c r="CC244">
        <v>0</v>
      </c>
      <c r="CD244">
        <v>0</v>
      </c>
      <c r="CE244">
        <v>0</v>
      </c>
      <c r="CF244">
        <v>0</v>
      </c>
      <c r="CG244">
        <v>39515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1700</v>
      </c>
      <c r="CU244">
        <v>1700</v>
      </c>
      <c r="CV244">
        <v>1700</v>
      </c>
      <c r="CW244">
        <v>5100</v>
      </c>
      <c r="CX244">
        <v>3000</v>
      </c>
      <c r="CY244">
        <v>3000</v>
      </c>
      <c r="CZ244">
        <v>3000</v>
      </c>
      <c r="DA244">
        <v>9000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14100</v>
      </c>
      <c r="EE244">
        <v>0</v>
      </c>
      <c r="EF244">
        <v>0</v>
      </c>
      <c r="EG244">
        <v>0</v>
      </c>
      <c r="EH244">
        <v>0</v>
      </c>
      <c r="EI244">
        <v>1154</v>
      </c>
      <c r="EJ244">
        <v>1154</v>
      </c>
      <c r="EK244">
        <v>1155</v>
      </c>
      <c r="EL244">
        <v>3500</v>
      </c>
      <c r="EM244">
        <v>37.065000000000005</v>
      </c>
      <c r="EN244">
        <v>660</v>
      </c>
      <c r="EO244">
        <v>660</v>
      </c>
      <c r="EP244">
        <v>660</v>
      </c>
      <c r="EQ244">
        <v>2000</v>
      </c>
      <c r="ER244">
        <v>21.18</v>
      </c>
      <c r="ES244">
        <v>0</v>
      </c>
      <c r="ET244">
        <v>0</v>
      </c>
      <c r="EU244">
        <v>0</v>
      </c>
      <c r="EV244">
        <v>0</v>
      </c>
      <c r="EW244">
        <v>0</v>
      </c>
      <c r="FA244">
        <v>0</v>
      </c>
      <c r="FE244">
        <v>0</v>
      </c>
      <c r="FI244">
        <v>0</v>
      </c>
      <c r="FJ244">
        <v>5441.7550000000001</v>
      </c>
      <c r="FK244">
        <v>25415</v>
      </c>
      <c r="FL244">
        <v>20856.736351865002</v>
      </c>
      <c r="FM244">
        <v>19973.244999999999</v>
      </c>
    </row>
    <row r="245" spans="1:169" x14ac:dyDescent="0.35">
      <c r="A245">
        <v>196258</v>
      </c>
      <c r="B245" t="s">
        <v>3072</v>
      </c>
      <c r="C245" t="s">
        <v>3073</v>
      </c>
      <c r="D245" t="s">
        <v>3074</v>
      </c>
      <c r="E245" s="43" t="s">
        <v>3075</v>
      </c>
      <c r="F245">
        <v>1</v>
      </c>
      <c r="I245">
        <v>43804</v>
      </c>
      <c r="J245" t="s">
        <v>4242</v>
      </c>
      <c r="K245" t="s">
        <v>1715</v>
      </c>
      <c r="L245" s="43" t="s">
        <v>259</v>
      </c>
      <c r="M245" t="s">
        <v>3076</v>
      </c>
      <c r="N245" s="43" t="s">
        <v>3077</v>
      </c>
      <c r="O245" s="43" t="s">
        <v>3078</v>
      </c>
      <c r="P245" s="43" t="s">
        <v>403</v>
      </c>
      <c r="Q245" s="43" t="s">
        <v>3079</v>
      </c>
      <c r="S245">
        <v>44109</v>
      </c>
      <c r="T245" t="s">
        <v>311</v>
      </c>
      <c r="U245" t="s">
        <v>266</v>
      </c>
      <c r="V245" t="s">
        <v>267</v>
      </c>
      <c r="W245" t="s">
        <v>1718</v>
      </c>
      <c r="X245" t="s">
        <v>1719</v>
      </c>
      <c r="Y245">
        <v>8772802835</v>
      </c>
      <c r="Z245" t="s">
        <v>270</v>
      </c>
      <c r="AA245" t="s">
        <v>271</v>
      </c>
      <c r="AB245">
        <v>0</v>
      </c>
      <c r="AC245">
        <v>1210</v>
      </c>
      <c r="AD245">
        <v>99</v>
      </c>
      <c r="AE245" t="s">
        <v>376</v>
      </c>
      <c r="AF245">
        <v>7</v>
      </c>
      <c r="AG245" t="s">
        <v>275</v>
      </c>
      <c r="AK245" s="43" t="s">
        <v>259</v>
      </c>
      <c r="AL245" s="43" t="s">
        <v>259</v>
      </c>
      <c r="AO245" s="23"/>
      <c r="AP245" s="23"/>
      <c r="AQ245" s="23"/>
      <c r="BC245" t="s">
        <v>259</v>
      </c>
      <c r="BD245" s="43" t="s">
        <v>259</v>
      </c>
      <c r="BE245" s="43" t="s">
        <v>259</v>
      </c>
      <c r="BF245" s="43" t="s">
        <v>259</v>
      </c>
      <c r="BG245" s="43" t="s">
        <v>259</v>
      </c>
      <c r="BH245" t="s">
        <v>259</v>
      </c>
      <c r="BI245" s="43" t="s">
        <v>259</v>
      </c>
      <c r="BJ245">
        <v>0</v>
      </c>
      <c r="BK245">
        <v>44109</v>
      </c>
      <c r="BL245">
        <v>44356</v>
      </c>
      <c r="BM245">
        <v>8505</v>
      </c>
      <c r="BN245">
        <v>8505</v>
      </c>
      <c r="BO245">
        <v>8505</v>
      </c>
      <c r="BP245">
        <v>25515</v>
      </c>
      <c r="BQ245">
        <v>3300</v>
      </c>
      <c r="BR245">
        <v>400</v>
      </c>
      <c r="BS245">
        <v>400</v>
      </c>
      <c r="BT245">
        <v>4100</v>
      </c>
      <c r="BU245">
        <v>2100</v>
      </c>
      <c r="BV245">
        <v>2100</v>
      </c>
      <c r="BW245">
        <v>2100</v>
      </c>
      <c r="BX245">
        <v>6300</v>
      </c>
      <c r="BY245">
        <v>1200</v>
      </c>
      <c r="BZ245">
        <v>1200</v>
      </c>
      <c r="CA245">
        <v>1200</v>
      </c>
      <c r="CB245">
        <v>3600</v>
      </c>
      <c r="CC245">
        <v>0</v>
      </c>
      <c r="CD245">
        <v>0</v>
      </c>
      <c r="CE245">
        <v>0</v>
      </c>
      <c r="CF245">
        <v>0</v>
      </c>
      <c r="CG245">
        <v>39515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1154</v>
      </c>
      <c r="EJ245">
        <v>1154</v>
      </c>
      <c r="EK245">
        <v>1155</v>
      </c>
      <c r="EL245">
        <v>3500</v>
      </c>
      <c r="EM245">
        <v>37.065000000000005</v>
      </c>
      <c r="EN245">
        <v>660</v>
      </c>
      <c r="EO245">
        <v>660</v>
      </c>
      <c r="EP245">
        <v>660</v>
      </c>
      <c r="EQ245">
        <v>2000</v>
      </c>
      <c r="ER245">
        <v>21.18</v>
      </c>
      <c r="ES245">
        <v>0</v>
      </c>
      <c r="ET245">
        <v>0</v>
      </c>
      <c r="EU245">
        <v>0</v>
      </c>
      <c r="EV245">
        <v>0</v>
      </c>
      <c r="EW245">
        <v>0</v>
      </c>
      <c r="FA245">
        <v>0</v>
      </c>
      <c r="FE245">
        <v>0</v>
      </c>
      <c r="FI245">
        <v>0</v>
      </c>
      <c r="FJ245">
        <v>5441.7550000000001</v>
      </c>
      <c r="FK245">
        <v>39515</v>
      </c>
      <c r="FL245">
        <v>35580.43210392214</v>
      </c>
      <c r="FM245">
        <v>34073.245000000003</v>
      </c>
    </row>
    <row r="246" spans="1:169" x14ac:dyDescent="0.35">
      <c r="A246">
        <v>198359</v>
      </c>
      <c r="B246" t="s">
        <v>821</v>
      </c>
      <c r="C246" t="s">
        <v>3080</v>
      </c>
      <c r="D246" t="s">
        <v>3081</v>
      </c>
      <c r="E246" s="43" t="s">
        <v>3082</v>
      </c>
      <c r="F246">
        <v>1</v>
      </c>
      <c r="I246">
        <v>43804</v>
      </c>
      <c r="J246" t="s">
        <v>4242</v>
      </c>
      <c r="K246" t="s">
        <v>1715</v>
      </c>
      <c r="L246" s="43" t="s">
        <v>259</v>
      </c>
      <c r="M246" t="s">
        <v>3083</v>
      </c>
      <c r="N246" s="43" t="s">
        <v>3084</v>
      </c>
      <c r="O246" s="43" t="s">
        <v>3085</v>
      </c>
      <c r="P246" s="43" t="s">
        <v>263</v>
      </c>
      <c r="Q246" s="43" t="s">
        <v>3086</v>
      </c>
      <c r="S246">
        <v>44109</v>
      </c>
      <c r="T246" t="s">
        <v>265</v>
      </c>
      <c r="U246" t="s">
        <v>266</v>
      </c>
      <c r="V246" t="s">
        <v>267</v>
      </c>
      <c r="W246" t="s">
        <v>1718</v>
      </c>
      <c r="X246" t="s">
        <v>1719</v>
      </c>
      <c r="Y246">
        <v>8772802835</v>
      </c>
      <c r="Z246" t="s">
        <v>270</v>
      </c>
      <c r="AA246" t="s">
        <v>271</v>
      </c>
      <c r="AB246">
        <v>0</v>
      </c>
      <c r="AC246">
        <v>0</v>
      </c>
      <c r="AD246">
        <v>0</v>
      </c>
      <c r="AE246" t="s">
        <v>344</v>
      </c>
      <c r="AF246">
        <v>10</v>
      </c>
      <c r="AG246" t="s">
        <v>275</v>
      </c>
      <c r="AK246" s="43" t="s">
        <v>259</v>
      </c>
      <c r="AL246" s="43" t="s">
        <v>259</v>
      </c>
      <c r="AO246" s="23"/>
      <c r="AP246" s="23"/>
      <c r="AQ246" s="23"/>
      <c r="BC246" t="s">
        <v>259</v>
      </c>
      <c r="BD246" s="43" t="s">
        <v>259</v>
      </c>
      <c r="BE246" s="43" t="s">
        <v>259</v>
      </c>
      <c r="BF246" s="43" t="s">
        <v>259</v>
      </c>
      <c r="BG246" s="43" t="s">
        <v>259</v>
      </c>
      <c r="BH246" t="s">
        <v>259</v>
      </c>
      <c r="BI246" s="43" t="s">
        <v>259</v>
      </c>
      <c r="BJ246">
        <v>0</v>
      </c>
      <c r="BK246">
        <v>44109</v>
      </c>
      <c r="BL246">
        <v>44356</v>
      </c>
      <c r="BM246">
        <v>8505</v>
      </c>
      <c r="BN246">
        <v>8505</v>
      </c>
      <c r="BO246">
        <v>8505</v>
      </c>
      <c r="BP246">
        <v>25515</v>
      </c>
      <c r="BQ246">
        <v>3300</v>
      </c>
      <c r="BR246">
        <v>400</v>
      </c>
      <c r="BS246">
        <v>400</v>
      </c>
      <c r="BT246">
        <v>4100</v>
      </c>
      <c r="BU246">
        <v>2100</v>
      </c>
      <c r="BV246">
        <v>2100</v>
      </c>
      <c r="BW246">
        <v>2100</v>
      </c>
      <c r="BX246">
        <v>6300</v>
      </c>
      <c r="BY246">
        <v>1200</v>
      </c>
      <c r="BZ246">
        <v>1200</v>
      </c>
      <c r="CA246">
        <v>1200</v>
      </c>
      <c r="CB246">
        <v>3600</v>
      </c>
      <c r="CC246">
        <v>0</v>
      </c>
      <c r="CD246">
        <v>0</v>
      </c>
      <c r="CE246">
        <v>0</v>
      </c>
      <c r="CF246">
        <v>0</v>
      </c>
      <c r="CG246">
        <v>39515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1154</v>
      </c>
      <c r="EJ246">
        <v>1154</v>
      </c>
      <c r="EK246">
        <v>1155</v>
      </c>
      <c r="EL246">
        <v>3500</v>
      </c>
      <c r="EM246">
        <v>37.065000000000005</v>
      </c>
      <c r="EN246">
        <v>660</v>
      </c>
      <c r="EO246">
        <v>660</v>
      </c>
      <c r="EP246">
        <v>660</v>
      </c>
      <c r="EQ246">
        <v>2000</v>
      </c>
      <c r="ER246">
        <v>21.18</v>
      </c>
      <c r="ES246">
        <v>0</v>
      </c>
      <c r="ET246">
        <v>0</v>
      </c>
      <c r="EU246">
        <v>0</v>
      </c>
      <c r="EV246">
        <v>0</v>
      </c>
      <c r="EW246">
        <v>0</v>
      </c>
      <c r="FA246">
        <v>0</v>
      </c>
      <c r="FE246">
        <v>0</v>
      </c>
      <c r="FI246">
        <v>0</v>
      </c>
      <c r="FJ246">
        <v>5441.7550000000001</v>
      </c>
      <c r="FK246">
        <v>39515</v>
      </c>
      <c r="FL246">
        <v>35580.43210392214</v>
      </c>
      <c r="FM246">
        <v>34073.245000000003</v>
      </c>
    </row>
    <row r="247" spans="1:169" x14ac:dyDescent="0.35">
      <c r="A247">
        <v>196211</v>
      </c>
      <c r="B247" t="s">
        <v>3087</v>
      </c>
      <c r="C247" t="s">
        <v>3088</v>
      </c>
      <c r="D247" t="s">
        <v>3089</v>
      </c>
      <c r="E247" s="43" t="s">
        <v>3090</v>
      </c>
      <c r="F247">
        <v>1</v>
      </c>
      <c r="I247">
        <v>43802</v>
      </c>
      <c r="J247" t="s">
        <v>3304</v>
      </c>
      <c r="K247" t="s">
        <v>1715</v>
      </c>
      <c r="L247" s="43" t="s">
        <v>3204</v>
      </c>
      <c r="M247" t="s">
        <v>3091</v>
      </c>
      <c r="N247" s="43" t="s">
        <v>3092</v>
      </c>
      <c r="O247" s="43" t="s">
        <v>3093</v>
      </c>
      <c r="P247" s="43" t="s">
        <v>342</v>
      </c>
      <c r="Q247" s="43" t="s">
        <v>3094</v>
      </c>
      <c r="S247">
        <v>44109</v>
      </c>
      <c r="T247" t="s">
        <v>311</v>
      </c>
      <c r="U247" t="s">
        <v>286</v>
      </c>
      <c r="V247" t="s">
        <v>267</v>
      </c>
      <c r="W247" t="s">
        <v>1718</v>
      </c>
      <c r="X247" t="s">
        <v>1719</v>
      </c>
      <c r="Y247">
        <v>8772802835</v>
      </c>
      <c r="Z247" t="s">
        <v>270</v>
      </c>
      <c r="AA247" t="s">
        <v>271</v>
      </c>
      <c r="AB247">
        <v>0</v>
      </c>
      <c r="AC247">
        <v>1180</v>
      </c>
      <c r="AD247">
        <v>121</v>
      </c>
      <c r="AE247" t="s">
        <v>301</v>
      </c>
      <c r="AF247">
        <v>1</v>
      </c>
      <c r="AG247" t="s">
        <v>275</v>
      </c>
      <c r="AH247">
        <v>17544</v>
      </c>
      <c r="AI247">
        <v>17544</v>
      </c>
      <c r="AJ247">
        <v>43774</v>
      </c>
      <c r="AK247" s="43" t="s">
        <v>3208</v>
      </c>
      <c r="AL247" s="43" t="s">
        <v>3209</v>
      </c>
      <c r="AO247" s="23"/>
      <c r="AP247" s="23"/>
      <c r="AQ247" s="23"/>
      <c r="BC247" t="s">
        <v>2018</v>
      </c>
      <c r="BD247" s="43" t="s">
        <v>2018</v>
      </c>
      <c r="BE247" s="43" t="s">
        <v>2018</v>
      </c>
      <c r="BF247" s="43" t="s">
        <v>2018</v>
      </c>
      <c r="BG247" s="43" t="s">
        <v>2018</v>
      </c>
      <c r="BH247" t="s">
        <v>2018</v>
      </c>
      <c r="BI247" s="43" t="s">
        <v>2018</v>
      </c>
      <c r="BJ247">
        <v>0</v>
      </c>
      <c r="BK247">
        <v>44109</v>
      </c>
      <c r="BL247">
        <v>44356</v>
      </c>
      <c r="BM247">
        <v>8505</v>
      </c>
      <c r="BN247">
        <v>8505</v>
      </c>
      <c r="BO247">
        <v>8505</v>
      </c>
      <c r="BP247">
        <v>25515</v>
      </c>
      <c r="BQ247">
        <v>3300</v>
      </c>
      <c r="BR247">
        <v>400</v>
      </c>
      <c r="BS247">
        <v>400</v>
      </c>
      <c r="BT247">
        <v>4100</v>
      </c>
      <c r="BU247">
        <v>2100</v>
      </c>
      <c r="BV247">
        <v>2100</v>
      </c>
      <c r="BW247">
        <v>2100</v>
      </c>
      <c r="BX247">
        <v>6300</v>
      </c>
      <c r="BY247">
        <v>1200</v>
      </c>
      <c r="BZ247">
        <v>1200</v>
      </c>
      <c r="CA247">
        <v>1200</v>
      </c>
      <c r="CB247">
        <v>3600</v>
      </c>
      <c r="CC247">
        <v>0</v>
      </c>
      <c r="CD247">
        <v>0</v>
      </c>
      <c r="CE247">
        <v>0</v>
      </c>
      <c r="CF247">
        <v>0</v>
      </c>
      <c r="CG247">
        <v>39515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1700</v>
      </c>
      <c r="CU247">
        <v>1700</v>
      </c>
      <c r="CV247">
        <v>1700</v>
      </c>
      <c r="CW247">
        <v>5100</v>
      </c>
      <c r="CX247">
        <v>0</v>
      </c>
      <c r="CY247">
        <v>0</v>
      </c>
      <c r="CZ247">
        <v>0</v>
      </c>
      <c r="DA247">
        <v>0</v>
      </c>
      <c r="DB247">
        <v>1000</v>
      </c>
      <c r="DC247">
        <v>1000</v>
      </c>
      <c r="DD247">
        <v>1000</v>
      </c>
      <c r="DE247">
        <v>3000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8100</v>
      </c>
      <c r="EE247">
        <v>0</v>
      </c>
      <c r="EF247">
        <v>0</v>
      </c>
      <c r="EG247">
        <v>0</v>
      </c>
      <c r="EH247">
        <v>0</v>
      </c>
      <c r="EI247">
        <v>1154</v>
      </c>
      <c r="EJ247">
        <v>1154</v>
      </c>
      <c r="EK247">
        <v>1155</v>
      </c>
      <c r="EL247">
        <v>3500</v>
      </c>
      <c r="EM247">
        <v>37.065000000000005</v>
      </c>
      <c r="EN247">
        <v>660</v>
      </c>
      <c r="EO247">
        <v>660</v>
      </c>
      <c r="EP247">
        <v>660</v>
      </c>
      <c r="EQ247">
        <v>2000</v>
      </c>
      <c r="ER247">
        <v>21.18</v>
      </c>
      <c r="ES247">
        <v>0</v>
      </c>
      <c r="ET247">
        <v>0</v>
      </c>
      <c r="EU247">
        <v>0</v>
      </c>
      <c r="EV247">
        <v>0</v>
      </c>
      <c r="EW247">
        <v>0</v>
      </c>
      <c r="FA247">
        <v>0</v>
      </c>
      <c r="FE247">
        <v>0</v>
      </c>
      <c r="FI247">
        <v>0</v>
      </c>
      <c r="FJ247">
        <v>5441.7550000000001</v>
      </c>
      <c r="FK247">
        <v>31415</v>
      </c>
      <c r="FL247">
        <v>27122.138799548888</v>
      </c>
      <c r="FM247">
        <v>25973.244999999999</v>
      </c>
    </row>
    <row r="248" spans="1:169" x14ac:dyDescent="0.35">
      <c r="A248">
        <v>197603</v>
      </c>
      <c r="B248" t="s">
        <v>3095</v>
      </c>
      <c r="C248" t="s">
        <v>3096</v>
      </c>
      <c r="D248" t="s">
        <v>3097</v>
      </c>
      <c r="E248" s="43" t="s">
        <v>3098</v>
      </c>
      <c r="F248">
        <v>1</v>
      </c>
      <c r="G248">
        <v>43780</v>
      </c>
      <c r="H248">
        <v>43781</v>
      </c>
      <c r="I248">
        <v>43781</v>
      </c>
      <c r="J248" t="s">
        <v>3335</v>
      </c>
      <c r="K248" t="s">
        <v>3307</v>
      </c>
      <c r="L248" s="43" t="s">
        <v>3204</v>
      </c>
      <c r="M248" t="s">
        <v>3099</v>
      </c>
      <c r="N248" s="43" t="s">
        <v>3100</v>
      </c>
      <c r="O248" s="43" t="s">
        <v>3101</v>
      </c>
      <c r="P248" s="43" t="s">
        <v>442</v>
      </c>
      <c r="Q248" s="43" t="s">
        <v>3102</v>
      </c>
      <c r="S248">
        <v>44109</v>
      </c>
      <c r="T248" t="s">
        <v>265</v>
      </c>
      <c r="U248" t="s">
        <v>286</v>
      </c>
      <c r="V248" t="s">
        <v>267</v>
      </c>
      <c r="W248" t="s">
        <v>1718</v>
      </c>
      <c r="X248" t="s">
        <v>1719</v>
      </c>
      <c r="Y248">
        <v>8772802835</v>
      </c>
      <c r="Z248" t="s">
        <v>270</v>
      </c>
      <c r="AA248" t="s">
        <v>271</v>
      </c>
      <c r="AB248">
        <v>29</v>
      </c>
      <c r="AC248">
        <v>0</v>
      </c>
      <c r="AD248">
        <v>124</v>
      </c>
      <c r="AE248" t="s">
        <v>301</v>
      </c>
      <c r="AF248">
        <v>1</v>
      </c>
      <c r="AG248" t="s">
        <v>275</v>
      </c>
      <c r="AH248">
        <v>0</v>
      </c>
      <c r="AI248">
        <v>0</v>
      </c>
      <c r="AJ248">
        <v>43774</v>
      </c>
      <c r="AK248" s="43" t="s">
        <v>1715</v>
      </c>
      <c r="AL248" s="43" t="s">
        <v>259</v>
      </c>
      <c r="AO248" s="23"/>
      <c r="AP248" s="23"/>
      <c r="AQ248" s="23"/>
      <c r="BC248" t="s">
        <v>259</v>
      </c>
      <c r="BD248" s="43" t="s">
        <v>259</v>
      </c>
      <c r="BE248" s="43" t="s">
        <v>259</v>
      </c>
      <c r="BF248" s="43" t="s">
        <v>2018</v>
      </c>
      <c r="BG248" s="43" t="s">
        <v>2018</v>
      </c>
      <c r="BH248">
        <v>43757</v>
      </c>
      <c r="BI248" s="43" t="s">
        <v>2018</v>
      </c>
      <c r="BJ248">
        <v>5.0000000000000044E-2</v>
      </c>
      <c r="BK248">
        <v>44109</v>
      </c>
      <c r="BL248">
        <v>44356</v>
      </c>
      <c r="BM248">
        <v>8505</v>
      </c>
      <c r="BN248">
        <v>8505</v>
      </c>
      <c r="BO248">
        <v>8505</v>
      </c>
      <c r="BP248">
        <v>25515</v>
      </c>
      <c r="BQ248">
        <v>3300</v>
      </c>
      <c r="BR248">
        <v>400</v>
      </c>
      <c r="BS248">
        <v>400</v>
      </c>
      <c r="BT248">
        <v>4100</v>
      </c>
      <c r="BU248">
        <v>2100</v>
      </c>
      <c r="BV248">
        <v>2100</v>
      </c>
      <c r="BW248">
        <v>2100</v>
      </c>
      <c r="BX248">
        <v>6300</v>
      </c>
      <c r="BY248">
        <v>1200</v>
      </c>
      <c r="BZ248">
        <v>1200</v>
      </c>
      <c r="CA248">
        <v>1200</v>
      </c>
      <c r="CB248">
        <v>3600</v>
      </c>
      <c r="CC248">
        <v>0</v>
      </c>
      <c r="CD248">
        <v>0</v>
      </c>
      <c r="CE248">
        <v>0</v>
      </c>
      <c r="CF248">
        <v>0</v>
      </c>
      <c r="CG248">
        <v>39515</v>
      </c>
      <c r="CH248">
        <v>0</v>
      </c>
      <c r="CI248">
        <v>0</v>
      </c>
      <c r="CJ248">
        <v>0</v>
      </c>
      <c r="CK248">
        <v>0</v>
      </c>
      <c r="CL248">
        <v>2065</v>
      </c>
      <c r="CM248">
        <v>2065</v>
      </c>
      <c r="CN248">
        <v>2065</v>
      </c>
      <c r="CO248">
        <v>6195</v>
      </c>
      <c r="CP248">
        <v>500</v>
      </c>
      <c r="CQ248">
        <v>500</v>
      </c>
      <c r="CR248">
        <v>500</v>
      </c>
      <c r="CS248">
        <v>1500</v>
      </c>
      <c r="CT248">
        <v>1700</v>
      </c>
      <c r="CU248">
        <v>1700</v>
      </c>
      <c r="CV248">
        <v>1700</v>
      </c>
      <c r="CW248">
        <v>5100</v>
      </c>
      <c r="CX248">
        <v>0</v>
      </c>
      <c r="CY248">
        <v>0</v>
      </c>
      <c r="CZ248">
        <v>0</v>
      </c>
      <c r="DA248">
        <v>0</v>
      </c>
      <c r="DB248">
        <v>1000</v>
      </c>
      <c r="DC248">
        <v>1000</v>
      </c>
      <c r="DD248">
        <v>1000</v>
      </c>
      <c r="DE248">
        <v>3000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15795</v>
      </c>
      <c r="EE248">
        <v>0</v>
      </c>
      <c r="EF248">
        <v>0</v>
      </c>
      <c r="EG248">
        <v>0</v>
      </c>
      <c r="EH248">
        <v>0</v>
      </c>
      <c r="EI248">
        <v>1154</v>
      </c>
      <c r="EJ248">
        <v>1154</v>
      </c>
      <c r="EK248">
        <v>1155</v>
      </c>
      <c r="EL248">
        <v>3500</v>
      </c>
      <c r="EM248">
        <v>37.065000000000005</v>
      </c>
      <c r="EN248">
        <v>660</v>
      </c>
      <c r="EO248">
        <v>660</v>
      </c>
      <c r="EP248">
        <v>660</v>
      </c>
      <c r="EQ248">
        <v>2000</v>
      </c>
      <c r="ER248">
        <v>21.18</v>
      </c>
      <c r="ES248">
        <v>0</v>
      </c>
      <c r="ET248">
        <v>0</v>
      </c>
      <c r="EU248">
        <v>0</v>
      </c>
      <c r="EV248">
        <v>0</v>
      </c>
      <c r="EW248">
        <v>0</v>
      </c>
      <c r="FA248">
        <v>0</v>
      </c>
      <c r="FE248">
        <v>0</v>
      </c>
      <c r="FI248">
        <v>0</v>
      </c>
      <c r="FJ248">
        <v>5441.7550000000001</v>
      </c>
      <c r="FK248">
        <v>23720</v>
      </c>
      <c r="FL248">
        <v>19086.7601603943</v>
      </c>
      <c r="FM248">
        <v>18278.244999999999</v>
      </c>
    </row>
    <row r="249" spans="1:169" x14ac:dyDescent="0.35">
      <c r="A249">
        <v>195554</v>
      </c>
      <c r="B249" t="s">
        <v>3103</v>
      </c>
      <c r="C249" t="s">
        <v>3104</v>
      </c>
      <c r="D249" t="s">
        <v>3105</v>
      </c>
      <c r="E249" s="43" t="s">
        <v>3106</v>
      </c>
      <c r="F249">
        <v>1</v>
      </c>
      <c r="I249">
        <v>43804</v>
      </c>
      <c r="J249" t="s">
        <v>4240</v>
      </c>
      <c r="K249" t="s">
        <v>1715</v>
      </c>
      <c r="L249" s="43" t="s">
        <v>301</v>
      </c>
      <c r="M249" t="s">
        <v>3107</v>
      </c>
      <c r="N249" s="43" t="s">
        <v>3108</v>
      </c>
      <c r="O249" s="43" t="s">
        <v>3109</v>
      </c>
      <c r="P249" s="43" t="s">
        <v>596</v>
      </c>
      <c r="Q249" s="43" t="s">
        <v>3110</v>
      </c>
      <c r="S249">
        <v>44109</v>
      </c>
      <c r="T249" t="s">
        <v>311</v>
      </c>
      <c r="U249" t="s">
        <v>266</v>
      </c>
      <c r="V249" t="s">
        <v>267</v>
      </c>
      <c r="W249" t="s">
        <v>1718</v>
      </c>
      <c r="X249" t="s">
        <v>1719</v>
      </c>
      <c r="Y249">
        <v>8772802835</v>
      </c>
      <c r="Z249" t="s">
        <v>270</v>
      </c>
      <c r="AA249" t="s">
        <v>271</v>
      </c>
      <c r="AB249">
        <v>21</v>
      </c>
      <c r="AC249">
        <v>0</v>
      </c>
      <c r="AD249">
        <v>97</v>
      </c>
      <c r="AE249" t="s">
        <v>354</v>
      </c>
      <c r="AF249">
        <v>6</v>
      </c>
      <c r="AG249" t="s">
        <v>275</v>
      </c>
      <c r="AH249">
        <v>0</v>
      </c>
      <c r="AI249">
        <v>0</v>
      </c>
      <c r="AJ249">
        <v>43801</v>
      </c>
      <c r="AK249" s="43" t="s">
        <v>3208</v>
      </c>
      <c r="AL249" s="43" t="s">
        <v>3209</v>
      </c>
      <c r="AO249" s="23"/>
      <c r="AP249" s="23"/>
      <c r="AQ249" s="23"/>
      <c r="BC249" t="s">
        <v>2018</v>
      </c>
      <c r="BD249" s="43" t="s">
        <v>2018</v>
      </c>
      <c r="BE249" s="43" t="s">
        <v>2018</v>
      </c>
      <c r="BF249" s="43" t="s">
        <v>2018</v>
      </c>
      <c r="BG249" s="43" t="s">
        <v>2018</v>
      </c>
      <c r="BH249" t="s">
        <v>2018</v>
      </c>
      <c r="BI249" s="43" t="s">
        <v>2018</v>
      </c>
      <c r="BJ249">
        <v>0</v>
      </c>
      <c r="BK249">
        <v>44109</v>
      </c>
      <c r="BL249">
        <v>44356</v>
      </c>
      <c r="BM249">
        <v>8505</v>
      </c>
      <c r="BN249">
        <v>8505</v>
      </c>
      <c r="BO249">
        <v>8505</v>
      </c>
      <c r="BP249">
        <v>25515</v>
      </c>
      <c r="BQ249">
        <v>3300</v>
      </c>
      <c r="BR249">
        <v>400</v>
      </c>
      <c r="BS249">
        <v>400</v>
      </c>
      <c r="BT249">
        <v>4100</v>
      </c>
      <c r="BU249">
        <v>2100</v>
      </c>
      <c r="BV249">
        <v>2100</v>
      </c>
      <c r="BW249">
        <v>2100</v>
      </c>
      <c r="BX249">
        <v>6300</v>
      </c>
      <c r="BY249">
        <v>1200</v>
      </c>
      <c r="BZ249">
        <v>1200</v>
      </c>
      <c r="CA249">
        <v>1200</v>
      </c>
      <c r="CB249">
        <v>3600</v>
      </c>
      <c r="CC249">
        <v>0</v>
      </c>
      <c r="CD249">
        <v>0</v>
      </c>
      <c r="CE249">
        <v>0</v>
      </c>
      <c r="CF249">
        <v>0</v>
      </c>
      <c r="CG249">
        <v>39515</v>
      </c>
      <c r="CH249">
        <v>0</v>
      </c>
      <c r="CI249">
        <v>0</v>
      </c>
      <c r="CJ249">
        <v>0</v>
      </c>
      <c r="CK249">
        <v>0</v>
      </c>
      <c r="CL249">
        <v>2065</v>
      </c>
      <c r="CM249">
        <v>2065</v>
      </c>
      <c r="CN249">
        <v>2065</v>
      </c>
      <c r="CO249">
        <v>6195</v>
      </c>
      <c r="CP249">
        <v>500</v>
      </c>
      <c r="CQ249">
        <v>500</v>
      </c>
      <c r="CR249">
        <v>500</v>
      </c>
      <c r="CS249">
        <v>1500</v>
      </c>
      <c r="CT249">
        <v>750</v>
      </c>
      <c r="CU249">
        <v>750</v>
      </c>
      <c r="CV249">
        <v>750</v>
      </c>
      <c r="CW249">
        <v>2250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9945</v>
      </c>
      <c r="EE249">
        <v>0</v>
      </c>
      <c r="EF249">
        <v>0</v>
      </c>
      <c r="EG249">
        <v>0</v>
      </c>
      <c r="EH249">
        <v>0</v>
      </c>
      <c r="EI249">
        <v>1154</v>
      </c>
      <c r="EJ249">
        <v>1154</v>
      </c>
      <c r="EK249">
        <v>1155</v>
      </c>
      <c r="EL249">
        <v>3500</v>
      </c>
      <c r="EM249">
        <v>37.065000000000005</v>
      </c>
      <c r="EN249">
        <v>1979</v>
      </c>
      <c r="EO249">
        <v>1979</v>
      </c>
      <c r="EP249">
        <v>1979</v>
      </c>
      <c r="EQ249">
        <v>6000</v>
      </c>
      <c r="ER249">
        <v>63.540000000000006</v>
      </c>
      <c r="ES249">
        <v>0</v>
      </c>
      <c r="ET249">
        <v>0</v>
      </c>
      <c r="EU249">
        <v>0</v>
      </c>
      <c r="EV249">
        <v>0</v>
      </c>
      <c r="EW249">
        <v>0</v>
      </c>
      <c r="FA249">
        <v>0</v>
      </c>
      <c r="FE249">
        <v>0</v>
      </c>
      <c r="FI249">
        <v>0</v>
      </c>
      <c r="FJ249">
        <v>9399.3950000000004</v>
      </c>
      <c r="FK249">
        <v>29570</v>
      </c>
      <c r="FL249">
        <v>21062.826323044148</v>
      </c>
      <c r="FM249">
        <v>20170.605</v>
      </c>
    </row>
    <row r="250" spans="1:169" x14ac:dyDescent="0.35">
      <c r="A250">
        <v>198280</v>
      </c>
      <c r="B250" t="s">
        <v>3111</v>
      </c>
      <c r="C250" t="s">
        <v>3112</v>
      </c>
      <c r="D250" t="s">
        <v>3113</v>
      </c>
      <c r="E250" s="43" t="s">
        <v>3114</v>
      </c>
      <c r="F250">
        <v>1</v>
      </c>
      <c r="I250">
        <v>43804</v>
      </c>
      <c r="J250" t="s">
        <v>4240</v>
      </c>
      <c r="K250" t="s">
        <v>1715</v>
      </c>
      <c r="L250" s="43" t="s">
        <v>3204</v>
      </c>
      <c r="M250" t="s">
        <v>3115</v>
      </c>
      <c r="N250" s="43" t="s">
        <v>3116</v>
      </c>
      <c r="O250" s="43" t="s">
        <v>3117</v>
      </c>
      <c r="P250" s="43" t="s">
        <v>342</v>
      </c>
      <c r="Q250" s="43" t="s">
        <v>3118</v>
      </c>
      <c r="S250">
        <v>44109</v>
      </c>
      <c r="T250" t="s">
        <v>265</v>
      </c>
      <c r="U250" t="s">
        <v>266</v>
      </c>
      <c r="V250" t="s">
        <v>267</v>
      </c>
      <c r="W250" t="s">
        <v>1718</v>
      </c>
      <c r="X250" t="s">
        <v>1719</v>
      </c>
      <c r="Y250">
        <v>8772802835</v>
      </c>
      <c r="Z250" t="s">
        <v>270</v>
      </c>
      <c r="AA250" t="s">
        <v>271</v>
      </c>
      <c r="AB250">
        <v>0</v>
      </c>
      <c r="AC250">
        <v>1220</v>
      </c>
      <c r="AD250">
        <v>110</v>
      </c>
      <c r="AE250" t="s">
        <v>364</v>
      </c>
      <c r="AF250">
        <v>3</v>
      </c>
      <c r="AG250" t="s">
        <v>275</v>
      </c>
      <c r="AH250">
        <v>36975</v>
      </c>
      <c r="AI250">
        <v>36975</v>
      </c>
      <c r="AJ250">
        <v>43776</v>
      </c>
      <c r="AK250" s="43" t="s">
        <v>3208</v>
      </c>
      <c r="AL250" s="43" t="s">
        <v>3209</v>
      </c>
      <c r="AO250" s="23"/>
      <c r="AP250" s="23"/>
      <c r="AQ250" s="23"/>
      <c r="BC250" t="s">
        <v>2018</v>
      </c>
      <c r="BD250" s="43" t="s">
        <v>2018</v>
      </c>
      <c r="BE250" s="43" t="s">
        <v>2018</v>
      </c>
      <c r="BF250" s="43" t="s">
        <v>2018</v>
      </c>
      <c r="BG250" s="43" t="s">
        <v>2018</v>
      </c>
      <c r="BH250" t="s">
        <v>2018</v>
      </c>
      <c r="BI250" s="43" t="s">
        <v>2018</v>
      </c>
      <c r="BJ250">
        <v>0</v>
      </c>
      <c r="BK250">
        <v>44109</v>
      </c>
      <c r="BL250">
        <v>44356</v>
      </c>
      <c r="BM250">
        <v>8505</v>
      </c>
      <c r="BN250">
        <v>8505</v>
      </c>
      <c r="BO250">
        <v>8505</v>
      </c>
      <c r="BP250">
        <v>25515</v>
      </c>
      <c r="BQ250">
        <v>3300</v>
      </c>
      <c r="BR250">
        <v>400</v>
      </c>
      <c r="BS250">
        <v>400</v>
      </c>
      <c r="BT250">
        <v>4100</v>
      </c>
      <c r="BU250">
        <v>2100</v>
      </c>
      <c r="BV250">
        <v>2100</v>
      </c>
      <c r="BW250">
        <v>2100</v>
      </c>
      <c r="BX250">
        <v>6300</v>
      </c>
      <c r="BY250">
        <v>1200</v>
      </c>
      <c r="BZ250">
        <v>1200</v>
      </c>
      <c r="CA250">
        <v>1200</v>
      </c>
      <c r="CB250">
        <v>3600</v>
      </c>
      <c r="CC250">
        <v>0</v>
      </c>
      <c r="CD250">
        <v>0</v>
      </c>
      <c r="CE250">
        <v>0</v>
      </c>
      <c r="CF250">
        <v>0</v>
      </c>
      <c r="CG250">
        <v>39515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1300</v>
      </c>
      <c r="CU250">
        <v>1300</v>
      </c>
      <c r="CV250">
        <v>1300</v>
      </c>
      <c r="CW250">
        <v>3900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3900</v>
      </c>
      <c r="EE250">
        <v>0</v>
      </c>
      <c r="EF250">
        <v>0</v>
      </c>
      <c r="EG250">
        <v>0</v>
      </c>
      <c r="EH250">
        <v>0</v>
      </c>
      <c r="EI250">
        <v>1154</v>
      </c>
      <c r="EJ250">
        <v>1154</v>
      </c>
      <c r="EK250">
        <v>1155</v>
      </c>
      <c r="EL250">
        <v>3500</v>
      </c>
      <c r="EM250">
        <v>37.065000000000005</v>
      </c>
      <c r="EN250">
        <v>660</v>
      </c>
      <c r="EO250">
        <v>660</v>
      </c>
      <c r="EP250">
        <v>660</v>
      </c>
      <c r="EQ250">
        <v>2000</v>
      </c>
      <c r="ER250">
        <v>21.18</v>
      </c>
      <c r="ES250">
        <v>0</v>
      </c>
      <c r="ET250">
        <v>0</v>
      </c>
      <c r="EU250">
        <v>0</v>
      </c>
      <c r="EV250">
        <v>0</v>
      </c>
      <c r="EW250">
        <v>0</v>
      </c>
      <c r="FA250">
        <v>0</v>
      </c>
      <c r="FE250">
        <v>0</v>
      </c>
      <c r="FI250">
        <v>0</v>
      </c>
      <c r="FJ250">
        <v>5441.7550000000001</v>
      </c>
      <c r="FK250">
        <v>35615</v>
      </c>
      <c r="FL250">
        <v>31507.920512927612</v>
      </c>
      <c r="FM250">
        <v>30173.244999999999</v>
      </c>
    </row>
    <row r="251" spans="1:169" x14ac:dyDescent="0.35">
      <c r="A251">
        <v>197552</v>
      </c>
      <c r="B251" t="s">
        <v>3119</v>
      </c>
      <c r="C251" t="s">
        <v>3120</v>
      </c>
      <c r="D251" t="s">
        <v>3121</v>
      </c>
      <c r="E251" s="43" t="s">
        <v>3122</v>
      </c>
      <c r="F251">
        <v>1</v>
      </c>
      <c r="I251">
        <v>43804</v>
      </c>
      <c r="J251" t="s">
        <v>4240</v>
      </c>
      <c r="K251" t="s">
        <v>1715</v>
      </c>
      <c r="L251" s="43" t="s">
        <v>3204</v>
      </c>
      <c r="M251" t="s">
        <v>3123</v>
      </c>
      <c r="N251" s="43" t="s">
        <v>3124</v>
      </c>
      <c r="O251" s="43" t="s">
        <v>3125</v>
      </c>
      <c r="P251" s="43" t="s">
        <v>579</v>
      </c>
      <c r="Q251" s="43" t="s">
        <v>3126</v>
      </c>
      <c r="S251">
        <v>44109</v>
      </c>
      <c r="T251" t="s">
        <v>265</v>
      </c>
      <c r="U251" t="s">
        <v>266</v>
      </c>
      <c r="V251" t="s">
        <v>267</v>
      </c>
      <c r="W251" t="s">
        <v>1718</v>
      </c>
      <c r="X251" t="s">
        <v>1719</v>
      </c>
      <c r="Y251">
        <v>8772802835</v>
      </c>
      <c r="Z251" t="s">
        <v>270</v>
      </c>
      <c r="AA251" t="s">
        <v>271</v>
      </c>
      <c r="AB251">
        <v>24</v>
      </c>
      <c r="AC251">
        <v>0</v>
      </c>
      <c r="AD251">
        <v>108</v>
      </c>
      <c r="AE251" t="s">
        <v>364</v>
      </c>
      <c r="AF251">
        <v>3</v>
      </c>
      <c r="AG251" t="s">
        <v>275</v>
      </c>
      <c r="AH251">
        <v>0</v>
      </c>
      <c r="AI251">
        <v>0</v>
      </c>
      <c r="AJ251">
        <v>43774</v>
      </c>
      <c r="AK251" s="43" t="s">
        <v>3208</v>
      </c>
      <c r="AL251" s="43" t="s">
        <v>3209</v>
      </c>
      <c r="AO251" s="23"/>
      <c r="AP251" s="23"/>
      <c r="AQ251" s="23"/>
      <c r="BC251" t="s">
        <v>2018</v>
      </c>
      <c r="BD251" s="43" t="s">
        <v>2018</v>
      </c>
      <c r="BE251" s="43" t="s">
        <v>2018</v>
      </c>
      <c r="BF251" s="43" t="s">
        <v>2018</v>
      </c>
      <c r="BG251" s="43" t="s">
        <v>2018</v>
      </c>
      <c r="BH251" t="s">
        <v>2018</v>
      </c>
      <c r="BI251" s="43" t="s">
        <v>2018</v>
      </c>
      <c r="BJ251">
        <v>0</v>
      </c>
      <c r="BK251">
        <v>44109</v>
      </c>
      <c r="BL251">
        <v>44356</v>
      </c>
      <c r="BM251">
        <v>8505</v>
      </c>
      <c r="BN251">
        <v>8505</v>
      </c>
      <c r="BO251">
        <v>8505</v>
      </c>
      <c r="BP251">
        <v>25515</v>
      </c>
      <c r="BQ251">
        <v>3300</v>
      </c>
      <c r="BR251">
        <v>400</v>
      </c>
      <c r="BS251">
        <v>400</v>
      </c>
      <c r="BT251">
        <v>4100</v>
      </c>
      <c r="BU251">
        <v>2100</v>
      </c>
      <c r="BV251">
        <v>2100</v>
      </c>
      <c r="BW251">
        <v>2100</v>
      </c>
      <c r="BX251">
        <v>6300</v>
      </c>
      <c r="BY251">
        <v>1200</v>
      </c>
      <c r="BZ251">
        <v>1200</v>
      </c>
      <c r="CA251">
        <v>1200</v>
      </c>
      <c r="CB251">
        <v>3600</v>
      </c>
      <c r="CC251">
        <v>0</v>
      </c>
      <c r="CD251">
        <v>0</v>
      </c>
      <c r="CE251">
        <v>0</v>
      </c>
      <c r="CF251">
        <v>0</v>
      </c>
      <c r="CG251">
        <v>39515</v>
      </c>
      <c r="CH251">
        <v>0</v>
      </c>
      <c r="CI251">
        <v>0</v>
      </c>
      <c r="CJ251">
        <v>0</v>
      </c>
      <c r="CK251">
        <v>0</v>
      </c>
      <c r="CL251">
        <v>2065</v>
      </c>
      <c r="CM251">
        <v>2065</v>
      </c>
      <c r="CN251">
        <v>2065</v>
      </c>
      <c r="CO251">
        <v>6195</v>
      </c>
      <c r="CP251">
        <v>500</v>
      </c>
      <c r="CQ251">
        <v>500</v>
      </c>
      <c r="CR251">
        <v>500</v>
      </c>
      <c r="CS251">
        <v>1500</v>
      </c>
      <c r="CT251">
        <v>1300</v>
      </c>
      <c r="CU251">
        <v>1300</v>
      </c>
      <c r="CV251">
        <v>1300</v>
      </c>
      <c r="CW251">
        <v>3900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11595</v>
      </c>
      <c r="EE251">
        <v>0</v>
      </c>
      <c r="EF251">
        <v>0</v>
      </c>
      <c r="EG251">
        <v>0</v>
      </c>
      <c r="EH251">
        <v>0</v>
      </c>
      <c r="EI251">
        <v>1154</v>
      </c>
      <c r="EJ251">
        <v>1154</v>
      </c>
      <c r="EK251">
        <v>1155</v>
      </c>
      <c r="EL251">
        <v>3500</v>
      </c>
      <c r="EM251">
        <v>37.065000000000005</v>
      </c>
      <c r="EN251">
        <v>660</v>
      </c>
      <c r="EO251">
        <v>660</v>
      </c>
      <c r="EP251">
        <v>660</v>
      </c>
      <c r="EQ251">
        <v>2000</v>
      </c>
      <c r="ER251">
        <v>21.18</v>
      </c>
      <c r="ES251">
        <v>0</v>
      </c>
      <c r="ET251">
        <v>0</v>
      </c>
      <c r="EU251">
        <v>0</v>
      </c>
      <c r="EV251">
        <v>0</v>
      </c>
      <c r="EW251">
        <v>0</v>
      </c>
      <c r="FA251">
        <v>0</v>
      </c>
      <c r="FE251">
        <v>0</v>
      </c>
      <c r="FI251">
        <v>0</v>
      </c>
      <c r="FJ251">
        <v>5441.7550000000001</v>
      </c>
      <c r="FK251">
        <v>27920</v>
      </c>
      <c r="FL251">
        <v>23472.541873773025</v>
      </c>
      <c r="FM251">
        <v>22478.244999999999</v>
      </c>
    </row>
    <row r="252" spans="1:169" x14ac:dyDescent="0.35">
      <c r="A252">
        <v>197787</v>
      </c>
      <c r="B252" t="s">
        <v>3127</v>
      </c>
      <c r="C252" t="s">
        <v>3128</v>
      </c>
      <c r="D252" t="s">
        <v>3129</v>
      </c>
      <c r="E252" s="43" t="s">
        <v>3130</v>
      </c>
      <c r="F252">
        <v>1</v>
      </c>
      <c r="I252">
        <v>43804</v>
      </c>
      <c r="J252" t="s">
        <v>4241</v>
      </c>
      <c r="K252" t="s">
        <v>1715</v>
      </c>
      <c r="L252" s="43" t="s">
        <v>259</v>
      </c>
      <c r="M252" t="s">
        <v>3131</v>
      </c>
      <c r="N252" s="43" t="s">
        <v>3132</v>
      </c>
      <c r="O252" s="43" t="s">
        <v>3133</v>
      </c>
      <c r="P252" s="43" t="s">
        <v>332</v>
      </c>
      <c r="Q252" s="43" t="s">
        <v>3134</v>
      </c>
      <c r="S252">
        <v>44109</v>
      </c>
      <c r="T252" t="s">
        <v>311</v>
      </c>
      <c r="U252" t="s">
        <v>286</v>
      </c>
      <c r="V252" t="s">
        <v>267</v>
      </c>
      <c r="W252" t="s">
        <v>1718</v>
      </c>
      <c r="X252" t="s">
        <v>1719</v>
      </c>
      <c r="Y252">
        <v>8772802835</v>
      </c>
      <c r="Z252" t="s">
        <v>270</v>
      </c>
      <c r="AA252" t="s">
        <v>271</v>
      </c>
      <c r="AB252">
        <v>15</v>
      </c>
      <c r="AC252">
        <v>0</v>
      </c>
      <c r="AD252">
        <v>81</v>
      </c>
      <c r="AE252" t="s">
        <v>344</v>
      </c>
      <c r="AF252">
        <v>10</v>
      </c>
      <c r="AG252" t="s">
        <v>275</v>
      </c>
      <c r="AK252" s="43" t="s">
        <v>259</v>
      </c>
      <c r="AL252" s="43" t="s">
        <v>259</v>
      </c>
      <c r="AO252" s="23"/>
      <c r="AP252" s="23"/>
      <c r="AQ252" s="23"/>
      <c r="BC252" t="s">
        <v>259</v>
      </c>
      <c r="BD252" s="43" t="s">
        <v>259</v>
      </c>
      <c r="BE252" s="43" t="s">
        <v>259</v>
      </c>
      <c r="BF252" s="43" t="s">
        <v>259</v>
      </c>
      <c r="BG252" s="43" t="s">
        <v>259</v>
      </c>
      <c r="BH252" t="s">
        <v>259</v>
      </c>
      <c r="BI252" s="43" t="s">
        <v>259</v>
      </c>
      <c r="BJ252">
        <v>0</v>
      </c>
      <c r="BK252">
        <v>44109</v>
      </c>
      <c r="BL252">
        <v>44356</v>
      </c>
      <c r="BM252">
        <v>8505</v>
      </c>
      <c r="BN252">
        <v>8505</v>
      </c>
      <c r="BO252">
        <v>8505</v>
      </c>
      <c r="BP252">
        <v>25515</v>
      </c>
      <c r="BQ252">
        <v>3300</v>
      </c>
      <c r="BR252">
        <v>400</v>
      </c>
      <c r="BS252">
        <v>400</v>
      </c>
      <c r="BT252">
        <v>4100</v>
      </c>
      <c r="BU252">
        <v>2100</v>
      </c>
      <c r="BV252">
        <v>2100</v>
      </c>
      <c r="BW252">
        <v>2100</v>
      </c>
      <c r="BX252">
        <v>6300</v>
      </c>
      <c r="BY252">
        <v>1200</v>
      </c>
      <c r="BZ252">
        <v>1200</v>
      </c>
      <c r="CA252">
        <v>1200</v>
      </c>
      <c r="CB252">
        <v>3600</v>
      </c>
      <c r="CC252">
        <v>0</v>
      </c>
      <c r="CD252">
        <v>0</v>
      </c>
      <c r="CE252">
        <v>0</v>
      </c>
      <c r="CF252">
        <v>0</v>
      </c>
      <c r="CG252">
        <v>39515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1000</v>
      </c>
      <c r="DC252">
        <v>1000</v>
      </c>
      <c r="DD252">
        <v>1000</v>
      </c>
      <c r="DE252">
        <v>3000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3000</v>
      </c>
      <c r="EE252">
        <v>0</v>
      </c>
      <c r="EF252">
        <v>0</v>
      </c>
      <c r="EG252">
        <v>0</v>
      </c>
      <c r="EH252">
        <v>0</v>
      </c>
      <c r="EI252">
        <v>1154</v>
      </c>
      <c r="EJ252">
        <v>1154</v>
      </c>
      <c r="EK252">
        <v>1155</v>
      </c>
      <c r="EL252">
        <v>3500</v>
      </c>
      <c r="EM252">
        <v>37.065000000000005</v>
      </c>
      <c r="EN252">
        <v>660</v>
      </c>
      <c r="EO252">
        <v>660</v>
      </c>
      <c r="EP252">
        <v>660</v>
      </c>
      <c r="EQ252">
        <v>2000</v>
      </c>
      <c r="ER252">
        <v>21.18</v>
      </c>
      <c r="ES252">
        <v>0</v>
      </c>
      <c r="ET252">
        <v>0</v>
      </c>
      <c r="EU252">
        <v>0</v>
      </c>
      <c r="EV252">
        <v>0</v>
      </c>
      <c r="EW252">
        <v>0</v>
      </c>
      <c r="FA252">
        <v>0</v>
      </c>
      <c r="FE252">
        <v>0</v>
      </c>
      <c r="FI252">
        <v>0</v>
      </c>
      <c r="FJ252">
        <v>5441.7550000000001</v>
      </c>
      <c r="FK252">
        <v>36515</v>
      </c>
      <c r="FL252">
        <v>32447.730880080198</v>
      </c>
      <c r="FM252">
        <v>31073.245000000003</v>
      </c>
    </row>
    <row r="253" spans="1:169" x14ac:dyDescent="0.35">
      <c r="A253">
        <v>196293</v>
      </c>
      <c r="B253" t="s">
        <v>4155</v>
      </c>
      <c r="C253" t="s">
        <v>730</v>
      </c>
      <c r="D253" t="s">
        <v>4156</v>
      </c>
      <c r="E253" s="43" t="s">
        <v>4157</v>
      </c>
      <c r="F253">
        <v>1</v>
      </c>
      <c r="I253">
        <v>43804</v>
      </c>
      <c r="J253" t="s">
        <v>4242</v>
      </c>
      <c r="K253" t="s">
        <v>1715</v>
      </c>
      <c r="L253" s="43" t="s">
        <v>259</v>
      </c>
      <c r="M253" t="s">
        <v>4158</v>
      </c>
      <c r="N253" s="43" t="s">
        <v>4159</v>
      </c>
      <c r="O253" s="43" t="s">
        <v>4160</v>
      </c>
      <c r="P253" s="43" t="s">
        <v>596</v>
      </c>
      <c r="Q253" s="43" t="s">
        <v>4161</v>
      </c>
      <c r="S253">
        <v>44109</v>
      </c>
      <c r="T253" t="s">
        <v>311</v>
      </c>
      <c r="U253" t="s">
        <v>286</v>
      </c>
      <c r="V253" t="s">
        <v>267</v>
      </c>
      <c r="W253" t="s">
        <v>1718</v>
      </c>
      <c r="X253" t="s">
        <v>1719</v>
      </c>
      <c r="Y253">
        <v>8772802835</v>
      </c>
      <c r="Z253" t="s">
        <v>270</v>
      </c>
      <c r="AA253" t="s">
        <v>271</v>
      </c>
      <c r="AB253">
        <v>21</v>
      </c>
      <c r="AC253">
        <v>0</v>
      </c>
      <c r="AD253">
        <v>87</v>
      </c>
      <c r="AE253" t="s">
        <v>354</v>
      </c>
      <c r="AF253">
        <v>6</v>
      </c>
      <c r="AG253" t="s">
        <v>3345</v>
      </c>
      <c r="AK253" s="43" t="s">
        <v>259</v>
      </c>
      <c r="AL253" s="43" t="s">
        <v>259</v>
      </c>
      <c r="AO253" s="23"/>
      <c r="AP253" s="23"/>
      <c r="AQ253" s="23"/>
      <c r="BC253" t="s">
        <v>259</v>
      </c>
      <c r="BD253" s="43" t="s">
        <v>259</v>
      </c>
      <c r="BE253" s="43" t="s">
        <v>259</v>
      </c>
      <c r="BF253" s="43" t="s">
        <v>259</v>
      </c>
      <c r="BG253" s="43" t="s">
        <v>259</v>
      </c>
      <c r="BH253" t="s">
        <v>259</v>
      </c>
      <c r="BI253" s="43" t="s">
        <v>259</v>
      </c>
      <c r="BJ253">
        <v>0</v>
      </c>
      <c r="BK253">
        <v>44109</v>
      </c>
      <c r="BL253">
        <v>44356</v>
      </c>
      <c r="BM253">
        <v>8505</v>
      </c>
      <c r="BN253">
        <v>8505</v>
      </c>
      <c r="BO253">
        <v>8505</v>
      </c>
      <c r="BP253">
        <v>25515</v>
      </c>
      <c r="BQ253">
        <v>3300</v>
      </c>
      <c r="BR253">
        <v>400</v>
      </c>
      <c r="BS253">
        <v>400</v>
      </c>
      <c r="BT253">
        <v>4100</v>
      </c>
      <c r="BU253">
        <v>2100</v>
      </c>
      <c r="BV253">
        <v>2100</v>
      </c>
      <c r="BW253">
        <v>2100</v>
      </c>
      <c r="BX253">
        <v>6300</v>
      </c>
      <c r="BY253">
        <v>1200</v>
      </c>
      <c r="BZ253">
        <v>1200</v>
      </c>
      <c r="CA253">
        <v>1200</v>
      </c>
      <c r="CB253">
        <v>3600</v>
      </c>
      <c r="CC253">
        <v>0</v>
      </c>
      <c r="CD253">
        <v>0</v>
      </c>
      <c r="CE253">
        <v>0</v>
      </c>
      <c r="CF253">
        <v>0</v>
      </c>
      <c r="CG253">
        <v>39515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750</v>
      </c>
      <c r="CU253">
        <v>750</v>
      </c>
      <c r="CV253">
        <v>750</v>
      </c>
      <c r="CW253">
        <v>2250</v>
      </c>
      <c r="CX253">
        <v>0</v>
      </c>
      <c r="CY253">
        <v>0</v>
      </c>
      <c r="CZ253">
        <v>0</v>
      </c>
      <c r="DA253">
        <v>0</v>
      </c>
      <c r="DB253">
        <v>1000</v>
      </c>
      <c r="DC253">
        <v>1000</v>
      </c>
      <c r="DD253">
        <v>1000</v>
      </c>
      <c r="DE253">
        <v>3000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5250</v>
      </c>
      <c r="EE253">
        <v>0</v>
      </c>
      <c r="EF253">
        <v>0</v>
      </c>
      <c r="EG253">
        <v>0</v>
      </c>
      <c r="EH253">
        <v>0</v>
      </c>
      <c r="EI253">
        <v>1154</v>
      </c>
      <c r="EJ253">
        <v>1154</v>
      </c>
      <c r="EK253">
        <v>1155</v>
      </c>
      <c r="EL253">
        <v>3500</v>
      </c>
      <c r="EM253">
        <v>37.065000000000005</v>
      </c>
      <c r="EN253">
        <v>660</v>
      </c>
      <c r="EO253">
        <v>660</v>
      </c>
      <c r="EP253">
        <v>660</v>
      </c>
      <c r="EQ253">
        <v>2000</v>
      </c>
      <c r="ER253">
        <v>21.18</v>
      </c>
      <c r="ES253">
        <v>0</v>
      </c>
      <c r="ET253">
        <v>0</v>
      </c>
      <c r="EU253">
        <v>0</v>
      </c>
      <c r="EV253">
        <v>0</v>
      </c>
      <c r="EW253">
        <v>0</v>
      </c>
      <c r="FA253">
        <v>0</v>
      </c>
      <c r="FE253">
        <v>0</v>
      </c>
      <c r="FI253">
        <v>0</v>
      </c>
      <c r="FJ253">
        <v>5441.7550000000001</v>
      </c>
      <c r="FK253">
        <v>34265</v>
      </c>
      <c r="FL253">
        <v>30098.204962198735</v>
      </c>
      <c r="FM253">
        <v>28823.244999999999</v>
      </c>
    </row>
    <row r="254" spans="1:169" x14ac:dyDescent="0.35">
      <c r="A254">
        <v>194584</v>
      </c>
      <c r="B254" t="s">
        <v>3135</v>
      </c>
      <c r="C254" t="s">
        <v>529</v>
      </c>
      <c r="D254" t="s">
        <v>3136</v>
      </c>
      <c r="E254" s="43" t="s">
        <v>3137</v>
      </c>
      <c r="F254">
        <v>1</v>
      </c>
      <c r="I254">
        <v>43804</v>
      </c>
      <c r="J254" t="s">
        <v>4240</v>
      </c>
      <c r="K254" t="s">
        <v>1715</v>
      </c>
      <c r="L254" s="43" t="s">
        <v>3204</v>
      </c>
      <c r="M254" t="s">
        <v>3138</v>
      </c>
      <c r="N254" s="43" t="s">
        <v>3139</v>
      </c>
      <c r="O254" s="43" t="s">
        <v>3140</v>
      </c>
      <c r="P254" s="43" t="s">
        <v>735</v>
      </c>
      <c r="Q254" s="43" t="s">
        <v>3141</v>
      </c>
      <c r="S254">
        <v>44109</v>
      </c>
      <c r="T254" t="s">
        <v>311</v>
      </c>
      <c r="U254" t="s">
        <v>266</v>
      </c>
      <c r="V254" t="s">
        <v>267</v>
      </c>
      <c r="W254" t="s">
        <v>1718</v>
      </c>
      <c r="X254" t="s">
        <v>1719</v>
      </c>
      <c r="Y254">
        <v>8772802835</v>
      </c>
      <c r="Z254" t="s">
        <v>270</v>
      </c>
      <c r="AA254" t="s">
        <v>271</v>
      </c>
      <c r="AB254">
        <v>0</v>
      </c>
      <c r="AC254">
        <v>1250</v>
      </c>
      <c r="AD254">
        <v>124</v>
      </c>
      <c r="AE254" t="s">
        <v>301</v>
      </c>
      <c r="AF254">
        <v>1</v>
      </c>
      <c r="AG254" t="s">
        <v>275</v>
      </c>
      <c r="AH254">
        <v>512</v>
      </c>
      <c r="AI254">
        <v>512</v>
      </c>
      <c r="AJ254">
        <v>43774</v>
      </c>
      <c r="AK254" s="43" t="s">
        <v>3208</v>
      </c>
      <c r="AL254" s="43" t="s">
        <v>3209</v>
      </c>
      <c r="AO254" s="23"/>
      <c r="AP254" s="23"/>
      <c r="AQ254" s="23"/>
      <c r="BC254" t="s">
        <v>2018</v>
      </c>
      <c r="BD254" s="43" t="s">
        <v>2018</v>
      </c>
      <c r="BE254" s="43" t="s">
        <v>2018</v>
      </c>
      <c r="BF254" s="43" t="s">
        <v>2018</v>
      </c>
      <c r="BG254" s="43" t="s">
        <v>2018</v>
      </c>
      <c r="BH254" t="s">
        <v>2018</v>
      </c>
      <c r="BI254" s="43" t="s">
        <v>2018</v>
      </c>
      <c r="BJ254">
        <v>0</v>
      </c>
      <c r="BK254">
        <v>44109</v>
      </c>
      <c r="BL254">
        <v>44356</v>
      </c>
      <c r="BM254">
        <v>8505</v>
      </c>
      <c r="BN254">
        <v>8505</v>
      </c>
      <c r="BO254">
        <v>8505</v>
      </c>
      <c r="BP254">
        <v>25515</v>
      </c>
      <c r="BQ254">
        <v>3300</v>
      </c>
      <c r="BR254">
        <v>400</v>
      </c>
      <c r="BS254">
        <v>400</v>
      </c>
      <c r="BT254">
        <v>4100</v>
      </c>
      <c r="BU254">
        <v>2100</v>
      </c>
      <c r="BV254">
        <v>2100</v>
      </c>
      <c r="BW254">
        <v>2100</v>
      </c>
      <c r="BX254">
        <v>6300</v>
      </c>
      <c r="BY254">
        <v>1200</v>
      </c>
      <c r="BZ254">
        <v>1200</v>
      </c>
      <c r="CA254">
        <v>1200</v>
      </c>
      <c r="CB254">
        <v>3600</v>
      </c>
      <c r="CC254">
        <v>0</v>
      </c>
      <c r="CD254">
        <v>0</v>
      </c>
      <c r="CE254">
        <v>0</v>
      </c>
      <c r="CF254">
        <v>0</v>
      </c>
      <c r="CG254">
        <v>39515</v>
      </c>
      <c r="CH254">
        <v>0</v>
      </c>
      <c r="CI254">
        <v>0</v>
      </c>
      <c r="CJ254">
        <v>0</v>
      </c>
      <c r="CK254">
        <v>0</v>
      </c>
      <c r="CL254">
        <v>1882</v>
      </c>
      <c r="CM254">
        <v>1882</v>
      </c>
      <c r="CN254">
        <v>1881</v>
      </c>
      <c r="CO254">
        <v>5645</v>
      </c>
      <c r="CP254">
        <v>500</v>
      </c>
      <c r="CQ254">
        <v>500</v>
      </c>
      <c r="CR254">
        <v>500</v>
      </c>
      <c r="CS254">
        <v>1500</v>
      </c>
      <c r="CT254">
        <v>1700</v>
      </c>
      <c r="CU254">
        <v>1700</v>
      </c>
      <c r="CV254">
        <v>1700</v>
      </c>
      <c r="CW254">
        <v>5100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12245</v>
      </c>
      <c r="EE254">
        <v>0</v>
      </c>
      <c r="EF254">
        <v>0</v>
      </c>
      <c r="EG254">
        <v>0</v>
      </c>
      <c r="EH254">
        <v>0</v>
      </c>
      <c r="EI254">
        <v>1154</v>
      </c>
      <c r="EJ254">
        <v>1154</v>
      </c>
      <c r="EK254">
        <v>1155</v>
      </c>
      <c r="EL254">
        <v>3500</v>
      </c>
      <c r="EM254">
        <v>37.065000000000005</v>
      </c>
      <c r="EN254">
        <v>660</v>
      </c>
      <c r="EO254">
        <v>660</v>
      </c>
      <c r="EP254">
        <v>660</v>
      </c>
      <c r="EQ254">
        <v>2000</v>
      </c>
      <c r="ER254">
        <v>21.18</v>
      </c>
      <c r="ES254">
        <v>0</v>
      </c>
      <c r="ET254">
        <v>0</v>
      </c>
      <c r="EU254">
        <v>0</v>
      </c>
      <c r="EV254">
        <v>0</v>
      </c>
      <c r="EW254">
        <v>0</v>
      </c>
      <c r="FA254">
        <v>0</v>
      </c>
      <c r="FE254">
        <v>0</v>
      </c>
      <c r="FI254">
        <v>0</v>
      </c>
      <c r="FJ254">
        <v>5441.7550000000001</v>
      </c>
      <c r="FK254">
        <v>27270</v>
      </c>
      <c r="FL254">
        <v>22793.789941940599</v>
      </c>
      <c r="FM254">
        <v>21828.244999999999</v>
      </c>
    </row>
    <row r="255" spans="1:169" x14ac:dyDescent="0.35">
      <c r="A255">
        <v>197553</v>
      </c>
      <c r="B255" t="s">
        <v>3142</v>
      </c>
      <c r="C255" t="s">
        <v>1119</v>
      </c>
      <c r="D255" t="s">
        <v>3143</v>
      </c>
      <c r="E255" s="43" t="s">
        <v>3144</v>
      </c>
      <c r="F255">
        <v>1</v>
      </c>
      <c r="I255">
        <v>43804</v>
      </c>
      <c r="J255" t="s">
        <v>4242</v>
      </c>
      <c r="K255" t="s">
        <v>1715</v>
      </c>
      <c r="L255" s="43" t="s">
        <v>259</v>
      </c>
      <c r="M255" t="s">
        <v>3145</v>
      </c>
      <c r="N255" s="43" t="s">
        <v>3146</v>
      </c>
      <c r="O255" s="43" t="s">
        <v>3147</v>
      </c>
      <c r="P255" s="43" t="s">
        <v>1172</v>
      </c>
      <c r="Q255" s="43" t="s">
        <v>3148</v>
      </c>
      <c r="S255">
        <v>44109</v>
      </c>
      <c r="T255" t="s">
        <v>285</v>
      </c>
      <c r="U255" t="s">
        <v>266</v>
      </c>
      <c r="V255" t="s">
        <v>267</v>
      </c>
      <c r="W255" t="s">
        <v>1718</v>
      </c>
      <c r="X255" t="s">
        <v>1719</v>
      </c>
      <c r="Y255">
        <v>8772802835</v>
      </c>
      <c r="Z255" t="s">
        <v>270</v>
      </c>
      <c r="AA255" t="s">
        <v>271</v>
      </c>
      <c r="AB255">
        <v>30</v>
      </c>
      <c r="AC255">
        <v>0</v>
      </c>
      <c r="AD255">
        <v>129</v>
      </c>
      <c r="AE255" t="s">
        <v>301</v>
      </c>
      <c r="AF255">
        <v>1</v>
      </c>
      <c r="AG255" t="s">
        <v>275</v>
      </c>
      <c r="AK255" s="43" t="s">
        <v>259</v>
      </c>
      <c r="AL255" s="43" t="s">
        <v>259</v>
      </c>
      <c r="AO255" s="23"/>
      <c r="AP255" s="23"/>
      <c r="AQ255" s="23"/>
      <c r="BC255" t="s">
        <v>259</v>
      </c>
      <c r="BD255" s="43" t="s">
        <v>259</v>
      </c>
      <c r="BE255" s="43" t="s">
        <v>259</v>
      </c>
      <c r="BF255" s="43" t="s">
        <v>259</v>
      </c>
      <c r="BG255" s="43" t="s">
        <v>259</v>
      </c>
      <c r="BH255" t="s">
        <v>259</v>
      </c>
      <c r="BI255" s="43" t="s">
        <v>259</v>
      </c>
      <c r="BJ255">
        <v>0</v>
      </c>
      <c r="BK255">
        <v>44109</v>
      </c>
      <c r="BL255">
        <v>44356</v>
      </c>
      <c r="BM255">
        <v>8505</v>
      </c>
      <c r="BN255">
        <v>8505</v>
      </c>
      <c r="BO255">
        <v>8505</v>
      </c>
      <c r="BP255">
        <v>25515</v>
      </c>
      <c r="BQ255">
        <v>3300</v>
      </c>
      <c r="BR255">
        <v>400</v>
      </c>
      <c r="BS255">
        <v>400</v>
      </c>
      <c r="BT255">
        <v>4100</v>
      </c>
      <c r="BU255">
        <v>2100</v>
      </c>
      <c r="BV255">
        <v>2100</v>
      </c>
      <c r="BW255">
        <v>2100</v>
      </c>
      <c r="BX255">
        <v>6300</v>
      </c>
      <c r="BY255">
        <v>1200</v>
      </c>
      <c r="BZ255">
        <v>1200</v>
      </c>
      <c r="CA255">
        <v>1200</v>
      </c>
      <c r="CB255">
        <v>3600</v>
      </c>
      <c r="CC255">
        <v>0</v>
      </c>
      <c r="CD255">
        <v>0</v>
      </c>
      <c r="CE255">
        <v>0</v>
      </c>
      <c r="CF255">
        <v>0</v>
      </c>
      <c r="CG255">
        <v>39515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1700</v>
      </c>
      <c r="CU255">
        <v>1700</v>
      </c>
      <c r="CV255">
        <v>1700</v>
      </c>
      <c r="CW255">
        <v>5100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5100</v>
      </c>
      <c r="EE255">
        <v>0</v>
      </c>
      <c r="EF255">
        <v>0</v>
      </c>
      <c r="EG255">
        <v>0</v>
      </c>
      <c r="EH255">
        <v>0</v>
      </c>
      <c r="EI255">
        <v>1154</v>
      </c>
      <c r="EJ255">
        <v>1154</v>
      </c>
      <c r="EK255">
        <v>1155</v>
      </c>
      <c r="EL255">
        <v>3500</v>
      </c>
      <c r="EM255">
        <v>37.065000000000005</v>
      </c>
      <c r="EN255">
        <v>660</v>
      </c>
      <c r="EO255">
        <v>660</v>
      </c>
      <c r="EP255">
        <v>660</v>
      </c>
      <c r="EQ255">
        <v>2000</v>
      </c>
      <c r="ER255">
        <v>21.18</v>
      </c>
      <c r="ES255">
        <v>0</v>
      </c>
      <c r="ET255">
        <v>0</v>
      </c>
      <c r="EU255">
        <v>0</v>
      </c>
      <c r="EV255">
        <v>0</v>
      </c>
      <c r="EW255">
        <v>0</v>
      </c>
      <c r="FA255">
        <v>0</v>
      </c>
      <c r="FE255">
        <v>0</v>
      </c>
      <c r="FI255">
        <v>0</v>
      </c>
      <c r="FJ255">
        <v>5441.7550000000001</v>
      </c>
      <c r="FK255">
        <v>34415</v>
      </c>
      <c r="FL255">
        <v>30254.840023390832</v>
      </c>
      <c r="FM255">
        <v>28973.244999999999</v>
      </c>
    </row>
    <row r="256" spans="1:169" x14ac:dyDescent="0.35">
      <c r="A256">
        <v>198367</v>
      </c>
      <c r="B256" t="s">
        <v>3142</v>
      </c>
      <c r="C256" t="s">
        <v>3415</v>
      </c>
      <c r="D256" t="s">
        <v>3416</v>
      </c>
      <c r="E256" s="43" t="s">
        <v>3417</v>
      </c>
      <c r="F256">
        <v>1</v>
      </c>
      <c r="G256">
        <v>43803</v>
      </c>
      <c r="H256">
        <v>43803</v>
      </c>
      <c r="I256">
        <v>43803</v>
      </c>
      <c r="J256" t="s">
        <v>4233</v>
      </c>
      <c r="K256" t="s">
        <v>1715</v>
      </c>
      <c r="L256" s="43" t="s">
        <v>259</v>
      </c>
      <c r="M256" t="s">
        <v>3418</v>
      </c>
      <c r="N256" s="43" t="s">
        <v>3419</v>
      </c>
      <c r="O256" s="43" t="s">
        <v>462</v>
      </c>
      <c r="P256" s="43" t="s">
        <v>342</v>
      </c>
      <c r="Q256" s="43" t="s">
        <v>3420</v>
      </c>
      <c r="S256">
        <v>44109</v>
      </c>
      <c r="T256" t="s">
        <v>265</v>
      </c>
      <c r="U256" t="s">
        <v>286</v>
      </c>
      <c r="V256" t="s">
        <v>267</v>
      </c>
      <c r="W256" t="s">
        <v>1718</v>
      </c>
      <c r="X256" t="s">
        <v>1719</v>
      </c>
      <c r="Y256">
        <v>8772802835</v>
      </c>
      <c r="Z256" t="s">
        <v>270</v>
      </c>
      <c r="AA256" t="s">
        <v>271</v>
      </c>
      <c r="AB256">
        <v>0</v>
      </c>
      <c r="AC256">
        <v>1070</v>
      </c>
      <c r="AD256">
        <v>116</v>
      </c>
      <c r="AE256" t="s">
        <v>301</v>
      </c>
      <c r="AF256">
        <v>1</v>
      </c>
      <c r="AG256" t="s">
        <v>3345</v>
      </c>
      <c r="AK256" s="43" t="s">
        <v>259</v>
      </c>
      <c r="AL256" s="43" t="s">
        <v>259</v>
      </c>
      <c r="AO256" s="23"/>
      <c r="AP256" s="23"/>
      <c r="AQ256" s="23"/>
      <c r="BC256" t="s">
        <v>259</v>
      </c>
      <c r="BD256" s="43" t="s">
        <v>259</v>
      </c>
      <c r="BE256" s="43" t="s">
        <v>259</v>
      </c>
      <c r="BF256" s="43" t="s">
        <v>259</v>
      </c>
      <c r="BG256" s="43" t="s">
        <v>259</v>
      </c>
      <c r="BH256" t="s">
        <v>259</v>
      </c>
      <c r="BI256" s="43" t="s">
        <v>259</v>
      </c>
      <c r="BJ256">
        <v>0</v>
      </c>
      <c r="BK256">
        <v>44109</v>
      </c>
      <c r="BL256">
        <v>44356</v>
      </c>
      <c r="BM256">
        <v>8505</v>
      </c>
      <c r="BN256">
        <v>8505</v>
      </c>
      <c r="BO256">
        <v>8505</v>
      </c>
      <c r="BP256">
        <v>25515</v>
      </c>
      <c r="BQ256">
        <v>3300</v>
      </c>
      <c r="BR256">
        <v>400</v>
      </c>
      <c r="BS256">
        <v>400</v>
      </c>
      <c r="BT256">
        <v>4100</v>
      </c>
      <c r="BU256">
        <v>2100</v>
      </c>
      <c r="BV256">
        <v>2100</v>
      </c>
      <c r="BW256">
        <v>2100</v>
      </c>
      <c r="BX256">
        <v>6300</v>
      </c>
      <c r="BY256">
        <v>1200</v>
      </c>
      <c r="BZ256">
        <v>1200</v>
      </c>
      <c r="CA256">
        <v>1200</v>
      </c>
      <c r="CB256">
        <v>3600</v>
      </c>
      <c r="CC256">
        <v>0</v>
      </c>
      <c r="CD256">
        <v>0</v>
      </c>
      <c r="CE256">
        <v>0</v>
      </c>
      <c r="CF256">
        <v>0</v>
      </c>
      <c r="CG256">
        <v>39515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1700</v>
      </c>
      <c r="CU256">
        <v>1700</v>
      </c>
      <c r="CV256">
        <v>1700</v>
      </c>
      <c r="CW256">
        <v>5100</v>
      </c>
      <c r="CX256">
        <v>0</v>
      </c>
      <c r="CY256">
        <v>0</v>
      </c>
      <c r="CZ256">
        <v>0</v>
      </c>
      <c r="DA256">
        <v>0</v>
      </c>
      <c r="DB256">
        <v>1000</v>
      </c>
      <c r="DC256">
        <v>1000</v>
      </c>
      <c r="DD256">
        <v>1000</v>
      </c>
      <c r="DE256">
        <v>3000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8100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M256">
        <v>0</v>
      </c>
      <c r="EN256">
        <v>660</v>
      </c>
      <c r="EO256">
        <v>660</v>
      </c>
      <c r="EP256">
        <v>660</v>
      </c>
      <c r="EQ256">
        <v>2000</v>
      </c>
      <c r="ER256">
        <v>21.18</v>
      </c>
      <c r="ES256">
        <v>0</v>
      </c>
      <c r="ET256">
        <v>0</v>
      </c>
      <c r="EU256">
        <v>0</v>
      </c>
      <c r="EW256">
        <v>0</v>
      </c>
      <c r="FA256">
        <v>0</v>
      </c>
      <c r="FE256">
        <v>0</v>
      </c>
      <c r="FI256">
        <v>0</v>
      </c>
      <c r="FJ256">
        <v>1978.82</v>
      </c>
      <c r="FK256">
        <v>31415</v>
      </c>
      <c r="FL256">
        <v>30738.252370410592</v>
      </c>
      <c r="FM256">
        <v>29436.18</v>
      </c>
    </row>
    <row r="257" spans="1:174" x14ac:dyDescent="0.35">
      <c r="A257">
        <v>197289</v>
      </c>
      <c r="B257" t="s">
        <v>3149</v>
      </c>
      <c r="C257" t="s">
        <v>1323</v>
      </c>
      <c r="D257" t="s">
        <v>3150</v>
      </c>
      <c r="E257" s="43" t="s">
        <v>3151</v>
      </c>
      <c r="F257">
        <v>1</v>
      </c>
      <c r="G257">
        <v>43769</v>
      </c>
      <c r="H257">
        <v>43776</v>
      </c>
      <c r="I257">
        <v>43776</v>
      </c>
      <c r="J257" t="s">
        <v>3152</v>
      </c>
      <c r="K257" t="s">
        <v>1715</v>
      </c>
      <c r="L257" s="43" t="s">
        <v>3204</v>
      </c>
      <c r="M257" t="s">
        <v>3153</v>
      </c>
      <c r="N257" s="43" t="s">
        <v>3154</v>
      </c>
      <c r="O257" s="43" t="s">
        <v>3155</v>
      </c>
      <c r="P257" s="43" t="s">
        <v>332</v>
      </c>
      <c r="Q257" s="43" t="s">
        <v>3156</v>
      </c>
      <c r="S257">
        <v>44109</v>
      </c>
      <c r="T257" t="s">
        <v>265</v>
      </c>
      <c r="U257" t="s">
        <v>266</v>
      </c>
      <c r="V257" t="s">
        <v>267</v>
      </c>
      <c r="W257" t="s">
        <v>1718</v>
      </c>
      <c r="X257" t="s">
        <v>1719</v>
      </c>
      <c r="Y257">
        <v>8772802835</v>
      </c>
      <c r="Z257" t="s">
        <v>270</v>
      </c>
      <c r="AA257" t="s">
        <v>271</v>
      </c>
      <c r="AB257">
        <v>17</v>
      </c>
      <c r="AC257">
        <v>0</v>
      </c>
      <c r="AD257">
        <v>85</v>
      </c>
      <c r="AE257" t="s">
        <v>274</v>
      </c>
      <c r="AF257">
        <v>9</v>
      </c>
      <c r="AG257" t="s">
        <v>275</v>
      </c>
      <c r="AH257">
        <v>13258</v>
      </c>
      <c r="AI257">
        <v>13258</v>
      </c>
      <c r="AJ257">
        <v>43774</v>
      </c>
      <c r="AK257" s="43" t="s">
        <v>3208</v>
      </c>
      <c r="AL257" s="43" t="s">
        <v>3209</v>
      </c>
      <c r="AM257">
        <v>43776</v>
      </c>
      <c r="AN257">
        <v>43776</v>
      </c>
      <c r="AO257" s="23">
        <v>43765</v>
      </c>
      <c r="AP257" s="23">
        <v>43779</v>
      </c>
      <c r="AQ257" s="23">
        <v>43779</v>
      </c>
      <c r="BC257" t="s">
        <v>2018</v>
      </c>
      <c r="BD257" s="43" t="s">
        <v>2018</v>
      </c>
      <c r="BE257" s="43" t="s">
        <v>2018</v>
      </c>
      <c r="BF257" s="43" t="s">
        <v>2018</v>
      </c>
      <c r="BG257" s="43" t="s">
        <v>2018</v>
      </c>
      <c r="BH257" t="s">
        <v>2018</v>
      </c>
      <c r="BI257" s="43" t="s">
        <v>2018</v>
      </c>
      <c r="BJ257">
        <v>0.3125</v>
      </c>
      <c r="BK257">
        <v>44109</v>
      </c>
      <c r="BL257">
        <v>44356</v>
      </c>
      <c r="BM257">
        <v>8505</v>
      </c>
      <c r="BN257">
        <v>8505</v>
      </c>
      <c r="BO257">
        <v>8505</v>
      </c>
      <c r="BP257">
        <v>25515</v>
      </c>
      <c r="BQ257">
        <v>3300</v>
      </c>
      <c r="BR257">
        <v>400</v>
      </c>
      <c r="BS257">
        <v>400</v>
      </c>
      <c r="BT257">
        <v>4100</v>
      </c>
      <c r="BU257">
        <v>2100</v>
      </c>
      <c r="BV257">
        <v>2100</v>
      </c>
      <c r="BW257">
        <v>2100</v>
      </c>
      <c r="BX257">
        <v>6300</v>
      </c>
      <c r="BY257">
        <v>1200</v>
      </c>
      <c r="BZ257">
        <v>1200</v>
      </c>
      <c r="CA257">
        <v>1200</v>
      </c>
      <c r="CB257">
        <v>3600</v>
      </c>
      <c r="CC257">
        <v>0</v>
      </c>
      <c r="CD257">
        <v>0</v>
      </c>
      <c r="CE257">
        <v>0</v>
      </c>
      <c r="CF257">
        <v>0</v>
      </c>
      <c r="CG257">
        <v>39515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1154</v>
      </c>
      <c r="EJ257">
        <v>1154</v>
      </c>
      <c r="EK257">
        <v>1155</v>
      </c>
      <c r="EL257">
        <v>3500</v>
      </c>
      <c r="EM257">
        <v>37.065000000000005</v>
      </c>
      <c r="EN257">
        <v>660</v>
      </c>
      <c r="EO257">
        <v>660</v>
      </c>
      <c r="EP257">
        <v>660</v>
      </c>
      <c r="EQ257">
        <v>2000</v>
      </c>
      <c r="ER257">
        <v>21.18</v>
      </c>
      <c r="ES257">
        <v>11378</v>
      </c>
      <c r="ET257">
        <v>11378</v>
      </c>
      <c r="EU257">
        <v>11378</v>
      </c>
      <c r="EV257">
        <v>35580</v>
      </c>
      <c r="EW257">
        <v>1507.1688000000001</v>
      </c>
      <c r="FA257">
        <v>0</v>
      </c>
      <c r="FE257">
        <v>0</v>
      </c>
      <c r="FI257">
        <v>0</v>
      </c>
      <c r="FJ257">
        <v>39514.586199999998</v>
      </c>
      <c r="FK257">
        <v>39515</v>
      </c>
      <c r="FL257">
        <v>0.43210392214410825</v>
      </c>
      <c r="FM257">
        <v>0.41380000000208383</v>
      </c>
    </row>
    <row r="258" spans="1:174" x14ac:dyDescent="0.35">
      <c r="A258">
        <v>196981</v>
      </c>
      <c r="B258" t="s">
        <v>3157</v>
      </c>
      <c r="C258" t="s">
        <v>3158</v>
      </c>
      <c r="D258" t="s">
        <v>3159</v>
      </c>
      <c r="E258" s="43" t="s">
        <v>3160</v>
      </c>
      <c r="F258">
        <v>1</v>
      </c>
      <c r="G258">
        <v>43773</v>
      </c>
      <c r="H258">
        <v>43780</v>
      </c>
      <c r="I258">
        <v>43780</v>
      </c>
      <c r="J258" t="s">
        <v>3421</v>
      </c>
      <c r="K258" t="s">
        <v>1715</v>
      </c>
      <c r="L258" s="43" t="s">
        <v>3204</v>
      </c>
      <c r="M258" t="s">
        <v>3161</v>
      </c>
      <c r="N258" s="43" t="s">
        <v>3162</v>
      </c>
      <c r="O258" s="43" t="s">
        <v>3163</v>
      </c>
      <c r="P258" s="43" t="s">
        <v>831</v>
      </c>
      <c r="Q258" s="43" t="s">
        <v>3164</v>
      </c>
      <c r="S258">
        <v>44109</v>
      </c>
      <c r="T258" t="s">
        <v>285</v>
      </c>
      <c r="U258" t="s">
        <v>266</v>
      </c>
      <c r="V258" t="s">
        <v>267</v>
      </c>
      <c r="W258" t="s">
        <v>1718</v>
      </c>
      <c r="X258" t="s">
        <v>1719</v>
      </c>
      <c r="Y258">
        <v>8772802835</v>
      </c>
      <c r="Z258" t="s">
        <v>270</v>
      </c>
      <c r="AA258" t="s">
        <v>271</v>
      </c>
      <c r="AB258">
        <v>24</v>
      </c>
      <c r="AC258">
        <v>1240</v>
      </c>
      <c r="AD258">
        <v>0</v>
      </c>
      <c r="AE258" t="s">
        <v>301</v>
      </c>
      <c r="AF258">
        <v>1</v>
      </c>
      <c r="AG258" t="s">
        <v>275</v>
      </c>
      <c r="AH258">
        <v>2364</v>
      </c>
      <c r="AI258">
        <v>2364</v>
      </c>
      <c r="AJ258">
        <v>43801</v>
      </c>
      <c r="AK258" s="43" t="s">
        <v>1715</v>
      </c>
      <c r="AL258" s="43" t="s">
        <v>259</v>
      </c>
      <c r="AM258">
        <v>43780</v>
      </c>
      <c r="AN258">
        <v>43780</v>
      </c>
      <c r="AO258" s="23">
        <v>43769</v>
      </c>
      <c r="AP258" s="23"/>
      <c r="AQ258" s="23"/>
      <c r="BC258" t="s">
        <v>2018</v>
      </c>
      <c r="BD258" s="43" t="s">
        <v>259</v>
      </c>
      <c r="BE258" s="43" t="s">
        <v>2018</v>
      </c>
      <c r="BF258" s="43" t="s">
        <v>2018</v>
      </c>
      <c r="BG258" s="43" t="s">
        <v>2018</v>
      </c>
      <c r="BH258">
        <v>43739</v>
      </c>
      <c r="BI258" s="43" t="s">
        <v>2018</v>
      </c>
      <c r="BJ258">
        <v>0.22222222222222221</v>
      </c>
      <c r="BK258">
        <v>44109</v>
      </c>
      <c r="BL258">
        <v>44356</v>
      </c>
      <c r="BM258">
        <v>8505</v>
      </c>
      <c r="BN258">
        <v>8505</v>
      </c>
      <c r="BO258">
        <v>8505</v>
      </c>
      <c r="BP258">
        <v>25515</v>
      </c>
      <c r="BQ258">
        <v>3300</v>
      </c>
      <c r="BR258">
        <v>400</v>
      </c>
      <c r="BS258">
        <v>400</v>
      </c>
      <c r="BT258">
        <v>4100</v>
      </c>
      <c r="BU258">
        <v>2100</v>
      </c>
      <c r="BV258">
        <v>2100</v>
      </c>
      <c r="BW258">
        <v>2100</v>
      </c>
      <c r="BX258">
        <v>6300</v>
      </c>
      <c r="BY258">
        <v>1050</v>
      </c>
      <c r="BZ258">
        <v>1050</v>
      </c>
      <c r="CA258">
        <v>1050</v>
      </c>
      <c r="CB258">
        <v>3150</v>
      </c>
      <c r="CC258">
        <v>0</v>
      </c>
      <c r="CD258">
        <v>0</v>
      </c>
      <c r="CE258">
        <v>0</v>
      </c>
      <c r="CF258">
        <v>0</v>
      </c>
      <c r="CG258">
        <v>39065</v>
      </c>
      <c r="CH258">
        <v>0</v>
      </c>
      <c r="CI258">
        <v>0</v>
      </c>
      <c r="CJ258">
        <v>0</v>
      </c>
      <c r="CK258">
        <v>0</v>
      </c>
      <c r="CL258">
        <v>1282</v>
      </c>
      <c r="CM258">
        <v>1282</v>
      </c>
      <c r="CN258">
        <v>1281</v>
      </c>
      <c r="CO258">
        <v>3845</v>
      </c>
      <c r="CP258">
        <v>500</v>
      </c>
      <c r="CQ258">
        <v>500</v>
      </c>
      <c r="CR258">
        <v>500</v>
      </c>
      <c r="CS258">
        <v>1500</v>
      </c>
      <c r="CT258">
        <v>1700</v>
      </c>
      <c r="CU258">
        <v>1700</v>
      </c>
      <c r="CV258">
        <v>1700</v>
      </c>
      <c r="CW258">
        <v>5100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10445</v>
      </c>
      <c r="EE258">
        <v>0</v>
      </c>
      <c r="EF258">
        <v>0</v>
      </c>
      <c r="EG258">
        <v>0</v>
      </c>
      <c r="EH258">
        <v>0</v>
      </c>
      <c r="EI258">
        <v>1154</v>
      </c>
      <c r="EJ258">
        <v>1154</v>
      </c>
      <c r="EK258">
        <v>1155</v>
      </c>
      <c r="EL258">
        <v>3500</v>
      </c>
      <c r="EM258">
        <v>37.065000000000005</v>
      </c>
      <c r="EN258">
        <v>660</v>
      </c>
      <c r="EO258">
        <v>660</v>
      </c>
      <c r="EP258">
        <v>660</v>
      </c>
      <c r="EQ258">
        <v>2000</v>
      </c>
      <c r="ER258">
        <v>21.18</v>
      </c>
      <c r="ES258">
        <v>7740</v>
      </c>
      <c r="ET258">
        <v>7740</v>
      </c>
      <c r="EU258">
        <v>7740</v>
      </c>
      <c r="EV258">
        <v>24204</v>
      </c>
      <c r="EW258">
        <v>1025.28144</v>
      </c>
      <c r="FA258">
        <v>0</v>
      </c>
      <c r="FE258">
        <v>0</v>
      </c>
      <c r="FI258">
        <v>0</v>
      </c>
      <c r="FJ258">
        <v>28620.473560000002</v>
      </c>
      <c r="FK258">
        <v>28620</v>
      </c>
      <c r="FL258">
        <v>-0.49450733052314066</v>
      </c>
      <c r="FM258">
        <v>-0.47356000000218046</v>
      </c>
    </row>
    <row r="259" spans="1:174" x14ac:dyDescent="0.35">
      <c r="A259">
        <v>197518</v>
      </c>
      <c r="B259" t="s">
        <v>3165</v>
      </c>
      <c r="C259" t="s">
        <v>3166</v>
      </c>
      <c r="D259" t="s">
        <v>3167</v>
      </c>
      <c r="E259" s="43" t="s">
        <v>3168</v>
      </c>
      <c r="F259">
        <v>1</v>
      </c>
      <c r="I259">
        <v>43804</v>
      </c>
      <c r="J259" t="s">
        <v>4240</v>
      </c>
      <c r="K259" t="s">
        <v>1715</v>
      </c>
      <c r="L259" s="43" t="s">
        <v>3204</v>
      </c>
      <c r="M259" t="s">
        <v>3169</v>
      </c>
      <c r="N259" s="43" t="s">
        <v>3170</v>
      </c>
      <c r="O259" s="43" t="s">
        <v>3171</v>
      </c>
      <c r="P259" s="43" t="s">
        <v>372</v>
      </c>
      <c r="Q259" s="43" t="s">
        <v>3172</v>
      </c>
      <c r="R259">
        <v>2.5139999999999998</v>
      </c>
      <c r="S259">
        <v>44109</v>
      </c>
      <c r="T259" t="s">
        <v>311</v>
      </c>
      <c r="U259" t="s">
        <v>266</v>
      </c>
      <c r="V259" t="s">
        <v>267</v>
      </c>
      <c r="W259" t="s">
        <v>1718</v>
      </c>
      <c r="X259" t="s">
        <v>1719</v>
      </c>
      <c r="Y259">
        <v>8772802835</v>
      </c>
      <c r="Z259" t="s">
        <v>270</v>
      </c>
      <c r="AA259" t="s">
        <v>271</v>
      </c>
      <c r="AB259">
        <v>18</v>
      </c>
      <c r="AC259">
        <v>990</v>
      </c>
      <c r="AD259">
        <v>89</v>
      </c>
      <c r="AE259" t="s">
        <v>324</v>
      </c>
      <c r="AF259">
        <v>8</v>
      </c>
      <c r="AG259" t="s">
        <v>275</v>
      </c>
      <c r="AH259">
        <v>1941</v>
      </c>
      <c r="AI259">
        <v>1941</v>
      </c>
      <c r="AJ259">
        <v>43790</v>
      </c>
      <c r="AK259" s="43" t="s">
        <v>3208</v>
      </c>
      <c r="AL259" s="43" t="s">
        <v>3209</v>
      </c>
      <c r="AO259" s="23"/>
      <c r="AP259" s="23"/>
      <c r="AQ259" s="23"/>
      <c r="BC259" t="s">
        <v>2018</v>
      </c>
      <c r="BD259" s="43" t="s">
        <v>2018</v>
      </c>
      <c r="BE259" s="43" t="s">
        <v>2018</v>
      </c>
      <c r="BF259" s="43" t="s">
        <v>2018</v>
      </c>
      <c r="BG259" s="43" t="s">
        <v>2018</v>
      </c>
      <c r="BH259" t="s">
        <v>2018</v>
      </c>
      <c r="BI259" s="43" t="s">
        <v>2018</v>
      </c>
      <c r="BJ259">
        <v>0</v>
      </c>
      <c r="BK259">
        <v>44109</v>
      </c>
      <c r="BL259">
        <v>44356</v>
      </c>
      <c r="BM259">
        <v>8505</v>
      </c>
      <c r="BN259">
        <v>8505</v>
      </c>
      <c r="BO259">
        <v>8505</v>
      </c>
      <c r="BP259">
        <v>25515</v>
      </c>
      <c r="BQ259">
        <v>3300</v>
      </c>
      <c r="BR259">
        <v>400</v>
      </c>
      <c r="BS259">
        <v>400</v>
      </c>
      <c r="BT259">
        <v>4100</v>
      </c>
      <c r="BU259">
        <v>2100</v>
      </c>
      <c r="BV259">
        <v>2100</v>
      </c>
      <c r="BW259">
        <v>2100</v>
      </c>
      <c r="BX259">
        <v>6300</v>
      </c>
      <c r="BY259">
        <v>1200</v>
      </c>
      <c r="BZ259">
        <v>1200</v>
      </c>
      <c r="CA259">
        <v>1200</v>
      </c>
      <c r="CB259">
        <v>3600</v>
      </c>
      <c r="CC259">
        <v>0</v>
      </c>
      <c r="CD259">
        <v>0</v>
      </c>
      <c r="CE259">
        <v>0</v>
      </c>
      <c r="CF259">
        <v>0</v>
      </c>
      <c r="CG259">
        <v>39515</v>
      </c>
      <c r="CH259">
        <v>0</v>
      </c>
      <c r="CI259">
        <v>0</v>
      </c>
      <c r="CJ259">
        <v>0</v>
      </c>
      <c r="CK259">
        <v>0</v>
      </c>
      <c r="CL259">
        <v>1415</v>
      </c>
      <c r="CM259">
        <v>1415</v>
      </c>
      <c r="CN259">
        <v>1415</v>
      </c>
      <c r="CO259">
        <v>4245</v>
      </c>
      <c r="CP259">
        <v>500</v>
      </c>
      <c r="CQ259">
        <v>500</v>
      </c>
      <c r="CR259">
        <v>500</v>
      </c>
      <c r="CS259">
        <v>1500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5745</v>
      </c>
      <c r="EE259">
        <v>0</v>
      </c>
      <c r="EF259">
        <v>0</v>
      </c>
      <c r="EG259">
        <v>0</v>
      </c>
      <c r="EH259">
        <v>0</v>
      </c>
      <c r="EI259">
        <v>1154</v>
      </c>
      <c r="EJ259">
        <v>1154</v>
      </c>
      <c r="EK259">
        <v>1155</v>
      </c>
      <c r="EL259">
        <v>3500</v>
      </c>
      <c r="EM259">
        <v>37.065000000000005</v>
      </c>
      <c r="EN259">
        <v>660</v>
      </c>
      <c r="EO259">
        <v>660</v>
      </c>
      <c r="EP259">
        <v>660</v>
      </c>
      <c r="EQ259">
        <v>2000</v>
      </c>
      <c r="ER259">
        <v>21.18</v>
      </c>
      <c r="ES259">
        <v>0</v>
      </c>
      <c r="ET259">
        <v>0</v>
      </c>
      <c r="EU259">
        <v>0</v>
      </c>
      <c r="EV259">
        <v>0</v>
      </c>
      <c r="EW259">
        <v>0</v>
      </c>
      <c r="FA259">
        <v>0</v>
      </c>
      <c r="FE259">
        <v>0</v>
      </c>
      <c r="FI259">
        <v>0</v>
      </c>
      <c r="FJ259">
        <v>5441.7550000000001</v>
      </c>
      <c r="FK259">
        <v>33770</v>
      </c>
      <c r="FL259">
        <v>29581.309260264818</v>
      </c>
      <c r="FM259">
        <v>28328.244999999999</v>
      </c>
    </row>
    <row r="260" spans="1:174" x14ac:dyDescent="0.35">
      <c r="A260">
        <v>196404</v>
      </c>
      <c r="B260" t="s">
        <v>3173</v>
      </c>
      <c r="C260" t="s">
        <v>3174</v>
      </c>
      <c r="D260" t="s">
        <v>3175</v>
      </c>
      <c r="E260" s="43" t="s">
        <v>3176</v>
      </c>
      <c r="F260">
        <v>1</v>
      </c>
      <c r="I260">
        <v>43804</v>
      </c>
      <c r="J260" t="s">
        <v>4242</v>
      </c>
      <c r="K260" t="s">
        <v>1715</v>
      </c>
      <c r="L260" s="43" t="s">
        <v>259</v>
      </c>
      <c r="M260" t="s">
        <v>3177</v>
      </c>
      <c r="N260" s="43" t="s">
        <v>3178</v>
      </c>
      <c r="O260" s="43" t="s">
        <v>3179</v>
      </c>
      <c r="P260" s="43" t="s">
        <v>342</v>
      </c>
      <c r="Q260" s="43" t="s">
        <v>3180</v>
      </c>
      <c r="S260">
        <v>44109</v>
      </c>
      <c r="T260" t="s">
        <v>311</v>
      </c>
      <c r="U260" t="s">
        <v>266</v>
      </c>
      <c r="V260" t="s">
        <v>267</v>
      </c>
      <c r="W260" t="s">
        <v>1718</v>
      </c>
      <c r="X260" t="s">
        <v>1719</v>
      </c>
      <c r="Y260">
        <v>8772802835</v>
      </c>
      <c r="Z260" t="s">
        <v>270</v>
      </c>
      <c r="AA260" t="s">
        <v>271</v>
      </c>
      <c r="AB260">
        <v>0</v>
      </c>
      <c r="AC260">
        <v>0</v>
      </c>
      <c r="AD260">
        <v>0</v>
      </c>
      <c r="AE260" t="s">
        <v>324</v>
      </c>
      <c r="AF260">
        <v>8</v>
      </c>
      <c r="AG260" t="s">
        <v>446</v>
      </c>
      <c r="AK260" s="43" t="s">
        <v>259</v>
      </c>
      <c r="AL260" s="43" t="s">
        <v>259</v>
      </c>
      <c r="AO260" s="23"/>
      <c r="AP260" s="23"/>
      <c r="AQ260" s="23"/>
      <c r="BC260" t="s">
        <v>259</v>
      </c>
      <c r="BD260" s="43" t="s">
        <v>259</v>
      </c>
      <c r="BE260" s="43" t="s">
        <v>259</v>
      </c>
      <c r="BF260" s="43" t="s">
        <v>259</v>
      </c>
      <c r="BG260" s="43" t="s">
        <v>259</v>
      </c>
      <c r="BH260" t="s">
        <v>259</v>
      </c>
      <c r="BI260" s="43" t="s">
        <v>259</v>
      </c>
      <c r="BJ260">
        <v>0</v>
      </c>
      <c r="BK260">
        <v>44109</v>
      </c>
      <c r="BL260">
        <v>44356</v>
      </c>
      <c r="BM260">
        <v>8505</v>
      </c>
      <c r="BN260">
        <v>8505</v>
      </c>
      <c r="BO260">
        <v>8505</v>
      </c>
      <c r="BP260">
        <v>25515</v>
      </c>
      <c r="BQ260">
        <v>3300</v>
      </c>
      <c r="BR260">
        <v>400</v>
      </c>
      <c r="BS260">
        <v>400</v>
      </c>
      <c r="BT260">
        <v>4100</v>
      </c>
      <c r="BU260">
        <v>2100</v>
      </c>
      <c r="BV260">
        <v>2100</v>
      </c>
      <c r="BW260">
        <v>2100</v>
      </c>
      <c r="BX260">
        <v>6300</v>
      </c>
      <c r="BY260">
        <v>1200</v>
      </c>
      <c r="BZ260">
        <v>1200</v>
      </c>
      <c r="CA260">
        <v>1200</v>
      </c>
      <c r="CB260">
        <v>3600</v>
      </c>
      <c r="CC260">
        <v>0</v>
      </c>
      <c r="CD260">
        <v>0</v>
      </c>
      <c r="CE260">
        <v>0</v>
      </c>
      <c r="CF260">
        <v>0</v>
      </c>
      <c r="CG260">
        <v>39515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1154</v>
      </c>
      <c r="EJ260">
        <v>1154</v>
      </c>
      <c r="EK260">
        <v>1155</v>
      </c>
      <c r="EL260">
        <v>3500</v>
      </c>
      <c r="EM260">
        <v>37.065000000000005</v>
      </c>
      <c r="EN260">
        <v>660</v>
      </c>
      <c r="EO260">
        <v>660</v>
      </c>
      <c r="EP260">
        <v>660</v>
      </c>
      <c r="EQ260">
        <v>2000</v>
      </c>
      <c r="ER260">
        <v>21.18</v>
      </c>
      <c r="ES260">
        <v>0</v>
      </c>
      <c r="ET260">
        <v>0</v>
      </c>
      <c r="EU260">
        <v>0</v>
      </c>
      <c r="EV260">
        <v>0</v>
      </c>
      <c r="EW260">
        <v>0</v>
      </c>
      <c r="FA260">
        <v>0</v>
      </c>
      <c r="FE260">
        <v>0</v>
      </c>
      <c r="FI260">
        <v>0</v>
      </c>
      <c r="FJ260">
        <v>5441.7550000000001</v>
      </c>
      <c r="FK260">
        <v>39515</v>
      </c>
      <c r="FL260">
        <v>35580.43210392214</v>
      </c>
      <c r="FM260">
        <v>34073.245000000003</v>
      </c>
    </row>
    <row r="261" spans="1:174" x14ac:dyDescent="0.35">
      <c r="A261">
        <v>197892</v>
      </c>
      <c r="B261" t="s">
        <v>3181</v>
      </c>
      <c r="C261" t="s">
        <v>3182</v>
      </c>
      <c r="D261" t="s">
        <v>3183</v>
      </c>
      <c r="E261" s="43" t="s">
        <v>3184</v>
      </c>
      <c r="F261">
        <v>1</v>
      </c>
      <c r="I261">
        <v>43804</v>
      </c>
      <c r="J261" t="s">
        <v>4240</v>
      </c>
      <c r="K261" t="s">
        <v>1715</v>
      </c>
      <c r="L261" s="43" t="s">
        <v>3204</v>
      </c>
      <c r="M261" t="s">
        <v>3185</v>
      </c>
      <c r="N261" s="43" t="s">
        <v>3186</v>
      </c>
      <c r="O261" s="43" t="s">
        <v>3187</v>
      </c>
      <c r="P261" s="43" t="s">
        <v>1514</v>
      </c>
      <c r="Q261" s="43" t="s">
        <v>3188</v>
      </c>
      <c r="S261">
        <v>44109</v>
      </c>
      <c r="T261" t="s">
        <v>311</v>
      </c>
      <c r="U261" t="s">
        <v>266</v>
      </c>
      <c r="V261" t="s">
        <v>267</v>
      </c>
      <c r="W261" t="s">
        <v>1718</v>
      </c>
      <c r="X261" t="s">
        <v>1719</v>
      </c>
      <c r="Y261">
        <v>8772802835</v>
      </c>
      <c r="Z261" t="s">
        <v>270</v>
      </c>
      <c r="AA261" t="s">
        <v>271</v>
      </c>
      <c r="AB261">
        <v>30</v>
      </c>
      <c r="AC261">
        <v>0</v>
      </c>
      <c r="AD261">
        <v>131</v>
      </c>
      <c r="AE261" t="s">
        <v>301</v>
      </c>
      <c r="AF261">
        <v>1</v>
      </c>
      <c r="AG261" t="s">
        <v>275</v>
      </c>
      <c r="AH261">
        <v>2976</v>
      </c>
      <c r="AI261">
        <v>2976</v>
      </c>
      <c r="AJ261">
        <v>43790</v>
      </c>
      <c r="AK261" s="43" t="s">
        <v>1715</v>
      </c>
      <c r="AL261" s="43" t="s">
        <v>259</v>
      </c>
      <c r="AO261" s="23"/>
      <c r="AP261" s="23"/>
      <c r="AQ261" s="23"/>
      <c r="BC261" t="s">
        <v>259</v>
      </c>
      <c r="BD261" s="43" t="s">
        <v>259</v>
      </c>
      <c r="BE261" s="43" t="s">
        <v>259</v>
      </c>
      <c r="BF261" s="43" t="s">
        <v>259</v>
      </c>
      <c r="BG261" s="43" t="s">
        <v>259</v>
      </c>
      <c r="BH261" t="s">
        <v>259</v>
      </c>
      <c r="BI261" s="43" t="s">
        <v>259</v>
      </c>
      <c r="BJ261">
        <v>0</v>
      </c>
      <c r="BK261">
        <v>44109</v>
      </c>
      <c r="BL261">
        <v>44356</v>
      </c>
      <c r="BM261">
        <v>8505</v>
      </c>
      <c r="BN261">
        <v>8505</v>
      </c>
      <c r="BO261">
        <v>8505</v>
      </c>
      <c r="BP261">
        <v>25515</v>
      </c>
      <c r="BQ261">
        <v>3300</v>
      </c>
      <c r="BR261">
        <v>400</v>
      </c>
      <c r="BS261">
        <v>400</v>
      </c>
      <c r="BT261">
        <v>4100</v>
      </c>
      <c r="BU261">
        <v>2100</v>
      </c>
      <c r="BV261">
        <v>2100</v>
      </c>
      <c r="BW261">
        <v>2100</v>
      </c>
      <c r="BX261">
        <v>6300</v>
      </c>
      <c r="BY261">
        <v>1200</v>
      </c>
      <c r="BZ261">
        <v>1200</v>
      </c>
      <c r="CA261">
        <v>1200</v>
      </c>
      <c r="CB261">
        <v>3600</v>
      </c>
      <c r="CC261">
        <v>0</v>
      </c>
      <c r="CD261">
        <v>0</v>
      </c>
      <c r="CE261">
        <v>0</v>
      </c>
      <c r="CF261">
        <v>0</v>
      </c>
      <c r="CG261">
        <v>39515</v>
      </c>
      <c r="CH261">
        <v>0</v>
      </c>
      <c r="CI261">
        <v>0</v>
      </c>
      <c r="CJ261">
        <v>0</v>
      </c>
      <c r="CK261">
        <v>0</v>
      </c>
      <c r="CL261">
        <v>1082</v>
      </c>
      <c r="CM261">
        <v>1082</v>
      </c>
      <c r="CN261">
        <v>1081</v>
      </c>
      <c r="CO261">
        <v>3245</v>
      </c>
      <c r="CP261">
        <v>500</v>
      </c>
      <c r="CQ261">
        <v>500</v>
      </c>
      <c r="CR261">
        <v>500</v>
      </c>
      <c r="CS261">
        <v>1500</v>
      </c>
      <c r="CT261">
        <v>1700</v>
      </c>
      <c r="CU261">
        <v>1700</v>
      </c>
      <c r="CV261">
        <v>1700</v>
      </c>
      <c r="CW261">
        <v>5100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9845</v>
      </c>
      <c r="EE261">
        <v>0</v>
      </c>
      <c r="EF261">
        <v>0</v>
      </c>
      <c r="EG261">
        <v>0</v>
      </c>
      <c r="EH261">
        <v>0</v>
      </c>
      <c r="EI261">
        <v>1154</v>
      </c>
      <c r="EJ261">
        <v>1154</v>
      </c>
      <c r="EK261">
        <v>1155</v>
      </c>
      <c r="EL261">
        <v>3500</v>
      </c>
      <c r="EM261">
        <v>37.065000000000005</v>
      </c>
      <c r="EN261">
        <v>660</v>
      </c>
      <c r="EO261">
        <v>660</v>
      </c>
      <c r="EP261">
        <v>660</v>
      </c>
      <c r="EQ261">
        <v>2000</v>
      </c>
      <c r="ER261">
        <v>21.18</v>
      </c>
      <c r="ES261">
        <v>0</v>
      </c>
      <c r="ET261">
        <v>0</v>
      </c>
      <c r="EU261">
        <v>0</v>
      </c>
      <c r="EV261">
        <v>0</v>
      </c>
      <c r="EW261">
        <v>0</v>
      </c>
      <c r="FA261">
        <v>0</v>
      </c>
      <c r="FE261">
        <v>0</v>
      </c>
      <c r="FI261">
        <v>0</v>
      </c>
      <c r="FJ261">
        <v>5441.7550000000001</v>
      </c>
      <c r="FK261">
        <v>29670</v>
      </c>
      <c r="FL261">
        <v>25299.950921014159</v>
      </c>
      <c r="FM261">
        <v>24228.244999999999</v>
      </c>
    </row>
    <row r="262" spans="1:174" x14ac:dyDescent="0.35">
      <c r="A262">
        <v>197275</v>
      </c>
      <c r="B262" t="s">
        <v>3189</v>
      </c>
      <c r="C262" t="s">
        <v>3190</v>
      </c>
      <c r="D262" t="s">
        <v>3191</v>
      </c>
      <c r="E262" s="43" t="s">
        <v>3192</v>
      </c>
      <c r="F262">
        <v>1</v>
      </c>
      <c r="I262">
        <v>43804</v>
      </c>
      <c r="J262" t="s">
        <v>4242</v>
      </c>
      <c r="K262" t="s">
        <v>1715</v>
      </c>
      <c r="L262" s="43" t="s">
        <v>259</v>
      </c>
      <c r="M262" t="s">
        <v>3193</v>
      </c>
      <c r="N262" s="43" t="s">
        <v>3194</v>
      </c>
      <c r="O262" s="43" t="s">
        <v>3195</v>
      </c>
      <c r="P262" s="43" t="s">
        <v>297</v>
      </c>
      <c r="Q262" s="43" t="s">
        <v>3196</v>
      </c>
      <c r="S262">
        <v>44109</v>
      </c>
      <c r="T262" t="s">
        <v>285</v>
      </c>
      <c r="U262" t="s">
        <v>266</v>
      </c>
      <c r="V262" t="s">
        <v>267</v>
      </c>
      <c r="W262" t="s">
        <v>1718</v>
      </c>
      <c r="X262" t="s">
        <v>1719</v>
      </c>
      <c r="Y262">
        <v>8772802835</v>
      </c>
      <c r="Z262" t="s">
        <v>270</v>
      </c>
      <c r="AA262" t="s">
        <v>271</v>
      </c>
      <c r="AB262">
        <v>0</v>
      </c>
      <c r="AC262">
        <v>0</v>
      </c>
      <c r="AD262">
        <v>0</v>
      </c>
      <c r="AE262" t="s">
        <v>376</v>
      </c>
      <c r="AF262">
        <v>7</v>
      </c>
      <c r="AG262" t="s">
        <v>275</v>
      </c>
      <c r="AK262" s="43" t="s">
        <v>259</v>
      </c>
      <c r="AL262" s="43" t="s">
        <v>259</v>
      </c>
      <c r="AO262" s="23"/>
      <c r="AP262" s="23"/>
      <c r="AQ262" s="23"/>
      <c r="BC262" t="s">
        <v>259</v>
      </c>
      <c r="BD262" s="43" t="s">
        <v>259</v>
      </c>
      <c r="BE262" s="43" t="s">
        <v>259</v>
      </c>
      <c r="BF262" s="43" t="s">
        <v>259</v>
      </c>
      <c r="BG262" s="43" t="s">
        <v>259</v>
      </c>
      <c r="BH262" t="s">
        <v>259</v>
      </c>
      <c r="BI262" s="43" t="s">
        <v>259</v>
      </c>
      <c r="BJ262">
        <v>0</v>
      </c>
      <c r="BK262">
        <v>44109</v>
      </c>
      <c r="BL262">
        <v>44356</v>
      </c>
      <c r="BM262">
        <v>8505</v>
      </c>
      <c r="BN262">
        <v>8505</v>
      </c>
      <c r="BO262">
        <v>8505</v>
      </c>
      <c r="BP262">
        <v>25515</v>
      </c>
      <c r="BQ262">
        <v>3300</v>
      </c>
      <c r="BR262">
        <v>400</v>
      </c>
      <c r="BS262">
        <v>400</v>
      </c>
      <c r="BT262">
        <v>4100</v>
      </c>
      <c r="BU262">
        <v>2100</v>
      </c>
      <c r="BV262">
        <v>2100</v>
      </c>
      <c r="BW262">
        <v>2100</v>
      </c>
      <c r="BX262">
        <v>6300</v>
      </c>
      <c r="BY262">
        <v>1200</v>
      </c>
      <c r="BZ262">
        <v>1200</v>
      </c>
      <c r="CA262">
        <v>1200</v>
      </c>
      <c r="CB262">
        <v>3600</v>
      </c>
      <c r="CC262">
        <v>0</v>
      </c>
      <c r="CD262">
        <v>0</v>
      </c>
      <c r="CE262">
        <v>0</v>
      </c>
      <c r="CF262">
        <v>0</v>
      </c>
      <c r="CG262">
        <v>39515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1154</v>
      </c>
      <c r="EJ262">
        <v>1154</v>
      </c>
      <c r="EK262">
        <v>1155</v>
      </c>
      <c r="EL262">
        <v>3500</v>
      </c>
      <c r="EM262">
        <v>37.065000000000005</v>
      </c>
      <c r="EN262">
        <v>660</v>
      </c>
      <c r="EO262">
        <v>660</v>
      </c>
      <c r="EP262">
        <v>660</v>
      </c>
      <c r="EQ262">
        <v>2000</v>
      </c>
      <c r="ER262">
        <v>21.18</v>
      </c>
      <c r="ES262">
        <v>0</v>
      </c>
      <c r="ET262">
        <v>0</v>
      </c>
      <c r="EU262">
        <v>0</v>
      </c>
      <c r="EV262">
        <v>0</v>
      </c>
      <c r="EW262">
        <v>0</v>
      </c>
      <c r="FA262">
        <v>0</v>
      </c>
      <c r="FE262">
        <v>0</v>
      </c>
      <c r="FI262">
        <v>0</v>
      </c>
      <c r="FJ262">
        <v>5441.7550000000001</v>
      </c>
      <c r="FK262">
        <v>39515</v>
      </c>
      <c r="FL262">
        <v>35580.43210392214</v>
      </c>
      <c r="FM262">
        <v>34073.245000000003</v>
      </c>
    </row>
    <row r="263" spans="1:174" x14ac:dyDescent="0.35">
      <c r="A263">
        <v>197634</v>
      </c>
      <c r="B263" t="s">
        <v>3197</v>
      </c>
      <c r="C263" t="s">
        <v>3198</v>
      </c>
      <c r="D263" t="s">
        <v>3199</v>
      </c>
      <c r="E263" s="43" t="s">
        <v>3200</v>
      </c>
      <c r="F263">
        <v>1</v>
      </c>
      <c r="I263">
        <v>43804</v>
      </c>
      <c r="J263" t="s">
        <v>4242</v>
      </c>
      <c r="K263" t="s">
        <v>1715</v>
      </c>
      <c r="L263" s="43" t="s">
        <v>259</v>
      </c>
      <c r="M263" t="s">
        <v>3201</v>
      </c>
      <c r="N263" s="43" t="s">
        <v>3202</v>
      </c>
      <c r="O263" s="43" t="s">
        <v>2510</v>
      </c>
      <c r="P263" s="43" t="s">
        <v>1514</v>
      </c>
      <c r="Q263" s="43" t="s">
        <v>3203</v>
      </c>
      <c r="S263">
        <v>44109</v>
      </c>
      <c r="T263" t="s">
        <v>311</v>
      </c>
      <c r="U263" t="s">
        <v>266</v>
      </c>
      <c r="V263" t="s">
        <v>267</v>
      </c>
      <c r="W263" t="s">
        <v>1718</v>
      </c>
      <c r="X263" t="s">
        <v>1719</v>
      </c>
      <c r="Y263">
        <v>8772802835</v>
      </c>
      <c r="Z263" t="s">
        <v>270</v>
      </c>
      <c r="AA263" t="s">
        <v>271</v>
      </c>
      <c r="AB263">
        <v>0</v>
      </c>
      <c r="AC263">
        <v>0</v>
      </c>
      <c r="AD263">
        <v>0</v>
      </c>
      <c r="AE263" t="s">
        <v>344</v>
      </c>
      <c r="AF263">
        <v>10</v>
      </c>
      <c r="AG263" t="s">
        <v>275</v>
      </c>
      <c r="AK263" s="43" t="s">
        <v>259</v>
      </c>
      <c r="AL263" s="43" t="s">
        <v>259</v>
      </c>
      <c r="AO263" s="23"/>
      <c r="AP263" s="23"/>
      <c r="AQ263" s="23"/>
      <c r="BC263" t="s">
        <v>259</v>
      </c>
      <c r="BD263" s="43" t="s">
        <v>259</v>
      </c>
      <c r="BE263" s="43" t="s">
        <v>259</v>
      </c>
      <c r="BF263" s="43" t="s">
        <v>259</v>
      </c>
      <c r="BG263" s="43" t="s">
        <v>259</v>
      </c>
      <c r="BH263" t="s">
        <v>259</v>
      </c>
      <c r="BI263" s="43" t="s">
        <v>259</v>
      </c>
      <c r="BJ263">
        <v>0</v>
      </c>
      <c r="BK263">
        <v>44109</v>
      </c>
      <c r="BL263">
        <v>44356</v>
      </c>
      <c r="BM263">
        <v>8505</v>
      </c>
      <c r="BN263">
        <v>8505</v>
      </c>
      <c r="BO263">
        <v>8505</v>
      </c>
      <c r="BP263">
        <v>25515</v>
      </c>
      <c r="BQ263">
        <v>3300</v>
      </c>
      <c r="BR263">
        <v>400</v>
      </c>
      <c r="BS263">
        <v>400</v>
      </c>
      <c r="BT263">
        <v>4100</v>
      </c>
      <c r="BU263">
        <v>2100</v>
      </c>
      <c r="BV263">
        <v>2100</v>
      </c>
      <c r="BW263">
        <v>2100</v>
      </c>
      <c r="BX263">
        <v>6300</v>
      </c>
      <c r="BY263">
        <v>1200</v>
      </c>
      <c r="BZ263">
        <v>1200</v>
      </c>
      <c r="CA263">
        <v>1200</v>
      </c>
      <c r="CB263">
        <v>3600</v>
      </c>
      <c r="CC263">
        <v>0</v>
      </c>
      <c r="CD263">
        <v>0</v>
      </c>
      <c r="CE263">
        <v>0</v>
      </c>
      <c r="CF263">
        <v>0</v>
      </c>
      <c r="CG263">
        <v>39515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1154</v>
      </c>
      <c r="EJ263">
        <v>1154</v>
      </c>
      <c r="EK263">
        <v>1155</v>
      </c>
      <c r="EL263">
        <v>3500</v>
      </c>
      <c r="EM263">
        <v>37.065000000000005</v>
      </c>
      <c r="EN263">
        <v>660</v>
      </c>
      <c r="EO263">
        <v>660</v>
      </c>
      <c r="EP263">
        <v>660</v>
      </c>
      <c r="EQ263">
        <v>2000</v>
      </c>
      <c r="ER263">
        <v>21.18</v>
      </c>
      <c r="ES263">
        <v>0</v>
      </c>
      <c r="ET263">
        <v>0</v>
      </c>
      <c r="EU263">
        <v>0</v>
      </c>
      <c r="EV263">
        <v>0</v>
      </c>
      <c r="EW263">
        <v>0</v>
      </c>
      <c r="FA263">
        <v>0</v>
      </c>
      <c r="FE263">
        <v>0</v>
      </c>
      <c r="FI263">
        <v>0</v>
      </c>
      <c r="FJ263">
        <v>5441.7550000000001</v>
      </c>
      <c r="FK263">
        <v>39515</v>
      </c>
      <c r="FL263">
        <v>35580.43210392214</v>
      </c>
      <c r="FM263">
        <v>34073.245000000003</v>
      </c>
    </row>
    <row r="264" spans="1:174" x14ac:dyDescent="0.35">
      <c r="E264" s="43"/>
      <c r="L264" s="43"/>
      <c r="N264" s="43"/>
      <c r="O264" s="43"/>
      <c r="P264" s="43"/>
      <c r="Q264" s="43"/>
      <c r="AK264" s="43"/>
      <c r="AL264" s="43"/>
      <c r="AO264" s="23"/>
      <c r="AP264" s="23"/>
      <c r="AQ264" s="23"/>
      <c r="BD264" s="43"/>
      <c r="BE264" s="43"/>
      <c r="BF264" s="43"/>
      <c r="BG264" s="43"/>
      <c r="BI264" s="43"/>
    </row>
    <row r="265" spans="1:174" x14ac:dyDescent="0.35">
      <c r="A265">
        <v>196448</v>
      </c>
      <c r="B265" t="s">
        <v>255</v>
      </c>
      <c r="C265" t="s">
        <v>256</v>
      </c>
      <c r="D265" t="s">
        <v>257</v>
      </c>
      <c r="E265" s="43" t="s">
        <v>258</v>
      </c>
      <c r="F265">
        <v>1</v>
      </c>
      <c r="I265">
        <v>43775</v>
      </c>
      <c r="L265" s="43" t="s">
        <v>259</v>
      </c>
      <c r="M265" t="s">
        <v>260</v>
      </c>
      <c r="N265" s="43"/>
      <c r="O265" s="43"/>
      <c r="P265" s="43"/>
      <c r="Q265" s="43"/>
      <c r="R265">
        <v>2.9</v>
      </c>
      <c r="S265">
        <v>44109</v>
      </c>
      <c r="T265" t="s">
        <v>265</v>
      </c>
      <c r="U265" t="s">
        <v>266</v>
      </c>
      <c r="V265" t="s">
        <v>267</v>
      </c>
      <c r="W265" t="s">
        <v>268</v>
      </c>
      <c r="X265" t="s">
        <v>269</v>
      </c>
      <c r="Y265">
        <v>8883022894</v>
      </c>
      <c r="Z265" t="s">
        <v>270</v>
      </c>
      <c r="AA265" t="s">
        <v>271</v>
      </c>
      <c r="AB265" t="s">
        <v>272</v>
      </c>
      <c r="AC265">
        <v>0</v>
      </c>
      <c r="AD265" t="s">
        <v>273</v>
      </c>
      <c r="AE265" t="s">
        <v>274</v>
      </c>
      <c r="AF265">
        <v>9</v>
      </c>
      <c r="AG265" t="s">
        <v>275</v>
      </c>
      <c r="AH265" t="s">
        <v>259</v>
      </c>
      <c r="AI265" t="s">
        <v>259</v>
      </c>
      <c r="AJ265" t="s">
        <v>259</v>
      </c>
      <c r="AK265" s="43" t="s">
        <v>259</v>
      </c>
      <c r="AL265" s="43" t="s">
        <v>259</v>
      </c>
      <c r="AO265" s="23"/>
      <c r="AP265" s="23"/>
      <c r="AQ265" s="23"/>
      <c r="BD265" s="43" t="s">
        <v>259</v>
      </c>
      <c r="BE265" s="43" t="s">
        <v>259</v>
      </c>
      <c r="BF265" s="43" t="s">
        <v>259</v>
      </c>
      <c r="BG265" s="43" t="s">
        <v>259</v>
      </c>
      <c r="BH265" t="s">
        <v>259</v>
      </c>
      <c r="BI265" s="43" t="s">
        <v>259</v>
      </c>
      <c r="BJ265">
        <v>0</v>
      </c>
      <c r="BK265">
        <v>44109</v>
      </c>
      <c r="BL265">
        <v>44356</v>
      </c>
      <c r="BM265">
        <v>8505</v>
      </c>
      <c r="BN265">
        <v>8505</v>
      </c>
      <c r="BO265">
        <v>8505</v>
      </c>
      <c r="BP265">
        <v>25515</v>
      </c>
      <c r="BQ265">
        <v>3300</v>
      </c>
      <c r="BR265">
        <v>400</v>
      </c>
      <c r="BS265">
        <v>400</v>
      </c>
      <c r="BT265">
        <v>4100</v>
      </c>
      <c r="BU265">
        <v>2100</v>
      </c>
      <c r="BV265">
        <v>2100</v>
      </c>
      <c r="BW265">
        <v>2100</v>
      </c>
      <c r="BX265">
        <v>6300</v>
      </c>
      <c r="BY265">
        <v>1200</v>
      </c>
      <c r="BZ265">
        <v>1200</v>
      </c>
      <c r="CA265">
        <v>1200</v>
      </c>
      <c r="CB265">
        <v>3600</v>
      </c>
      <c r="CC265">
        <v>0</v>
      </c>
      <c r="CD265">
        <v>0</v>
      </c>
      <c r="CE265">
        <v>0</v>
      </c>
      <c r="CF265">
        <v>0</v>
      </c>
      <c r="CG265">
        <v>39515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H265">
        <v>0</v>
      </c>
      <c r="EI265">
        <v>1154</v>
      </c>
      <c r="EJ265">
        <v>1154</v>
      </c>
      <c r="EK265">
        <v>1155</v>
      </c>
      <c r="EL265">
        <v>3500</v>
      </c>
      <c r="EM265">
        <v>37.065000000000005</v>
      </c>
      <c r="EN265">
        <v>660</v>
      </c>
      <c r="EO265">
        <v>660</v>
      </c>
      <c r="EP265">
        <v>659</v>
      </c>
      <c r="EQ265">
        <v>2000</v>
      </c>
      <c r="ER265">
        <v>21.18</v>
      </c>
      <c r="ES265">
        <v>0</v>
      </c>
      <c r="ET265">
        <v>0</v>
      </c>
      <c r="EU265">
        <v>0</v>
      </c>
      <c r="EV265">
        <v>0</v>
      </c>
      <c r="EW265">
        <v>0</v>
      </c>
      <c r="FA265">
        <v>0</v>
      </c>
      <c r="FE265">
        <v>0</v>
      </c>
      <c r="FI265">
        <v>0</v>
      </c>
      <c r="FJ265">
        <v>5441.7550000000001</v>
      </c>
      <c r="FK265">
        <v>39515</v>
      </c>
      <c r="FL265">
        <v>35584.891177207784</v>
      </c>
      <c r="FM265">
        <v>34073.245000000003</v>
      </c>
      <c r="FO265" t="s">
        <v>261</v>
      </c>
      <c r="FP265" t="s">
        <v>262</v>
      </c>
      <c r="FQ265" t="s">
        <v>263</v>
      </c>
      <c r="FR265" t="s">
        <v>264</v>
      </c>
    </row>
    <row r="266" spans="1:174" x14ac:dyDescent="0.35">
      <c r="A266">
        <v>193448</v>
      </c>
      <c r="B266" t="s">
        <v>276</v>
      </c>
      <c r="C266" t="s">
        <v>277</v>
      </c>
      <c r="D266" t="s">
        <v>278</v>
      </c>
      <c r="E266" s="43" t="s">
        <v>279</v>
      </c>
      <c r="F266">
        <v>1</v>
      </c>
      <c r="I266">
        <v>43775</v>
      </c>
      <c r="L266" s="43" t="s">
        <v>259</v>
      </c>
      <c r="M266" t="s">
        <v>280</v>
      </c>
      <c r="N266" s="43"/>
      <c r="O266" s="43"/>
      <c r="P266" s="43"/>
      <c r="Q266" s="43"/>
      <c r="R266">
        <v>3.62</v>
      </c>
      <c r="S266">
        <v>44109</v>
      </c>
      <c r="T266" t="s">
        <v>285</v>
      </c>
      <c r="U266" t="s">
        <v>286</v>
      </c>
      <c r="V266" t="s">
        <v>267</v>
      </c>
      <c r="W266" t="s">
        <v>268</v>
      </c>
      <c r="X266" t="s">
        <v>269</v>
      </c>
      <c r="Y266">
        <v>8883022894</v>
      </c>
      <c r="Z266" t="s">
        <v>270</v>
      </c>
      <c r="AA266" t="s">
        <v>271</v>
      </c>
      <c r="AB266" t="s">
        <v>287</v>
      </c>
      <c r="AC266">
        <v>0</v>
      </c>
      <c r="AD266" t="s">
        <v>288</v>
      </c>
      <c r="AE266" t="s">
        <v>289</v>
      </c>
      <c r="AF266">
        <v>2</v>
      </c>
      <c r="AG266" t="s">
        <v>275</v>
      </c>
      <c r="AH266" t="s">
        <v>259</v>
      </c>
      <c r="AI266" t="s">
        <v>259</v>
      </c>
      <c r="AJ266" t="s">
        <v>259</v>
      </c>
      <c r="AK266" s="43" t="s">
        <v>259</v>
      </c>
      <c r="AL266" s="43" t="s">
        <v>259</v>
      </c>
      <c r="AO266" s="23"/>
      <c r="AP266" s="23"/>
      <c r="AQ266" s="23"/>
      <c r="BD266" s="43" t="s">
        <v>259</v>
      </c>
      <c r="BE266" s="43" t="s">
        <v>259</v>
      </c>
      <c r="BF266" s="43" t="s">
        <v>259</v>
      </c>
      <c r="BG266" s="43" t="s">
        <v>259</v>
      </c>
      <c r="BH266" t="s">
        <v>259</v>
      </c>
      <c r="BI266" s="43" t="s">
        <v>259</v>
      </c>
      <c r="BJ266">
        <v>0</v>
      </c>
      <c r="BK266">
        <v>44109</v>
      </c>
      <c r="BL266">
        <v>44356</v>
      </c>
      <c r="BM266">
        <v>8505</v>
      </c>
      <c r="BN266">
        <v>8505</v>
      </c>
      <c r="BO266">
        <v>8505</v>
      </c>
      <c r="BP266">
        <v>25515</v>
      </c>
      <c r="BQ266">
        <v>3300</v>
      </c>
      <c r="BR266">
        <v>400</v>
      </c>
      <c r="BS266">
        <v>400</v>
      </c>
      <c r="BT266">
        <v>4100</v>
      </c>
      <c r="BU266">
        <v>2100</v>
      </c>
      <c r="BV266">
        <v>2100</v>
      </c>
      <c r="BW266">
        <v>2100</v>
      </c>
      <c r="BX266">
        <v>6300</v>
      </c>
      <c r="BY266">
        <v>1200</v>
      </c>
      <c r="BZ266">
        <v>1200</v>
      </c>
      <c r="CA266">
        <v>1200</v>
      </c>
      <c r="CB266">
        <v>3600</v>
      </c>
      <c r="CC266">
        <v>0</v>
      </c>
      <c r="CD266">
        <v>0</v>
      </c>
      <c r="CE266">
        <v>0</v>
      </c>
      <c r="CF266">
        <v>0</v>
      </c>
      <c r="CG266">
        <v>39515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1500</v>
      </c>
      <c r="CU266">
        <v>1500</v>
      </c>
      <c r="CV266">
        <v>1500</v>
      </c>
      <c r="CW266">
        <v>4500</v>
      </c>
      <c r="CX266">
        <v>0</v>
      </c>
      <c r="CY266">
        <v>0</v>
      </c>
      <c r="CZ266">
        <v>0</v>
      </c>
      <c r="DA266">
        <v>0</v>
      </c>
      <c r="DB266">
        <v>1000</v>
      </c>
      <c r="DC266">
        <v>1000</v>
      </c>
      <c r="DD266">
        <v>1000</v>
      </c>
      <c r="DE266">
        <v>3000</v>
      </c>
      <c r="DF266">
        <v>0</v>
      </c>
      <c r="DG266">
        <v>0</v>
      </c>
      <c r="DH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7500</v>
      </c>
      <c r="EH266">
        <v>0</v>
      </c>
      <c r="EI266">
        <v>1154</v>
      </c>
      <c r="EJ266">
        <v>1154</v>
      </c>
      <c r="EK266">
        <v>1155</v>
      </c>
      <c r="EL266">
        <v>3500</v>
      </c>
      <c r="EM266">
        <v>37.065000000000005</v>
      </c>
      <c r="EN266">
        <v>660</v>
      </c>
      <c r="EO266">
        <v>660</v>
      </c>
      <c r="EP266">
        <v>659</v>
      </c>
      <c r="EQ266">
        <v>2000</v>
      </c>
      <c r="ER266">
        <v>21.18</v>
      </c>
      <c r="ES266">
        <v>0</v>
      </c>
      <c r="ET266">
        <v>0</v>
      </c>
      <c r="EU266">
        <v>0</v>
      </c>
      <c r="EV266">
        <v>0</v>
      </c>
      <c r="EW266">
        <v>0</v>
      </c>
      <c r="FA266">
        <v>0</v>
      </c>
      <c r="FE266">
        <v>0</v>
      </c>
      <c r="FI266">
        <v>0</v>
      </c>
      <c r="FJ266">
        <v>5441.7550000000001</v>
      </c>
      <c r="FK266">
        <v>32015</v>
      </c>
      <c r="FL266">
        <v>27752.1566129167</v>
      </c>
      <c r="FM266">
        <v>26573.244999999999</v>
      </c>
      <c r="FO266" t="s">
        <v>281</v>
      </c>
      <c r="FP266" t="s">
        <v>282</v>
      </c>
      <c r="FQ266" t="s">
        <v>283</v>
      </c>
      <c r="FR266" t="s">
        <v>284</v>
      </c>
    </row>
    <row r="267" spans="1:174" x14ac:dyDescent="0.35">
      <c r="A267">
        <v>195082</v>
      </c>
      <c r="B267" t="s">
        <v>290</v>
      </c>
      <c r="C267" t="s">
        <v>291</v>
      </c>
      <c r="D267" t="s">
        <v>292</v>
      </c>
      <c r="E267" s="43" t="s">
        <v>293</v>
      </c>
      <c r="F267">
        <v>1</v>
      </c>
      <c r="G267">
        <v>43775</v>
      </c>
      <c r="H267">
        <v>43775</v>
      </c>
      <c r="I267">
        <v>43775</v>
      </c>
      <c r="K267" t="s">
        <v>1715</v>
      </c>
      <c r="L267" s="43" t="s">
        <v>3204</v>
      </c>
      <c r="M267" t="s">
        <v>294</v>
      </c>
      <c r="N267" s="43"/>
      <c r="O267" s="43"/>
      <c r="P267" s="43"/>
      <c r="Q267" s="43"/>
      <c r="R267">
        <v>3.2</v>
      </c>
      <c r="S267">
        <v>44109</v>
      </c>
      <c r="T267" t="s">
        <v>285</v>
      </c>
      <c r="U267" t="s">
        <v>266</v>
      </c>
      <c r="V267" t="s">
        <v>267</v>
      </c>
      <c r="W267" t="s">
        <v>268</v>
      </c>
      <c r="X267" t="s">
        <v>269</v>
      </c>
      <c r="Y267">
        <v>8883022894</v>
      </c>
      <c r="Z267" t="s">
        <v>270</v>
      </c>
      <c r="AA267" t="s">
        <v>271</v>
      </c>
      <c r="AB267">
        <v>0</v>
      </c>
      <c r="AC267" t="s">
        <v>299</v>
      </c>
      <c r="AD267" t="s">
        <v>300</v>
      </c>
      <c r="AE267" t="s">
        <v>301</v>
      </c>
      <c r="AF267">
        <v>1</v>
      </c>
      <c r="AG267" t="s">
        <v>275</v>
      </c>
      <c r="AH267" t="s">
        <v>3205</v>
      </c>
      <c r="AI267" t="s">
        <v>3206</v>
      </c>
      <c r="AJ267" t="s">
        <v>3207</v>
      </c>
      <c r="AK267" s="43" t="s">
        <v>3208</v>
      </c>
      <c r="AL267" s="43" t="s">
        <v>3209</v>
      </c>
      <c r="AO267" s="23">
        <v>43763</v>
      </c>
      <c r="AP267" s="23"/>
      <c r="AQ267" s="23"/>
      <c r="BD267" s="43" t="s">
        <v>2018</v>
      </c>
      <c r="BE267" s="43" t="s">
        <v>2018</v>
      </c>
      <c r="BF267" s="43" t="s">
        <v>2018</v>
      </c>
      <c r="BG267" s="43" t="s">
        <v>2018</v>
      </c>
      <c r="BH267" t="s">
        <v>2018</v>
      </c>
      <c r="BI267" s="43" t="s">
        <v>2018</v>
      </c>
      <c r="BJ267">
        <v>5.8823529411764719E-2</v>
      </c>
      <c r="BK267">
        <v>44109</v>
      </c>
      <c r="BL267">
        <v>44356</v>
      </c>
      <c r="BM267">
        <v>8505</v>
      </c>
      <c r="BN267">
        <v>8505</v>
      </c>
      <c r="BO267">
        <v>8505</v>
      </c>
      <c r="BP267">
        <v>25515</v>
      </c>
      <c r="BQ267">
        <v>3300</v>
      </c>
      <c r="BR267">
        <v>400</v>
      </c>
      <c r="BS267">
        <v>400</v>
      </c>
      <c r="BT267">
        <v>4100</v>
      </c>
      <c r="BU267">
        <v>2100</v>
      </c>
      <c r="BV267">
        <v>2100</v>
      </c>
      <c r="BW267">
        <v>2100</v>
      </c>
      <c r="BX267">
        <v>6300</v>
      </c>
      <c r="BY267">
        <v>1200</v>
      </c>
      <c r="BZ267">
        <v>1200</v>
      </c>
      <c r="CA267">
        <v>1200</v>
      </c>
      <c r="CB267">
        <v>3600</v>
      </c>
      <c r="CC267">
        <v>0</v>
      </c>
      <c r="CD267">
        <v>0</v>
      </c>
      <c r="CE267">
        <v>0</v>
      </c>
      <c r="CF267">
        <v>0</v>
      </c>
      <c r="CG267">
        <v>39515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1700</v>
      </c>
      <c r="CU267">
        <v>1700</v>
      </c>
      <c r="CV267">
        <v>1700</v>
      </c>
      <c r="CW267">
        <v>5100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5100</v>
      </c>
      <c r="EH267">
        <v>0</v>
      </c>
      <c r="EI267">
        <v>1154</v>
      </c>
      <c r="EJ267">
        <v>1154</v>
      </c>
      <c r="EK267">
        <v>1155</v>
      </c>
      <c r="EL267">
        <v>3500</v>
      </c>
      <c r="EM267">
        <v>37.065000000000005</v>
      </c>
      <c r="EN267">
        <v>660</v>
      </c>
      <c r="EO267">
        <v>660</v>
      </c>
      <c r="EP267">
        <v>659</v>
      </c>
      <c r="EQ267">
        <v>2000</v>
      </c>
      <c r="ER267">
        <v>21.18</v>
      </c>
      <c r="ES267">
        <v>0</v>
      </c>
      <c r="ET267">
        <v>0</v>
      </c>
      <c r="EU267">
        <v>0</v>
      </c>
      <c r="EV267">
        <v>0</v>
      </c>
      <c r="EW267">
        <v>0</v>
      </c>
      <c r="FA267">
        <v>0</v>
      </c>
      <c r="FE267">
        <v>0</v>
      </c>
      <c r="FI267">
        <v>0</v>
      </c>
      <c r="FJ267">
        <v>5441.7550000000001</v>
      </c>
      <c r="FK267">
        <v>34415</v>
      </c>
      <c r="FL267">
        <v>30258.631673489846</v>
      </c>
      <c r="FM267">
        <v>28973.244999999999</v>
      </c>
      <c r="FO267" t="s">
        <v>295</v>
      </c>
      <c r="FP267" t="s">
        <v>296</v>
      </c>
      <c r="FQ267" t="s">
        <v>297</v>
      </c>
      <c r="FR267" t="s">
        <v>298</v>
      </c>
    </row>
    <row r="268" spans="1:174" x14ac:dyDescent="0.35">
      <c r="A268">
        <v>193332</v>
      </c>
      <c r="B268" t="s">
        <v>302</v>
      </c>
      <c r="C268" t="s">
        <v>303</v>
      </c>
      <c r="D268" t="s">
        <v>304</v>
      </c>
      <c r="E268" s="43" t="s">
        <v>305</v>
      </c>
      <c r="F268">
        <v>1</v>
      </c>
      <c r="I268">
        <v>43775</v>
      </c>
      <c r="L268" s="43" t="s">
        <v>3204</v>
      </c>
      <c r="M268" t="s">
        <v>306</v>
      </c>
      <c r="N268" s="43"/>
      <c r="O268" s="43"/>
      <c r="P268" s="43"/>
      <c r="Q268" s="43"/>
      <c r="R268">
        <v>3.93</v>
      </c>
      <c r="S268">
        <v>44109</v>
      </c>
      <c r="T268" t="s">
        <v>311</v>
      </c>
      <c r="U268" t="s">
        <v>312</v>
      </c>
      <c r="V268" t="s">
        <v>267</v>
      </c>
      <c r="W268" t="s">
        <v>268</v>
      </c>
      <c r="X268" t="s">
        <v>269</v>
      </c>
      <c r="Y268">
        <v>8883022894</v>
      </c>
      <c r="Z268" t="s">
        <v>270</v>
      </c>
      <c r="AA268" t="s">
        <v>271</v>
      </c>
      <c r="AB268">
        <v>0</v>
      </c>
      <c r="AC268">
        <v>0</v>
      </c>
      <c r="AD268" t="s">
        <v>313</v>
      </c>
      <c r="AE268" t="s">
        <v>289</v>
      </c>
      <c r="AF268">
        <v>2</v>
      </c>
      <c r="AG268" t="s">
        <v>275</v>
      </c>
      <c r="AH268" t="s">
        <v>3210</v>
      </c>
      <c r="AI268" t="s">
        <v>3211</v>
      </c>
      <c r="AJ268" t="s">
        <v>3207</v>
      </c>
      <c r="AK268" s="43" t="s">
        <v>3208</v>
      </c>
      <c r="AL268" s="43" t="s">
        <v>3209</v>
      </c>
      <c r="AO268" s="23"/>
      <c r="AP268" s="23"/>
      <c r="AQ268" s="23"/>
      <c r="BD268" s="43" t="s">
        <v>2018</v>
      </c>
      <c r="BE268" s="43" t="s">
        <v>2018</v>
      </c>
      <c r="BF268" s="43" t="s">
        <v>2018</v>
      </c>
      <c r="BG268" s="43" t="s">
        <v>2018</v>
      </c>
      <c r="BH268" t="s">
        <v>2018</v>
      </c>
      <c r="BI268" s="43" t="s">
        <v>2018</v>
      </c>
      <c r="BJ268">
        <v>0</v>
      </c>
      <c r="BK268">
        <v>44109</v>
      </c>
      <c r="BL268">
        <v>44356</v>
      </c>
      <c r="BM268">
        <v>8505</v>
      </c>
      <c r="BN268">
        <v>8505</v>
      </c>
      <c r="BO268">
        <v>8505</v>
      </c>
      <c r="BP268">
        <v>25515</v>
      </c>
      <c r="BQ268">
        <v>3300</v>
      </c>
      <c r="BR268">
        <v>400</v>
      </c>
      <c r="BS268">
        <v>400</v>
      </c>
      <c r="BT268">
        <v>4100</v>
      </c>
      <c r="BU268">
        <v>2100</v>
      </c>
      <c r="BV268">
        <v>2100</v>
      </c>
      <c r="BW268">
        <v>2100</v>
      </c>
      <c r="BX268">
        <v>6300</v>
      </c>
      <c r="BY268">
        <v>1200</v>
      </c>
      <c r="BZ268">
        <v>1200</v>
      </c>
      <c r="CA268">
        <v>1200</v>
      </c>
      <c r="CB268">
        <v>3600</v>
      </c>
      <c r="CC268">
        <v>0</v>
      </c>
      <c r="CD268">
        <v>0</v>
      </c>
      <c r="CE268">
        <v>0</v>
      </c>
      <c r="CF268">
        <v>0</v>
      </c>
      <c r="CG268">
        <v>39515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1500</v>
      </c>
      <c r="CU268">
        <v>1500</v>
      </c>
      <c r="CV268">
        <v>1500</v>
      </c>
      <c r="CW268">
        <v>4500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4500</v>
      </c>
      <c r="EH268">
        <v>0</v>
      </c>
      <c r="EI268">
        <v>1154</v>
      </c>
      <c r="EJ268">
        <v>1154</v>
      </c>
      <c r="EK268">
        <v>1155</v>
      </c>
      <c r="EL268">
        <v>3500</v>
      </c>
      <c r="EM268">
        <v>37.065000000000005</v>
      </c>
      <c r="EN268">
        <v>660</v>
      </c>
      <c r="EO268">
        <v>660</v>
      </c>
      <c r="EP268">
        <v>659</v>
      </c>
      <c r="EQ268">
        <v>2000</v>
      </c>
      <c r="ER268">
        <v>21.18</v>
      </c>
      <c r="ES268">
        <v>0</v>
      </c>
      <c r="ET268">
        <v>0</v>
      </c>
      <c r="EU268">
        <v>0</v>
      </c>
      <c r="EV268">
        <v>0</v>
      </c>
      <c r="EW268">
        <v>0</v>
      </c>
      <c r="FA268">
        <v>0</v>
      </c>
      <c r="FE268">
        <v>0</v>
      </c>
      <c r="FI268">
        <v>0</v>
      </c>
      <c r="FJ268">
        <v>5441.7550000000001</v>
      </c>
      <c r="FK268">
        <v>35015</v>
      </c>
      <c r="FL268">
        <v>30885.250438633135</v>
      </c>
      <c r="FM268">
        <v>29573.244999999999</v>
      </c>
      <c r="FO268" t="s">
        <v>307</v>
      </c>
      <c r="FP268" t="s">
        <v>308</v>
      </c>
      <c r="FQ268" t="s">
        <v>309</v>
      </c>
      <c r="FR268" t="s">
        <v>310</v>
      </c>
    </row>
    <row r="269" spans="1:174" x14ac:dyDescent="0.35">
      <c r="A269">
        <v>195461</v>
      </c>
      <c r="B269" t="s">
        <v>314</v>
      </c>
      <c r="C269" t="s">
        <v>315</v>
      </c>
      <c r="D269" t="s">
        <v>316</v>
      </c>
      <c r="E269" s="43" t="s">
        <v>317</v>
      </c>
      <c r="F269">
        <v>1</v>
      </c>
      <c r="G269">
        <v>43775</v>
      </c>
      <c r="H269">
        <v>43775</v>
      </c>
      <c r="I269">
        <v>43775</v>
      </c>
      <c r="K269" t="s">
        <v>1715</v>
      </c>
      <c r="L269" s="43" t="s">
        <v>259</v>
      </c>
      <c r="M269" t="s">
        <v>318</v>
      </c>
      <c r="N269" s="43"/>
      <c r="O269" s="43"/>
      <c r="P269" s="43"/>
      <c r="Q269" s="43"/>
      <c r="R269">
        <v>2.95</v>
      </c>
      <c r="S269">
        <v>44109</v>
      </c>
      <c r="T269" t="s">
        <v>265</v>
      </c>
      <c r="U269" t="s">
        <v>266</v>
      </c>
      <c r="V269" t="s">
        <v>267</v>
      </c>
      <c r="W269" t="s">
        <v>268</v>
      </c>
      <c r="X269" t="s">
        <v>269</v>
      </c>
      <c r="Y269">
        <v>8883022894</v>
      </c>
      <c r="Z269" t="s">
        <v>270</v>
      </c>
      <c r="AA269" t="s">
        <v>271</v>
      </c>
      <c r="AB269" t="s">
        <v>322</v>
      </c>
      <c r="AC269">
        <v>0</v>
      </c>
      <c r="AD269" t="s">
        <v>323</v>
      </c>
      <c r="AE269" t="s">
        <v>324</v>
      </c>
      <c r="AF269">
        <v>8</v>
      </c>
      <c r="AG269" t="s">
        <v>275</v>
      </c>
      <c r="AH269" t="s">
        <v>259</v>
      </c>
      <c r="AI269" t="s">
        <v>259</v>
      </c>
      <c r="AJ269" t="s">
        <v>259</v>
      </c>
      <c r="AK269" s="43" t="s">
        <v>259</v>
      </c>
      <c r="AL269" s="43" t="s">
        <v>259</v>
      </c>
      <c r="AO269" s="23"/>
      <c r="AP269" s="23"/>
      <c r="AQ269" s="23"/>
      <c r="BD269" s="43" t="s">
        <v>259</v>
      </c>
      <c r="BE269" s="43" t="s">
        <v>259</v>
      </c>
      <c r="BF269" s="43" t="s">
        <v>259</v>
      </c>
      <c r="BG269" s="43" t="s">
        <v>259</v>
      </c>
      <c r="BH269" t="s">
        <v>259</v>
      </c>
      <c r="BI269" s="43" t="s">
        <v>259</v>
      </c>
      <c r="BJ269">
        <v>0</v>
      </c>
      <c r="BK269">
        <v>44109</v>
      </c>
      <c r="BL269">
        <v>44356</v>
      </c>
      <c r="BM269">
        <v>8505</v>
      </c>
      <c r="BN269">
        <v>8505</v>
      </c>
      <c r="BO269">
        <v>8505</v>
      </c>
      <c r="BP269">
        <v>25515</v>
      </c>
      <c r="BQ269">
        <v>3300</v>
      </c>
      <c r="BR269">
        <v>400</v>
      </c>
      <c r="BS269">
        <v>400</v>
      </c>
      <c r="BT269">
        <v>4100</v>
      </c>
      <c r="BU269">
        <v>2100</v>
      </c>
      <c r="BV269">
        <v>2100</v>
      </c>
      <c r="BW269">
        <v>2100</v>
      </c>
      <c r="BX269">
        <v>6300</v>
      </c>
      <c r="BY269">
        <v>1200</v>
      </c>
      <c r="BZ269">
        <v>1200</v>
      </c>
      <c r="CA269">
        <v>1200</v>
      </c>
      <c r="CB269">
        <v>3600</v>
      </c>
      <c r="CC269">
        <v>0</v>
      </c>
      <c r="CD269">
        <v>0</v>
      </c>
      <c r="CE269">
        <v>0</v>
      </c>
      <c r="CF269">
        <v>0</v>
      </c>
      <c r="CG269">
        <v>39515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H269">
        <v>0</v>
      </c>
      <c r="EI269">
        <v>1154</v>
      </c>
      <c r="EJ269">
        <v>1154</v>
      </c>
      <c r="EK269">
        <v>1155</v>
      </c>
      <c r="EL269">
        <v>3500</v>
      </c>
      <c r="EM269">
        <v>37.065000000000005</v>
      </c>
      <c r="EN269">
        <v>660</v>
      </c>
      <c r="EO269">
        <v>660</v>
      </c>
      <c r="EP269">
        <v>659</v>
      </c>
      <c r="EQ269">
        <v>2000</v>
      </c>
      <c r="ER269">
        <v>21.18</v>
      </c>
      <c r="ES269">
        <v>0</v>
      </c>
      <c r="ET269">
        <v>0</v>
      </c>
      <c r="EU269">
        <v>0</v>
      </c>
      <c r="EV269">
        <v>0</v>
      </c>
      <c r="EW269">
        <v>0</v>
      </c>
      <c r="FA269">
        <v>0</v>
      </c>
      <c r="FE269">
        <v>0</v>
      </c>
      <c r="FI269">
        <v>0</v>
      </c>
      <c r="FJ269">
        <v>5441.7550000000001</v>
      </c>
      <c r="FK269">
        <v>39515</v>
      </c>
      <c r="FL269">
        <v>35584.891177207784</v>
      </c>
      <c r="FM269">
        <v>34073.245000000003</v>
      </c>
      <c r="FO269" t="s">
        <v>319</v>
      </c>
      <c r="FP269" t="s">
        <v>320</v>
      </c>
      <c r="FQ269" t="s">
        <v>297</v>
      </c>
      <c r="FR269" t="s">
        <v>321</v>
      </c>
    </row>
    <row r="270" spans="1:174" x14ac:dyDescent="0.35">
      <c r="A270">
        <v>198390</v>
      </c>
      <c r="B270" t="s">
        <v>325</v>
      </c>
      <c r="C270" t="s">
        <v>326</v>
      </c>
      <c r="D270" t="s">
        <v>327</v>
      </c>
      <c r="E270" s="43" t="s">
        <v>328</v>
      </c>
      <c r="F270">
        <v>1</v>
      </c>
      <c r="I270">
        <v>43775</v>
      </c>
      <c r="L270" s="43" t="s">
        <v>3204</v>
      </c>
      <c r="M270" t="s">
        <v>329</v>
      </c>
      <c r="N270" s="43"/>
      <c r="O270" s="43"/>
      <c r="P270" s="43"/>
      <c r="Q270" s="43"/>
      <c r="R270">
        <v>3.8868</v>
      </c>
      <c r="S270">
        <v>44109</v>
      </c>
      <c r="T270" t="s">
        <v>311</v>
      </c>
      <c r="U270" t="s">
        <v>266</v>
      </c>
      <c r="V270" t="s">
        <v>267</v>
      </c>
      <c r="W270" t="s">
        <v>268</v>
      </c>
      <c r="X270" t="s">
        <v>269</v>
      </c>
      <c r="Y270">
        <v>8883022894</v>
      </c>
      <c r="Z270" t="s">
        <v>270</v>
      </c>
      <c r="AA270" t="s">
        <v>271</v>
      </c>
      <c r="AB270" t="s">
        <v>334</v>
      </c>
      <c r="AC270">
        <v>0</v>
      </c>
      <c r="AD270" t="s">
        <v>335</v>
      </c>
      <c r="AE270" t="s">
        <v>301</v>
      </c>
      <c r="AF270">
        <v>1</v>
      </c>
      <c r="AG270" t="s">
        <v>275</v>
      </c>
      <c r="AH270" t="s">
        <v>3212</v>
      </c>
      <c r="AI270" t="s">
        <v>3213</v>
      </c>
      <c r="AJ270" t="s">
        <v>3207</v>
      </c>
      <c r="AK270" s="43" t="s">
        <v>3208</v>
      </c>
      <c r="AL270" s="43" t="s">
        <v>3209</v>
      </c>
      <c r="AO270" s="23">
        <v>43753</v>
      </c>
      <c r="AP270" s="23"/>
      <c r="AQ270" s="23"/>
      <c r="BD270" s="43" t="s">
        <v>2018</v>
      </c>
      <c r="BE270" s="43" t="s">
        <v>2018</v>
      </c>
      <c r="BF270" s="43" t="s">
        <v>2018</v>
      </c>
      <c r="BG270" s="43" t="s">
        <v>2018</v>
      </c>
      <c r="BH270" t="s">
        <v>2018</v>
      </c>
      <c r="BI270" s="43" t="s">
        <v>2018</v>
      </c>
      <c r="BJ270">
        <v>5.8823529411764719E-2</v>
      </c>
      <c r="BK270">
        <v>44109</v>
      </c>
      <c r="BL270">
        <v>44356</v>
      </c>
      <c r="BM270">
        <v>8505</v>
      </c>
      <c r="BN270">
        <v>8505</v>
      </c>
      <c r="BO270">
        <v>8505</v>
      </c>
      <c r="BP270">
        <v>25515</v>
      </c>
      <c r="BQ270">
        <v>3300</v>
      </c>
      <c r="BR270">
        <v>400</v>
      </c>
      <c r="BS270">
        <v>400</v>
      </c>
      <c r="BT270">
        <v>4100</v>
      </c>
      <c r="BU270">
        <v>2100</v>
      </c>
      <c r="BV270">
        <v>2100</v>
      </c>
      <c r="BW270">
        <v>2100</v>
      </c>
      <c r="BX270">
        <v>6300</v>
      </c>
      <c r="BY270">
        <v>1200</v>
      </c>
      <c r="BZ270">
        <v>1200</v>
      </c>
      <c r="CA270">
        <v>1200</v>
      </c>
      <c r="CB270">
        <v>3600</v>
      </c>
      <c r="CC270">
        <v>0</v>
      </c>
      <c r="CD270">
        <v>0</v>
      </c>
      <c r="CE270">
        <v>0</v>
      </c>
      <c r="CF270">
        <v>0</v>
      </c>
      <c r="CG270">
        <v>39515</v>
      </c>
      <c r="CK270">
        <v>0</v>
      </c>
      <c r="CL270">
        <v>1049</v>
      </c>
      <c r="CM270">
        <v>1048</v>
      </c>
      <c r="CN270">
        <v>1048</v>
      </c>
      <c r="CO270">
        <v>3145</v>
      </c>
      <c r="CP270">
        <v>500</v>
      </c>
      <c r="CQ270">
        <v>500</v>
      </c>
      <c r="CR270">
        <v>500</v>
      </c>
      <c r="CS270">
        <v>1500</v>
      </c>
      <c r="CT270">
        <v>1700</v>
      </c>
      <c r="CU270">
        <v>1700</v>
      </c>
      <c r="CV270">
        <v>1700</v>
      </c>
      <c r="CW270">
        <v>5100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9745</v>
      </c>
      <c r="EH270">
        <v>0</v>
      </c>
      <c r="EI270">
        <v>1154</v>
      </c>
      <c r="EJ270">
        <v>1154</v>
      </c>
      <c r="EK270">
        <v>1155</v>
      </c>
      <c r="EL270">
        <v>3500</v>
      </c>
      <c r="EM270">
        <v>37.065000000000005</v>
      </c>
      <c r="EN270">
        <v>660</v>
      </c>
      <c r="EO270">
        <v>660</v>
      </c>
      <c r="EP270">
        <v>659</v>
      </c>
      <c r="EQ270">
        <v>2000</v>
      </c>
      <c r="ER270">
        <v>21.18</v>
      </c>
      <c r="ES270">
        <v>0</v>
      </c>
      <c r="ET270">
        <v>0</v>
      </c>
      <c r="EU270">
        <v>0</v>
      </c>
      <c r="EV270">
        <v>0</v>
      </c>
      <c r="EW270">
        <v>0</v>
      </c>
      <c r="FA270">
        <v>0</v>
      </c>
      <c r="FE270">
        <v>0</v>
      </c>
      <c r="FI270">
        <v>0</v>
      </c>
      <c r="FJ270">
        <v>5441.7550000000001</v>
      </c>
      <c r="FK270">
        <v>29770</v>
      </c>
      <c r="FL270">
        <v>25407.558066672231</v>
      </c>
      <c r="FM270">
        <v>24328.244999999999</v>
      </c>
      <c r="FO270" t="s">
        <v>330</v>
      </c>
      <c r="FP270" t="s">
        <v>331</v>
      </c>
      <c r="FQ270" t="s">
        <v>332</v>
      </c>
      <c r="FR270" t="s">
        <v>333</v>
      </c>
    </row>
    <row r="271" spans="1:174" x14ac:dyDescent="0.35">
      <c r="A271">
        <v>195399</v>
      </c>
      <c r="B271" t="s">
        <v>3422</v>
      </c>
      <c r="C271" t="s">
        <v>3423</v>
      </c>
      <c r="D271" t="s">
        <v>3424</v>
      </c>
      <c r="E271" s="43" t="s">
        <v>4179</v>
      </c>
      <c r="F271">
        <v>1</v>
      </c>
      <c r="I271">
        <v>43794</v>
      </c>
      <c r="L271" s="43" t="s">
        <v>3204</v>
      </c>
      <c r="M271" t="s">
        <v>3426</v>
      </c>
      <c r="N271" s="43"/>
      <c r="O271" s="43"/>
      <c r="P271" s="43"/>
      <c r="Q271" s="43"/>
      <c r="R271">
        <v>3.4897999999999998</v>
      </c>
      <c r="S271">
        <v>44109</v>
      </c>
      <c r="T271" t="s">
        <v>311</v>
      </c>
      <c r="U271" t="s">
        <v>286</v>
      </c>
      <c r="V271" t="s">
        <v>267</v>
      </c>
      <c r="W271" t="s">
        <v>268</v>
      </c>
      <c r="X271" t="s">
        <v>269</v>
      </c>
      <c r="Y271">
        <v>8883022894</v>
      </c>
      <c r="Z271" t="s">
        <v>270</v>
      </c>
      <c r="AA271" t="s">
        <v>271</v>
      </c>
      <c r="AB271" t="s">
        <v>779</v>
      </c>
      <c r="AC271">
        <v>0</v>
      </c>
      <c r="AD271" t="s">
        <v>860</v>
      </c>
      <c r="AE271" t="s">
        <v>354</v>
      </c>
      <c r="AF271">
        <v>6</v>
      </c>
      <c r="AG271" t="s">
        <v>3345</v>
      </c>
      <c r="AH271" t="s">
        <v>3584</v>
      </c>
      <c r="AI271" t="s">
        <v>3585</v>
      </c>
      <c r="AJ271" t="s">
        <v>3207</v>
      </c>
      <c r="AK271" s="43" t="s">
        <v>1715</v>
      </c>
      <c r="AL271" s="43" t="s">
        <v>259</v>
      </c>
      <c r="AO271" s="23"/>
      <c r="AP271" s="23"/>
      <c r="AQ271" s="23"/>
      <c r="BD271" s="43" t="s">
        <v>259</v>
      </c>
      <c r="BE271" s="43" t="s">
        <v>259</v>
      </c>
      <c r="BF271" s="43" t="s">
        <v>259</v>
      </c>
      <c r="BG271" s="43" t="s">
        <v>259</v>
      </c>
      <c r="BH271" t="s">
        <v>259</v>
      </c>
      <c r="BI271" s="43" t="s">
        <v>259</v>
      </c>
      <c r="BJ271">
        <v>0</v>
      </c>
      <c r="BK271">
        <v>44109</v>
      </c>
      <c r="BL271">
        <v>44356</v>
      </c>
      <c r="BM271">
        <v>8505</v>
      </c>
      <c r="BN271">
        <v>8505</v>
      </c>
      <c r="BO271">
        <v>8505</v>
      </c>
      <c r="BP271">
        <v>25515</v>
      </c>
      <c r="BQ271">
        <v>3300</v>
      </c>
      <c r="BR271">
        <v>400</v>
      </c>
      <c r="BS271">
        <v>400</v>
      </c>
      <c r="BT271">
        <v>4100</v>
      </c>
      <c r="BU271">
        <v>2100</v>
      </c>
      <c r="BV271">
        <v>2100</v>
      </c>
      <c r="BW271">
        <v>2100</v>
      </c>
      <c r="BX271">
        <v>6300</v>
      </c>
      <c r="BY271">
        <v>1200</v>
      </c>
      <c r="BZ271">
        <v>1200</v>
      </c>
      <c r="CA271">
        <v>1200</v>
      </c>
      <c r="CB271">
        <v>3600</v>
      </c>
      <c r="CF271">
        <v>0</v>
      </c>
      <c r="CG271">
        <v>39515</v>
      </c>
      <c r="CK271">
        <v>0</v>
      </c>
      <c r="CL271">
        <v>1782</v>
      </c>
      <c r="CM271">
        <v>1782</v>
      </c>
      <c r="CN271">
        <v>1781</v>
      </c>
      <c r="CO271">
        <v>5345</v>
      </c>
      <c r="CP271">
        <v>500</v>
      </c>
      <c r="CQ271">
        <v>500</v>
      </c>
      <c r="CR271">
        <v>500</v>
      </c>
      <c r="CS271">
        <v>1500</v>
      </c>
      <c r="CT271">
        <v>750</v>
      </c>
      <c r="CU271">
        <v>750</v>
      </c>
      <c r="CV271">
        <v>750</v>
      </c>
      <c r="CW271">
        <v>2250</v>
      </c>
      <c r="CX271">
        <v>0</v>
      </c>
      <c r="CY271">
        <v>0</v>
      </c>
      <c r="CZ271">
        <v>0</v>
      </c>
      <c r="DA271">
        <v>0</v>
      </c>
      <c r="DB271">
        <v>1000</v>
      </c>
      <c r="DC271">
        <v>1000</v>
      </c>
      <c r="DD271">
        <v>1000</v>
      </c>
      <c r="DE271">
        <v>3000</v>
      </c>
      <c r="DF271">
        <v>0</v>
      </c>
      <c r="DG271">
        <v>0</v>
      </c>
      <c r="DH271">
        <v>0</v>
      </c>
      <c r="DN271">
        <v>0</v>
      </c>
      <c r="DO271">
        <v>0</v>
      </c>
      <c r="DP271">
        <v>0</v>
      </c>
      <c r="DR271">
        <v>0</v>
      </c>
      <c r="DS271">
        <v>0</v>
      </c>
      <c r="DT271">
        <v>0</v>
      </c>
      <c r="DY271">
        <v>0</v>
      </c>
      <c r="EC271">
        <v>0</v>
      </c>
      <c r="ED271">
        <v>12095</v>
      </c>
      <c r="EH271">
        <v>0</v>
      </c>
      <c r="EI271">
        <v>0</v>
      </c>
      <c r="EJ271">
        <v>0</v>
      </c>
      <c r="EK271">
        <v>0</v>
      </c>
      <c r="EM271">
        <v>0</v>
      </c>
      <c r="EN271">
        <v>660</v>
      </c>
      <c r="EO271">
        <v>660</v>
      </c>
      <c r="EP271">
        <v>659</v>
      </c>
      <c r="EQ271">
        <v>2000</v>
      </c>
      <c r="ER271">
        <v>21.24</v>
      </c>
      <c r="ES271">
        <v>0</v>
      </c>
      <c r="ET271">
        <v>0</v>
      </c>
      <c r="EU271">
        <v>0</v>
      </c>
      <c r="EW271">
        <v>0</v>
      </c>
      <c r="FA271">
        <v>0</v>
      </c>
      <c r="FE271">
        <v>0</v>
      </c>
      <c r="FI271">
        <v>0</v>
      </c>
      <c r="FJ271">
        <v>1978.76</v>
      </c>
      <c r="FK271">
        <v>27420</v>
      </c>
      <c r="FL271">
        <v>26569.930654189993</v>
      </c>
      <c r="FM271">
        <v>25441.24</v>
      </c>
      <c r="FO271" t="s">
        <v>3427</v>
      </c>
      <c r="FP271" t="s">
        <v>3428</v>
      </c>
      <c r="FQ271" t="s">
        <v>1046</v>
      </c>
      <c r="FR271" t="s">
        <v>3429</v>
      </c>
    </row>
    <row r="272" spans="1:174" x14ac:dyDescent="0.35">
      <c r="A272">
        <v>198337</v>
      </c>
      <c r="B272" t="s">
        <v>3430</v>
      </c>
      <c r="C272" t="s">
        <v>3431</v>
      </c>
      <c r="D272" t="s">
        <v>3432</v>
      </c>
      <c r="E272" s="43" t="s">
        <v>4197</v>
      </c>
      <c r="J272" t="s">
        <v>3425</v>
      </c>
      <c r="L272" s="43" t="s">
        <v>259</v>
      </c>
      <c r="M272" t="s">
        <v>3433</v>
      </c>
      <c r="N272" s="43"/>
      <c r="O272" s="43"/>
      <c r="P272" s="43"/>
      <c r="Q272" s="43"/>
      <c r="R272">
        <v>3.0710000000000002</v>
      </c>
      <c r="S272">
        <v>44109</v>
      </c>
      <c r="T272" t="s">
        <v>311</v>
      </c>
      <c r="U272" t="s">
        <v>286</v>
      </c>
      <c r="V272" t="s">
        <v>267</v>
      </c>
      <c r="W272" t="s">
        <v>268</v>
      </c>
      <c r="X272" t="s">
        <v>269</v>
      </c>
      <c r="Y272">
        <v>8883022894</v>
      </c>
      <c r="Z272" t="s">
        <v>270</v>
      </c>
      <c r="AA272" t="s">
        <v>271</v>
      </c>
      <c r="AB272" t="s">
        <v>3437</v>
      </c>
      <c r="AC272">
        <v>0</v>
      </c>
      <c r="AD272" t="s">
        <v>894</v>
      </c>
      <c r="AE272" t="s">
        <v>324</v>
      </c>
      <c r="AF272">
        <v>8</v>
      </c>
      <c r="AG272" t="s">
        <v>3345</v>
      </c>
      <c r="AH272" t="s">
        <v>259</v>
      </c>
      <c r="AI272" t="s">
        <v>259</v>
      </c>
      <c r="AJ272" t="s">
        <v>259</v>
      </c>
      <c r="AK272" s="43" t="s">
        <v>259</v>
      </c>
      <c r="AL272" s="43" t="s">
        <v>259</v>
      </c>
      <c r="AO272" s="23"/>
      <c r="AP272" s="23"/>
      <c r="AQ272" s="23"/>
      <c r="BD272" s="43" t="s">
        <v>259</v>
      </c>
      <c r="BE272" s="43" t="s">
        <v>259</v>
      </c>
      <c r="BF272" s="43" t="s">
        <v>259</v>
      </c>
      <c r="BG272" s="43" t="s">
        <v>259</v>
      </c>
      <c r="BH272" t="s">
        <v>259</v>
      </c>
      <c r="BI272" s="43" t="s">
        <v>259</v>
      </c>
      <c r="BJ272">
        <v>0</v>
      </c>
      <c r="BK272">
        <v>44109</v>
      </c>
      <c r="BL272">
        <v>44356</v>
      </c>
      <c r="BM272">
        <v>8505</v>
      </c>
      <c r="BN272">
        <v>8505</v>
      </c>
      <c r="BO272">
        <v>8505</v>
      </c>
      <c r="BP272">
        <v>25515</v>
      </c>
      <c r="BQ272">
        <v>3300</v>
      </c>
      <c r="BR272">
        <v>400</v>
      </c>
      <c r="BS272">
        <v>400</v>
      </c>
      <c r="BT272">
        <v>4100</v>
      </c>
      <c r="BU272">
        <v>2100</v>
      </c>
      <c r="BV272">
        <v>2100</v>
      </c>
      <c r="BW272">
        <v>2100</v>
      </c>
      <c r="BX272">
        <v>6300</v>
      </c>
      <c r="BY272">
        <v>1200</v>
      </c>
      <c r="BZ272">
        <v>1200</v>
      </c>
      <c r="CA272">
        <v>1200</v>
      </c>
      <c r="CB272">
        <v>3600</v>
      </c>
      <c r="CF272">
        <v>0</v>
      </c>
      <c r="CG272">
        <v>39515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1000</v>
      </c>
      <c r="DC272">
        <v>1000</v>
      </c>
      <c r="DD272">
        <v>1000</v>
      </c>
      <c r="DE272">
        <v>3000</v>
      </c>
      <c r="DF272">
        <v>0</v>
      </c>
      <c r="DG272">
        <v>0</v>
      </c>
      <c r="DH272">
        <v>0</v>
      </c>
      <c r="DN272">
        <v>0</v>
      </c>
      <c r="DO272">
        <v>0</v>
      </c>
      <c r="DP272">
        <v>0</v>
      </c>
      <c r="DR272">
        <v>0</v>
      </c>
      <c r="DS272">
        <v>0</v>
      </c>
      <c r="DT272">
        <v>0</v>
      </c>
      <c r="DY272">
        <v>0</v>
      </c>
      <c r="EC272">
        <v>0</v>
      </c>
      <c r="ED272">
        <v>3000</v>
      </c>
      <c r="EH272">
        <v>0</v>
      </c>
      <c r="EI272">
        <v>0</v>
      </c>
      <c r="EJ272">
        <v>0</v>
      </c>
      <c r="EK272">
        <v>0</v>
      </c>
      <c r="EM272">
        <v>0</v>
      </c>
      <c r="EN272">
        <v>660</v>
      </c>
      <c r="EO272">
        <v>660</v>
      </c>
      <c r="EP272">
        <v>659</v>
      </c>
      <c r="EQ272">
        <v>2000</v>
      </c>
      <c r="ER272">
        <v>21.24</v>
      </c>
      <c r="ES272">
        <v>0</v>
      </c>
      <c r="ET272">
        <v>0</v>
      </c>
      <c r="EU272">
        <v>0</v>
      </c>
      <c r="EW272">
        <v>0</v>
      </c>
      <c r="FA272">
        <v>0</v>
      </c>
      <c r="FE272">
        <v>0</v>
      </c>
      <c r="FI272">
        <v>0</v>
      </c>
      <c r="FJ272">
        <v>1978.76</v>
      </c>
      <c r="FK272">
        <v>36515</v>
      </c>
      <c r="FL272">
        <v>36068.426769153652</v>
      </c>
      <c r="FM272">
        <v>34536.239999999998</v>
      </c>
      <c r="FO272" t="s">
        <v>3434</v>
      </c>
      <c r="FP272" t="s">
        <v>3435</v>
      </c>
      <c r="FQ272" t="s">
        <v>384</v>
      </c>
      <c r="FR272" t="s">
        <v>3436</v>
      </c>
    </row>
    <row r="273" spans="1:174" x14ac:dyDescent="0.35">
      <c r="A273">
        <v>195990</v>
      </c>
      <c r="B273" t="s">
        <v>336</v>
      </c>
      <c r="C273" t="s">
        <v>291</v>
      </c>
      <c r="D273" t="s">
        <v>337</v>
      </c>
      <c r="E273" s="43" t="s">
        <v>338</v>
      </c>
      <c r="F273">
        <v>1</v>
      </c>
      <c r="I273">
        <v>43775</v>
      </c>
      <c r="L273" s="43" t="s">
        <v>259</v>
      </c>
      <c r="M273" t="s">
        <v>339</v>
      </c>
      <c r="N273" s="43"/>
      <c r="O273" s="43"/>
      <c r="P273" s="43"/>
      <c r="Q273" s="43"/>
      <c r="R273">
        <v>2.5758000000000001</v>
      </c>
      <c r="S273">
        <v>44109</v>
      </c>
      <c r="T273" t="s">
        <v>265</v>
      </c>
      <c r="U273" t="s">
        <v>266</v>
      </c>
      <c r="V273" t="s">
        <v>267</v>
      </c>
      <c r="W273" t="s">
        <v>268</v>
      </c>
      <c r="X273" t="s">
        <v>269</v>
      </c>
      <c r="Y273">
        <v>8883022894</v>
      </c>
      <c r="Z273" t="s">
        <v>270</v>
      </c>
      <c r="AA273" t="s">
        <v>271</v>
      </c>
      <c r="AB273">
        <v>0</v>
      </c>
      <c r="AC273">
        <v>0</v>
      </c>
      <c r="AD273" t="s">
        <v>313</v>
      </c>
      <c r="AE273" t="s">
        <v>344</v>
      </c>
      <c r="AF273">
        <v>10</v>
      </c>
      <c r="AG273" t="s">
        <v>275</v>
      </c>
      <c r="AH273" t="s">
        <v>259</v>
      </c>
      <c r="AI273" t="s">
        <v>259</v>
      </c>
      <c r="AJ273" t="s">
        <v>259</v>
      </c>
      <c r="AK273" s="43" t="s">
        <v>259</v>
      </c>
      <c r="AL273" s="43" t="s">
        <v>259</v>
      </c>
      <c r="AO273" s="23"/>
      <c r="AP273" s="23"/>
      <c r="AQ273" s="23"/>
      <c r="BD273" s="43" t="s">
        <v>259</v>
      </c>
      <c r="BE273" s="43" t="s">
        <v>259</v>
      </c>
      <c r="BF273" s="43" t="s">
        <v>259</v>
      </c>
      <c r="BG273" s="43" t="s">
        <v>259</v>
      </c>
      <c r="BH273" t="s">
        <v>259</v>
      </c>
      <c r="BI273" s="43" t="s">
        <v>259</v>
      </c>
      <c r="BJ273">
        <v>0</v>
      </c>
      <c r="BK273">
        <v>44109</v>
      </c>
      <c r="BL273">
        <v>44356</v>
      </c>
      <c r="BM273">
        <v>8505</v>
      </c>
      <c r="BN273">
        <v>8505</v>
      </c>
      <c r="BO273">
        <v>8505</v>
      </c>
      <c r="BP273">
        <v>25515</v>
      </c>
      <c r="BQ273">
        <v>3300</v>
      </c>
      <c r="BR273">
        <v>400</v>
      </c>
      <c r="BS273">
        <v>400</v>
      </c>
      <c r="BT273">
        <v>4100</v>
      </c>
      <c r="BU273">
        <v>2100</v>
      </c>
      <c r="BV273">
        <v>2100</v>
      </c>
      <c r="BW273">
        <v>2100</v>
      </c>
      <c r="BX273">
        <v>6300</v>
      </c>
      <c r="BY273">
        <v>1200</v>
      </c>
      <c r="BZ273">
        <v>1200</v>
      </c>
      <c r="CA273">
        <v>1200</v>
      </c>
      <c r="CB273">
        <v>3600</v>
      </c>
      <c r="CC273">
        <v>0</v>
      </c>
      <c r="CD273">
        <v>0</v>
      </c>
      <c r="CE273">
        <v>0</v>
      </c>
      <c r="CF273">
        <v>0</v>
      </c>
      <c r="CG273">
        <v>39515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H273">
        <v>0</v>
      </c>
      <c r="EI273">
        <v>1154</v>
      </c>
      <c r="EJ273">
        <v>1154</v>
      </c>
      <c r="EK273">
        <v>1155</v>
      </c>
      <c r="EL273">
        <v>3500</v>
      </c>
      <c r="EM273">
        <v>37.065000000000005</v>
      </c>
      <c r="EN273">
        <v>660</v>
      </c>
      <c r="EO273">
        <v>660</v>
      </c>
      <c r="EP273">
        <v>659</v>
      </c>
      <c r="EQ273">
        <v>2000</v>
      </c>
      <c r="ER273">
        <v>21.18</v>
      </c>
      <c r="ES273">
        <v>0</v>
      </c>
      <c r="ET273">
        <v>0</v>
      </c>
      <c r="EU273">
        <v>0</v>
      </c>
      <c r="EV273">
        <v>0</v>
      </c>
      <c r="EW273">
        <v>0</v>
      </c>
      <c r="FA273">
        <v>0</v>
      </c>
      <c r="FE273">
        <v>0</v>
      </c>
      <c r="FI273">
        <v>0</v>
      </c>
      <c r="FJ273">
        <v>5441.7550000000001</v>
      </c>
      <c r="FK273">
        <v>39515</v>
      </c>
      <c r="FL273">
        <v>35584.891177207784</v>
      </c>
      <c r="FM273">
        <v>34073.245000000003</v>
      </c>
      <c r="FO273" t="s">
        <v>340</v>
      </c>
      <c r="FP273" t="s">
        <v>341</v>
      </c>
      <c r="FQ273" t="s">
        <v>342</v>
      </c>
      <c r="FR273" t="s">
        <v>343</v>
      </c>
    </row>
    <row r="274" spans="1:174" x14ac:dyDescent="0.35">
      <c r="A274">
        <v>198281</v>
      </c>
      <c r="B274" t="s">
        <v>336</v>
      </c>
      <c r="C274" t="s">
        <v>1022</v>
      </c>
      <c r="D274" t="s">
        <v>3872</v>
      </c>
      <c r="E274" s="43" t="s">
        <v>4198</v>
      </c>
      <c r="J274" t="s">
        <v>3830</v>
      </c>
      <c r="L274" s="43" t="s">
        <v>259</v>
      </c>
      <c r="M274" t="s">
        <v>3873</v>
      </c>
      <c r="N274" s="43"/>
      <c r="O274" s="43"/>
      <c r="P274" s="43"/>
      <c r="Q274" s="43"/>
      <c r="R274">
        <v>3.19</v>
      </c>
      <c r="S274">
        <v>44109</v>
      </c>
      <c r="T274" t="s">
        <v>311</v>
      </c>
      <c r="U274" t="s">
        <v>266</v>
      </c>
      <c r="V274" t="s">
        <v>267</v>
      </c>
      <c r="W274" t="s">
        <v>268</v>
      </c>
      <c r="X274" t="s">
        <v>269</v>
      </c>
      <c r="Y274">
        <v>8883022894</v>
      </c>
      <c r="Z274" t="s">
        <v>270</v>
      </c>
      <c r="AA274" t="s">
        <v>271</v>
      </c>
      <c r="AB274">
        <v>0</v>
      </c>
      <c r="AC274" t="s">
        <v>352</v>
      </c>
      <c r="AD274" t="s">
        <v>1155</v>
      </c>
      <c r="AE274" t="s">
        <v>364</v>
      </c>
      <c r="AF274">
        <v>3</v>
      </c>
      <c r="AG274" t="s">
        <v>3345</v>
      </c>
      <c r="AH274" t="s">
        <v>259</v>
      </c>
      <c r="AI274" t="s">
        <v>259</v>
      </c>
      <c r="AJ274" t="s">
        <v>259</v>
      </c>
      <c r="AK274" s="43" t="s">
        <v>259</v>
      </c>
      <c r="AL274" s="43" t="s">
        <v>259</v>
      </c>
      <c r="AO274" s="23"/>
      <c r="AP274" s="23"/>
      <c r="AQ274" s="23"/>
      <c r="BD274" s="43" t="s">
        <v>259</v>
      </c>
      <c r="BE274" s="43" t="s">
        <v>259</v>
      </c>
      <c r="BF274" s="43" t="s">
        <v>259</v>
      </c>
      <c r="BG274" s="43" t="s">
        <v>259</v>
      </c>
      <c r="BH274" t="s">
        <v>259</v>
      </c>
      <c r="BI274" s="43" t="s">
        <v>259</v>
      </c>
      <c r="BJ274">
        <v>0</v>
      </c>
      <c r="BK274">
        <v>44109</v>
      </c>
      <c r="BL274">
        <v>44356</v>
      </c>
      <c r="BM274">
        <v>8505</v>
      </c>
      <c r="BN274">
        <v>8505</v>
      </c>
      <c r="BO274">
        <v>8505</v>
      </c>
      <c r="BP274">
        <v>25515</v>
      </c>
      <c r="BQ274">
        <v>3300</v>
      </c>
      <c r="BR274">
        <v>400</v>
      </c>
      <c r="BS274">
        <v>400</v>
      </c>
      <c r="BT274">
        <v>4100</v>
      </c>
      <c r="BU274">
        <v>2100</v>
      </c>
      <c r="BV274">
        <v>2100</v>
      </c>
      <c r="BW274">
        <v>2100</v>
      </c>
      <c r="BX274">
        <v>6300</v>
      </c>
      <c r="BY274">
        <v>1200</v>
      </c>
      <c r="BZ274">
        <v>1200</v>
      </c>
      <c r="CA274">
        <v>1200</v>
      </c>
      <c r="CB274">
        <v>3600</v>
      </c>
      <c r="CF274">
        <v>0</v>
      </c>
      <c r="CG274">
        <v>39515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1300</v>
      </c>
      <c r="CU274">
        <v>1300</v>
      </c>
      <c r="CV274">
        <v>1300</v>
      </c>
      <c r="CW274">
        <v>3900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N274">
        <v>0</v>
      </c>
      <c r="DO274">
        <v>0</v>
      </c>
      <c r="DP274">
        <v>0</v>
      </c>
      <c r="DR274">
        <v>0</v>
      </c>
      <c r="DS274">
        <v>0</v>
      </c>
      <c r="DT274">
        <v>0</v>
      </c>
      <c r="DY274">
        <v>0</v>
      </c>
      <c r="EC274">
        <v>0</v>
      </c>
      <c r="ED274">
        <v>3900</v>
      </c>
      <c r="EH274">
        <v>0</v>
      </c>
      <c r="EI274">
        <v>0</v>
      </c>
      <c r="EJ274">
        <v>0</v>
      </c>
      <c r="EK274">
        <v>0</v>
      </c>
      <c r="EM274">
        <v>0</v>
      </c>
      <c r="EN274">
        <v>660</v>
      </c>
      <c r="EO274">
        <v>660</v>
      </c>
      <c r="EP274">
        <v>659</v>
      </c>
      <c r="EQ274">
        <v>2000</v>
      </c>
      <c r="ER274">
        <v>21.24</v>
      </c>
      <c r="ES274">
        <v>0</v>
      </c>
      <c r="ET274">
        <v>0</v>
      </c>
      <c r="EU274">
        <v>0</v>
      </c>
      <c r="EW274">
        <v>0</v>
      </c>
      <c r="FA274">
        <v>0</v>
      </c>
      <c r="FE274">
        <v>0</v>
      </c>
      <c r="FI274">
        <v>0</v>
      </c>
      <c r="FJ274">
        <v>1978.76</v>
      </c>
      <c r="FK274">
        <v>35615</v>
      </c>
      <c r="FL274">
        <v>35128.49862143871</v>
      </c>
      <c r="FM274">
        <v>33636.239999999998</v>
      </c>
      <c r="FO274" t="s">
        <v>3874</v>
      </c>
      <c r="FP274" t="s">
        <v>3875</v>
      </c>
      <c r="FQ274" t="s">
        <v>454</v>
      </c>
      <c r="FR274" t="s">
        <v>3876</v>
      </c>
    </row>
    <row r="275" spans="1:174" x14ac:dyDescent="0.35">
      <c r="A275">
        <v>192885</v>
      </c>
      <c r="B275" t="s">
        <v>336</v>
      </c>
      <c r="C275" t="s">
        <v>345</v>
      </c>
      <c r="D275" t="s">
        <v>346</v>
      </c>
      <c r="E275" s="43" t="s">
        <v>347</v>
      </c>
      <c r="F275">
        <v>1</v>
      </c>
      <c r="G275">
        <v>43782</v>
      </c>
      <c r="H275">
        <v>43782</v>
      </c>
      <c r="I275">
        <v>43782</v>
      </c>
      <c r="L275" s="43" t="s">
        <v>259</v>
      </c>
      <c r="M275" t="s">
        <v>348</v>
      </c>
      <c r="N275" s="43"/>
      <c r="O275" s="43"/>
      <c r="P275" s="43"/>
      <c r="Q275" s="43"/>
      <c r="R275">
        <v>2.75</v>
      </c>
      <c r="S275">
        <v>44109</v>
      </c>
      <c r="T275" t="s">
        <v>311</v>
      </c>
      <c r="U275" t="s">
        <v>266</v>
      </c>
      <c r="V275" t="s">
        <v>267</v>
      </c>
      <c r="W275" t="s">
        <v>268</v>
      </c>
      <c r="X275" t="s">
        <v>269</v>
      </c>
      <c r="Y275">
        <v>8883022894</v>
      </c>
      <c r="Z275" t="s">
        <v>270</v>
      </c>
      <c r="AA275" t="s">
        <v>271</v>
      </c>
      <c r="AB275">
        <v>0</v>
      </c>
      <c r="AC275" t="s">
        <v>352</v>
      </c>
      <c r="AD275" t="s">
        <v>353</v>
      </c>
      <c r="AE275" t="s">
        <v>354</v>
      </c>
      <c r="AF275">
        <v>6</v>
      </c>
      <c r="AG275" t="s">
        <v>275</v>
      </c>
      <c r="AH275" t="s">
        <v>259</v>
      </c>
      <c r="AI275" t="s">
        <v>259</v>
      </c>
      <c r="AJ275" t="s">
        <v>259</v>
      </c>
      <c r="AK275" s="43" t="s">
        <v>259</v>
      </c>
      <c r="AL275" s="43" t="s">
        <v>259</v>
      </c>
      <c r="AO275" s="23"/>
      <c r="AP275" s="23"/>
      <c r="AQ275" s="23"/>
      <c r="BD275" s="43" t="s">
        <v>259</v>
      </c>
      <c r="BE275" s="43" t="s">
        <v>259</v>
      </c>
      <c r="BF275" s="43" t="s">
        <v>259</v>
      </c>
      <c r="BG275" s="43" t="s">
        <v>259</v>
      </c>
      <c r="BH275" t="s">
        <v>259</v>
      </c>
      <c r="BI275" s="43" t="s">
        <v>259</v>
      </c>
      <c r="BJ275">
        <v>0</v>
      </c>
      <c r="BK275">
        <v>44109</v>
      </c>
      <c r="BL275">
        <v>44356</v>
      </c>
      <c r="BM275">
        <v>8505</v>
      </c>
      <c r="BN275">
        <v>8505</v>
      </c>
      <c r="BO275">
        <v>8505</v>
      </c>
      <c r="BP275">
        <v>25515</v>
      </c>
      <c r="BQ275">
        <v>3300</v>
      </c>
      <c r="BR275">
        <v>400</v>
      </c>
      <c r="BS275">
        <v>400</v>
      </c>
      <c r="BT275">
        <v>4100</v>
      </c>
      <c r="BU275">
        <v>2100</v>
      </c>
      <c r="BV275">
        <v>2100</v>
      </c>
      <c r="BW275">
        <v>2100</v>
      </c>
      <c r="BX275">
        <v>6300</v>
      </c>
      <c r="BY275">
        <v>1200</v>
      </c>
      <c r="BZ275">
        <v>1200</v>
      </c>
      <c r="CA275">
        <v>1200</v>
      </c>
      <c r="CB275">
        <v>3600</v>
      </c>
      <c r="CC275">
        <v>0</v>
      </c>
      <c r="CD275">
        <v>0</v>
      </c>
      <c r="CE275">
        <v>0</v>
      </c>
      <c r="CF275">
        <v>0</v>
      </c>
      <c r="CG275">
        <v>39515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750</v>
      </c>
      <c r="CU275">
        <v>750</v>
      </c>
      <c r="CV275">
        <v>750</v>
      </c>
      <c r="CW275">
        <v>2250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2250</v>
      </c>
      <c r="EH275">
        <v>0</v>
      </c>
      <c r="EI275">
        <v>1154</v>
      </c>
      <c r="EJ275">
        <v>1154</v>
      </c>
      <c r="EK275">
        <v>1155</v>
      </c>
      <c r="EL275">
        <v>3500</v>
      </c>
      <c r="EM275">
        <v>37.065000000000005</v>
      </c>
      <c r="EN275">
        <v>660</v>
      </c>
      <c r="EO275">
        <v>660</v>
      </c>
      <c r="EP275">
        <v>659</v>
      </c>
      <c r="EQ275">
        <v>2000</v>
      </c>
      <c r="ER275">
        <v>21.18</v>
      </c>
      <c r="ES275">
        <v>0</v>
      </c>
      <c r="ET275">
        <v>0</v>
      </c>
      <c r="EU275">
        <v>0</v>
      </c>
      <c r="EV275">
        <v>0</v>
      </c>
      <c r="EW275">
        <v>0</v>
      </c>
      <c r="FA275">
        <v>0</v>
      </c>
      <c r="FE275">
        <v>0</v>
      </c>
      <c r="FI275">
        <v>0</v>
      </c>
      <c r="FJ275">
        <v>5441.7550000000001</v>
      </c>
      <c r="FK275">
        <v>37265</v>
      </c>
      <c r="FL275">
        <v>33235.070807920463</v>
      </c>
      <c r="FM275">
        <v>31823.245000000003</v>
      </c>
      <c r="FO275" t="s">
        <v>349</v>
      </c>
      <c r="FP275" t="s">
        <v>350</v>
      </c>
      <c r="FQ275" t="s">
        <v>342</v>
      </c>
      <c r="FR275" t="s">
        <v>351</v>
      </c>
    </row>
    <row r="276" spans="1:174" x14ac:dyDescent="0.35">
      <c r="A276">
        <v>194422</v>
      </c>
      <c r="B276" t="s">
        <v>336</v>
      </c>
      <c r="C276" t="s">
        <v>355</v>
      </c>
      <c r="D276" t="s">
        <v>356</v>
      </c>
      <c r="E276" s="43" t="s">
        <v>357</v>
      </c>
      <c r="F276">
        <v>1</v>
      </c>
      <c r="I276">
        <v>43782</v>
      </c>
      <c r="L276" s="43" t="s">
        <v>259</v>
      </c>
      <c r="M276" t="s">
        <v>358</v>
      </c>
      <c r="N276" s="43"/>
      <c r="O276" s="43"/>
      <c r="P276" s="43"/>
      <c r="Q276" s="43"/>
      <c r="R276">
        <v>3.32</v>
      </c>
      <c r="S276">
        <v>44109</v>
      </c>
      <c r="T276" t="s">
        <v>311</v>
      </c>
      <c r="U276" t="s">
        <v>286</v>
      </c>
      <c r="V276" t="s">
        <v>267</v>
      </c>
      <c r="W276" t="s">
        <v>268</v>
      </c>
      <c r="X276" t="s">
        <v>269</v>
      </c>
      <c r="Y276">
        <v>8883022894</v>
      </c>
      <c r="Z276" t="s">
        <v>270</v>
      </c>
      <c r="AA276" t="s">
        <v>271</v>
      </c>
      <c r="AB276">
        <v>0</v>
      </c>
      <c r="AC276" t="s">
        <v>362</v>
      </c>
      <c r="AD276" t="s">
        <v>363</v>
      </c>
      <c r="AE276" t="s">
        <v>364</v>
      </c>
      <c r="AF276">
        <v>3</v>
      </c>
      <c r="AG276" t="s">
        <v>275</v>
      </c>
      <c r="AH276" t="s">
        <v>259</v>
      </c>
      <c r="AI276" t="s">
        <v>259</v>
      </c>
      <c r="AJ276" t="s">
        <v>259</v>
      </c>
      <c r="AK276" s="43" t="s">
        <v>259</v>
      </c>
      <c r="AL276" s="43" t="s">
        <v>259</v>
      </c>
      <c r="AO276" s="23"/>
      <c r="AP276" s="23"/>
      <c r="AQ276" s="23"/>
      <c r="BD276" s="43" t="s">
        <v>259</v>
      </c>
      <c r="BE276" s="43" t="s">
        <v>259</v>
      </c>
      <c r="BF276" s="43" t="s">
        <v>259</v>
      </c>
      <c r="BG276" s="43" t="s">
        <v>259</v>
      </c>
      <c r="BH276" t="s">
        <v>259</v>
      </c>
      <c r="BI276" s="43" t="s">
        <v>259</v>
      </c>
      <c r="BJ276">
        <v>0</v>
      </c>
      <c r="BK276">
        <v>44109</v>
      </c>
      <c r="BL276">
        <v>44356</v>
      </c>
      <c r="BM276">
        <v>8505</v>
      </c>
      <c r="BN276">
        <v>8505</v>
      </c>
      <c r="BO276">
        <v>8505</v>
      </c>
      <c r="BP276">
        <v>25515</v>
      </c>
      <c r="BQ276">
        <v>3300</v>
      </c>
      <c r="BR276">
        <v>400</v>
      </c>
      <c r="BS276">
        <v>400</v>
      </c>
      <c r="BT276">
        <v>4100</v>
      </c>
      <c r="BU276">
        <v>2100</v>
      </c>
      <c r="BV276">
        <v>2100</v>
      </c>
      <c r="BW276">
        <v>2100</v>
      </c>
      <c r="BX276">
        <v>6300</v>
      </c>
      <c r="BY276">
        <v>1200</v>
      </c>
      <c r="BZ276">
        <v>1200</v>
      </c>
      <c r="CA276">
        <v>1200</v>
      </c>
      <c r="CB276">
        <v>3600</v>
      </c>
      <c r="CC276">
        <v>0</v>
      </c>
      <c r="CD276">
        <v>0</v>
      </c>
      <c r="CE276">
        <v>0</v>
      </c>
      <c r="CF276">
        <v>0</v>
      </c>
      <c r="CG276">
        <v>39515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1300</v>
      </c>
      <c r="CU276">
        <v>1300</v>
      </c>
      <c r="CV276">
        <v>1300</v>
      </c>
      <c r="CW276">
        <v>3900</v>
      </c>
      <c r="CX276">
        <v>0</v>
      </c>
      <c r="CY276">
        <v>0</v>
      </c>
      <c r="CZ276">
        <v>0</v>
      </c>
      <c r="DA276">
        <v>0</v>
      </c>
      <c r="DB276">
        <v>1000</v>
      </c>
      <c r="DC276">
        <v>1000</v>
      </c>
      <c r="DD276">
        <v>1000</v>
      </c>
      <c r="DE276">
        <v>3000</v>
      </c>
      <c r="DF276">
        <v>0</v>
      </c>
      <c r="DG276">
        <v>0</v>
      </c>
      <c r="DH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6900</v>
      </c>
      <c r="EH276">
        <v>0</v>
      </c>
      <c r="EI276">
        <v>1154</v>
      </c>
      <c r="EJ276">
        <v>1154</v>
      </c>
      <c r="EK276">
        <v>1155</v>
      </c>
      <c r="EL276">
        <v>3500</v>
      </c>
      <c r="EM276">
        <v>37.065000000000005</v>
      </c>
      <c r="EN276">
        <v>660</v>
      </c>
      <c r="EO276">
        <v>660</v>
      </c>
      <c r="EP276">
        <v>659</v>
      </c>
      <c r="EQ276">
        <v>2000</v>
      </c>
      <c r="ER276">
        <v>21.18</v>
      </c>
      <c r="ES276">
        <v>0</v>
      </c>
      <c r="ET276">
        <v>0</v>
      </c>
      <c r="EU276">
        <v>0</v>
      </c>
      <c r="EV276">
        <v>0</v>
      </c>
      <c r="EW276">
        <v>0</v>
      </c>
      <c r="FA276">
        <v>0</v>
      </c>
      <c r="FE276">
        <v>0</v>
      </c>
      <c r="FI276">
        <v>0</v>
      </c>
      <c r="FJ276">
        <v>5441.7550000000001</v>
      </c>
      <c r="FK276">
        <v>32615</v>
      </c>
      <c r="FL276">
        <v>28378.775378059985</v>
      </c>
      <c r="FM276">
        <v>27173.244999999999</v>
      </c>
      <c r="FO276" t="s">
        <v>359</v>
      </c>
      <c r="FP276" t="s">
        <v>360</v>
      </c>
      <c r="FQ276" t="s">
        <v>342</v>
      </c>
      <c r="FR276" t="s">
        <v>361</v>
      </c>
    </row>
    <row r="277" spans="1:174" x14ac:dyDescent="0.35">
      <c r="A277">
        <v>192446</v>
      </c>
      <c r="B277" t="s">
        <v>365</v>
      </c>
      <c r="C277" t="s">
        <v>366</v>
      </c>
      <c r="D277" t="s">
        <v>367</v>
      </c>
      <c r="E277" s="43" t="s">
        <v>368</v>
      </c>
      <c r="L277" s="43" t="s">
        <v>259</v>
      </c>
      <c r="M277" t="s">
        <v>369</v>
      </c>
      <c r="N277" s="43"/>
      <c r="O277" s="43"/>
      <c r="P277" s="43"/>
      <c r="Q277" s="43"/>
      <c r="R277">
        <v>2.82</v>
      </c>
      <c r="S277">
        <v>44109</v>
      </c>
      <c r="T277" t="s">
        <v>311</v>
      </c>
      <c r="U277" t="s">
        <v>266</v>
      </c>
      <c r="V277" t="s">
        <v>267</v>
      </c>
      <c r="W277" t="s">
        <v>268</v>
      </c>
      <c r="X277" t="s">
        <v>269</v>
      </c>
      <c r="Y277">
        <v>8883022894</v>
      </c>
      <c r="Z277" t="s">
        <v>508</v>
      </c>
      <c r="AA277" t="s">
        <v>271</v>
      </c>
      <c r="AB277" t="s">
        <v>374</v>
      </c>
      <c r="AC277">
        <v>0</v>
      </c>
      <c r="AD277" t="s">
        <v>375</v>
      </c>
      <c r="AE277" t="s">
        <v>376</v>
      </c>
      <c r="AF277">
        <v>7</v>
      </c>
      <c r="AG277" t="s">
        <v>275</v>
      </c>
      <c r="AH277" t="s">
        <v>259</v>
      </c>
      <c r="AI277" t="s">
        <v>259</v>
      </c>
      <c r="AJ277" t="s">
        <v>259</v>
      </c>
      <c r="AK277" s="43" t="s">
        <v>259</v>
      </c>
      <c r="AL277" s="43" t="s">
        <v>259</v>
      </c>
      <c r="AO277" s="23"/>
      <c r="AP277" s="23"/>
      <c r="AQ277" s="23"/>
      <c r="BD277" s="43" t="s">
        <v>259</v>
      </c>
      <c r="BE277" s="43" t="s">
        <v>259</v>
      </c>
      <c r="BF277" s="43" t="s">
        <v>259</v>
      </c>
      <c r="BG277" s="43" t="s">
        <v>259</v>
      </c>
      <c r="BH277" t="s">
        <v>259</v>
      </c>
      <c r="BI277" s="43" t="s">
        <v>259</v>
      </c>
      <c r="BJ277">
        <v>0</v>
      </c>
      <c r="BK277">
        <v>44109</v>
      </c>
      <c r="BL277">
        <v>44356</v>
      </c>
      <c r="BM277">
        <v>8505</v>
      </c>
      <c r="BN277">
        <v>8505</v>
      </c>
      <c r="BO277">
        <v>8505</v>
      </c>
      <c r="BP277">
        <v>25515</v>
      </c>
      <c r="BQ277">
        <v>3300</v>
      </c>
      <c r="BR277">
        <v>400</v>
      </c>
      <c r="BS277">
        <v>400</v>
      </c>
      <c r="BT277">
        <v>4100</v>
      </c>
      <c r="BU277">
        <v>2100</v>
      </c>
      <c r="BV277">
        <v>2100</v>
      </c>
      <c r="BW277">
        <v>2100</v>
      </c>
      <c r="BX277">
        <v>6300</v>
      </c>
      <c r="BY277">
        <v>1200</v>
      </c>
      <c r="BZ277">
        <v>1200</v>
      </c>
      <c r="CA277">
        <v>1200</v>
      </c>
      <c r="CB277">
        <v>3600</v>
      </c>
      <c r="CC277">
        <v>0</v>
      </c>
      <c r="CD277">
        <v>0</v>
      </c>
      <c r="CE277">
        <v>0</v>
      </c>
      <c r="CF277">
        <v>0</v>
      </c>
      <c r="CG277">
        <v>39515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H277">
        <v>0</v>
      </c>
      <c r="EI277">
        <v>1154</v>
      </c>
      <c r="EJ277">
        <v>1154</v>
      </c>
      <c r="EK277">
        <v>1155</v>
      </c>
      <c r="EL277">
        <v>3500</v>
      </c>
      <c r="EM277">
        <v>37.065000000000005</v>
      </c>
      <c r="EN277">
        <v>660</v>
      </c>
      <c r="EO277">
        <v>660</v>
      </c>
      <c r="EP277">
        <v>659</v>
      </c>
      <c r="EQ277">
        <v>2000</v>
      </c>
      <c r="ER277">
        <v>21.18</v>
      </c>
      <c r="ES277">
        <v>0</v>
      </c>
      <c r="ET277">
        <v>0</v>
      </c>
      <c r="EU277">
        <v>0</v>
      </c>
      <c r="EV277">
        <v>0</v>
      </c>
      <c r="EW277">
        <v>0</v>
      </c>
      <c r="FA277">
        <v>0</v>
      </c>
      <c r="FE277">
        <v>0</v>
      </c>
      <c r="FI277">
        <v>0</v>
      </c>
      <c r="FJ277">
        <v>5441.7550000000001</v>
      </c>
      <c r="FK277">
        <v>39515</v>
      </c>
      <c r="FL277">
        <v>35584.891177207784</v>
      </c>
      <c r="FM277">
        <v>34073.245000000003</v>
      </c>
      <c r="FO277" t="s">
        <v>370</v>
      </c>
      <c r="FP277" t="s">
        <v>371</v>
      </c>
      <c r="FQ277" t="s">
        <v>372</v>
      </c>
      <c r="FR277" t="s">
        <v>373</v>
      </c>
    </row>
    <row r="278" spans="1:174" x14ac:dyDescent="0.35">
      <c r="A278">
        <v>196525</v>
      </c>
      <c r="B278" t="s">
        <v>377</v>
      </c>
      <c r="C278" t="s">
        <v>378</v>
      </c>
      <c r="D278" t="s">
        <v>379</v>
      </c>
      <c r="E278" s="43" t="s">
        <v>380</v>
      </c>
      <c r="F278">
        <v>1</v>
      </c>
      <c r="I278">
        <v>43780</v>
      </c>
      <c r="L278" s="43" t="s">
        <v>3204</v>
      </c>
      <c r="M278" t="s">
        <v>381</v>
      </c>
      <c r="N278" s="43"/>
      <c r="O278" s="43"/>
      <c r="P278" s="43"/>
      <c r="Q278" s="43"/>
      <c r="R278">
        <v>3.1280000000000001</v>
      </c>
      <c r="S278">
        <v>44109</v>
      </c>
      <c r="T278" t="s">
        <v>311</v>
      </c>
      <c r="U278" t="s">
        <v>266</v>
      </c>
      <c r="V278" t="s">
        <v>267</v>
      </c>
      <c r="W278" t="s">
        <v>268</v>
      </c>
      <c r="X278" t="s">
        <v>269</v>
      </c>
      <c r="Y278">
        <v>8883022894</v>
      </c>
      <c r="Z278" t="s">
        <v>270</v>
      </c>
      <c r="AA278" t="s">
        <v>271</v>
      </c>
      <c r="AB278" t="s">
        <v>386</v>
      </c>
      <c r="AC278">
        <v>0</v>
      </c>
      <c r="AD278" t="s">
        <v>387</v>
      </c>
      <c r="AE278" t="s">
        <v>301</v>
      </c>
      <c r="AF278">
        <v>1</v>
      </c>
      <c r="AG278" t="s">
        <v>275</v>
      </c>
      <c r="AH278" t="s">
        <v>3214</v>
      </c>
      <c r="AI278" t="s">
        <v>3215</v>
      </c>
      <c r="AJ278" t="s">
        <v>3207</v>
      </c>
      <c r="AK278" s="43" t="s">
        <v>3208</v>
      </c>
      <c r="AL278" s="43" t="s">
        <v>3209</v>
      </c>
      <c r="AO278" s="23"/>
      <c r="AP278" s="23"/>
      <c r="AQ278" s="23"/>
      <c r="BD278" s="43" t="s">
        <v>2018</v>
      </c>
      <c r="BE278" s="43" t="s">
        <v>2018</v>
      </c>
      <c r="BF278" s="43" t="s">
        <v>2018</v>
      </c>
      <c r="BG278" s="43" t="s">
        <v>2018</v>
      </c>
      <c r="BH278" t="s">
        <v>2018</v>
      </c>
      <c r="BI278" s="43" t="s">
        <v>2018</v>
      </c>
      <c r="BJ278">
        <v>0</v>
      </c>
      <c r="BK278">
        <v>44109</v>
      </c>
      <c r="BL278">
        <v>44356</v>
      </c>
      <c r="BM278">
        <v>8505</v>
      </c>
      <c r="BN278">
        <v>8505</v>
      </c>
      <c r="BO278">
        <v>8505</v>
      </c>
      <c r="BP278">
        <v>25515</v>
      </c>
      <c r="BQ278">
        <v>3300</v>
      </c>
      <c r="BR278">
        <v>400</v>
      </c>
      <c r="BS278">
        <v>400</v>
      </c>
      <c r="BT278">
        <v>4100</v>
      </c>
      <c r="BU278">
        <v>2100</v>
      </c>
      <c r="BV278">
        <v>2100</v>
      </c>
      <c r="BW278">
        <v>2100</v>
      </c>
      <c r="BX278">
        <v>6300</v>
      </c>
      <c r="BY278">
        <v>1200</v>
      </c>
      <c r="BZ278">
        <v>1200</v>
      </c>
      <c r="CA278">
        <v>1200</v>
      </c>
      <c r="CB278">
        <v>3600</v>
      </c>
      <c r="CC278">
        <v>0</v>
      </c>
      <c r="CD278">
        <v>0</v>
      </c>
      <c r="CE278">
        <v>0</v>
      </c>
      <c r="CF278">
        <v>0</v>
      </c>
      <c r="CG278">
        <v>39515</v>
      </c>
      <c r="CK278">
        <v>0</v>
      </c>
      <c r="CL278">
        <v>1715</v>
      </c>
      <c r="CM278">
        <v>1715</v>
      </c>
      <c r="CN278">
        <v>1715</v>
      </c>
      <c r="CO278">
        <v>5145</v>
      </c>
      <c r="CP278">
        <v>500</v>
      </c>
      <c r="CQ278">
        <v>500</v>
      </c>
      <c r="CR278">
        <v>500</v>
      </c>
      <c r="CS278">
        <v>1500</v>
      </c>
      <c r="CT278">
        <v>1700</v>
      </c>
      <c r="CU278">
        <v>1700</v>
      </c>
      <c r="CV278">
        <v>1700</v>
      </c>
      <c r="CW278">
        <v>5100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11745</v>
      </c>
      <c r="EH278">
        <v>0</v>
      </c>
      <c r="EI278">
        <v>1154</v>
      </c>
      <c r="EJ278">
        <v>1154</v>
      </c>
      <c r="EK278">
        <v>1155</v>
      </c>
      <c r="EL278">
        <v>3500</v>
      </c>
      <c r="EM278">
        <v>37.065000000000005</v>
      </c>
      <c r="EN278">
        <v>660</v>
      </c>
      <c r="EO278">
        <v>660</v>
      </c>
      <c r="EP278">
        <v>659</v>
      </c>
      <c r="EQ278">
        <v>2000</v>
      </c>
      <c r="ER278">
        <v>21.18</v>
      </c>
      <c r="ES278">
        <v>0</v>
      </c>
      <c r="ET278">
        <v>0</v>
      </c>
      <c r="EU278">
        <v>0</v>
      </c>
      <c r="EV278">
        <v>0</v>
      </c>
      <c r="EW278">
        <v>0</v>
      </c>
      <c r="FA278">
        <v>0</v>
      </c>
      <c r="FE278">
        <v>0</v>
      </c>
      <c r="FI278">
        <v>0</v>
      </c>
      <c r="FJ278">
        <v>5441.7550000000001</v>
      </c>
      <c r="FK278">
        <v>27770</v>
      </c>
      <c r="FL278">
        <v>23318.828849527945</v>
      </c>
      <c r="FM278">
        <v>22328.244999999999</v>
      </c>
      <c r="FO278" t="s">
        <v>382</v>
      </c>
      <c r="FP278" t="s">
        <v>383</v>
      </c>
      <c r="FQ278" t="s">
        <v>384</v>
      </c>
      <c r="FR278" t="s">
        <v>385</v>
      </c>
    </row>
    <row r="279" spans="1:174" x14ac:dyDescent="0.35">
      <c r="A279">
        <v>196712</v>
      </c>
      <c r="B279" t="s">
        <v>388</v>
      </c>
      <c r="C279" t="s">
        <v>389</v>
      </c>
      <c r="D279" t="s">
        <v>390</v>
      </c>
      <c r="E279" s="43" t="s">
        <v>391</v>
      </c>
      <c r="F279">
        <v>1</v>
      </c>
      <c r="G279">
        <v>43780</v>
      </c>
      <c r="H279">
        <v>43781</v>
      </c>
      <c r="I279">
        <v>43781</v>
      </c>
      <c r="J279" t="s">
        <v>3581</v>
      </c>
      <c r="K279" t="s">
        <v>3307</v>
      </c>
      <c r="L279" s="43" t="s">
        <v>3204</v>
      </c>
      <c r="M279" t="s">
        <v>392</v>
      </c>
      <c r="N279" s="43"/>
      <c r="O279" s="43"/>
      <c r="P279" s="43"/>
      <c r="Q279" s="43"/>
      <c r="R279">
        <v>3.4</v>
      </c>
      <c r="S279">
        <v>44109</v>
      </c>
      <c r="T279" t="s">
        <v>285</v>
      </c>
      <c r="U279" t="s">
        <v>266</v>
      </c>
      <c r="V279" t="s">
        <v>267</v>
      </c>
      <c r="W279" t="s">
        <v>268</v>
      </c>
      <c r="X279" t="s">
        <v>269</v>
      </c>
      <c r="Y279">
        <v>8883022894</v>
      </c>
      <c r="Z279" t="s">
        <v>270</v>
      </c>
      <c r="AA279" t="s">
        <v>271</v>
      </c>
      <c r="AB279">
        <v>0</v>
      </c>
      <c r="AC279">
        <v>0</v>
      </c>
      <c r="AD279" t="s">
        <v>313</v>
      </c>
      <c r="AE279" t="s">
        <v>274</v>
      </c>
      <c r="AF279">
        <v>9</v>
      </c>
      <c r="AG279" t="s">
        <v>275</v>
      </c>
      <c r="AH279" t="s">
        <v>3216</v>
      </c>
      <c r="AI279" t="s">
        <v>3217</v>
      </c>
      <c r="AJ279" t="s">
        <v>3207</v>
      </c>
      <c r="AK279" s="43" t="s">
        <v>1715</v>
      </c>
      <c r="AL279" s="43" t="s">
        <v>259</v>
      </c>
      <c r="AM279">
        <v>43781</v>
      </c>
      <c r="AN279">
        <v>43781</v>
      </c>
      <c r="AO279" s="23">
        <v>43781</v>
      </c>
      <c r="AP279" s="23">
        <v>43781</v>
      </c>
      <c r="AQ279" s="23">
        <v>43781</v>
      </c>
      <c r="BD279" s="43" t="s">
        <v>259</v>
      </c>
      <c r="BE279" s="43" t="s">
        <v>259</v>
      </c>
      <c r="BF279" s="43" t="s">
        <v>2018</v>
      </c>
      <c r="BG279" s="43" t="s">
        <v>2018</v>
      </c>
      <c r="BH279" t="s">
        <v>2018</v>
      </c>
      <c r="BI279" s="43" t="s">
        <v>259</v>
      </c>
      <c r="BJ279">
        <v>0.25</v>
      </c>
      <c r="BK279">
        <v>44109</v>
      </c>
      <c r="BL279">
        <v>44356</v>
      </c>
      <c r="BM279">
        <v>8505</v>
      </c>
      <c r="BN279">
        <v>8505</v>
      </c>
      <c r="BO279">
        <v>8505</v>
      </c>
      <c r="BP279">
        <v>25515</v>
      </c>
      <c r="BQ279">
        <v>3300</v>
      </c>
      <c r="BR279">
        <v>400</v>
      </c>
      <c r="BS279">
        <v>400</v>
      </c>
      <c r="BT279">
        <v>4100</v>
      </c>
      <c r="BU279">
        <v>2100</v>
      </c>
      <c r="BV279">
        <v>2100</v>
      </c>
      <c r="BW279">
        <v>2100</v>
      </c>
      <c r="BX279">
        <v>6300</v>
      </c>
      <c r="BY279">
        <v>1200</v>
      </c>
      <c r="BZ279">
        <v>1200</v>
      </c>
      <c r="CA279">
        <v>1200</v>
      </c>
      <c r="CB279">
        <v>3600</v>
      </c>
      <c r="CC279">
        <v>0</v>
      </c>
      <c r="CD279">
        <v>0</v>
      </c>
      <c r="CE279">
        <v>0</v>
      </c>
      <c r="CF279">
        <v>0</v>
      </c>
      <c r="CG279">
        <v>39515</v>
      </c>
      <c r="CK279">
        <v>0</v>
      </c>
      <c r="CL279">
        <v>1649</v>
      </c>
      <c r="CM279">
        <v>1648</v>
      </c>
      <c r="CN279">
        <v>1648</v>
      </c>
      <c r="CO279">
        <v>4945</v>
      </c>
      <c r="CP279">
        <v>500</v>
      </c>
      <c r="CQ279">
        <v>500</v>
      </c>
      <c r="CR279">
        <v>500</v>
      </c>
      <c r="CS279">
        <v>1500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6445</v>
      </c>
      <c r="EH279">
        <v>0</v>
      </c>
      <c r="EI279">
        <v>1154</v>
      </c>
      <c r="EJ279">
        <v>1154</v>
      </c>
      <c r="EK279">
        <v>1155</v>
      </c>
      <c r="EL279">
        <v>3500</v>
      </c>
      <c r="EM279">
        <v>37.065000000000005</v>
      </c>
      <c r="EN279">
        <v>660</v>
      </c>
      <c r="EO279">
        <v>660</v>
      </c>
      <c r="EP279">
        <v>659</v>
      </c>
      <c r="EQ279">
        <v>2000</v>
      </c>
      <c r="ER279">
        <v>21.18</v>
      </c>
      <c r="ES279">
        <v>9227</v>
      </c>
      <c r="ET279">
        <v>9227</v>
      </c>
      <c r="EU279">
        <v>9227</v>
      </c>
      <c r="EV279">
        <v>28854</v>
      </c>
      <c r="EW279">
        <v>1226</v>
      </c>
      <c r="FA279">
        <v>0</v>
      </c>
      <c r="FE279">
        <v>0</v>
      </c>
      <c r="FI279">
        <v>0</v>
      </c>
      <c r="FJ279">
        <v>33070.037080000002</v>
      </c>
      <c r="FK279">
        <v>33070</v>
      </c>
      <c r="FL279">
        <v>-3.8725039687817424E-2</v>
      </c>
      <c r="FM279">
        <v>-3.7080000001878943E-2</v>
      </c>
      <c r="FO279" t="s">
        <v>393</v>
      </c>
      <c r="FP279" t="s">
        <v>394</v>
      </c>
      <c r="FQ279" t="s">
        <v>263</v>
      </c>
      <c r="FR279" t="s">
        <v>395</v>
      </c>
    </row>
    <row r="280" spans="1:174" x14ac:dyDescent="0.35">
      <c r="A280">
        <v>196762</v>
      </c>
      <c r="B280" t="s">
        <v>396</v>
      </c>
      <c r="C280" t="s">
        <v>397</v>
      </c>
      <c r="D280" t="s">
        <v>398</v>
      </c>
      <c r="E280" s="43" t="s">
        <v>399</v>
      </c>
      <c r="L280" s="43" t="s">
        <v>259</v>
      </c>
      <c r="M280" t="s">
        <v>400</v>
      </c>
      <c r="N280" s="43"/>
      <c r="O280" s="43"/>
      <c r="P280" s="43"/>
      <c r="Q280" s="43"/>
      <c r="R280">
        <v>2.5127999999999999</v>
      </c>
      <c r="S280">
        <v>44109</v>
      </c>
      <c r="T280" t="s">
        <v>311</v>
      </c>
      <c r="U280" t="s">
        <v>266</v>
      </c>
      <c r="V280" t="s">
        <v>267</v>
      </c>
      <c r="W280" t="s">
        <v>268</v>
      </c>
      <c r="X280" t="s">
        <v>269</v>
      </c>
      <c r="Y280">
        <v>8883022894</v>
      </c>
      <c r="Z280" t="s">
        <v>270</v>
      </c>
      <c r="AA280" t="s">
        <v>271</v>
      </c>
      <c r="AB280">
        <v>0</v>
      </c>
      <c r="AC280" t="s">
        <v>352</v>
      </c>
      <c r="AD280" t="s">
        <v>273</v>
      </c>
      <c r="AE280" t="s">
        <v>274</v>
      </c>
      <c r="AF280">
        <v>9</v>
      </c>
      <c r="AG280" t="s">
        <v>275</v>
      </c>
      <c r="AH280" t="s">
        <v>259</v>
      </c>
      <c r="AI280" t="s">
        <v>259</v>
      </c>
      <c r="AJ280" t="s">
        <v>259</v>
      </c>
      <c r="AK280" s="43" t="s">
        <v>259</v>
      </c>
      <c r="AL280" s="43" t="s">
        <v>259</v>
      </c>
      <c r="AO280" s="23"/>
      <c r="AP280" s="23"/>
      <c r="AQ280" s="23"/>
      <c r="BD280" s="43" t="s">
        <v>259</v>
      </c>
      <c r="BE280" s="43" t="s">
        <v>259</v>
      </c>
      <c r="BF280" s="43" t="s">
        <v>259</v>
      </c>
      <c r="BG280" s="43" t="s">
        <v>259</v>
      </c>
      <c r="BH280" t="s">
        <v>259</v>
      </c>
      <c r="BI280" s="43" t="s">
        <v>259</v>
      </c>
      <c r="BJ280">
        <v>0</v>
      </c>
      <c r="BK280">
        <v>44109</v>
      </c>
      <c r="BL280">
        <v>44356</v>
      </c>
      <c r="BM280">
        <v>8505</v>
      </c>
      <c r="BN280">
        <v>8505</v>
      </c>
      <c r="BO280">
        <v>8505</v>
      </c>
      <c r="BP280">
        <v>25515</v>
      </c>
      <c r="BQ280">
        <v>3300</v>
      </c>
      <c r="BR280">
        <v>400</v>
      </c>
      <c r="BS280">
        <v>400</v>
      </c>
      <c r="BT280">
        <v>4100</v>
      </c>
      <c r="BU280">
        <v>2100</v>
      </c>
      <c r="BV280">
        <v>2100</v>
      </c>
      <c r="BW280">
        <v>2100</v>
      </c>
      <c r="BX280">
        <v>6300</v>
      </c>
      <c r="BY280">
        <v>1200</v>
      </c>
      <c r="BZ280">
        <v>1200</v>
      </c>
      <c r="CA280">
        <v>1200</v>
      </c>
      <c r="CB280">
        <v>3600</v>
      </c>
      <c r="CC280">
        <v>0</v>
      </c>
      <c r="CD280">
        <v>0</v>
      </c>
      <c r="CE280">
        <v>0</v>
      </c>
      <c r="CF280">
        <v>0</v>
      </c>
      <c r="CG280">
        <v>39515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H280">
        <v>0</v>
      </c>
      <c r="EI280">
        <v>1154</v>
      </c>
      <c r="EJ280">
        <v>1154</v>
      </c>
      <c r="EK280">
        <v>1155</v>
      </c>
      <c r="EL280">
        <v>3500</v>
      </c>
      <c r="EM280">
        <v>37.065000000000005</v>
      </c>
      <c r="EN280">
        <v>660</v>
      </c>
      <c r="EO280">
        <v>660</v>
      </c>
      <c r="EP280">
        <v>659</v>
      </c>
      <c r="EQ280">
        <v>2000</v>
      </c>
      <c r="ER280">
        <v>21.18</v>
      </c>
      <c r="ES280">
        <v>0</v>
      </c>
      <c r="ET280">
        <v>0</v>
      </c>
      <c r="EU280">
        <v>0</v>
      </c>
      <c r="EV280">
        <v>0</v>
      </c>
      <c r="EW280">
        <v>0</v>
      </c>
      <c r="FA280">
        <v>0</v>
      </c>
      <c r="FE280">
        <v>0</v>
      </c>
      <c r="FI280">
        <v>0</v>
      </c>
      <c r="FJ280">
        <v>5441.7550000000001</v>
      </c>
      <c r="FK280">
        <v>39515</v>
      </c>
      <c r="FL280">
        <v>35584.891177207784</v>
      </c>
      <c r="FM280">
        <v>34073.245000000003</v>
      </c>
      <c r="FO280" t="s">
        <v>401</v>
      </c>
      <c r="FP280" t="s">
        <v>402</v>
      </c>
      <c r="FQ280" t="s">
        <v>403</v>
      </c>
      <c r="FR280" t="s">
        <v>404</v>
      </c>
    </row>
    <row r="281" spans="1:174" x14ac:dyDescent="0.35">
      <c r="A281">
        <v>197824</v>
      </c>
      <c r="B281" t="s">
        <v>405</v>
      </c>
      <c r="C281" t="s">
        <v>406</v>
      </c>
      <c r="D281" t="s">
        <v>407</v>
      </c>
      <c r="E281" s="43" t="s">
        <v>408</v>
      </c>
      <c r="F281">
        <v>1</v>
      </c>
      <c r="G281">
        <v>43780</v>
      </c>
      <c r="H281">
        <v>43780</v>
      </c>
      <c r="I281">
        <v>43780</v>
      </c>
      <c r="L281" s="43" t="s">
        <v>3204</v>
      </c>
      <c r="M281" t="s">
        <v>409</v>
      </c>
      <c r="N281" s="43"/>
      <c r="O281" s="43"/>
      <c r="P281" s="43"/>
      <c r="Q281" s="43"/>
      <c r="R281">
        <v>3.1</v>
      </c>
      <c r="S281">
        <v>44109</v>
      </c>
      <c r="T281" t="s">
        <v>311</v>
      </c>
      <c r="U281" t="s">
        <v>266</v>
      </c>
      <c r="V281" t="s">
        <v>267</v>
      </c>
      <c r="W281" t="s">
        <v>268</v>
      </c>
      <c r="X281" t="s">
        <v>269</v>
      </c>
      <c r="Y281">
        <v>8883022894</v>
      </c>
      <c r="Z281" t="s">
        <v>270</v>
      </c>
      <c r="AA281" t="s">
        <v>271</v>
      </c>
      <c r="AB281">
        <v>0</v>
      </c>
      <c r="AC281" t="s">
        <v>3218</v>
      </c>
      <c r="AD281" t="s">
        <v>903</v>
      </c>
      <c r="AE281" t="s">
        <v>445</v>
      </c>
      <c r="AF281">
        <v>4</v>
      </c>
      <c r="AG281" t="s">
        <v>275</v>
      </c>
      <c r="AH281" t="s">
        <v>3219</v>
      </c>
      <c r="AI281" t="s">
        <v>3220</v>
      </c>
      <c r="AJ281" t="s">
        <v>3207</v>
      </c>
      <c r="AK281" s="43" t="s">
        <v>3208</v>
      </c>
      <c r="AL281" s="43" t="s">
        <v>3209</v>
      </c>
      <c r="AO281" s="23"/>
      <c r="AP281" s="23"/>
      <c r="AQ281" s="23"/>
      <c r="BD281" s="43" t="s">
        <v>2018</v>
      </c>
      <c r="BE281" s="43" t="s">
        <v>2018</v>
      </c>
      <c r="BF281" s="43" t="s">
        <v>2018</v>
      </c>
      <c r="BG281" s="43" t="s">
        <v>2018</v>
      </c>
      <c r="BH281" t="s">
        <v>2018</v>
      </c>
      <c r="BI281" s="43" t="s">
        <v>2018</v>
      </c>
      <c r="BJ281">
        <v>0</v>
      </c>
      <c r="BK281">
        <v>44109</v>
      </c>
      <c r="BL281">
        <v>44356</v>
      </c>
      <c r="BM281">
        <v>8505</v>
      </c>
      <c r="BN281">
        <v>8505</v>
      </c>
      <c r="BO281">
        <v>8505</v>
      </c>
      <c r="BP281">
        <v>25515</v>
      </c>
      <c r="BQ281">
        <v>3300</v>
      </c>
      <c r="BR281">
        <v>400</v>
      </c>
      <c r="BS281">
        <v>400</v>
      </c>
      <c r="BT281">
        <v>4100</v>
      </c>
      <c r="BU281">
        <v>2100</v>
      </c>
      <c r="BV281">
        <v>2100</v>
      </c>
      <c r="BW281">
        <v>2100</v>
      </c>
      <c r="BX281">
        <v>6300</v>
      </c>
      <c r="BY281">
        <v>1200</v>
      </c>
      <c r="BZ281">
        <v>1200</v>
      </c>
      <c r="CA281">
        <v>1200</v>
      </c>
      <c r="CB281">
        <v>3600</v>
      </c>
      <c r="CC281">
        <v>0</v>
      </c>
      <c r="CD281">
        <v>0</v>
      </c>
      <c r="CE281">
        <v>0</v>
      </c>
      <c r="CF281">
        <v>0</v>
      </c>
      <c r="CG281">
        <v>39515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1250</v>
      </c>
      <c r="CU281">
        <v>1250</v>
      </c>
      <c r="CV281">
        <v>1250</v>
      </c>
      <c r="CW281">
        <v>3750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3750</v>
      </c>
      <c r="EH281">
        <v>0</v>
      </c>
      <c r="EI281">
        <v>1154</v>
      </c>
      <c r="EJ281">
        <v>1154</v>
      </c>
      <c r="EK281">
        <v>1155</v>
      </c>
      <c r="EL281">
        <v>3500</v>
      </c>
      <c r="EM281">
        <v>37.065000000000005</v>
      </c>
      <c r="EN281">
        <v>660</v>
      </c>
      <c r="EO281">
        <v>660</v>
      </c>
      <c r="EP281">
        <v>659</v>
      </c>
      <c r="EQ281">
        <v>2000</v>
      </c>
      <c r="ER281">
        <v>21.18</v>
      </c>
      <c r="ES281">
        <v>0</v>
      </c>
      <c r="ET281">
        <v>0</v>
      </c>
      <c r="EU281">
        <v>0</v>
      </c>
      <c r="EV281">
        <v>0</v>
      </c>
      <c r="EW281">
        <v>0</v>
      </c>
      <c r="FA281">
        <v>0</v>
      </c>
      <c r="FE281">
        <v>0</v>
      </c>
      <c r="FI281">
        <v>0</v>
      </c>
      <c r="FJ281">
        <v>5441.7550000000001</v>
      </c>
      <c r="FK281">
        <v>35765</v>
      </c>
      <c r="FL281">
        <v>31668.523895062241</v>
      </c>
      <c r="FM281">
        <v>30323.244999999999</v>
      </c>
      <c r="FO281" t="s">
        <v>410</v>
      </c>
      <c r="FP281" t="s">
        <v>411</v>
      </c>
      <c r="FQ281" t="s">
        <v>412</v>
      </c>
      <c r="FR281" t="s">
        <v>413</v>
      </c>
    </row>
    <row r="282" spans="1:174" x14ac:dyDescent="0.35">
      <c r="A282">
        <v>197233</v>
      </c>
      <c r="B282" t="s">
        <v>3438</v>
      </c>
      <c r="C282" t="s">
        <v>3439</v>
      </c>
      <c r="D282" t="s">
        <v>3440</v>
      </c>
      <c r="E282" s="43" t="s">
        <v>4170</v>
      </c>
      <c r="F282">
        <v>1</v>
      </c>
      <c r="G282">
        <v>43782</v>
      </c>
      <c r="H282">
        <v>43782</v>
      </c>
      <c r="I282">
        <v>43782</v>
      </c>
      <c r="L282" s="43" t="s">
        <v>3204</v>
      </c>
      <c r="M282" t="s">
        <v>3441</v>
      </c>
      <c r="N282" s="43"/>
      <c r="O282" s="43"/>
      <c r="P282" s="43"/>
      <c r="Q282" s="43"/>
      <c r="R282">
        <v>3.94</v>
      </c>
      <c r="S282">
        <v>44109</v>
      </c>
      <c r="T282" t="s">
        <v>544</v>
      </c>
      <c r="U282" t="s">
        <v>266</v>
      </c>
      <c r="V282" t="s">
        <v>267</v>
      </c>
      <c r="W282" t="s">
        <v>268</v>
      </c>
      <c r="X282" t="s">
        <v>269</v>
      </c>
      <c r="Y282">
        <v>8883022894</v>
      </c>
      <c r="Z282" t="s">
        <v>270</v>
      </c>
      <c r="AA282" t="s">
        <v>271</v>
      </c>
      <c r="AB282" t="s">
        <v>1174</v>
      </c>
      <c r="AC282">
        <v>0</v>
      </c>
      <c r="AD282" t="s">
        <v>3445</v>
      </c>
      <c r="AE282" t="s">
        <v>301</v>
      </c>
      <c r="AF282">
        <v>1</v>
      </c>
      <c r="AG282" t="s">
        <v>3345</v>
      </c>
      <c r="AH282" t="s">
        <v>3586</v>
      </c>
      <c r="AI282" t="s">
        <v>3587</v>
      </c>
      <c r="AJ282" t="s">
        <v>3309</v>
      </c>
      <c r="AK282" s="43" t="s">
        <v>3208</v>
      </c>
      <c r="AL282" s="43" t="s">
        <v>3209</v>
      </c>
      <c r="AO282" s="23">
        <v>43780</v>
      </c>
      <c r="AP282" s="23"/>
      <c r="AQ282" s="23"/>
      <c r="BD282" s="43" t="s">
        <v>2018</v>
      </c>
      <c r="BE282" s="43" t="s">
        <v>2018</v>
      </c>
      <c r="BF282" s="43" t="s">
        <v>2018</v>
      </c>
      <c r="BG282" s="43" t="s">
        <v>2018</v>
      </c>
      <c r="BH282" t="s">
        <v>2018</v>
      </c>
      <c r="BI282" s="43" t="s">
        <v>2018</v>
      </c>
      <c r="BJ282">
        <v>5.8823529411764719E-2</v>
      </c>
      <c r="BK282">
        <v>44109</v>
      </c>
      <c r="BL282">
        <v>44356</v>
      </c>
      <c r="BM282">
        <v>8505</v>
      </c>
      <c r="BN282">
        <v>8505</v>
      </c>
      <c r="BO282">
        <v>8505</v>
      </c>
      <c r="BP282">
        <v>25515</v>
      </c>
      <c r="BQ282">
        <v>3300</v>
      </c>
      <c r="BR282">
        <v>400</v>
      </c>
      <c r="BS282">
        <v>400</v>
      </c>
      <c r="BT282">
        <v>4100</v>
      </c>
      <c r="BU282">
        <v>2100</v>
      </c>
      <c r="BV282">
        <v>2100</v>
      </c>
      <c r="BW282">
        <v>2100</v>
      </c>
      <c r="BX282">
        <v>6300</v>
      </c>
      <c r="BY282">
        <v>1200</v>
      </c>
      <c r="BZ282">
        <v>1200</v>
      </c>
      <c r="CA282">
        <v>1200</v>
      </c>
      <c r="CB282">
        <v>3600</v>
      </c>
      <c r="CF282">
        <v>0</v>
      </c>
      <c r="CG282">
        <v>39515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1700</v>
      </c>
      <c r="CU282">
        <v>1700</v>
      </c>
      <c r="CV282">
        <v>1700</v>
      </c>
      <c r="CW282">
        <v>5100</v>
      </c>
      <c r="CX282">
        <v>3000</v>
      </c>
      <c r="CY282">
        <v>3000</v>
      </c>
      <c r="CZ282">
        <v>3000</v>
      </c>
      <c r="DA282">
        <v>9000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N282">
        <v>0</v>
      </c>
      <c r="DO282">
        <v>0</v>
      </c>
      <c r="DP282">
        <v>0</v>
      </c>
      <c r="DR282">
        <v>0</v>
      </c>
      <c r="DS282">
        <v>0</v>
      </c>
      <c r="DT282">
        <v>0</v>
      </c>
      <c r="DY282">
        <v>0</v>
      </c>
      <c r="EC282">
        <v>0</v>
      </c>
      <c r="ED282">
        <v>14100</v>
      </c>
      <c r="EH282">
        <v>0</v>
      </c>
      <c r="EI282">
        <v>0</v>
      </c>
      <c r="EJ282">
        <v>0</v>
      </c>
      <c r="EK282">
        <v>0</v>
      </c>
      <c r="EM282">
        <v>0</v>
      </c>
      <c r="EN282">
        <v>660</v>
      </c>
      <c r="EO282">
        <v>660</v>
      </c>
      <c r="EP282">
        <v>659</v>
      </c>
      <c r="EQ282">
        <v>2000</v>
      </c>
      <c r="ER282">
        <v>21.24</v>
      </c>
      <c r="ES282">
        <v>0</v>
      </c>
      <c r="ET282">
        <v>0</v>
      </c>
      <c r="EU282">
        <v>0</v>
      </c>
      <c r="EW282">
        <v>0</v>
      </c>
      <c r="FA282">
        <v>0</v>
      </c>
      <c r="FE282">
        <v>0</v>
      </c>
      <c r="FI282">
        <v>0</v>
      </c>
      <c r="FJ282">
        <v>1978.76</v>
      </c>
      <c r="FK282">
        <v>25415</v>
      </c>
      <c r="FL282">
        <v>24475.979614002841</v>
      </c>
      <c r="FM282">
        <v>23436.240000000002</v>
      </c>
      <c r="FO282" t="s">
        <v>3442</v>
      </c>
      <c r="FP282" t="s">
        <v>3443</v>
      </c>
      <c r="FQ282" t="s">
        <v>542</v>
      </c>
      <c r="FR282" t="s">
        <v>3444</v>
      </c>
    </row>
    <row r="283" spans="1:174" x14ac:dyDescent="0.35">
      <c r="A283">
        <v>198357</v>
      </c>
      <c r="B283" t="s">
        <v>417</v>
      </c>
      <c r="C283" t="s">
        <v>418</v>
      </c>
      <c r="D283" t="s">
        <v>419</v>
      </c>
      <c r="E283" s="43" t="s">
        <v>420</v>
      </c>
      <c r="F283">
        <v>1</v>
      </c>
      <c r="I283">
        <v>43780</v>
      </c>
      <c r="L283" s="43" t="s">
        <v>3204</v>
      </c>
      <c r="M283" t="s">
        <v>421</v>
      </c>
      <c r="N283" s="43"/>
      <c r="O283" s="43"/>
      <c r="P283" s="43"/>
      <c r="Q283" s="43"/>
      <c r="R283">
        <v>3.54</v>
      </c>
      <c r="S283">
        <v>44109</v>
      </c>
      <c r="T283" t="s">
        <v>311</v>
      </c>
      <c r="U283" t="s">
        <v>286</v>
      </c>
      <c r="V283" t="s">
        <v>267</v>
      </c>
      <c r="W283" t="s">
        <v>268</v>
      </c>
      <c r="X283" t="s">
        <v>269</v>
      </c>
      <c r="Y283">
        <v>8883022894</v>
      </c>
      <c r="Z283" t="s">
        <v>270</v>
      </c>
      <c r="AA283" t="s">
        <v>271</v>
      </c>
      <c r="AB283">
        <v>0</v>
      </c>
      <c r="AC283">
        <v>0</v>
      </c>
      <c r="AD283" t="s">
        <v>313</v>
      </c>
      <c r="AE283" t="s">
        <v>376</v>
      </c>
      <c r="AF283">
        <v>7</v>
      </c>
      <c r="AG283" t="s">
        <v>275</v>
      </c>
      <c r="AH283" t="s">
        <v>3312</v>
      </c>
      <c r="AI283" t="s">
        <v>3313</v>
      </c>
      <c r="AJ283" t="s">
        <v>3309</v>
      </c>
      <c r="AK283" s="43" t="s">
        <v>1715</v>
      </c>
      <c r="AL283" s="43" t="s">
        <v>259</v>
      </c>
      <c r="AO283" s="23"/>
      <c r="AP283" s="23"/>
      <c r="AQ283" s="23"/>
      <c r="BD283" s="43" t="s">
        <v>259</v>
      </c>
      <c r="BE283" s="43" t="s">
        <v>259</v>
      </c>
      <c r="BF283" s="43" t="s">
        <v>259</v>
      </c>
      <c r="BG283" s="43" t="s">
        <v>259</v>
      </c>
      <c r="BH283" t="s">
        <v>259</v>
      </c>
      <c r="BI283" s="43" t="s">
        <v>259</v>
      </c>
      <c r="BJ283">
        <v>0</v>
      </c>
      <c r="BK283">
        <v>44109</v>
      </c>
      <c r="BL283">
        <v>44356</v>
      </c>
      <c r="BM283">
        <v>8505</v>
      </c>
      <c r="BN283">
        <v>8505</v>
      </c>
      <c r="BO283">
        <v>8505</v>
      </c>
      <c r="BP283">
        <v>25515</v>
      </c>
      <c r="BQ283">
        <v>3300</v>
      </c>
      <c r="BR283">
        <v>400</v>
      </c>
      <c r="BS283">
        <v>400</v>
      </c>
      <c r="BT283">
        <v>4100</v>
      </c>
      <c r="BU283">
        <v>2100</v>
      </c>
      <c r="BV283">
        <v>2100</v>
      </c>
      <c r="BW283">
        <v>2100</v>
      </c>
      <c r="BX283">
        <v>6300</v>
      </c>
      <c r="BY283">
        <v>1200</v>
      </c>
      <c r="BZ283">
        <v>1200</v>
      </c>
      <c r="CA283">
        <v>1200</v>
      </c>
      <c r="CB283">
        <v>3600</v>
      </c>
      <c r="CC283">
        <v>0</v>
      </c>
      <c r="CD283">
        <v>0</v>
      </c>
      <c r="CE283">
        <v>0</v>
      </c>
      <c r="CF283">
        <v>0</v>
      </c>
      <c r="CG283">
        <v>39515</v>
      </c>
      <c r="CK283">
        <v>0</v>
      </c>
      <c r="CL283">
        <v>249</v>
      </c>
      <c r="CM283">
        <v>248</v>
      </c>
      <c r="CN283">
        <v>248</v>
      </c>
      <c r="CO283">
        <v>745</v>
      </c>
      <c r="CP283">
        <v>500</v>
      </c>
      <c r="CQ283">
        <v>500</v>
      </c>
      <c r="CR283">
        <v>500</v>
      </c>
      <c r="CS283">
        <v>1500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1000</v>
      </c>
      <c r="DC283">
        <v>1000</v>
      </c>
      <c r="DD283">
        <v>1000</v>
      </c>
      <c r="DE283">
        <v>3000</v>
      </c>
      <c r="DF283">
        <v>0</v>
      </c>
      <c r="DG283">
        <v>0</v>
      </c>
      <c r="DH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5245</v>
      </c>
      <c r="EH283">
        <v>0</v>
      </c>
      <c r="EI283">
        <v>1154</v>
      </c>
      <c r="EJ283">
        <v>1154</v>
      </c>
      <c r="EK283">
        <v>1155</v>
      </c>
      <c r="EL283">
        <v>3500</v>
      </c>
      <c r="EM283">
        <v>37.065000000000005</v>
      </c>
      <c r="EN283">
        <v>660</v>
      </c>
      <c r="EO283">
        <v>660</v>
      </c>
      <c r="EP283">
        <v>659</v>
      </c>
      <c r="EQ283">
        <v>2000</v>
      </c>
      <c r="ER283">
        <v>21.18</v>
      </c>
      <c r="ES283">
        <v>0</v>
      </c>
      <c r="ET283">
        <v>0</v>
      </c>
      <c r="EU283">
        <v>0</v>
      </c>
      <c r="EV283">
        <v>0</v>
      </c>
      <c r="EW283">
        <v>0</v>
      </c>
      <c r="FA283">
        <v>0</v>
      </c>
      <c r="FE283">
        <v>0</v>
      </c>
      <c r="FI283">
        <v>0</v>
      </c>
      <c r="FJ283">
        <v>5441.7550000000001</v>
      </c>
      <c r="FK283">
        <v>34270</v>
      </c>
      <c r="FL283">
        <v>30107.198805246884</v>
      </c>
      <c r="FM283">
        <v>28828.244999999999</v>
      </c>
      <c r="FO283" t="s">
        <v>422</v>
      </c>
      <c r="FP283" t="s">
        <v>423</v>
      </c>
      <c r="FQ283" t="s">
        <v>342</v>
      </c>
      <c r="FR283" t="s">
        <v>424</v>
      </c>
    </row>
    <row r="284" spans="1:174" x14ac:dyDescent="0.35">
      <c r="A284">
        <v>194287</v>
      </c>
      <c r="B284" t="s">
        <v>425</v>
      </c>
      <c r="C284" t="s">
        <v>426</v>
      </c>
      <c r="D284" t="s">
        <v>427</v>
      </c>
      <c r="E284" s="43" t="s">
        <v>428</v>
      </c>
      <c r="F284">
        <v>1</v>
      </c>
      <c r="I284">
        <v>43781</v>
      </c>
      <c r="L284" s="43" t="s">
        <v>3204</v>
      </c>
      <c r="M284" t="s">
        <v>429</v>
      </c>
      <c r="N284" s="43"/>
      <c r="O284" s="43"/>
      <c r="P284" s="43"/>
      <c r="Q284" s="43"/>
      <c r="R284">
        <v>3.5209000000000001</v>
      </c>
      <c r="S284">
        <v>44109</v>
      </c>
      <c r="T284" t="s">
        <v>265</v>
      </c>
      <c r="U284" t="s">
        <v>266</v>
      </c>
      <c r="V284" t="s">
        <v>267</v>
      </c>
      <c r="W284" t="s">
        <v>268</v>
      </c>
      <c r="X284" t="s">
        <v>269</v>
      </c>
      <c r="Y284">
        <v>8883022894</v>
      </c>
      <c r="Z284" t="s">
        <v>508</v>
      </c>
      <c r="AA284" t="s">
        <v>271</v>
      </c>
      <c r="AB284">
        <v>0</v>
      </c>
      <c r="AC284" t="s">
        <v>433</v>
      </c>
      <c r="AD284" t="s">
        <v>434</v>
      </c>
      <c r="AE284" t="s">
        <v>301</v>
      </c>
      <c r="AF284">
        <v>1</v>
      </c>
      <c r="AG284" t="s">
        <v>275</v>
      </c>
      <c r="AH284" t="s">
        <v>3221</v>
      </c>
      <c r="AI284" t="s">
        <v>3222</v>
      </c>
      <c r="AJ284" t="s">
        <v>3207</v>
      </c>
      <c r="AK284" s="43" t="s">
        <v>3208</v>
      </c>
      <c r="AL284" s="43" t="s">
        <v>3209</v>
      </c>
      <c r="AO284" s="23">
        <v>43784</v>
      </c>
      <c r="AP284" s="23"/>
      <c r="AQ284" s="23"/>
      <c r="BD284" s="43" t="s">
        <v>2018</v>
      </c>
      <c r="BE284" s="43" t="s">
        <v>2018</v>
      </c>
      <c r="BF284" s="43" t="s">
        <v>2018</v>
      </c>
      <c r="BG284" s="43" t="s">
        <v>2018</v>
      </c>
      <c r="BH284" t="s">
        <v>2018</v>
      </c>
      <c r="BI284" s="43" t="s">
        <v>2018</v>
      </c>
      <c r="BJ284">
        <v>5.8823529411764719E-2</v>
      </c>
      <c r="BK284">
        <v>44109</v>
      </c>
      <c r="BL284">
        <v>44356</v>
      </c>
      <c r="BM284">
        <v>8505</v>
      </c>
      <c r="BN284">
        <v>8505</v>
      </c>
      <c r="BO284">
        <v>8505</v>
      </c>
      <c r="BP284">
        <v>25515</v>
      </c>
      <c r="BQ284">
        <v>3300</v>
      </c>
      <c r="BR284">
        <v>400</v>
      </c>
      <c r="BS284">
        <v>400</v>
      </c>
      <c r="BT284">
        <v>4100</v>
      </c>
      <c r="BU284">
        <v>2100</v>
      </c>
      <c r="BV284">
        <v>2100</v>
      </c>
      <c r="BW284">
        <v>2100</v>
      </c>
      <c r="BX284">
        <v>6300</v>
      </c>
      <c r="BY284">
        <v>1200</v>
      </c>
      <c r="BZ284">
        <v>1200</v>
      </c>
      <c r="CA284">
        <v>1200</v>
      </c>
      <c r="CB284">
        <v>3600</v>
      </c>
      <c r="CC284">
        <v>0</v>
      </c>
      <c r="CD284">
        <v>0</v>
      </c>
      <c r="CE284">
        <v>0</v>
      </c>
      <c r="CF284">
        <v>0</v>
      </c>
      <c r="CG284">
        <v>39515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1700</v>
      </c>
      <c r="CU284">
        <v>1700</v>
      </c>
      <c r="CV284">
        <v>1700</v>
      </c>
      <c r="CW284">
        <v>5100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5100</v>
      </c>
      <c r="EH284">
        <v>0</v>
      </c>
      <c r="EI284">
        <v>1154</v>
      </c>
      <c r="EJ284">
        <v>1154</v>
      </c>
      <c r="EK284">
        <v>1155</v>
      </c>
      <c r="EL284">
        <v>3500</v>
      </c>
      <c r="EM284">
        <v>37.065000000000005</v>
      </c>
      <c r="EN284">
        <v>660</v>
      </c>
      <c r="EO284">
        <v>660</v>
      </c>
      <c r="EP284">
        <v>659</v>
      </c>
      <c r="EQ284">
        <v>2000</v>
      </c>
      <c r="ER284">
        <v>21.18</v>
      </c>
      <c r="ES284">
        <v>0</v>
      </c>
      <c r="ET284">
        <v>0</v>
      </c>
      <c r="EU284">
        <v>0</v>
      </c>
      <c r="EV284">
        <v>0</v>
      </c>
      <c r="EW284">
        <v>0</v>
      </c>
      <c r="FA284">
        <v>0</v>
      </c>
      <c r="FE284">
        <v>0</v>
      </c>
      <c r="FI284">
        <v>0</v>
      </c>
      <c r="FJ284">
        <v>5441.7550000000001</v>
      </c>
      <c r="FK284">
        <v>34415</v>
      </c>
      <c r="FL284">
        <v>30258.631673489846</v>
      </c>
      <c r="FM284">
        <v>28973.244999999999</v>
      </c>
      <c r="FO284" t="s">
        <v>430</v>
      </c>
      <c r="FP284" t="s">
        <v>431</v>
      </c>
      <c r="FQ284" t="s">
        <v>403</v>
      </c>
      <c r="FR284" t="s">
        <v>432</v>
      </c>
    </row>
    <row r="285" spans="1:174" x14ac:dyDescent="0.35">
      <c r="A285">
        <v>197827</v>
      </c>
      <c r="B285" t="s">
        <v>435</v>
      </c>
      <c r="C285" t="s">
        <v>436</v>
      </c>
      <c r="D285" t="s">
        <v>437</v>
      </c>
      <c r="E285" s="43" t="s">
        <v>438</v>
      </c>
      <c r="L285" s="43" t="s">
        <v>259</v>
      </c>
      <c r="M285" t="s">
        <v>439</v>
      </c>
      <c r="N285" s="43"/>
      <c r="O285" s="43"/>
      <c r="P285" s="43"/>
      <c r="Q285" s="43"/>
      <c r="R285">
        <v>3.5</v>
      </c>
      <c r="S285">
        <v>44109</v>
      </c>
      <c r="T285" t="s">
        <v>285</v>
      </c>
      <c r="U285" t="s">
        <v>266</v>
      </c>
      <c r="V285" t="s">
        <v>267</v>
      </c>
      <c r="W285" t="s">
        <v>268</v>
      </c>
      <c r="X285" t="s">
        <v>269</v>
      </c>
      <c r="Y285">
        <v>8883022894</v>
      </c>
      <c r="Z285" t="s">
        <v>270</v>
      </c>
      <c r="AA285" t="s">
        <v>271</v>
      </c>
      <c r="AB285" t="s">
        <v>444</v>
      </c>
      <c r="AC285">
        <v>0</v>
      </c>
      <c r="AD285" t="s">
        <v>363</v>
      </c>
      <c r="AE285" t="s">
        <v>445</v>
      </c>
      <c r="AF285">
        <v>4</v>
      </c>
      <c r="AG285" t="s">
        <v>446</v>
      </c>
      <c r="AH285" t="s">
        <v>259</v>
      </c>
      <c r="AI285" t="s">
        <v>259</v>
      </c>
      <c r="AJ285" t="s">
        <v>259</v>
      </c>
      <c r="AK285" s="43" t="s">
        <v>259</v>
      </c>
      <c r="AL285" s="43" t="s">
        <v>259</v>
      </c>
      <c r="AO285" s="23"/>
      <c r="AP285" s="23"/>
      <c r="AQ285" s="23"/>
      <c r="BD285" s="43" t="s">
        <v>259</v>
      </c>
      <c r="BE285" s="43" t="s">
        <v>259</v>
      </c>
      <c r="BF285" s="43" t="s">
        <v>259</v>
      </c>
      <c r="BG285" s="43" t="s">
        <v>259</v>
      </c>
      <c r="BH285" t="s">
        <v>259</v>
      </c>
      <c r="BI285" s="43" t="s">
        <v>259</v>
      </c>
      <c r="BJ285">
        <v>0</v>
      </c>
      <c r="BK285">
        <v>44109</v>
      </c>
      <c r="BL285">
        <v>44356</v>
      </c>
      <c r="BM285">
        <v>8505</v>
      </c>
      <c r="BN285">
        <v>8505</v>
      </c>
      <c r="BO285">
        <v>8505</v>
      </c>
      <c r="BP285">
        <v>25515</v>
      </c>
      <c r="BQ285">
        <v>3300</v>
      </c>
      <c r="BR285">
        <v>400</v>
      </c>
      <c r="BS285">
        <v>400</v>
      </c>
      <c r="BT285">
        <v>4100</v>
      </c>
      <c r="BU285">
        <v>2100</v>
      </c>
      <c r="BV285">
        <v>2100</v>
      </c>
      <c r="BW285">
        <v>2100</v>
      </c>
      <c r="BX285">
        <v>6300</v>
      </c>
      <c r="BY285">
        <v>1200</v>
      </c>
      <c r="BZ285">
        <v>1200</v>
      </c>
      <c r="CA285">
        <v>1200</v>
      </c>
      <c r="CB285">
        <v>3600</v>
      </c>
      <c r="CC285">
        <v>0</v>
      </c>
      <c r="CD285">
        <v>0</v>
      </c>
      <c r="CE285">
        <v>0</v>
      </c>
      <c r="CF285">
        <v>0</v>
      </c>
      <c r="CG285">
        <v>39515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1250</v>
      </c>
      <c r="CU285">
        <v>1250</v>
      </c>
      <c r="CV285">
        <v>1250</v>
      </c>
      <c r="CW285">
        <v>3750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3750</v>
      </c>
      <c r="EE285">
        <v>0</v>
      </c>
      <c r="EF285">
        <v>0</v>
      </c>
      <c r="EG285">
        <v>0</v>
      </c>
      <c r="EH285">
        <v>0</v>
      </c>
      <c r="EI285">
        <v>1154</v>
      </c>
      <c r="EJ285">
        <v>1154</v>
      </c>
      <c r="EK285">
        <v>1155</v>
      </c>
      <c r="EL285">
        <v>3500</v>
      </c>
      <c r="EM285">
        <v>37.065000000000005</v>
      </c>
      <c r="EN285">
        <v>660</v>
      </c>
      <c r="EO285">
        <v>660</v>
      </c>
      <c r="EP285">
        <v>659</v>
      </c>
      <c r="EQ285">
        <v>2000</v>
      </c>
      <c r="ER285">
        <v>21.18</v>
      </c>
      <c r="ES285">
        <v>0</v>
      </c>
      <c r="ET285">
        <v>0</v>
      </c>
      <c r="EU285">
        <v>0</v>
      </c>
      <c r="EV285">
        <v>0</v>
      </c>
      <c r="EW285">
        <v>0</v>
      </c>
      <c r="FA285">
        <v>0</v>
      </c>
      <c r="FE285">
        <v>0</v>
      </c>
      <c r="FI285">
        <v>0</v>
      </c>
      <c r="FJ285">
        <v>5441.7550000000001</v>
      </c>
      <c r="FK285">
        <v>35765</v>
      </c>
      <c r="FL285">
        <v>31664.555574119709</v>
      </c>
      <c r="FM285">
        <v>30323.244999999999</v>
      </c>
      <c r="FO285" t="s">
        <v>440</v>
      </c>
      <c r="FP285" t="s">
        <v>441</v>
      </c>
      <c r="FQ285" t="s">
        <v>442</v>
      </c>
      <c r="FR285" t="s">
        <v>443</v>
      </c>
    </row>
    <row r="286" spans="1:174" x14ac:dyDescent="0.35">
      <c r="A286">
        <v>196234</v>
      </c>
      <c r="B286" t="s">
        <v>447</v>
      </c>
      <c r="C286" t="s">
        <v>448</v>
      </c>
      <c r="D286" t="s">
        <v>449</v>
      </c>
      <c r="E286" s="43" t="s">
        <v>450</v>
      </c>
      <c r="L286" s="43" t="s">
        <v>259</v>
      </c>
      <c r="M286" t="s">
        <v>451</v>
      </c>
      <c r="N286" s="43"/>
      <c r="O286" s="43"/>
      <c r="P286" s="43"/>
      <c r="Q286" s="43"/>
      <c r="R286">
        <v>3.4</v>
      </c>
      <c r="S286">
        <v>44109</v>
      </c>
      <c r="T286" t="s">
        <v>285</v>
      </c>
      <c r="U286" t="s">
        <v>266</v>
      </c>
      <c r="V286" t="s">
        <v>267</v>
      </c>
      <c r="W286" t="s">
        <v>268</v>
      </c>
      <c r="X286" t="s">
        <v>269</v>
      </c>
      <c r="Y286">
        <v>8883022894</v>
      </c>
      <c r="Z286" t="s">
        <v>270</v>
      </c>
      <c r="AA286" t="s">
        <v>271</v>
      </c>
      <c r="AB286">
        <v>0</v>
      </c>
      <c r="AC286">
        <v>0</v>
      </c>
      <c r="AD286" t="s">
        <v>313</v>
      </c>
      <c r="AE286" t="s">
        <v>354</v>
      </c>
      <c r="AF286">
        <v>6</v>
      </c>
      <c r="AG286" t="s">
        <v>446</v>
      </c>
      <c r="AH286" t="s">
        <v>259</v>
      </c>
      <c r="AI286" t="s">
        <v>259</v>
      </c>
      <c r="AJ286" t="s">
        <v>259</v>
      </c>
      <c r="AK286" s="43" t="s">
        <v>259</v>
      </c>
      <c r="AL286" s="43" t="s">
        <v>259</v>
      </c>
      <c r="AO286" s="23"/>
      <c r="AP286" s="23"/>
      <c r="AQ286" s="23"/>
      <c r="BD286" s="43" t="s">
        <v>259</v>
      </c>
      <c r="BE286" s="43" t="s">
        <v>259</v>
      </c>
      <c r="BF286" s="43" t="s">
        <v>259</v>
      </c>
      <c r="BG286" s="43" t="s">
        <v>259</v>
      </c>
      <c r="BH286" t="s">
        <v>259</v>
      </c>
      <c r="BI286" s="43" t="s">
        <v>259</v>
      </c>
      <c r="BJ286">
        <v>0</v>
      </c>
      <c r="BK286">
        <v>44109</v>
      </c>
      <c r="BL286">
        <v>44356</v>
      </c>
      <c r="BM286">
        <v>8505</v>
      </c>
      <c r="BN286">
        <v>8505</v>
      </c>
      <c r="BO286">
        <v>8505</v>
      </c>
      <c r="BP286">
        <v>25515</v>
      </c>
      <c r="BQ286">
        <v>3300</v>
      </c>
      <c r="BR286">
        <v>400</v>
      </c>
      <c r="BS286">
        <v>400</v>
      </c>
      <c r="BT286">
        <v>4100</v>
      </c>
      <c r="BU286">
        <v>2100</v>
      </c>
      <c r="BV286">
        <v>2100</v>
      </c>
      <c r="BW286">
        <v>2100</v>
      </c>
      <c r="BX286">
        <v>6300</v>
      </c>
      <c r="BY286">
        <v>1200</v>
      </c>
      <c r="BZ286">
        <v>1200</v>
      </c>
      <c r="CA286">
        <v>1200</v>
      </c>
      <c r="CB286">
        <v>3600</v>
      </c>
      <c r="CC286">
        <v>0</v>
      </c>
      <c r="CD286">
        <v>0</v>
      </c>
      <c r="CE286">
        <v>0</v>
      </c>
      <c r="CF286">
        <v>0</v>
      </c>
      <c r="CG286">
        <v>39515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750</v>
      </c>
      <c r="CU286">
        <v>750</v>
      </c>
      <c r="CV286">
        <v>750</v>
      </c>
      <c r="CW286">
        <v>2250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2250</v>
      </c>
      <c r="EH286">
        <v>0</v>
      </c>
      <c r="EI286">
        <v>1154</v>
      </c>
      <c r="EJ286">
        <v>1154</v>
      </c>
      <c r="EK286">
        <v>1155</v>
      </c>
      <c r="EL286">
        <v>3500</v>
      </c>
      <c r="EM286">
        <v>37.065000000000005</v>
      </c>
      <c r="EN286">
        <v>660</v>
      </c>
      <c r="EO286">
        <v>660</v>
      </c>
      <c r="EP286">
        <v>659</v>
      </c>
      <c r="EQ286">
        <v>2000</v>
      </c>
      <c r="ER286">
        <v>21.18</v>
      </c>
      <c r="ES286">
        <v>0</v>
      </c>
      <c r="ET286">
        <v>0</v>
      </c>
      <c r="EU286">
        <v>0</v>
      </c>
      <c r="EV286">
        <v>0</v>
      </c>
      <c r="EW286">
        <v>0</v>
      </c>
      <c r="FA286">
        <v>0</v>
      </c>
      <c r="FE286">
        <v>0</v>
      </c>
      <c r="FI286">
        <v>0</v>
      </c>
      <c r="FJ286">
        <v>5441.7550000000001</v>
      </c>
      <c r="FK286">
        <v>37265</v>
      </c>
      <c r="FL286">
        <v>33235.070807920463</v>
      </c>
      <c r="FM286">
        <v>31823.245000000003</v>
      </c>
      <c r="FO286" t="s">
        <v>452</v>
      </c>
      <c r="FP286" t="s">
        <v>453</v>
      </c>
      <c r="FQ286" t="s">
        <v>454</v>
      </c>
      <c r="FR286" t="s">
        <v>455</v>
      </c>
    </row>
    <row r="287" spans="1:174" x14ac:dyDescent="0.35">
      <c r="A287">
        <v>198388</v>
      </c>
      <c r="B287" t="s">
        <v>456</v>
      </c>
      <c r="C287" t="s">
        <v>457</v>
      </c>
      <c r="D287" t="s">
        <v>458</v>
      </c>
      <c r="E287" s="43" t="s">
        <v>459</v>
      </c>
      <c r="F287">
        <v>1</v>
      </c>
      <c r="I287">
        <v>43782</v>
      </c>
      <c r="L287" s="43" t="s">
        <v>344</v>
      </c>
      <c r="M287" t="s">
        <v>460</v>
      </c>
      <c r="N287" s="43"/>
      <c r="O287" s="43"/>
      <c r="P287" s="43"/>
      <c r="Q287" s="43"/>
      <c r="R287">
        <v>3.65</v>
      </c>
      <c r="S287">
        <v>44109</v>
      </c>
      <c r="T287" t="s">
        <v>265</v>
      </c>
      <c r="U287" t="s">
        <v>266</v>
      </c>
      <c r="V287" t="s">
        <v>267</v>
      </c>
      <c r="W287" t="s">
        <v>268</v>
      </c>
      <c r="X287" t="s">
        <v>269</v>
      </c>
      <c r="Y287">
        <v>8883022894</v>
      </c>
      <c r="Z287" t="s">
        <v>270</v>
      </c>
      <c r="AA287" t="s">
        <v>271</v>
      </c>
      <c r="AB287">
        <v>0</v>
      </c>
      <c r="AC287" t="s">
        <v>464</v>
      </c>
      <c r="AD287" t="s">
        <v>300</v>
      </c>
      <c r="AE287" t="s">
        <v>301</v>
      </c>
      <c r="AF287">
        <v>1</v>
      </c>
      <c r="AG287" t="s">
        <v>446</v>
      </c>
      <c r="AH287" t="s">
        <v>313</v>
      </c>
      <c r="AI287" t="s">
        <v>313</v>
      </c>
      <c r="AJ287" t="s">
        <v>3821</v>
      </c>
      <c r="AK287" s="43" t="s">
        <v>1715</v>
      </c>
      <c r="AL287" s="43" t="s">
        <v>259</v>
      </c>
      <c r="AO287" s="23"/>
      <c r="AP287" s="23"/>
      <c r="AQ287" s="23"/>
      <c r="BD287" s="43" t="s">
        <v>259</v>
      </c>
      <c r="BE287" s="43" t="s">
        <v>259</v>
      </c>
      <c r="BF287" s="43" t="s">
        <v>259</v>
      </c>
      <c r="BG287" s="43" t="s">
        <v>259</v>
      </c>
      <c r="BH287" t="s">
        <v>259</v>
      </c>
      <c r="BI287" s="43" t="s">
        <v>259</v>
      </c>
      <c r="BJ287">
        <v>0</v>
      </c>
      <c r="BK287">
        <v>44109</v>
      </c>
      <c r="BL287">
        <v>44356</v>
      </c>
      <c r="BM287">
        <v>8505</v>
      </c>
      <c r="BN287">
        <v>8505</v>
      </c>
      <c r="BO287">
        <v>8505</v>
      </c>
      <c r="BP287">
        <v>25515</v>
      </c>
      <c r="BQ287">
        <v>3300</v>
      </c>
      <c r="BR287">
        <v>400</v>
      </c>
      <c r="BS287">
        <v>400</v>
      </c>
      <c r="BT287">
        <v>4100</v>
      </c>
      <c r="BU287">
        <v>2100</v>
      </c>
      <c r="BV287">
        <v>2100</v>
      </c>
      <c r="BW287">
        <v>2100</v>
      </c>
      <c r="BX287">
        <v>6300</v>
      </c>
      <c r="BY287">
        <v>1200</v>
      </c>
      <c r="BZ287">
        <v>1200</v>
      </c>
      <c r="CA287">
        <v>1200</v>
      </c>
      <c r="CB287">
        <v>3600</v>
      </c>
      <c r="CC287">
        <v>0</v>
      </c>
      <c r="CD287">
        <v>0</v>
      </c>
      <c r="CE287">
        <v>0</v>
      </c>
      <c r="CF287">
        <v>0</v>
      </c>
      <c r="CG287">
        <v>39515</v>
      </c>
      <c r="CK287">
        <v>0</v>
      </c>
      <c r="CL287">
        <v>2065</v>
      </c>
      <c r="CM287">
        <v>2065</v>
      </c>
      <c r="CN287">
        <v>2065</v>
      </c>
      <c r="CO287">
        <v>6195</v>
      </c>
      <c r="CP287">
        <v>500</v>
      </c>
      <c r="CQ287">
        <v>500</v>
      </c>
      <c r="CR287">
        <v>500</v>
      </c>
      <c r="CS287">
        <v>1500</v>
      </c>
      <c r="CT287">
        <v>1700</v>
      </c>
      <c r="CU287">
        <v>1700</v>
      </c>
      <c r="CV287">
        <v>1700</v>
      </c>
      <c r="CW287">
        <v>5100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12795</v>
      </c>
      <c r="EH287">
        <v>0</v>
      </c>
      <c r="EI287">
        <v>1154</v>
      </c>
      <c r="EJ287">
        <v>1154</v>
      </c>
      <c r="EK287">
        <v>1155</v>
      </c>
      <c r="EL287">
        <v>3500</v>
      </c>
      <c r="EM287">
        <v>37.065000000000005</v>
      </c>
      <c r="EN287">
        <v>660</v>
      </c>
      <c r="EO287">
        <v>660</v>
      </c>
      <c r="EP287">
        <v>659</v>
      </c>
      <c r="EQ287">
        <v>2000</v>
      </c>
      <c r="ER287">
        <v>21.18</v>
      </c>
      <c r="ES287">
        <v>0</v>
      </c>
      <c r="ET287">
        <v>0</v>
      </c>
      <c r="EU287">
        <v>0</v>
      </c>
      <c r="EV287">
        <v>0</v>
      </c>
      <c r="EW287">
        <v>0</v>
      </c>
      <c r="FA287">
        <v>0</v>
      </c>
      <c r="FE287">
        <v>0</v>
      </c>
      <c r="FI287">
        <v>0</v>
      </c>
      <c r="FJ287">
        <v>5441.7550000000001</v>
      </c>
      <c r="FK287">
        <v>26720</v>
      </c>
      <c r="FL287">
        <v>22222.246010527193</v>
      </c>
      <c r="FM287">
        <v>21278.244999999999</v>
      </c>
      <c r="FO287" t="s">
        <v>461</v>
      </c>
      <c r="FP287" t="s">
        <v>462</v>
      </c>
      <c r="FQ287" t="s">
        <v>342</v>
      </c>
      <c r="FR287" t="s">
        <v>463</v>
      </c>
    </row>
    <row r="288" spans="1:174" x14ac:dyDescent="0.35">
      <c r="A288">
        <v>195571</v>
      </c>
      <c r="B288" t="s">
        <v>465</v>
      </c>
      <c r="C288" t="s">
        <v>291</v>
      </c>
      <c r="D288" t="s">
        <v>466</v>
      </c>
      <c r="E288" s="43" t="s">
        <v>467</v>
      </c>
      <c r="F288">
        <v>2</v>
      </c>
      <c r="G288">
        <v>43782</v>
      </c>
      <c r="H288">
        <v>43782</v>
      </c>
      <c r="I288">
        <v>43782</v>
      </c>
      <c r="L288" s="43" t="s">
        <v>3204</v>
      </c>
      <c r="M288" t="s">
        <v>468</v>
      </c>
      <c r="N288" s="43"/>
      <c r="O288" s="43"/>
      <c r="P288" s="43"/>
      <c r="Q288" s="43"/>
      <c r="R288">
        <v>3.4</v>
      </c>
      <c r="S288">
        <v>44109</v>
      </c>
      <c r="T288" t="s">
        <v>285</v>
      </c>
      <c r="U288" t="s">
        <v>266</v>
      </c>
      <c r="V288" t="s">
        <v>267</v>
      </c>
      <c r="W288" t="s">
        <v>268</v>
      </c>
      <c r="X288" t="s">
        <v>269</v>
      </c>
      <c r="Y288">
        <v>8883022894</v>
      </c>
      <c r="Z288" t="s">
        <v>270</v>
      </c>
      <c r="AA288" t="s">
        <v>271</v>
      </c>
      <c r="AB288">
        <v>0</v>
      </c>
      <c r="AC288">
        <v>0</v>
      </c>
      <c r="AD288" t="s">
        <v>313</v>
      </c>
      <c r="AE288" t="s">
        <v>324</v>
      </c>
      <c r="AF288">
        <v>8</v>
      </c>
      <c r="AG288" t="s">
        <v>275</v>
      </c>
      <c r="AH288" t="s">
        <v>3822</v>
      </c>
      <c r="AI288" t="s">
        <v>3823</v>
      </c>
      <c r="AJ288" t="s">
        <v>3821</v>
      </c>
      <c r="AK288" s="43" t="s">
        <v>1715</v>
      </c>
      <c r="AL288" s="43" t="s">
        <v>259</v>
      </c>
      <c r="AO288" s="23">
        <v>43772</v>
      </c>
      <c r="AP288" s="23">
        <v>43772</v>
      </c>
      <c r="AQ288" s="23">
        <v>43772</v>
      </c>
      <c r="BD288" s="43" t="s">
        <v>259</v>
      </c>
      <c r="BE288" s="43" t="s">
        <v>259</v>
      </c>
      <c r="BF288" s="43" t="s">
        <v>259</v>
      </c>
      <c r="BG288" s="43" t="s">
        <v>259</v>
      </c>
      <c r="BH288" t="s">
        <v>259</v>
      </c>
      <c r="BI288" s="43" t="s">
        <v>259</v>
      </c>
      <c r="BJ288">
        <v>0.13043478260869568</v>
      </c>
      <c r="BK288">
        <v>44109</v>
      </c>
      <c r="BL288">
        <v>44356</v>
      </c>
      <c r="BM288">
        <v>8505</v>
      </c>
      <c r="BN288">
        <v>8505</v>
      </c>
      <c r="BO288">
        <v>8505</v>
      </c>
      <c r="BP288">
        <v>25515</v>
      </c>
      <c r="BQ288">
        <v>3300</v>
      </c>
      <c r="BR288">
        <v>400</v>
      </c>
      <c r="BS288">
        <v>400</v>
      </c>
      <c r="BT288">
        <v>4100</v>
      </c>
      <c r="BU288">
        <v>2100</v>
      </c>
      <c r="BV288">
        <v>2100</v>
      </c>
      <c r="BW288">
        <v>2100</v>
      </c>
      <c r="BX288">
        <v>6300</v>
      </c>
      <c r="BY288">
        <v>1200</v>
      </c>
      <c r="BZ288">
        <v>1200</v>
      </c>
      <c r="CA288">
        <v>1200</v>
      </c>
      <c r="CB288">
        <v>3600</v>
      </c>
      <c r="CC288">
        <v>0</v>
      </c>
      <c r="CD288">
        <v>0</v>
      </c>
      <c r="CE288">
        <v>0</v>
      </c>
      <c r="CF288">
        <v>0</v>
      </c>
      <c r="CG288">
        <v>39515</v>
      </c>
      <c r="CK288">
        <v>0</v>
      </c>
      <c r="CL288">
        <v>315</v>
      </c>
      <c r="CM288">
        <v>315</v>
      </c>
      <c r="CN288">
        <v>315</v>
      </c>
      <c r="CO288">
        <v>945</v>
      </c>
      <c r="CP288">
        <v>500</v>
      </c>
      <c r="CQ288">
        <v>500</v>
      </c>
      <c r="CR288">
        <v>500</v>
      </c>
      <c r="CS288">
        <v>1500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2445</v>
      </c>
      <c r="EH288">
        <v>0</v>
      </c>
      <c r="EI288">
        <v>1154</v>
      </c>
      <c r="EJ288">
        <v>1154</v>
      </c>
      <c r="EK288">
        <v>1155</v>
      </c>
      <c r="EL288">
        <v>3500</v>
      </c>
      <c r="EM288">
        <v>37.065000000000005</v>
      </c>
      <c r="EN288">
        <v>660</v>
      </c>
      <c r="EO288">
        <v>660</v>
      </c>
      <c r="EP288">
        <v>659</v>
      </c>
      <c r="EQ288">
        <v>2000</v>
      </c>
      <c r="ER288">
        <v>21.18</v>
      </c>
      <c r="ES288">
        <v>0</v>
      </c>
      <c r="ET288">
        <v>0</v>
      </c>
      <c r="EU288">
        <v>0</v>
      </c>
      <c r="EV288">
        <v>0</v>
      </c>
      <c r="EW288">
        <v>0</v>
      </c>
      <c r="FA288">
        <v>0</v>
      </c>
      <c r="FE288">
        <v>0</v>
      </c>
      <c r="FI288">
        <v>0</v>
      </c>
      <c r="FJ288">
        <v>5441.7550000000001</v>
      </c>
      <c r="FK288">
        <v>37070</v>
      </c>
      <c r="FL288">
        <v>33031.419709248898</v>
      </c>
      <c r="FM288">
        <v>31628.245000000003</v>
      </c>
      <c r="FO288" t="s">
        <v>469</v>
      </c>
      <c r="FP288" t="s">
        <v>470</v>
      </c>
      <c r="FQ288" t="s">
        <v>342</v>
      </c>
      <c r="FR288" t="s">
        <v>471</v>
      </c>
    </row>
    <row r="289" spans="1:174" x14ac:dyDescent="0.35">
      <c r="A289">
        <v>195768</v>
      </c>
      <c r="B289" t="s">
        <v>3446</v>
      </c>
      <c r="C289" t="s">
        <v>3447</v>
      </c>
      <c r="D289" t="s">
        <v>3448</v>
      </c>
      <c r="E289" s="43" t="s">
        <v>4199</v>
      </c>
      <c r="J289" t="s">
        <v>3425</v>
      </c>
      <c r="L289" s="43" t="s">
        <v>259</v>
      </c>
      <c r="M289" t="s">
        <v>3449</v>
      </c>
      <c r="N289" s="43"/>
      <c r="O289" s="43"/>
      <c r="P289" s="43"/>
      <c r="Q289" s="43"/>
      <c r="R289">
        <v>3.12</v>
      </c>
      <c r="S289">
        <v>44109</v>
      </c>
      <c r="T289" t="s">
        <v>311</v>
      </c>
      <c r="U289" t="s">
        <v>286</v>
      </c>
      <c r="V289" t="s">
        <v>267</v>
      </c>
      <c r="W289" t="s">
        <v>268</v>
      </c>
      <c r="X289" t="s">
        <v>269</v>
      </c>
      <c r="Y289">
        <v>8883022894</v>
      </c>
      <c r="Z289" t="s">
        <v>270</v>
      </c>
      <c r="AA289" t="s">
        <v>271</v>
      </c>
      <c r="AB289" t="s">
        <v>374</v>
      </c>
      <c r="AC289">
        <v>0</v>
      </c>
      <c r="AD289" t="s">
        <v>637</v>
      </c>
      <c r="AE289" t="s">
        <v>416</v>
      </c>
      <c r="AF289">
        <v>5</v>
      </c>
      <c r="AG289" t="s">
        <v>3345</v>
      </c>
      <c r="AH289" t="s">
        <v>259</v>
      </c>
      <c r="AI289" t="s">
        <v>259</v>
      </c>
      <c r="AJ289" t="s">
        <v>259</v>
      </c>
      <c r="AK289" s="43" t="s">
        <v>259</v>
      </c>
      <c r="AL289" s="43" t="s">
        <v>259</v>
      </c>
      <c r="AO289" s="23"/>
      <c r="AP289" s="23"/>
      <c r="AQ289" s="23"/>
      <c r="BD289" s="43" t="s">
        <v>259</v>
      </c>
      <c r="BE289" s="43" t="s">
        <v>259</v>
      </c>
      <c r="BF289" s="43" t="s">
        <v>259</v>
      </c>
      <c r="BG289" s="43" t="s">
        <v>259</v>
      </c>
      <c r="BH289" t="s">
        <v>259</v>
      </c>
      <c r="BI289" s="43" t="s">
        <v>259</v>
      </c>
      <c r="BJ289">
        <v>0</v>
      </c>
      <c r="BK289">
        <v>44109</v>
      </c>
      <c r="BL289">
        <v>44356</v>
      </c>
      <c r="BM289">
        <v>8505</v>
      </c>
      <c r="BN289">
        <v>8505</v>
      </c>
      <c r="BO289">
        <v>8505</v>
      </c>
      <c r="BP289">
        <v>25515</v>
      </c>
      <c r="BQ289">
        <v>3300</v>
      </c>
      <c r="BR289">
        <v>400</v>
      </c>
      <c r="BS289">
        <v>400</v>
      </c>
      <c r="BT289">
        <v>4100</v>
      </c>
      <c r="BU289">
        <v>2100</v>
      </c>
      <c r="BV289">
        <v>2100</v>
      </c>
      <c r="BW289">
        <v>2100</v>
      </c>
      <c r="BX289">
        <v>6300</v>
      </c>
      <c r="BY289">
        <v>1200</v>
      </c>
      <c r="BZ289">
        <v>1200</v>
      </c>
      <c r="CA289">
        <v>1200</v>
      </c>
      <c r="CB289">
        <v>3600</v>
      </c>
      <c r="CF289">
        <v>0</v>
      </c>
      <c r="CG289">
        <v>39515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1000</v>
      </c>
      <c r="CU289">
        <v>1000</v>
      </c>
      <c r="CV289">
        <v>1000</v>
      </c>
      <c r="CW289">
        <v>3000</v>
      </c>
      <c r="CX289">
        <v>0</v>
      </c>
      <c r="CY289">
        <v>0</v>
      </c>
      <c r="CZ289">
        <v>0</v>
      </c>
      <c r="DA289">
        <v>0</v>
      </c>
      <c r="DB289">
        <v>1000</v>
      </c>
      <c r="DC289">
        <v>1000</v>
      </c>
      <c r="DD289">
        <v>1000</v>
      </c>
      <c r="DE289">
        <v>3000</v>
      </c>
      <c r="DF289">
        <v>0</v>
      </c>
      <c r="DG289">
        <v>0</v>
      </c>
      <c r="DH289">
        <v>0</v>
      </c>
      <c r="DN289">
        <v>0</v>
      </c>
      <c r="DO289">
        <v>0</v>
      </c>
      <c r="DP289">
        <v>0</v>
      </c>
      <c r="DR289">
        <v>0</v>
      </c>
      <c r="DS289">
        <v>0</v>
      </c>
      <c r="DT289">
        <v>0</v>
      </c>
      <c r="DY289">
        <v>0</v>
      </c>
      <c r="EC289">
        <v>0</v>
      </c>
      <c r="ED289">
        <v>6000</v>
      </c>
      <c r="EH289">
        <v>0</v>
      </c>
      <c r="EI289">
        <v>0</v>
      </c>
      <c r="EJ289">
        <v>0</v>
      </c>
      <c r="EK289">
        <v>0</v>
      </c>
      <c r="EM289">
        <v>0</v>
      </c>
      <c r="EN289">
        <v>660</v>
      </c>
      <c r="EO289">
        <v>660</v>
      </c>
      <c r="EP289">
        <v>659</v>
      </c>
      <c r="EQ289">
        <v>2000</v>
      </c>
      <c r="ER289">
        <v>21.24</v>
      </c>
      <c r="ES289">
        <v>0</v>
      </c>
      <c r="ET289">
        <v>0</v>
      </c>
      <c r="EU289">
        <v>0</v>
      </c>
      <c r="EW289">
        <v>0</v>
      </c>
      <c r="FA289">
        <v>0</v>
      </c>
      <c r="FE289">
        <v>0</v>
      </c>
      <c r="FI289">
        <v>0</v>
      </c>
      <c r="FJ289">
        <v>1978.76</v>
      </c>
      <c r="FK289">
        <v>33515</v>
      </c>
      <c r="FL289">
        <v>32935.332943437214</v>
      </c>
      <c r="FM289">
        <v>31536.240000000002</v>
      </c>
      <c r="FO289" t="s">
        <v>3450</v>
      </c>
      <c r="FP289" t="s">
        <v>3451</v>
      </c>
      <c r="FQ289" t="s">
        <v>524</v>
      </c>
      <c r="FR289" t="s">
        <v>3452</v>
      </c>
    </row>
    <row r="290" spans="1:174" x14ac:dyDescent="0.35">
      <c r="A290">
        <v>194764</v>
      </c>
      <c r="B290" t="s">
        <v>472</v>
      </c>
      <c r="C290" t="s">
        <v>473</v>
      </c>
      <c r="D290" t="s">
        <v>474</v>
      </c>
      <c r="E290" s="43" t="s">
        <v>475</v>
      </c>
      <c r="L290" s="43" t="s">
        <v>259</v>
      </c>
      <c r="M290" t="s">
        <v>476</v>
      </c>
      <c r="N290" s="43"/>
      <c r="O290" s="43"/>
      <c r="P290" s="43"/>
      <c r="Q290" s="43"/>
      <c r="R290">
        <v>4</v>
      </c>
      <c r="S290">
        <v>44109</v>
      </c>
      <c r="T290" t="s">
        <v>311</v>
      </c>
      <c r="U290" t="s">
        <v>286</v>
      </c>
      <c r="V290" t="s">
        <v>267</v>
      </c>
      <c r="W290" t="s">
        <v>268</v>
      </c>
      <c r="X290" t="s">
        <v>269</v>
      </c>
      <c r="Y290">
        <v>8883022894</v>
      </c>
      <c r="Z290" t="s">
        <v>270</v>
      </c>
      <c r="AA290" t="s">
        <v>271</v>
      </c>
      <c r="AB290">
        <v>0</v>
      </c>
      <c r="AC290" t="s">
        <v>480</v>
      </c>
      <c r="AD290" t="s">
        <v>481</v>
      </c>
      <c r="AE290" t="s">
        <v>301</v>
      </c>
      <c r="AF290">
        <v>1</v>
      </c>
      <c r="AG290" t="s">
        <v>275</v>
      </c>
      <c r="AH290" t="s">
        <v>259</v>
      </c>
      <c r="AI290" t="s">
        <v>259</v>
      </c>
      <c r="AJ290" t="s">
        <v>259</v>
      </c>
      <c r="AK290" s="43" t="s">
        <v>259</v>
      </c>
      <c r="AL290" s="43" t="s">
        <v>259</v>
      </c>
      <c r="AO290" s="23"/>
      <c r="AP290" s="23"/>
      <c r="AQ290" s="23"/>
      <c r="BD290" s="43" t="s">
        <v>259</v>
      </c>
      <c r="BE290" s="43" t="s">
        <v>259</v>
      </c>
      <c r="BF290" s="43" t="s">
        <v>259</v>
      </c>
      <c r="BG290" s="43" t="s">
        <v>259</v>
      </c>
      <c r="BH290" t="s">
        <v>259</v>
      </c>
      <c r="BI290" s="43" t="s">
        <v>259</v>
      </c>
      <c r="BJ290">
        <v>0</v>
      </c>
      <c r="BK290">
        <v>44109</v>
      </c>
      <c r="BL290">
        <v>44356</v>
      </c>
      <c r="BM290">
        <v>8505</v>
      </c>
      <c r="BN290">
        <v>8505</v>
      </c>
      <c r="BO290">
        <v>8505</v>
      </c>
      <c r="BP290">
        <v>25515</v>
      </c>
      <c r="BQ290">
        <v>3300</v>
      </c>
      <c r="BR290">
        <v>400</v>
      </c>
      <c r="BS290">
        <v>400</v>
      </c>
      <c r="BT290">
        <v>4100</v>
      </c>
      <c r="BU290">
        <v>2100</v>
      </c>
      <c r="BV290">
        <v>2100</v>
      </c>
      <c r="BW290">
        <v>2100</v>
      </c>
      <c r="BX290">
        <v>6300</v>
      </c>
      <c r="BY290">
        <v>1200</v>
      </c>
      <c r="BZ290">
        <v>1200</v>
      </c>
      <c r="CA290">
        <v>1200</v>
      </c>
      <c r="CB290">
        <v>3600</v>
      </c>
      <c r="CC290">
        <v>0</v>
      </c>
      <c r="CD290">
        <v>0</v>
      </c>
      <c r="CE290">
        <v>0</v>
      </c>
      <c r="CF290">
        <v>0</v>
      </c>
      <c r="CG290">
        <v>39515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1700</v>
      </c>
      <c r="CU290">
        <v>1700</v>
      </c>
      <c r="CV290">
        <v>1700</v>
      </c>
      <c r="CW290">
        <v>5100</v>
      </c>
      <c r="CX290">
        <v>0</v>
      </c>
      <c r="CY290">
        <v>0</v>
      </c>
      <c r="CZ290">
        <v>0</v>
      </c>
      <c r="DA290">
        <v>0</v>
      </c>
      <c r="DB290">
        <v>1000</v>
      </c>
      <c r="DC290">
        <v>1000</v>
      </c>
      <c r="DD290">
        <v>1000</v>
      </c>
      <c r="DE290">
        <v>3000</v>
      </c>
      <c r="DF290">
        <v>0</v>
      </c>
      <c r="DG290">
        <v>0</v>
      </c>
      <c r="DH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8100</v>
      </c>
      <c r="EH290">
        <v>0</v>
      </c>
      <c r="EI290">
        <v>1154</v>
      </c>
      <c r="EJ290">
        <v>1154</v>
      </c>
      <c r="EK290">
        <v>1155</v>
      </c>
      <c r="EL290">
        <v>3500</v>
      </c>
      <c r="EM290">
        <v>37.065000000000005</v>
      </c>
      <c r="EN290">
        <v>660</v>
      </c>
      <c r="EO290">
        <v>660</v>
      </c>
      <c r="EP290">
        <v>659</v>
      </c>
      <c r="EQ290">
        <v>2000</v>
      </c>
      <c r="ER290">
        <v>21.18</v>
      </c>
      <c r="ES290">
        <v>0</v>
      </c>
      <c r="ET290">
        <v>0</v>
      </c>
      <c r="EU290">
        <v>0</v>
      </c>
      <c r="EV290">
        <v>0</v>
      </c>
      <c r="EW290">
        <v>0</v>
      </c>
      <c r="FA290">
        <v>0</v>
      </c>
      <c r="FE290">
        <v>0</v>
      </c>
      <c r="FI290">
        <v>0</v>
      </c>
      <c r="FJ290">
        <v>5441.7550000000001</v>
      </c>
      <c r="FK290">
        <v>31415</v>
      </c>
      <c r="FL290">
        <v>27125.537847773412</v>
      </c>
      <c r="FM290">
        <v>25973.244999999999</v>
      </c>
      <c r="FO290" t="s">
        <v>477</v>
      </c>
      <c r="FP290" t="s">
        <v>478</v>
      </c>
      <c r="FQ290" t="s">
        <v>309</v>
      </c>
      <c r="FR290" t="s">
        <v>479</v>
      </c>
    </row>
    <row r="291" spans="1:174" x14ac:dyDescent="0.35">
      <c r="A291">
        <v>197750</v>
      </c>
      <c r="B291" t="s">
        <v>482</v>
      </c>
      <c r="C291" t="s">
        <v>483</v>
      </c>
      <c r="D291" t="s">
        <v>484</v>
      </c>
      <c r="E291" s="43" t="s">
        <v>485</v>
      </c>
      <c r="L291" s="43" t="s">
        <v>259</v>
      </c>
      <c r="M291" t="s">
        <v>486</v>
      </c>
      <c r="N291" s="43"/>
      <c r="O291" s="43"/>
      <c r="P291" s="43"/>
      <c r="Q291" s="43"/>
      <c r="R291">
        <v>3.8</v>
      </c>
      <c r="S291">
        <v>44109</v>
      </c>
      <c r="T291" t="s">
        <v>285</v>
      </c>
      <c r="U291" t="s">
        <v>286</v>
      </c>
      <c r="V291" t="s">
        <v>267</v>
      </c>
      <c r="W291" t="s">
        <v>268</v>
      </c>
      <c r="X291" t="s">
        <v>269</v>
      </c>
      <c r="Y291">
        <v>8883022894</v>
      </c>
      <c r="Z291" t="s">
        <v>270</v>
      </c>
      <c r="AA291" t="s">
        <v>271</v>
      </c>
      <c r="AB291">
        <v>0</v>
      </c>
      <c r="AC291">
        <v>0</v>
      </c>
      <c r="AD291" t="s">
        <v>313</v>
      </c>
      <c r="AE291" t="s">
        <v>364</v>
      </c>
      <c r="AF291">
        <v>3</v>
      </c>
      <c r="AG291" t="s">
        <v>275</v>
      </c>
      <c r="AH291" t="s">
        <v>259</v>
      </c>
      <c r="AI291" t="s">
        <v>259</v>
      </c>
      <c r="AJ291" t="s">
        <v>259</v>
      </c>
      <c r="AK291" s="43" t="s">
        <v>259</v>
      </c>
      <c r="AL291" s="43" t="s">
        <v>259</v>
      </c>
      <c r="AO291" s="23"/>
      <c r="AP291" s="23"/>
      <c r="AQ291" s="23"/>
      <c r="BD291" s="43" t="s">
        <v>259</v>
      </c>
      <c r="BE291" s="43" t="s">
        <v>259</v>
      </c>
      <c r="BF291" s="43" t="s">
        <v>259</v>
      </c>
      <c r="BG291" s="43" t="s">
        <v>259</v>
      </c>
      <c r="BH291" t="s">
        <v>259</v>
      </c>
      <c r="BI291" s="43" t="s">
        <v>259</v>
      </c>
      <c r="BJ291">
        <v>0</v>
      </c>
      <c r="BK291">
        <v>44109</v>
      </c>
      <c r="BL291">
        <v>44356</v>
      </c>
      <c r="BM291">
        <v>8505</v>
      </c>
      <c r="BN291">
        <v>8505</v>
      </c>
      <c r="BO291">
        <v>8505</v>
      </c>
      <c r="BP291">
        <v>25515</v>
      </c>
      <c r="BQ291">
        <v>3300</v>
      </c>
      <c r="BR291">
        <v>400</v>
      </c>
      <c r="BS291">
        <v>400</v>
      </c>
      <c r="BT291">
        <v>4100</v>
      </c>
      <c r="BU291">
        <v>2100</v>
      </c>
      <c r="BV291">
        <v>2100</v>
      </c>
      <c r="BW291">
        <v>2100</v>
      </c>
      <c r="BX291">
        <v>6300</v>
      </c>
      <c r="BY291">
        <v>1200</v>
      </c>
      <c r="BZ291">
        <v>1200</v>
      </c>
      <c r="CA291">
        <v>1200</v>
      </c>
      <c r="CB291">
        <v>3600</v>
      </c>
      <c r="CC291">
        <v>0</v>
      </c>
      <c r="CD291">
        <v>0</v>
      </c>
      <c r="CE291">
        <v>0</v>
      </c>
      <c r="CF291">
        <v>0</v>
      </c>
      <c r="CG291">
        <v>39515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1300</v>
      </c>
      <c r="CU291">
        <v>1300</v>
      </c>
      <c r="CV291">
        <v>1300</v>
      </c>
      <c r="CW291">
        <v>3900</v>
      </c>
      <c r="CX291">
        <v>0</v>
      </c>
      <c r="CY291">
        <v>0</v>
      </c>
      <c r="CZ291">
        <v>0</v>
      </c>
      <c r="DA291">
        <v>0</v>
      </c>
      <c r="DB291">
        <v>1000</v>
      </c>
      <c r="DC291">
        <v>1000</v>
      </c>
      <c r="DD291">
        <v>1000</v>
      </c>
      <c r="DE291">
        <v>3000</v>
      </c>
      <c r="DF291">
        <v>0</v>
      </c>
      <c r="DG291">
        <v>0</v>
      </c>
      <c r="DH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6900</v>
      </c>
      <c r="EH291">
        <v>0</v>
      </c>
      <c r="EI291">
        <v>1154</v>
      </c>
      <c r="EJ291">
        <v>1154</v>
      </c>
      <c r="EK291">
        <v>1155</v>
      </c>
      <c r="EL291">
        <v>3500</v>
      </c>
      <c r="EM291">
        <v>37.065000000000005</v>
      </c>
      <c r="EN291">
        <v>660</v>
      </c>
      <c r="EO291">
        <v>660</v>
      </c>
      <c r="EP291">
        <v>659</v>
      </c>
      <c r="EQ291">
        <v>2000</v>
      </c>
      <c r="ER291">
        <v>21.18</v>
      </c>
      <c r="ES291">
        <v>0</v>
      </c>
      <c r="ET291">
        <v>0</v>
      </c>
      <c r="EU291">
        <v>0</v>
      </c>
      <c r="EV291">
        <v>0</v>
      </c>
      <c r="EW291">
        <v>0</v>
      </c>
      <c r="FA291">
        <v>0</v>
      </c>
      <c r="FE291">
        <v>0</v>
      </c>
      <c r="FI291">
        <v>0</v>
      </c>
      <c r="FJ291">
        <v>5441.7550000000001</v>
      </c>
      <c r="FK291">
        <v>32615</v>
      </c>
      <c r="FL291">
        <v>28378.775378059985</v>
      </c>
      <c r="FM291">
        <v>27173.244999999999</v>
      </c>
      <c r="FO291" t="s">
        <v>487</v>
      </c>
      <c r="FP291" t="s">
        <v>488</v>
      </c>
      <c r="FQ291" t="s">
        <v>372</v>
      </c>
      <c r="FR291" t="s">
        <v>489</v>
      </c>
    </row>
    <row r="292" spans="1:174" x14ac:dyDescent="0.35">
      <c r="A292">
        <v>195955</v>
      </c>
      <c r="B292" t="s">
        <v>490</v>
      </c>
      <c r="C292" t="s">
        <v>491</v>
      </c>
      <c r="D292" t="s">
        <v>492</v>
      </c>
      <c r="E292" s="43" t="s">
        <v>493</v>
      </c>
      <c r="F292">
        <v>1</v>
      </c>
      <c r="I292">
        <v>43776</v>
      </c>
      <c r="L292" s="43" t="s">
        <v>3204</v>
      </c>
      <c r="M292" t="s">
        <v>494</v>
      </c>
      <c r="N292" s="43"/>
      <c r="O292" s="43"/>
      <c r="P292" s="43"/>
      <c r="Q292" s="43"/>
      <c r="R292">
        <v>3.6665999999999999</v>
      </c>
      <c r="S292">
        <v>44109</v>
      </c>
      <c r="T292" t="s">
        <v>265</v>
      </c>
      <c r="U292" t="s">
        <v>266</v>
      </c>
      <c r="V292" t="s">
        <v>267</v>
      </c>
      <c r="W292" t="s">
        <v>268</v>
      </c>
      <c r="X292" t="s">
        <v>269</v>
      </c>
      <c r="Y292">
        <v>8883022894</v>
      </c>
      <c r="Z292" t="s">
        <v>270</v>
      </c>
      <c r="AA292" t="s">
        <v>271</v>
      </c>
      <c r="AB292">
        <v>0</v>
      </c>
      <c r="AC292" t="s">
        <v>498</v>
      </c>
      <c r="AD292" t="s">
        <v>499</v>
      </c>
      <c r="AE292" t="s">
        <v>301</v>
      </c>
      <c r="AF292">
        <v>1</v>
      </c>
      <c r="AG292" t="s">
        <v>275</v>
      </c>
      <c r="AH292" t="s">
        <v>3223</v>
      </c>
      <c r="AI292" t="s">
        <v>3223</v>
      </c>
      <c r="AJ292" t="s">
        <v>3207</v>
      </c>
      <c r="AK292" s="43" t="s">
        <v>3208</v>
      </c>
      <c r="AL292" s="43" t="s">
        <v>3209</v>
      </c>
      <c r="AO292" s="23"/>
      <c r="AP292" s="23"/>
      <c r="AQ292" s="23"/>
      <c r="BD292" s="43" t="s">
        <v>2018</v>
      </c>
      <c r="BE292" s="43" t="s">
        <v>2018</v>
      </c>
      <c r="BF292" s="43" t="s">
        <v>2018</v>
      </c>
      <c r="BG292" s="43" t="s">
        <v>2018</v>
      </c>
      <c r="BH292" t="s">
        <v>2018</v>
      </c>
      <c r="BI292" s="43" t="s">
        <v>2018</v>
      </c>
      <c r="BJ292">
        <v>0</v>
      </c>
      <c r="BK292">
        <v>44109</v>
      </c>
      <c r="BL292">
        <v>44356</v>
      </c>
      <c r="BM292">
        <v>8505</v>
      </c>
      <c r="BN292">
        <v>8505</v>
      </c>
      <c r="BO292">
        <v>8505</v>
      </c>
      <c r="BP292">
        <v>25515</v>
      </c>
      <c r="BQ292">
        <v>3300</v>
      </c>
      <c r="BR292">
        <v>400</v>
      </c>
      <c r="BS292">
        <v>400</v>
      </c>
      <c r="BT292">
        <v>4100</v>
      </c>
      <c r="BU292">
        <v>2100</v>
      </c>
      <c r="BV292">
        <v>2100</v>
      </c>
      <c r="BW292">
        <v>2100</v>
      </c>
      <c r="BX292">
        <v>6300</v>
      </c>
      <c r="BY292">
        <v>1200</v>
      </c>
      <c r="BZ292">
        <v>1200</v>
      </c>
      <c r="CA292">
        <v>1200</v>
      </c>
      <c r="CB292">
        <v>3600</v>
      </c>
      <c r="CC292">
        <v>0</v>
      </c>
      <c r="CD292">
        <v>0</v>
      </c>
      <c r="CE292">
        <v>0</v>
      </c>
      <c r="CF292">
        <v>0</v>
      </c>
      <c r="CG292">
        <v>39515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1700</v>
      </c>
      <c r="CU292">
        <v>1700</v>
      </c>
      <c r="CV292">
        <v>1700</v>
      </c>
      <c r="CW292">
        <v>5100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5100</v>
      </c>
      <c r="EH292">
        <v>0</v>
      </c>
      <c r="EI292">
        <v>1154</v>
      </c>
      <c r="EJ292">
        <v>1154</v>
      </c>
      <c r="EK292">
        <v>1155</v>
      </c>
      <c r="EL292">
        <v>3500</v>
      </c>
      <c r="EM292">
        <v>37.065000000000005</v>
      </c>
      <c r="EN292">
        <v>660</v>
      </c>
      <c r="EO292">
        <v>660</v>
      </c>
      <c r="EP292">
        <v>659</v>
      </c>
      <c r="EQ292">
        <v>2000</v>
      </c>
      <c r="ER292">
        <v>21.18</v>
      </c>
      <c r="ES292">
        <v>0</v>
      </c>
      <c r="ET292">
        <v>0</v>
      </c>
      <c r="EU292">
        <v>0</v>
      </c>
      <c r="EV292">
        <v>0</v>
      </c>
      <c r="EW292">
        <v>0</v>
      </c>
      <c r="FA292">
        <v>0</v>
      </c>
      <c r="FE292">
        <v>0</v>
      </c>
      <c r="FI292">
        <v>0</v>
      </c>
      <c r="FJ292">
        <v>5441.7550000000001</v>
      </c>
      <c r="FK292">
        <v>34415</v>
      </c>
      <c r="FL292">
        <v>30258.631673489846</v>
      </c>
      <c r="FM292">
        <v>28973.244999999999</v>
      </c>
      <c r="FO292" t="s">
        <v>495</v>
      </c>
      <c r="FP292" t="s">
        <v>496</v>
      </c>
      <c r="FQ292" t="s">
        <v>454</v>
      </c>
      <c r="FR292" t="s">
        <v>497</v>
      </c>
    </row>
    <row r="293" spans="1:174" x14ac:dyDescent="0.35">
      <c r="A293">
        <v>196102</v>
      </c>
      <c r="B293" t="s">
        <v>500</v>
      </c>
      <c r="C293" t="s">
        <v>501</v>
      </c>
      <c r="D293" t="s">
        <v>502</v>
      </c>
      <c r="E293" s="43" t="s">
        <v>503</v>
      </c>
      <c r="L293" s="43" t="s">
        <v>259</v>
      </c>
      <c r="M293" t="s">
        <v>504</v>
      </c>
      <c r="N293" s="43"/>
      <c r="O293" s="43"/>
      <c r="P293" s="43"/>
      <c r="Q293" s="43"/>
      <c r="R293">
        <v>3.2608999999999999</v>
      </c>
      <c r="S293">
        <v>44109</v>
      </c>
      <c r="T293" t="s">
        <v>265</v>
      </c>
      <c r="U293" t="s">
        <v>266</v>
      </c>
      <c r="V293" t="s">
        <v>267</v>
      </c>
      <c r="W293" t="s">
        <v>268</v>
      </c>
      <c r="X293" t="s">
        <v>269</v>
      </c>
      <c r="Y293">
        <v>8883022894</v>
      </c>
      <c r="Z293" t="s">
        <v>508</v>
      </c>
      <c r="AA293" t="s">
        <v>271</v>
      </c>
      <c r="AB293">
        <v>0</v>
      </c>
      <c r="AC293">
        <v>0</v>
      </c>
      <c r="AD293" t="s">
        <v>313</v>
      </c>
      <c r="AE293" t="s">
        <v>416</v>
      </c>
      <c r="AF293">
        <v>5</v>
      </c>
      <c r="AG293" t="s">
        <v>275</v>
      </c>
      <c r="AH293" t="s">
        <v>259</v>
      </c>
      <c r="AI293" t="s">
        <v>259</v>
      </c>
      <c r="AJ293" t="s">
        <v>259</v>
      </c>
      <c r="AK293" s="43" t="s">
        <v>259</v>
      </c>
      <c r="AL293" s="43" t="s">
        <v>259</v>
      </c>
      <c r="AO293" s="23"/>
      <c r="AP293" s="23"/>
      <c r="AQ293" s="23"/>
      <c r="BD293" s="43" t="s">
        <v>259</v>
      </c>
      <c r="BE293" s="43" t="s">
        <v>259</v>
      </c>
      <c r="BF293" s="43" t="s">
        <v>259</v>
      </c>
      <c r="BG293" s="43" t="s">
        <v>259</v>
      </c>
      <c r="BH293" t="s">
        <v>259</v>
      </c>
      <c r="BI293" s="43" t="s">
        <v>259</v>
      </c>
      <c r="BJ293">
        <v>0</v>
      </c>
      <c r="BK293">
        <v>44109</v>
      </c>
      <c r="BL293">
        <v>44356</v>
      </c>
      <c r="BM293">
        <v>8505</v>
      </c>
      <c r="BN293">
        <v>8505</v>
      </c>
      <c r="BO293">
        <v>8505</v>
      </c>
      <c r="BP293">
        <v>25515</v>
      </c>
      <c r="BQ293">
        <v>3300</v>
      </c>
      <c r="BR293">
        <v>400</v>
      </c>
      <c r="BS293">
        <v>400</v>
      </c>
      <c r="BT293">
        <v>4100</v>
      </c>
      <c r="BU293">
        <v>2100</v>
      </c>
      <c r="BV293">
        <v>2100</v>
      </c>
      <c r="BW293">
        <v>2100</v>
      </c>
      <c r="BX293">
        <v>6300</v>
      </c>
      <c r="BY293">
        <v>1200</v>
      </c>
      <c r="BZ293">
        <v>1200</v>
      </c>
      <c r="CA293">
        <v>1200</v>
      </c>
      <c r="CB293">
        <v>3600</v>
      </c>
      <c r="CC293">
        <v>0</v>
      </c>
      <c r="CD293">
        <v>0</v>
      </c>
      <c r="CE293">
        <v>0</v>
      </c>
      <c r="CF293">
        <v>0</v>
      </c>
      <c r="CG293">
        <v>39515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1000</v>
      </c>
      <c r="CU293">
        <v>1000</v>
      </c>
      <c r="CV293">
        <v>1000</v>
      </c>
      <c r="CW293">
        <v>3000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3000</v>
      </c>
      <c r="EH293">
        <v>0</v>
      </c>
      <c r="EI293">
        <v>1154</v>
      </c>
      <c r="EJ293">
        <v>1154</v>
      </c>
      <c r="EK293">
        <v>1155</v>
      </c>
      <c r="EL293">
        <v>3500</v>
      </c>
      <c r="EM293">
        <v>37.065000000000005</v>
      </c>
      <c r="EN293">
        <v>660</v>
      </c>
      <c r="EO293">
        <v>660</v>
      </c>
      <c r="EP293">
        <v>659</v>
      </c>
      <c r="EQ293">
        <v>2000</v>
      </c>
      <c r="ER293">
        <v>21.18</v>
      </c>
      <c r="ES293">
        <v>0</v>
      </c>
      <c r="ET293">
        <v>0</v>
      </c>
      <c r="EU293">
        <v>0</v>
      </c>
      <c r="EV293">
        <v>0</v>
      </c>
      <c r="EW293">
        <v>0</v>
      </c>
      <c r="FA293">
        <v>0</v>
      </c>
      <c r="FE293">
        <v>0</v>
      </c>
      <c r="FI293">
        <v>0</v>
      </c>
      <c r="FJ293">
        <v>5441.7550000000001</v>
      </c>
      <c r="FK293">
        <v>36515</v>
      </c>
      <c r="FL293">
        <v>32451.797351491354</v>
      </c>
      <c r="FM293">
        <v>31073.245000000003</v>
      </c>
      <c r="FO293" t="s">
        <v>505</v>
      </c>
      <c r="FP293" t="s">
        <v>506</v>
      </c>
      <c r="FQ293" t="s">
        <v>342</v>
      </c>
      <c r="FR293" t="s">
        <v>507</v>
      </c>
    </row>
    <row r="294" spans="1:174" x14ac:dyDescent="0.35">
      <c r="A294">
        <v>193933</v>
      </c>
      <c r="B294" t="s">
        <v>509</v>
      </c>
      <c r="C294" t="s">
        <v>510</v>
      </c>
      <c r="D294" t="s">
        <v>511</v>
      </c>
      <c r="E294" s="43" t="s">
        <v>512</v>
      </c>
      <c r="F294">
        <v>1</v>
      </c>
      <c r="G294">
        <v>43776</v>
      </c>
      <c r="H294">
        <v>43776</v>
      </c>
      <c r="I294">
        <v>43776</v>
      </c>
      <c r="K294" t="s">
        <v>3307</v>
      </c>
      <c r="L294" s="43" t="s">
        <v>259</v>
      </c>
      <c r="M294" t="s">
        <v>513</v>
      </c>
      <c r="N294" s="43"/>
      <c r="O294" s="43"/>
      <c r="P294" s="43"/>
      <c r="Q294" s="43"/>
      <c r="R294">
        <v>3.6</v>
      </c>
      <c r="S294">
        <v>44109</v>
      </c>
      <c r="T294" t="s">
        <v>285</v>
      </c>
      <c r="U294" t="s">
        <v>286</v>
      </c>
      <c r="V294" t="s">
        <v>267</v>
      </c>
      <c r="W294" t="s">
        <v>268</v>
      </c>
      <c r="X294" t="s">
        <v>269</v>
      </c>
      <c r="Y294">
        <v>8883022894</v>
      </c>
      <c r="Z294" t="s">
        <v>270</v>
      </c>
      <c r="AA294" t="s">
        <v>271</v>
      </c>
      <c r="AB294" t="s">
        <v>287</v>
      </c>
      <c r="AC294">
        <v>0</v>
      </c>
      <c r="AD294" t="s">
        <v>288</v>
      </c>
      <c r="AE294" t="s">
        <v>364</v>
      </c>
      <c r="AF294">
        <v>3</v>
      </c>
      <c r="AG294" t="s">
        <v>275</v>
      </c>
      <c r="AH294" t="s">
        <v>259</v>
      </c>
      <c r="AI294" t="s">
        <v>259</v>
      </c>
      <c r="AJ294" t="s">
        <v>259</v>
      </c>
      <c r="AK294" s="43" t="s">
        <v>259</v>
      </c>
      <c r="AL294" s="43" t="s">
        <v>259</v>
      </c>
      <c r="AO294" s="23"/>
      <c r="AP294" s="23"/>
      <c r="AQ294" s="23"/>
      <c r="BD294" s="43" t="s">
        <v>259</v>
      </c>
      <c r="BE294" s="43" t="s">
        <v>259</v>
      </c>
      <c r="BF294" s="43" t="s">
        <v>259</v>
      </c>
      <c r="BG294" s="43" t="s">
        <v>259</v>
      </c>
      <c r="BH294" t="s">
        <v>259</v>
      </c>
      <c r="BI294" s="43" t="s">
        <v>259</v>
      </c>
      <c r="BJ294">
        <v>0</v>
      </c>
      <c r="BK294">
        <v>44109</v>
      </c>
      <c r="BL294">
        <v>44356</v>
      </c>
      <c r="BM294">
        <v>8505</v>
      </c>
      <c r="BN294">
        <v>8505</v>
      </c>
      <c r="BO294">
        <v>8505</v>
      </c>
      <c r="BP294">
        <v>25515</v>
      </c>
      <c r="BQ294">
        <v>3300</v>
      </c>
      <c r="BR294">
        <v>400</v>
      </c>
      <c r="BS294">
        <v>400</v>
      </c>
      <c r="BT294">
        <v>4100</v>
      </c>
      <c r="BU294">
        <v>2100</v>
      </c>
      <c r="BV294">
        <v>2100</v>
      </c>
      <c r="BW294">
        <v>2100</v>
      </c>
      <c r="BX294">
        <v>6300</v>
      </c>
      <c r="BY294">
        <v>1200</v>
      </c>
      <c r="BZ294">
        <v>1200</v>
      </c>
      <c r="CA294">
        <v>1200</v>
      </c>
      <c r="CB294">
        <v>3600</v>
      </c>
      <c r="CC294">
        <v>0</v>
      </c>
      <c r="CD294">
        <v>0</v>
      </c>
      <c r="CE294">
        <v>0</v>
      </c>
      <c r="CF294">
        <v>0</v>
      </c>
      <c r="CG294">
        <v>39515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1300</v>
      </c>
      <c r="CU294">
        <v>1300</v>
      </c>
      <c r="CV294">
        <v>1300</v>
      </c>
      <c r="CW294">
        <v>3900</v>
      </c>
      <c r="CX294">
        <v>0</v>
      </c>
      <c r="CY294">
        <v>0</v>
      </c>
      <c r="CZ294">
        <v>0</v>
      </c>
      <c r="DA294">
        <v>0</v>
      </c>
      <c r="DB294">
        <v>1000</v>
      </c>
      <c r="DC294">
        <v>1000</v>
      </c>
      <c r="DD294">
        <v>1000</v>
      </c>
      <c r="DE294">
        <v>3000</v>
      </c>
      <c r="DF294">
        <v>0</v>
      </c>
      <c r="DG294">
        <v>0</v>
      </c>
      <c r="DH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6900</v>
      </c>
      <c r="EH294">
        <v>0</v>
      </c>
      <c r="EI294">
        <v>1154</v>
      </c>
      <c r="EJ294">
        <v>1154</v>
      </c>
      <c r="EK294">
        <v>1155</v>
      </c>
      <c r="EL294">
        <v>3500</v>
      </c>
      <c r="EM294">
        <v>37.065000000000005</v>
      </c>
      <c r="EN294">
        <v>660</v>
      </c>
      <c r="EO294">
        <v>660</v>
      </c>
      <c r="EP294">
        <v>659</v>
      </c>
      <c r="EQ294">
        <v>2000</v>
      </c>
      <c r="ER294">
        <v>21.18</v>
      </c>
      <c r="ES294">
        <v>0</v>
      </c>
      <c r="ET294">
        <v>0</v>
      </c>
      <c r="EU294">
        <v>0</v>
      </c>
      <c r="EV294">
        <v>0</v>
      </c>
      <c r="EW294">
        <v>0</v>
      </c>
      <c r="FA294">
        <v>0</v>
      </c>
      <c r="FE294">
        <v>0</v>
      </c>
      <c r="FI294">
        <v>0</v>
      </c>
      <c r="FJ294">
        <v>5441.7550000000001</v>
      </c>
      <c r="FK294">
        <v>32615</v>
      </c>
      <c r="FL294">
        <v>28378.775378059985</v>
      </c>
      <c r="FM294">
        <v>27173.244999999999</v>
      </c>
      <c r="FO294" t="s">
        <v>514</v>
      </c>
      <c r="FP294" t="s">
        <v>515</v>
      </c>
      <c r="FQ294" t="s">
        <v>283</v>
      </c>
      <c r="FR294" t="s">
        <v>516</v>
      </c>
    </row>
    <row r="295" spans="1:174" x14ac:dyDescent="0.35">
      <c r="A295">
        <v>193767</v>
      </c>
      <c r="B295" t="s">
        <v>517</v>
      </c>
      <c r="C295" t="s">
        <v>518</v>
      </c>
      <c r="D295" t="s">
        <v>519</v>
      </c>
      <c r="E295" s="43" t="s">
        <v>520</v>
      </c>
      <c r="F295">
        <v>1</v>
      </c>
      <c r="I295">
        <v>43781</v>
      </c>
      <c r="L295" s="43" t="s">
        <v>3204</v>
      </c>
      <c r="M295" t="s">
        <v>521</v>
      </c>
      <c r="N295" s="43"/>
      <c r="O295" s="43"/>
      <c r="P295" s="43"/>
      <c r="Q295" s="43"/>
      <c r="R295">
        <v>3.65</v>
      </c>
      <c r="S295">
        <v>44109</v>
      </c>
      <c r="T295" t="s">
        <v>311</v>
      </c>
      <c r="U295" t="s">
        <v>266</v>
      </c>
      <c r="V295" t="s">
        <v>267</v>
      </c>
      <c r="W295" t="s">
        <v>268</v>
      </c>
      <c r="X295" t="s">
        <v>269</v>
      </c>
      <c r="Y295">
        <v>8883022894</v>
      </c>
      <c r="Z295" t="s">
        <v>270</v>
      </c>
      <c r="AA295" t="s">
        <v>271</v>
      </c>
      <c r="AB295" t="s">
        <v>526</v>
      </c>
      <c r="AC295">
        <v>0</v>
      </c>
      <c r="AD295" t="s">
        <v>527</v>
      </c>
      <c r="AE295" t="s">
        <v>301</v>
      </c>
      <c r="AF295">
        <v>1</v>
      </c>
      <c r="AG295" t="s">
        <v>275</v>
      </c>
      <c r="AH295" t="s">
        <v>3224</v>
      </c>
      <c r="AI295" t="s">
        <v>3225</v>
      </c>
      <c r="AJ295" t="s">
        <v>3207</v>
      </c>
      <c r="AK295" s="43" t="s">
        <v>3208</v>
      </c>
      <c r="AL295" s="43" t="s">
        <v>3209</v>
      </c>
      <c r="AO295" s="23"/>
      <c r="AP295" s="23"/>
      <c r="AQ295" s="23"/>
      <c r="BD295" s="43" t="s">
        <v>2018</v>
      </c>
      <c r="BE295" s="43" t="s">
        <v>2018</v>
      </c>
      <c r="BF295" s="43" t="s">
        <v>2018</v>
      </c>
      <c r="BG295" s="43" t="s">
        <v>2018</v>
      </c>
      <c r="BH295" t="s">
        <v>2018</v>
      </c>
      <c r="BI295" s="43" t="s">
        <v>2018</v>
      </c>
      <c r="BJ295">
        <v>0</v>
      </c>
      <c r="BK295">
        <v>44109</v>
      </c>
      <c r="BL295">
        <v>44356</v>
      </c>
      <c r="BM295">
        <v>8505</v>
      </c>
      <c r="BN295">
        <v>8505</v>
      </c>
      <c r="BO295">
        <v>8505</v>
      </c>
      <c r="BP295">
        <v>25515</v>
      </c>
      <c r="BQ295">
        <v>3300</v>
      </c>
      <c r="BR295">
        <v>400</v>
      </c>
      <c r="BS295">
        <v>400</v>
      </c>
      <c r="BT295">
        <v>4100</v>
      </c>
      <c r="BU295">
        <v>2100</v>
      </c>
      <c r="BV295">
        <v>2100</v>
      </c>
      <c r="BW295">
        <v>2100</v>
      </c>
      <c r="BX295">
        <v>6300</v>
      </c>
      <c r="BY295">
        <v>1200</v>
      </c>
      <c r="BZ295">
        <v>1200</v>
      </c>
      <c r="CA295">
        <v>1200</v>
      </c>
      <c r="CB295">
        <v>3600</v>
      </c>
      <c r="CC295">
        <v>0</v>
      </c>
      <c r="CD295">
        <v>0</v>
      </c>
      <c r="CE295">
        <v>0</v>
      </c>
      <c r="CF295">
        <v>0</v>
      </c>
      <c r="CG295">
        <v>39515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1700</v>
      </c>
      <c r="CU295">
        <v>1700</v>
      </c>
      <c r="CV295">
        <v>1700</v>
      </c>
      <c r="CW295">
        <v>5100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5100</v>
      </c>
      <c r="EH295">
        <v>0</v>
      </c>
      <c r="EI295">
        <v>1154</v>
      </c>
      <c r="EJ295">
        <v>1154</v>
      </c>
      <c r="EK295">
        <v>1155</v>
      </c>
      <c r="EL295">
        <v>3500</v>
      </c>
      <c r="EM295">
        <v>37.065000000000005</v>
      </c>
      <c r="EN295">
        <v>660</v>
      </c>
      <c r="EO295">
        <v>660</v>
      </c>
      <c r="EP295">
        <v>659</v>
      </c>
      <c r="EQ295">
        <v>2000</v>
      </c>
      <c r="ER295">
        <v>21.18</v>
      </c>
      <c r="ES295">
        <v>0</v>
      </c>
      <c r="ET295">
        <v>0</v>
      </c>
      <c r="EU295">
        <v>0</v>
      </c>
      <c r="EV295">
        <v>0</v>
      </c>
      <c r="EW295">
        <v>0</v>
      </c>
      <c r="FA295">
        <v>0</v>
      </c>
      <c r="FE295">
        <v>0</v>
      </c>
      <c r="FI295">
        <v>0</v>
      </c>
      <c r="FJ295">
        <v>5441.7550000000001</v>
      </c>
      <c r="FK295">
        <v>34415</v>
      </c>
      <c r="FL295">
        <v>30258.631673489846</v>
      </c>
      <c r="FM295">
        <v>28973.244999999999</v>
      </c>
      <c r="FO295" t="s">
        <v>522</v>
      </c>
      <c r="FP295" t="s">
        <v>523</v>
      </c>
      <c r="FQ295" t="s">
        <v>524</v>
      </c>
      <c r="FR295" t="s">
        <v>525</v>
      </c>
    </row>
    <row r="296" spans="1:174" x14ac:dyDescent="0.35">
      <c r="A296">
        <v>197837</v>
      </c>
      <c r="B296" t="s">
        <v>528</v>
      </c>
      <c r="C296" t="s">
        <v>529</v>
      </c>
      <c r="D296" t="s">
        <v>530</v>
      </c>
      <c r="E296" s="43" t="s">
        <v>531</v>
      </c>
      <c r="L296" s="43" t="s">
        <v>3204</v>
      </c>
      <c r="M296" t="s">
        <v>532</v>
      </c>
      <c r="N296" s="43"/>
      <c r="O296" s="43"/>
      <c r="P296" s="43"/>
      <c r="Q296" s="43"/>
      <c r="R296">
        <v>3.1363599999999998</v>
      </c>
      <c r="S296">
        <v>44109</v>
      </c>
      <c r="T296" t="s">
        <v>265</v>
      </c>
      <c r="U296" t="s">
        <v>266</v>
      </c>
      <c r="V296" t="s">
        <v>267</v>
      </c>
      <c r="W296" t="s">
        <v>268</v>
      </c>
      <c r="X296" t="s">
        <v>269</v>
      </c>
      <c r="Y296">
        <v>8883022894</v>
      </c>
      <c r="Z296" t="s">
        <v>270</v>
      </c>
      <c r="AA296" t="s">
        <v>271</v>
      </c>
      <c r="AB296">
        <v>0</v>
      </c>
      <c r="AC296">
        <v>0</v>
      </c>
      <c r="AD296" t="s">
        <v>313</v>
      </c>
      <c r="AE296" t="s">
        <v>274</v>
      </c>
      <c r="AF296">
        <v>9</v>
      </c>
      <c r="AG296" t="s">
        <v>275</v>
      </c>
      <c r="AH296" t="s">
        <v>4235</v>
      </c>
      <c r="AI296" t="s">
        <v>4236</v>
      </c>
      <c r="AJ296" t="s">
        <v>4237</v>
      </c>
      <c r="AK296" s="43" t="s">
        <v>3208</v>
      </c>
      <c r="AL296" s="43" t="s">
        <v>3209</v>
      </c>
      <c r="AO296" s="23"/>
      <c r="AP296" s="23"/>
      <c r="AQ296" s="23"/>
      <c r="BD296" s="43" t="s">
        <v>2018</v>
      </c>
      <c r="BE296" s="43" t="s">
        <v>2018</v>
      </c>
      <c r="BF296" s="43" t="s">
        <v>2018</v>
      </c>
      <c r="BG296" s="43" t="s">
        <v>2018</v>
      </c>
      <c r="BH296" t="s">
        <v>2018</v>
      </c>
      <c r="BI296" s="43" t="s">
        <v>2018</v>
      </c>
      <c r="BJ296">
        <v>0</v>
      </c>
      <c r="BK296">
        <v>44109</v>
      </c>
      <c r="BL296">
        <v>44356</v>
      </c>
      <c r="BM296">
        <v>8505</v>
      </c>
      <c r="BN296">
        <v>8505</v>
      </c>
      <c r="BO296">
        <v>8505</v>
      </c>
      <c r="BP296">
        <v>25515</v>
      </c>
      <c r="BQ296">
        <v>3300</v>
      </c>
      <c r="BR296">
        <v>400</v>
      </c>
      <c r="BS296">
        <v>400</v>
      </c>
      <c r="BT296">
        <v>4100</v>
      </c>
      <c r="BU296">
        <v>2100</v>
      </c>
      <c r="BV296">
        <v>2100</v>
      </c>
      <c r="BW296">
        <v>2100</v>
      </c>
      <c r="BX296">
        <v>6300</v>
      </c>
      <c r="BY296">
        <v>1200</v>
      </c>
      <c r="BZ296">
        <v>1200</v>
      </c>
      <c r="CA296">
        <v>1200</v>
      </c>
      <c r="CB296">
        <v>3600</v>
      </c>
      <c r="CC296">
        <v>0</v>
      </c>
      <c r="CD296">
        <v>0</v>
      </c>
      <c r="CE296">
        <v>0</v>
      </c>
      <c r="CF296">
        <v>0</v>
      </c>
      <c r="CG296">
        <v>39515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H296">
        <v>0</v>
      </c>
      <c r="EI296">
        <v>1154</v>
      </c>
      <c r="EJ296">
        <v>1154</v>
      </c>
      <c r="EK296">
        <v>1155</v>
      </c>
      <c r="EL296">
        <v>3500</v>
      </c>
      <c r="EM296">
        <v>37.065000000000005</v>
      </c>
      <c r="EN296">
        <v>660</v>
      </c>
      <c r="EO296">
        <v>660</v>
      </c>
      <c r="EP296">
        <v>659</v>
      </c>
      <c r="EQ296">
        <v>2000</v>
      </c>
      <c r="ER296">
        <v>21.18</v>
      </c>
      <c r="ES296">
        <v>0</v>
      </c>
      <c r="ET296">
        <v>0</v>
      </c>
      <c r="EU296">
        <v>0</v>
      </c>
      <c r="EV296">
        <v>0</v>
      </c>
      <c r="EW296">
        <v>0</v>
      </c>
      <c r="FA296">
        <v>0</v>
      </c>
      <c r="FE296">
        <v>0</v>
      </c>
      <c r="FI296">
        <v>0</v>
      </c>
      <c r="FJ296">
        <v>5441.7550000000001</v>
      </c>
      <c r="FK296">
        <v>39515</v>
      </c>
      <c r="FL296">
        <v>35584.891177207784</v>
      </c>
      <c r="FM296">
        <v>34073.245000000003</v>
      </c>
      <c r="FO296" t="s">
        <v>533</v>
      </c>
      <c r="FP296" t="s">
        <v>534</v>
      </c>
      <c r="FQ296" t="s">
        <v>442</v>
      </c>
      <c r="FR296" t="s">
        <v>535</v>
      </c>
    </row>
    <row r="297" spans="1:174" x14ac:dyDescent="0.35">
      <c r="A297">
        <v>198550</v>
      </c>
      <c r="B297" t="s">
        <v>536</v>
      </c>
      <c r="C297" t="s">
        <v>537</v>
      </c>
      <c r="D297" t="s">
        <v>538</v>
      </c>
      <c r="E297" s="43" t="s">
        <v>3280</v>
      </c>
      <c r="L297" s="43" t="s">
        <v>259</v>
      </c>
      <c r="M297" t="s">
        <v>539</v>
      </c>
      <c r="N297" s="43"/>
      <c r="O297" s="43"/>
      <c r="P297" s="43"/>
      <c r="Q297" s="43"/>
      <c r="R297">
        <v>0</v>
      </c>
      <c r="S297">
        <v>44109</v>
      </c>
      <c r="T297" t="s">
        <v>544</v>
      </c>
      <c r="U297" t="s">
        <v>266</v>
      </c>
      <c r="V297" t="s">
        <v>267</v>
      </c>
      <c r="W297" t="s">
        <v>268</v>
      </c>
      <c r="X297" t="s">
        <v>269</v>
      </c>
      <c r="Y297">
        <v>8883022894</v>
      </c>
      <c r="Z297" t="s">
        <v>270</v>
      </c>
      <c r="AA297" t="s">
        <v>271</v>
      </c>
      <c r="AB297" t="s">
        <v>545</v>
      </c>
      <c r="AC297">
        <v>0</v>
      </c>
      <c r="AD297" t="s">
        <v>313</v>
      </c>
      <c r="AE297" t="s">
        <v>274</v>
      </c>
      <c r="AF297">
        <v>9</v>
      </c>
      <c r="AG297" t="s">
        <v>446</v>
      </c>
      <c r="AH297" t="s">
        <v>259</v>
      </c>
      <c r="AI297" t="s">
        <v>259</v>
      </c>
      <c r="AJ297" t="s">
        <v>259</v>
      </c>
      <c r="AK297" s="43" t="s">
        <v>259</v>
      </c>
      <c r="AL297" s="43" t="s">
        <v>259</v>
      </c>
      <c r="AO297" s="23"/>
      <c r="AP297" s="23"/>
      <c r="AQ297" s="23"/>
      <c r="BD297" s="43" t="s">
        <v>259</v>
      </c>
      <c r="BE297" s="43" t="s">
        <v>259</v>
      </c>
      <c r="BF297" s="43" t="s">
        <v>259</v>
      </c>
      <c r="BG297" s="43" t="s">
        <v>259</v>
      </c>
      <c r="BH297" t="s">
        <v>259</v>
      </c>
      <c r="BI297" s="43" t="s">
        <v>259</v>
      </c>
      <c r="BJ297">
        <v>0</v>
      </c>
      <c r="BK297">
        <v>44109</v>
      </c>
      <c r="BL297">
        <v>44356</v>
      </c>
      <c r="BM297">
        <v>8505</v>
      </c>
      <c r="BN297">
        <v>8505</v>
      </c>
      <c r="BO297">
        <v>8505</v>
      </c>
      <c r="BP297">
        <v>25515</v>
      </c>
      <c r="BQ297">
        <v>3300</v>
      </c>
      <c r="BR297">
        <v>400</v>
      </c>
      <c r="BS297">
        <v>400</v>
      </c>
      <c r="BT297">
        <v>4100</v>
      </c>
      <c r="BU297">
        <v>2100</v>
      </c>
      <c r="BV297">
        <v>2100</v>
      </c>
      <c r="BW297">
        <v>2100</v>
      </c>
      <c r="BX297">
        <v>6300</v>
      </c>
      <c r="BY297">
        <v>1200</v>
      </c>
      <c r="BZ297">
        <v>1200</v>
      </c>
      <c r="CA297">
        <v>1200</v>
      </c>
      <c r="CB297">
        <v>3600</v>
      </c>
      <c r="CF297">
        <v>0</v>
      </c>
      <c r="CG297">
        <v>39515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3000</v>
      </c>
      <c r="CY297">
        <v>3000</v>
      </c>
      <c r="CZ297">
        <v>3000</v>
      </c>
      <c r="DA297">
        <v>9000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N297">
        <v>0</v>
      </c>
      <c r="DO297">
        <v>0</v>
      </c>
      <c r="DP297">
        <v>0</v>
      </c>
      <c r="DR297">
        <v>0</v>
      </c>
      <c r="DS297">
        <v>0</v>
      </c>
      <c r="DT297">
        <v>0</v>
      </c>
      <c r="DY297">
        <v>0</v>
      </c>
      <c r="EC297">
        <v>0</v>
      </c>
      <c r="ED297">
        <v>9000</v>
      </c>
      <c r="EH297">
        <v>0</v>
      </c>
      <c r="EI297">
        <v>0</v>
      </c>
      <c r="EJ297">
        <v>0</v>
      </c>
      <c r="EK297">
        <v>0</v>
      </c>
      <c r="EM297">
        <v>0</v>
      </c>
      <c r="EN297">
        <v>660</v>
      </c>
      <c r="EO297">
        <v>660</v>
      </c>
      <c r="EP297">
        <v>659</v>
      </c>
      <c r="EQ297">
        <v>2000</v>
      </c>
      <c r="ER297">
        <v>21.24</v>
      </c>
      <c r="ES297">
        <v>0</v>
      </c>
      <c r="ET297">
        <v>0</v>
      </c>
      <c r="EU297">
        <v>0</v>
      </c>
      <c r="EW297">
        <v>0</v>
      </c>
      <c r="FA297">
        <v>0</v>
      </c>
      <c r="FE297">
        <v>0</v>
      </c>
      <c r="FI297">
        <v>0</v>
      </c>
      <c r="FJ297">
        <v>1978.76</v>
      </c>
      <c r="FK297">
        <v>30515</v>
      </c>
      <c r="FL297">
        <v>29802.239117720779</v>
      </c>
      <c r="FM297">
        <v>28536.240000000002</v>
      </c>
      <c r="FO297" t="s">
        <v>540</v>
      </c>
      <c r="FP297" t="s">
        <v>541</v>
      </c>
      <c r="FQ297" t="s">
        <v>542</v>
      </c>
      <c r="FR297" t="s">
        <v>543</v>
      </c>
    </row>
    <row r="298" spans="1:174" x14ac:dyDescent="0.35">
      <c r="A298">
        <v>196589</v>
      </c>
      <c r="B298" t="s">
        <v>546</v>
      </c>
      <c r="C298" t="s">
        <v>3053</v>
      </c>
      <c r="D298" t="s">
        <v>3877</v>
      </c>
      <c r="E298" s="43" t="s">
        <v>4200</v>
      </c>
      <c r="J298" t="s">
        <v>3830</v>
      </c>
      <c r="L298" s="43" t="s">
        <v>259</v>
      </c>
      <c r="M298" t="s">
        <v>3878</v>
      </c>
      <c r="N298" s="43"/>
      <c r="O298" s="43"/>
      <c r="P298" s="43"/>
      <c r="Q298" s="43"/>
      <c r="R298">
        <v>3.5552000000000001</v>
      </c>
      <c r="S298">
        <v>44109</v>
      </c>
      <c r="T298" t="s">
        <v>265</v>
      </c>
      <c r="U298" t="s">
        <v>286</v>
      </c>
      <c r="V298" t="s">
        <v>267</v>
      </c>
      <c r="W298" t="s">
        <v>268</v>
      </c>
      <c r="X298" t="s">
        <v>269</v>
      </c>
      <c r="Y298">
        <v>8883022894</v>
      </c>
      <c r="Z298" t="s">
        <v>270</v>
      </c>
      <c r="AA298" t="s">
        <v>271</v>
      </c>
      <c r="AB298" t="s">
        <v>287</v>
      </c>
      <c r="AC298">
        <v>0</v>
      </c>
      <c r="AD298" t="s">
        <v>288</v>
      </c>
      <c r="AE298" t="s">
        <v>445</v>
      </c>
      <c r="AF298">
        <v>4</v>
      </c>
      <c r="AG298" t="s">
        <v>3345</v>
      </c>
      <c r="AH298" t="s">
        <v>259</v>
      </c>
      <c r="AI298" t="s">
        <v>259</v>
      </c>
      <c r="AJ298" t="s">
        <v>259</v>
      </c>
      <c r="AK298" s="43" t="s">
        <v>259</v>
      </c>
      <c r="AL298" s="43" t="s">
        <v>259</v>
      </c>
      <c r="AO298" s="23"/>
      <c r="AP298" s="23"/>
      <c r="AQ298" s="23"/>
      <c r="BD298" s="43" t="s">
        <v>259</v>
      </c>
      <c r="BE298" s="43" t="s">
        <v>259</v>
      </c>
      <c r="BF298" s="43" t="s">
        <v>259</v>
      </c>
      <c r="BG298" s="43" t="s">
        <v>259</v>
      </c>
      <c r="BH298" t="s">
        <v>259</v>
      </c>
      <c r="BI298" s="43" t="s">
        <v>259</v>
      </c>
      <c r="BJ298">
        <v>0</v>
      </c>
      <c r="BK298">
        <v>44109</v>
      </c>
      <c r="BL298">
        <v>44356</v>
      </c>
      <c r="BM298">
        <v>8505</v>
      </c>
      <c r="BN298">
        <v>8505</v>
      </c>
      <c r="BO298">
        <v>8505</v>
      </c>
      <c r="BP298">
        <v>25515</v>
      </c>
      <c r="BQ298">
        <v>3300</v>
      </c>
      <c r="BR298">
        <v>400</v>
      </c>
      <c r="BS298">
        <v>400</v>
      </c>
      <c r="BT298">
        <v>4100</v>
      </c>
      <c r="BU298">
        <v>2100</v>
      </c>
      <c r="BV298">
        <v>2100</v>
      </c>
      <c r="BW298">
        <v>2100</v>
      </c>
      <c r="BX298">
        <v>6300</v>
      </c>
      <c r="BY298">
        <v>1200</v>
      </c>
      <c r="BZ298">
        <v>1200</v>
      </c>
      <c r="CA298">
        <v>1200</v>
      </c>
      <c r="CB298">
        <v>3600</v>
      </c>
      <c r="CF298">
        <v>0</v>
      </c>
      <c r="CG298">
        <v>39515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1250</v>
      </c>
      <c r="CU298">
        <v>1250</v>
      </c>
      <c r="CV298">
        <v>1250</v>
      </c>
      <c r="CW298">
        <v>3750</v>
      </c>
      <c r="CX298">
        <v>0</v>
      </c>
      <c r="CY298">
        <v>0</v>
      </c>
      <c r="CZ298">
        <v>0</v>
      </c>
      <c r="DA298">
        <v>0</v>
      </c>
      <c r="DB298">
        <v>1000</v>
      </c>
      <c r="DC298">
        <v>1000</v>
      </c>
      <c r="DD298">
        <v>1000</v>
      </c>
      <c r="DE298">
        <v>3000</v>
      </c>
      <c r="DF298">
        <v>0</v>
      </c>
      <c r="DG298">
        <v>0</v>
      </c>
      <c r="DH298">
        <v>0</v>
      </c>
      <c r="DN298">
        <v>0</v>
      </c>
      <c r="DO298">
        <v>0</v>
      </c>
      <c r="DP298">
        <v>0</v>
      </c>
      <c r="DR298">
        <v>0</v>
      </c>
      <c r="DS298">
        <v>0</v>
      </c>
      <c r="DT298">
        <v>0</v>
      </c>
      <c r="DY298">
        <v>0</v>
      </c>
      <c r="EC298">
        <v>0</v>
      </c>
      <c r="ED298">
        <v>6750</v>
      </c>
      <c r="EH298">
        <v>0</v>
      </c>
      <c r="EI298">
        <v>0</v>
      </c>
      <c r="EJ298">
        <v>0</v>
      </c>
      <c r="EK298">
        <v>0</v>
      </c>
      <c r="EM298">
        <v>0</v>
      </c>
      <c r="EN298">
        <v>660</v>
      </c>
      <c r="EO298">
        <v>660</v>
      </c>
      <c r="EP298">
        <v>659</v>
      </c>
      <c r="EQ298">
        <v>2000</v>
      </c>
      <c r="ER298">
        <v>21.24</v>
      </c>
      <c r="ES298">
        <v>0</v>
      </c>
      <c r="ET298">
        <v>0</v>
      </c>
      <c r="EU298">
        <v>0</v>
      </c>
      <c r="EW298">
        <v>0</v>
      </c>
      <c r="FA298">
        <v>0</v>
      </c>
      <c r="FE298">
        <v>0</v>
      </c>
      <c r="FI298">
        <v>0</v>
      </c>
      <c r="FJ298">
        <v>1978.76</v>
      </c>
      <c r="FK298">
        <v>32765</v>
      </c>
      <c r="FL298">
        <v>32152.059487008104</v>
      </c>
      <c r="FM298">
        <v>30786.240000000002</v>
      </c>
      <c r="FO298" t="s">
        <v>3879</v>
      </c>
      <c r="FP298" t="s">
        <v>3880</v>
      </c>
      <c r="FQ298" t="s">
        <v>1046</v>
      </c>
      <c r="FR298" t="s">
        <v>3881</v>
      </c>
    </row>
    <row r="299" spans="1:174" x14ac:dyDescent="0.35">
      <c r="A299">
        <v>195417</v>
      </c>
      <c r="B299" t="s">
        <v>546</v>
      </c>
      <c r="C299" t="s">
        <v>547</v>
      </c>
      <c r="D299" t="s">
        <v>548</v>
      </c>
      <c r="E299" s="43" t="s">
        <v>549</v>
      </c>
      <c r="F299">
        <v>1</v>
      </c>
      <c r="G299">
        <v>43776</v>
      </c>
      <c r="H299">
        <v>43782</v>
      </c>
      <c r="I299">
        <v>43782</v>
      </c>
      <c r="K299" t="s">
        <v>1715</v>
      </c>
      <c r="L299" s="43" t="s">
        <v>3204</v>
      </c>
      <c r="M299" t="s">
        <v>550</v>
      </c>
      <c r="N299" s="43"/>
      <c r="O299" s="43"/>
      <c r="P299" s="43"/>
      <c r="Q299" s="43"/>
      <c r="R299">
        <v>3.1667000000000001</v>
      </c>
      <c r="S299">
        <v>44109</v>
      </c>
      <c r="T299" t="s">
        <v>265</v>
      </c>
      <c r="U299" t="s">
        <v>266</v>
      </c>
      <c r="V299" t="s">
        <v>267</v>
      </c>
      <c r="W299" t="s">
        <v>268</v>
      </c>
      <c r="X299" t="s">
        <v>269</v>
      </c>
      <c r="Y299">
        <v>8883022894</v>
      </c>
      <c r="Z299" t="s">
        <v>270</v>
      </c>
      <c r="AA299" t="s">
        <v>271</v>
      </c>
      <c r="AB299">
        <v>0</v>
      </c>
      <c r="AC299">
        <v>0</v>
      </c>
      <c r="AD299" t="s">
        <v>313</v>
      </c>
      <c r="AE299" t="s">
        <v>324</v>
      </c>
      <c r="AF299">
        <v>8</v>
      </c>
      <c r="AG299" t="s">
        <v>275</v>
      </c>
      <c r="AH299" t="s">
        <v>3226</v>
      </c>
      <c r="AI299" t="s">
        <v>313</v>
      </c>
      <c r="AJ299" t="s">
        <v>3309</v>
      </c>
      <c r="AK299" s="43" t="s">
        <v>3208</v>
      </c>
      <c r="AL299" s="43" t="s">
        <v>3209</v>
      </c>
      <c r="AM299">
        <v>43782</v>
      </c>
      <c r="AN299">
        <v>43782</v>
      </c>
      <c r="AO299" s="23">
        <v>43782</v>
      </c>
      <c r="AP299" s="23"/>
      <c r="AQ299" s="23"/>
      <c r="BD299" s="43" t="s">
        <v>2018</v>
      </c>
      <c r="BE299" s="43" t="s">
        <v>2018</v>
      </c>
      <c r="BF299" s="43" t="s">
        <v>2018</v>
      </c>
      <c r="BG299" s="43" t="s">
        <v>2018</v>
      </c>
      <c r="BH299" t="s">
        <v>2018</v>
      </c>
      <c r="BI299" s="43" t="s">
        <v>2018</v>
      </c>
      <c r="BJ299">
        <v>0.17647058823529416</v>
      </c>
      <c r="BK299">
        <v>44109</v>
      </c>
      <c r="BL299">
        <v>44356</v>
      </c>
      <c r="BM299">
        <v>8505</v>
      </c>
      <c r="BN299">
        <v>8505</v>
      </c>
      <c r="BO299">
        <v>8505</v>
      </c>
      <c r="BP299">
        <v>25515</v>
      </c>
      <c r="BQ299">
        <v>3300</v>
      </c>
      <c r="BR299">
        <v>400</v>
      </c>
      <c r="BS299">
        <v>400</v>
      </c>
      <c r="BT299">
        <v>4100</v>
      </c>
      <c r="BU299">
        <v>2100</v>
      </c>
      <c r="BV299">
        <v>2100</v>
      </c>
      <c r="BW299">
        <v>2100</v>
      </c>
      <c r="BX299">
        <v>6300</v>
      </c>
      <c r="BY299">
        <v>1200</v>
      </c>
      <c r="BZ299">
        <v>1200</v>
      </c>
      <c r="CA299">
        <v>1200</v>
      </c>
      <c r="CB299">
        <v>3600</v>
      </c>
      <c r="CC299">
        <v>0</v>
      </c>
      <c r="CD299">
        <v>0</v>
      </c>
      <c r="CE299">
        <v>0</v>
      </c>
      <c r="CF299">
        <v>0</v>
      </c>
      <c r="CG299">
        <v>39515</v>
      </c>
      <c r="CK299">
        <v>0</v>
      </c>
      <c r="CL299">
        <v>2065</v>
      </c>
      <c r="CM299">
        <v>2065</v>
      </c>
      <c r="CN299">
        <v>2065</v>
      </c>
      <c r="CO299">
        <v>6195</v>
      </c>
      <c r="CP299">
        <v>500</v>
      </c>
      <c r="CQ299">
        <v>500</v>
      </c>
      <c r="CR299">
        <v>500</v>
      </c>
      <c r="CS299">
        <v>1500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7695</v>
      </c>
      <c r="EH299">
        <v>0</v>
      </c>
      <c r="EI299">
        <v>1154</v>
      </c>
      <c r="EJ299">
        <v>1154</v>
      </c>
      <c r="EK299">
        <v>1155</v>
      </c>
      <c r="EL299">
        <v>3500</v>
      </c>
      <c r="EM299">
        <v>37.065000000000005</v>
      </c>
      <c r="EN299">
        <v>660</v>
      </c>
      <c r="EO299">
        <v>660</v>
      </c>
      <c r="EP299">
        <v>659</v>
      </c>
      <c r="EQ299">
        <v>2000</v>
      </c>
      <c r="ER299">
        <v>21.18</v>
      </c>
      <c r="ES299">
        <v>8810</v>
      </c>
      <c r="ET299">
        <v>8810</v>
      </c>
      <c r="EU299">
        <v>8810</v>
      </c>
      <c r="EV299">
        <v>27549</v>
      </c>
      <c r="EW299">
        <v>1170</v>
      </c>
      <c r="FA299">
        <v>0</v>
      </c>
      <c r="FE299">
        <v>0</v>
      </c>
      <c r="FI299">
        <v>0</v>
      </c>
      <c r="FJ299">
        <v>31820.473480000001</v>
      </c>
      <c r="FK299">
        <v>31820</v>
      </c>
      <c r="FL299">
        <v>-0.49448575486732754</v>
      </c>
      <c r="FM299">
        <v>-0.47348000000056345</v>
      </c>
      <c r="FO299" t="s">
        <v>551</v>
      </c>
      <c r="FP299" t="s">
        <v>552</v>
      </c>
      <c r="FQ299" t="s">
        <v>553</v>
      </c>
      <c r="FR299" t="s">
        <v>554</v>
      </c>
    </row>
    <row r="300" spans="1:174" x14ac:dyDescent="0.35">
      <c r="A300">
        <v>193609</v>
      </c>
      <c r="B300" t="s">
        <v>555</v>
      </c>
      <c r="C300" t="s">
        <v>556</v>
      </c>
      <c r="D300" t="s">
        <v>557</v>
      </c>
      <c r="E300" s="43" t="s">
        <v>558</v>
      </c>
      <c r="L300" s="43" t="s">
        <v>259</v>
      </c>
      <c r="M300" t="s">
        <v>559</v>
      </c>
      <c r="N300" s="43"/>
      <c r="O300" s="43"/>
      <c r="P300" s="43"/>
      <c r="Q300" s="43"/>
      <c r="R300">
        <v>3.0889000000000002</v>
      </c>
      <c r="S300">
        <v>44109</v>
      </c>
      <c r="T300" t="s">
        <v>265</v>
      </c>
      <c r="U300" t="s">
        <v>266</v>
      </c>
      <c r="V300" t="s">
        <v>267</v>
      </c>
      <c r="W300" t="s">
        <v>268</v>
      </c>
      <c r="X300" t="s">
        <v>269</v>
      </c>
      <c r="Y300">
        <v>8883022894</v>
      </c>
      <c r="Z300" t="s">
        <v>270</v>
      </c>
      <c r="AA300" t="s">
        <v>271</v>
      </c>
      <c r="AB300" t="s">
        <v>562</v>
      </c>
      <c r="AC300" t="s">
        <v>563</v>
      </c>
      <c r="AD300" t="s">
        <v>415</v>
      </c>
      <c r="AE300" t="s">
        <v>289</v>
      </c>
      <c r="AF300">
        <v>2</v>
      </c>
      <c r="AG300" t="s">
        <v>275</v>
      </c>
      <c r="AH300" t="s">
        <v>259</v>
      </c>
      <c r="AI300" t="s">
        <v>259</v>
      </c>
      <c r="AJ300" t="s">
        <v>259</v>
      </c>
      <c r="AK300" s="43" t="s">
        <v>259</v>
      </c>
      <c r="AL300" s="43" t="s">
        <v>259</v>
      </c>
      <c r="AO300" s="23"/>
      <c r="AP300" s="23"/>
      <c r="AQ300" s="23"/>
      <c r="BD300" s="43" t="s">
        <v>259</v>
      </c>
      <c r="BE300" s="43" t="s">
        <v>259</v>
      </c>
      <c r="BF300" s="43" t="s">
        <v>259</v>
      </c>
      <c r="BG300" s="43" t="s">
        <v>259</v>
      </c>
      <c r="BH300" t="s">
        <v>259</v>
      </c>
      <c r="BI300" s="43" t="s">
        <v>259</v>
      </c>
      <c r="BJ300">
        <v>0</v>
      </c>
      <c r="BK300">
        <v>44109</v>
      </c>
      <c r="BL300">
        <v>44356</v>
      </c>
      <c r="BM300">
        <v>8505</v>
      </c>
      <c r="BN300">
        <v>8505</v>
      </c>
      <c r="BO300">
        <v>8505</v>
      </c>
      <c r="BP300">
        <v>25515</v>
      </c>
      <c r="BQ300">
        <v>3300</v>
      </c>
      <c r="BR300">
        <v>400</v>
      </c>
      <c r="BS300">
        <v>400</v>
      </c>
      <c r="BT300">
        <v>4100</v>
      </c>
      <c r="BU300">
        <v>2100</v>
      </c>
      <c r="BV300">
        <v>2100</v>
      </c>
      <c r="BW300">
        <v>2100</v>
      </c>
      <c r="BX300">
        <v>6300</v>
      </c>
      <c r="BY300">
        <v>1200</v>
      </c>
      <c r="BZ300">
        <v>1200</v>
      </c>
      <c r="CA300">
        <v>1200</v>
      </c>
      <c r="CB300">
        <v>3600</v>
      </c>
      <c r="CC300">
        <v>0</v>
      </c>
      <c r="CD300">
        <v>0</v>
      </c>
      <c r="CE300">
        <v>0</v>
      </c>
      <c r="CF300">
        <v>0</v>
      </c>
      <c r="CG300">
        <v>39515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1500</v>
      </c>
      <c r="CU300">
        <v>1500</v>
      </c>
      <c r="CV300">
        <v>1500</v>
      </c>
      <c r="CW300">
        <v>4500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4500</v>
      </c>
      <c r="EH300">
        <v>0</v>
      </c>
      <c r="EI300">
        <v>1154</v>
      </c>
      <c r="EJ300">
        <v>1154</v>
      </c>
      <c r="EK300">
        <v>1155</v>
      </c>
      <c r="EL300">
        <v>3500</v>
      </c>
      <c r="EM300">
        <v>37.065000000000005</v>
      </c>
      <c r="EN300">
        <v>660</v>
      </c>
      <c r="EO300">
        <v>660</v>
      </c>
      <c r="EP300">
        <v>659</v>
      </c>
      <c r="EQ300">
        <v>2000</v>
      </c>
      <c r="ER300">
        <v>21.18</v>
      </c>
      <c r="ES300">
        <v>0</v>
      </c>
      <c r="ET300">
        <v>0</v>
      </c>
      <c r="EU300">
        <v>0</v>
      </c>
      <c r="EV300">
        <v>0</v>
      </c>
      <c r="EW300">
        <v>0</v>
      </c>
      <c r="FA300">
        <v>0</v>
      </c>
      <c r="FE300">
        <v>0</v>
      </c>
      <c r="FI300">
        <v>0</v>
      </c>
      <c r="FJ300">
        <v>5441.7550000000001</v>
      </c>
      <c r="FK300">
        <v>35015</v>
      </c>
      <c r="FL300">
        <v>30885.250438633135</v>
      </c>
      <c r="FM300">
        <v>29573.244999999999</v>
      </c>
      <c r="FO300" t="s">
        <v>560</v>
      </c>
      <c r="FP300" t="s">
        <v>425</v>
      </c>
      <c r="FQ300" t="s">
        <v>297</v>
      </c>
      <c r="FR300" t="s">
        <v>561</v>
      </c>
    </row>
    <row r="301" spans="1:174" x14ac:dyDescent="0.35">
      <c r="A301">
        <v>193841</v>
      </c>
      <c r="B301" t="s">
        <v>555</v>
      </c>
      <c r="C301" t="s">
        <v>564</v>
      </c>
      <c r="D301" t="s">
        <v>565</v>
      </c>
      <c r="E301" s="43" t="s">
        <v>566</v>
      </c>
      <c r="F301">
        <v>1</v>
      </c>
      <c r="I301">
        <v>43776</v>
      </c>
      <c r="L301" s="43" t="s">
        <v>3204</v>
      </c>
      <c r="M301" t="s">
        <v>567</v>
      </c>
      <c r="N301" s="43"/>
      <c r="O301" s="43"/>
      <c r="P301" s="43"/>
      <c r="Q301" s="43"/>
      <c r="R301">
        <v>4</v>
      </c>
      <c r="S301">
        <v>44109</v>
      </c>
      <c r="T301" t="s">
        <v>285</v>
      </c>
      <c r="U301" t="s">
        <v>286</v>
      </c>
      <c r="V301" t="s">
        <v>267</v>
      </c>
      <c r="W301" t="s">
        <v>268</v>
      </c>
      <c r="X301" t="s">
        <v>269</v>
      </c>
      <c r="Y301">
        <v>8883022894</v>
      </c>
      <c r="Z301" t="s">
        <v>270</v>
      </c>
      <c r="AA301" t="s">
        <v>271</v>
      </c>
      <c r="AB301" t="s">
        <v>571</v>
      </c>
      <c r="AC301">
        <v>0</v>
      </c>
      <c r="AD301" t="s">
        <v>313</v>
      </c>
      <c r="AE301" t="s">
        <v>301</v>
      </c>
      <c r="AF301">
        <v>1</v>
      </c>
      <c r="AG301" t="s">
        <v>275</v>
      </c>
      <c r="AH301" t="s">
        <v>3227</v>
      </c>
      <c r="AI301" t="s">
        <v>3228</v>
      </c>
      <c r="AJ301" t="s">
        <v>3207</v>
      </c>
      <c r="AK301" s="43" t="s">
        <v>3208</v>
      </c>
      <c r="AL301" s="43" t="s">
        <v>3209</v>
      </c>
      <c r="AO301" s="23"/>
      <c r="AP301" s="23"/>
      <c r="AQ301" s="23"/>
      <c r="BD301" s="43" t="s">
        <v>2018</v>
      </c>
      <c r="BE301" s="43" t="s">
        <v>2018</v>
      </c>
      <c r="BF301" s="43" t="s">
        <v>2018</v>
      </c>
      <c r="BG301" s="43" t="s">
        <v>2018</v>
      </c>
      <c r="BH301" t="s">
        <v>2018</v>
      </c>
      <c r="BI301" s="43" t="s">
        <v>2018</v>
      </c>
      <c r="BJ301">
        <v>0</v>
      </c>
      <c r="BK301">
        <v>44109</v>
      </c>
      <c r="BL301">
        <v>44356</v>
      </c>
      <c r="BM301">
        <v>8505</v>
      </c>
      <c r="BN301">
        <v>8505</v>
      </c>
      <c r="BO301">
        <v>8505</v>
      </c>
      <c r="BP301">
        <v>25515</v>
      </c>
      <c r="BQ301">
        <v>3300</v>
      </c>
      <c r="BR301">
        <v>400</v>
      </c>
      <c r="BS301">
        <v>400</v>
      </c>
      <c r="BT301">
        <v>4100</v>
      </c>
      <c r="BU301">
        <v>2100</v>
      </c>
      <c r="BV301">
        <v>2100</v>
      </c>
      <c r="BW301">
        <v>2100</v>
      </c>
      <c r="BX301">
        <v>6300</v>
      </c>
      <c r="BY301">
        <v>1200</v>
      </c>
      <c r="BZ301">
        <v>1200</v>
      </c>
      <c r="CA301">
        <v>1200</v>
      </c>
      <c r="CB301">
        <v>3600</v>
      </c>
      <c r="CC301">
        <v>0</v>
      </c>
      <c r="CD301">
        <v>0</v>
      </c>
      <c r="CE301">
        <v>0</v>
      </c>
      <c r="CF301">
        <v>0</v>
      </c>
      <c r="CG301">
        <v>39515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1700</v>
      </c>
      <c r="CU301">
        <v>1700</v>
      </c>
      <c r="CV301">
        <v>1700</v>
      </c>
      <c r="CW301">
        <v>5100</v>
      </c>
      <c r="CX301">
        <v>0</v>
      </c>
      <c r="CY301">
        <v>0</v>
      </c>
      <c r="CZ301">
        <v>0</v>
      </c>
      <c r="DA301">
        <v>0</v>
      </c>
      <c r="DB301">
        <v>1000</v>
      </c>
      <c r="DC301">
        <v>1000</v>
      </c>
      <c r="DD301">
        <v>1000</v>
      </c>
      <c r="DE301">
        <v>3000</v>
      </c>
      <c r="DF301">
        <v>0</v>
      </c>
      <c r="DG301">
        <v>0</v>
      </c>
      <c r="DH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8100</v>
      </c>
      <c r="EH301">
        <v>0</v>
      </c>
      <c r="EI301">
        <v>1154</v>
      </c>
      <c r="EJ301">
        <v>1154</v>
      </c>
      <c r="EK301">
        <v>1155</v>
      </c>
      <c r="EL301">
        <v>3500</v>
      </c>
      <c r="EM301">
        <v>37.065000000000005</v>
      </c>
      <c r="EN301">
        <v>660</v>
      </c>
      <c r="EO301">
        <v>660</v>
      </c>
      <c r="EP301">
        <v>659</v>
      </c>
      <c r="EQ301">
        <v>2000</v>
      </c>
      <c r="ER301">
        <v>21.18</v>
      </c>
      <c r="ES301">
        <v>0</v>
      </c>
      <c r="ET301">
        <v>0</v>
      </c>
      <c r="EU301">
        <v>0</v>
      </c>
      <c r="EV301">
        <v>0</v>
      </c>
      <c r="EW301">
        <v>0</v>
      </c>
      <c r="FA301">
        <v>0</v>
      </c>
      <c r="FE301">
        <v>0</v>
      </c>
      <c r="FI301">
        <v>0</v>
      </c>
      <c r="FJ301">
        <v>5441.7550000000001</v>
      </c>
      <c r="FK301">
        <v>31415</v>
      </c>
      <c r="FL301">
        <v>27125.537847773412</v>
      </c>
      <c r="FM301">
        <v>25973.244999999999</v>
      </c>
      <c r="FO301" t="s">
        <v>568</v>
      </c>
      <c r="FP301" t="s">
        <v>569</v>
      </c>
      <c r="FQ301" t="s">
        <v>553</v>
      </c>
      <c r="FR301" t="s">
        <v>570</v>
      </c>
    </row>
    <row r="302" spans="1:174" x14ac:dyDescent="0.35">
      <c r="A302">
        <v>198641</v>
      </c>
      <c r="B302" t="s">
        <v>3882</v>
      </c>
      <c r="C302" t="s">
        <v>1955</v>
      </c>
      <c r="D302" t="s">
        <v>3883</v>
      </c>
      <c r="E302" s="43" t="s">
        <v>4201</v>
      </c>
      <c r="J302" t="s">
        <v>3830</v>
      </c>
      <c r="L302" s="43" t="s">
        <v>259</v>
      </c>
      <c r="M302" t="s">
        <v>3884</v>
      </c>
      <c r="N302" s="43"/>
      <c r="O302" s="43"/>
      <c r="P302" s="43"/>
      <c r="Q302" s="43"/>
      <c r="R302">
        <v>1.8</v>
      </c>
      <c r="S302">
        <v>44109</v>
      </c>
      <c r="T302" t="s">
        <v>311</v>
      </c>
      <c r="U302" t="s">
        <v>266</v>
      </c>
      <c r="V302" t="s">
        <v>267</v>
      </c>
      <c r="W302" t="s">
        <v>268</v>
      </c>
      <c r="X302" t="s">
        <v>269</v>
      </c>
      <c r="Y302">
        <v>8883022894</v>
      </c>
      <c r="Z302" t="s">
        <v>270</v>
      </c>
      <c r="AA302" t="s">
        <v>271</v>
      </c>
      <c r="AB302">
        <v>0</v>
      </c>
      <c r="AC302" t="s">
        <v>761</v>
      </c>
      <c r="AD302" t="s">
        <v>3888</v>
      </c>
      <c r="AE302" t="s">
        <v>344</v>
      </c>
      <c r="AF302">
        <v>10</v>
      </c>
      <c r="AG302" t="s">
        <v>3345</v>
      </c>
      <c r="AH302" t="s">
        <v>259</v>
      </c>
      <c r="AI302" t="s">
        <v>259</v>
      </c>
      <c r="AJ302" t="s">
        <v>259</v>
      </c>
      <c r="AK302" s="43" t="s">
        <v>259</v>
      </c>
      <c r="AL302" s="43" t="s">
        <v>259</v>
      </c>
      <c r="AO302" s="23"/>
      <c r="AP302" s="23"/>
      <c r="AQ302" s="23"/>
      <c r="BD302" s="43" t="s">
        <v>259</v>
      </c>
      <c r="BE302" s="43" t="s">
        <v>259</v>
      </c>
      <c r="BF302" s="43" t="s">
        <v>259</v>
      </c>
      <c r="BG302" s="43" t="s">
        <v>259</v>
      </c>
      <c r="BH302" t="s">
        <v>259</v>
      </c>
      <c r="BI302" s="43" t="s">
        <v>259</v>
      </c>
      <c r="BJ302">
        <v>0</v>
      </c>
      <c r="BK302">
        <v>44109</v>
      </c>
      <c r="BL302">
        <v>44356</v>
      </c>
      <c r="BM302">
        <v>8505</v>
      </c>
      <c r="BN302">
        <v>8505</v>
      </c>
      <c r="BO302">
        <v>8505</v>
      </c>
      <c r="BP302">
        <v>25515</v>
      </c>
      <c r="BQ302">
        <v>3300</v>
      </c>
      <c r="BR302">
        <v>400</v>
      </c>
      <c r="BS302">
        <v>400</v>
      </c>
      <c r="BT302">
        <v>4100</v>
      </c>
      <c r="BU302">
        <v>2100</v>
      </c>
      <c r="BV302">
        <v>2100</v>
      </c>
      <c r="BW302">
        <v>2100</v>
      </c>
      <c r="BX302">
        <v>6300</v>
      </c>
      <c r="BY302">
        <v>1200</v>
      </c>
      <c r="BZ302">
        <v>1200</v>
      </c>
      <c r="CA302">
        <v>1200</v>
      </c>
      <c r="CB302">
        <v>3600</v>
      </c>
      <c r="CF302">
        <v>0</v>
      </c>
      <c r="CG302">
        <v>39515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N302">
        <v>0</v>
      </c>
      <c r="DO302">
        <v>0</v>
      </c>
      <c r="DP302">
        <v>0</v>
      </c>
      <c r="DR302">
        <v>0</v>
      </c>
      <c r="DS302">
        <v>0</v>
      </c>
      <c r="DT302">
        <v>0</v>
      </c>
      <c r="DY302">
        <v>0</v>
      </c>
      <c r="EC302">
        <v>0</v>
      </c>
      <c r="ED302">
        <v>0</v>
      </c>
      <c r="EH302">
        <v>0</v>
      </c>
      <c r="EI302">
        <v>0</v>
      </c>
      <c r="EJ302">
        <v>0</v>
      </c>
      <c r="EK302">
        <v>0</v>
      </c>
      <c r="EM302">
        <v>0</v>
      </c>
      <c r="EN302">
        <v>660</v>
      </c>
      <c r="EO302">
        <v>660</v>
      </c>
      <c r="EP302">
        <v>659</v>
      </c>
      <c r="EQ302">
        <v>2000</v>
      </c>
      <c r="ER302">
        <v>21.24</v>
      </c>
      <c r="ES302">
        <v>0</v>
      </c>
      <c r="ET302">
        <v>0</v>
      </c>
      <c r="EU302">
        <v>0</v>
      </c>
      <c r="EW302">
        <v>0</v>
      </c>
      <c r="FA302">
        <v>0</v>
      </c>
      <c r="FE302">
        <v>0</v>
      </c>
      <c r="FI302">
        <v>0</v>
      </c>
      <c r="FJ302">
        <v>1978.76</v>
      </c>
      <c r="FK302">
        <v>39515</v>
      </c>
      <c r="FL302">
        <v>39201.520594870075</v>
      </c>
      <c r="FM302">
        <v>37536.239999999998</v>
      </c>
      <c r="FO302" t="s">
        <v>3885</v>
      </c>
      <c r="FP302" t="s">
        <v>3886</v>
      </c>
      <c r="FQ302" t="s">
        <v>831</v>
      </c>
      <c r="FR302" t="s">
        <v>3887</v>
      </c>
    </row>
    <row r="303" spans="1:174" x14ac:dyDescent="0.35">
      <c r="A303">
        <v>197893</v>
      </c>
      <c r="B303" t="s">
        <v>572</v>
      </c>
      <c r="C303" t="s">
        <v>573</v>
      </c>
      <c r="D303" t="s">
        <v>574</v>
      </c>
      <c r="E303" s="43" t="s">
        <v>575</v>
      </c>
      <c r="F303">
        <v>1</v>
      </c>
      <c r="I303">
        <v>43776</v>
      </c>
      <c r="L303" s="43" t="s">
        <v>3204</v>
      </c>
      <c r="M303" t="s">
        <v>576</v>
      </c>
      <c r="N303" s="43"/>
      <c r="O303" s="43"/>
      <c r="P303" s="43"/>
      <c r="Q303" s="43"/>
      <c r="R303">
        <v>3.8</v>
      </c>
      <c r="S303">
        <v>44109</v>
      </c>
      <c r="T303" t="s">
        <v>285</v>
      </c>
      <c r="U303" t="s">
        <v>286</v>
      </c>
      <c r="V303" t="s">
        <v>267</v>
      </c>
      <c r="W303" t="s">
        <v>268</v>
      </c>
      <c r="X303" t="s">
        <v>269</v>
      </c>
      <c r="Y303">
        <v>8883022894</v>
      </c>
      <c r="Z303" t="s">
        <v>270</v>
      </c>
      <c r="AA303" t="s">
        <v>271</v>
      </c>
      <c r="AB303" t="s">
        <v>526</v>
      </c>
      <c r="AC303">
        <v>0</v>
      </c>
      <c r="AD303" t="s">
        <v>581</v>
      </c>
      <c r="AE303" t="s">
        <v>301</v>
      </c>
      <c r="AF303">
        <v>1</v>
      </c>
      <c r="AG303" t="s">
        <v>275</v>
      </c>
      <c r="AH303" t="s">
        <v>3229</v>
      </c>
      <c r="AI303" t="s">
        <v>3230</v>
      </c>
      <c r="AJ303" t="s">
        <v>3207</v>
      </c>
      <c r="AK303" s="43" t="s">
        <v>3208</v>
      </c>
      <c r="AL303" s="43" t="s">
        <v>3209</v>
      </c>
      <c r="AO303" s="23">
        <v>43755</v>
      </c>
      <c r="AP303" s="23"/>
      <c r="AQ303" s="23"/>
      <c r="BD303" s="43" t="s">
        <v>2018</v>
      </c>
      <c r="BE303" s="43" t="s">
        <v>2018</v>
      </c>
      <c r="BF303" s="43" t="s">
        <v>2018</v>
      </c>
      <c r="BG303" s="43" t="s">
        <v>2018</v>
      </c>
      <c r="BH303" t="s">
        <v>2018</v>
      </c>
      <c r="BI303" s="43" t="s">
        <v>2018</v>
      </c>
      <c r="BJ303">
        <v>5.8823529411764719E-2</v>
      </c>
      <c r="BK303">
        <v>44109</v>
      </c>
      <c r="BL303">
        <v>44356</v>
      </c>
      <c r="BM303">
        <v>8505</v>
      </c>
      <c r="BN303">
        <v>8505</v>
      </c>
      <c r="BO303">
        <v>8505</v>
      </c>
      <c r="BP303">
        <v>25515</v>
      </c>
      <c r="BQ303">
        <v>3300</v>
      </c>
      <c r="BR303">
        <v>400</v>
      </c>
      <c r="BS303">
        <v>400</v>
      </c>
      <c r="BT303">
        <v>4100</v>
      </c>
      <c r="BU303">
        <v>2100</v>
      </c>
      <c r="BV303">
        <v>2100</v>
      </c>
      <c r="BW303">
        <v>2100</v>
      </c>
      <c r="BX303">
        <v>6300</v>
      </c>
      <c r="BY303">
        <v>1200</v>
      </c>
      <c r="BZ303">
        <v>1200</v>
      </c>
      <c r="CA303">
        <v>1200</v>
      </c>
      <c r="CB303">
        <v>3600</v>
      </c>
      <c r="CC303">
        <v>0</v>
      </c>
      <c r="CD303">
        <v>0</v>
      </c>
      <c r="CE303">
        <v>0</v>
      </c>
      <c r="CF303">
        <v>0</v>
      </c>
      <c r="CG303">
        <v>39515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1700</v>
      </c>
      <c r="CU303">
        <v>1700</v>
      </c>
      <c r="CV303">
        <v>1700</v>
      </c>
      <c r="CW303">
        <v>5100</v>
      </c>
      <c r="CX303">
        <v>0</v>
      </c>
      <c r="CY303">
        <v>0</v>
      </c>
      <c r="CZ303">
        <v>0</v>
      </c>
      <c r="DA303">
        <v>0</v>
      </c>
      <c r="DB303">
        <v>1000</v>
      </c>
      <c r="DC303">
        <v>1000</v>
      </c>
      <c r="DD303">
        <v>1000</v>
      </c>
      <c r="DE303">
        <v>3000</v>
      </c>
      <c r="DF303">
        <v>0</v>
      </c>
      <c r="DG303">
        <v>0</v>
      </c>
      <c r="DH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8100</v>
      </c>
      <c r="EH303">
        <v>0</v>
      </c>
      <c r="EI303">
        <v>1154</v>
      </c>
      <c r="EJ303">
        <v>1154</v>
      </c>
      <c r="EK303">
        <v>1155</v>
      </c>
      <c r="EL303">
        <v>3500</v>
      </c>
      <c r="EM303">
        <v>37.065000000000005</v>
      </c>
      <c r="EN303">
        <v>660</v>
      </c>
      <c r="EO303">
        <v>660</v>
      </c>
      <c r="EP303">
        <v>659</v>
      </c>
      <c r="EQ303">
        <v>2000</v>
      </c>
      <c r="ER303">
        <v>21.18</v>
      </c>
      <c r="ES303">
        <v>0</v>
      </c>
      <c r="ET303">
        <v>0</v>
      </c>
      <c r="EU303">
        <v>0</v>
      </c>
      <c r="EV303">
        <v>0</v>
      </c>
      <c r="EW303">
        <v>0</v>
      </c>
      <c r="FA303">
        <v>0</v>
      </c>
      <c r="FE303">
        <v>0</v>
      </c>
      <c r="FI303">
        <v>0</v>
      </c>
      <c r="FJ303">
        <v>5441.7550000000001</v>
      </c>
      <c r="FK303">
        <v>31415</v>
      </c>
      <c r="FL303">
        <v>27125.537847773412</v>
      </c>
      <c r="FM303">
        <v>25973.244999999999</v>
      </c>
      <c r="FO303" t="s">
        <v>577</v>
      </c>
      <c r="FP303" t="s">
        <v>578</v>
      </c>
      <c r="FQ303" t="s">
        <v>579</v>
      </c>
      <c r="FR303" t="s">
        <v>580</v>
      </c>
    </row>
    <row r="304" spans="1:174" x14ac:dyDescent="0.35">
      <c r="A304">
        <v>197736</v>
      </c>
      <c r="B304" t="s">
        <v>582</v>
      </c>
      <c r="C304" t="s">
        <v>583</v>
      </c>
      <c r="D304" t="s">
        <v>584</v>
      </c>
      <c r="E304" s="43" t="s">
        <v>3281</v>
      </c>
      <c r="L304" s="43" t="s">
        <v>259</v>
      </c>
      <c r="M304" t="s">
        <v>585</v>
      </c>
      <c r="N304" s="43"/>
      <c r="O304" s="43"/>
      <c r="P304" s="43"/>
      <c r="Q304" s="43"/>
      <c r="R304">
        <v>3.8</v>
      </c>
      <c r="S304">
        <v>44109</v>
      </c>
      <c r="T304" t="s">
        <v>285</v>
      </c>
      <c r="U304" t="s">
        <v>266</v>
      </c>
      <c r="V304" t="s">
        <v>267</v>
      </c>
      <c r="W304" t="s">
        <v>268</v>
      </c>
      <c r="X304" t="s">
        <v>269</v>
      </c>
      <c r="Y304">
        <v>8883022894</v>
      </c>
      <c r="Z304" t="s">
        <v>270</v>
      </c>
      <c r="AA304" t="s">
        <v>271</v>
      </c>
      <c r="AB304" t="s">
        <v>374</v>
      </c>
      <c r="AC304">
        <v>0</v>
      </c>
      <c r="AD304" t="s">
        <v>288</v>
      </c>
      <c r="AE304" t="s">
        <v>289</v>
      </c>
      <c r="AF304">
        <v>2</v>
      </c>
      <c r="AG304" t="s">
        <v>446</v>
      </c>
      <c r="AH304" t="s">
        <v>259</v>
      </c>
      <c r="AI304" t="s">
        <v>259</v>
      </c>
      <c r="AJ304" t="s">
        <v>259</v>
      </c>
      <c r="AK304" s="43" t="s">
        <v>259</v>
      </c>
      <c r="AL304" s="43" t="s">
        <v>259</v>
      </c>
      <c r="AO304" s="23"/>
      <c r="AP304" s="23"/>
      <c r="AQ304" s="23"/>
      <c r="BD304" s="43" t="s">
        <v>259</v>
      </c>
      <c r="BE304" s="43" t="s">
        <v>259</v>
      </c>
      <c r="BF304" s="43" t="s">
        <v>259</v>
      </c>
      <c r="BG304" s="43" t="s">
        <v>259</v>
      </c>
      <c r="BH304" t="s">
        <v>259</v>
      </c>
      <c r="BI304" s="43" t="s">
        <v>259</v>
      </c>
      <c r="BJ304">
        <v>0</v>
      </c>
      <c r="BK304">
        <v>44109</v>
      </c>
      <c r="BL304">
        <v>44356</v>
      </c>
      <c r="BM304">
        <v>8505</v>
      </c>
      <c r="BN304">
        <v>8505</v>
      </c>
      <c r="BO304">
        <v>8505</v>
      </c>
      <c r="BP304">
        <v>25515</v>
      </c>
      <c r="BQ304">
        <v>3300</v>
      </c>
      <c r="BR304">
        <v>400</v>
      </c>
      <c r="BS304">
        <v>400</v>
      </c>
      <c r="BT304">
        <v>4100</v>
      </c>
      <c r="BU304">
        <v>2100</v>
      </c>
      <c r="BV304">
        <v>2100</v>
      </c>
      <c r="BW304">
        <v>2100</v>
      </c>
      <c r="BX304">
        <v>6300</v>
      </c>
      <c r="BY304">
        <v>1200</v>
      </c>
      <c r="BZ304">
        <v>1200</v>
      </c>
      <c r="CA304">
        <v>1200</v>
      </c>
      <c r="CB304">
        <v>3600</v>
      </c>
      <c r="CF304">
        <v>0</v>
      </c>
      <c r="CG304">
        <v>39515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1500</v>
      </c>
      <c r="CU304">
        <v>1500</v>
      </c>
      <c r="CV304">
        <v>1500</v>
      </c>
      <c r="CW304">
        <v>4500</v>
      </c>
      <c r="CX304">
        <v>0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0</v>
      </c>
      <c r="DN304">
        <v>0</v>
      </c>
      <c r="DO304">
        <v>0</v>
      </c>
      <c r="DP304">
        <v>0</v>
      </c>
      <c r="DR304">
        <v>0</v>
      </c>
      <c r="DS304">
        <v>0</v>
      </c>
      <c r="DT304">
        <v>0</v>
      </c>
      <c r="DY304">
        <v>0</v>
      </c>
      <c r="EC304">
        <v>0</v>
      </c>
      <c r="ED304">
        <v>4500</v>
      </c>
      <c r="EH304">
        <v>0</v>
      </c>
      <c r="EI304">
        <v>0</v>
      </c>
      <c r="EJ304">
        <v>0</v>
      </c>
      <c r="EK304">
        <v>0</v>
      </c>
      <c r="EM304">
        <v>0</v>
      </c>
      <c r="EN304">
        <v>660</v>
      </c>
      <c r="EO304">
        <v>660</v>
      </c>
      <c r="EP304">
        <v>659</v>
      </c>
      <c r="EQ304">
        <v>2000</v>
      </c>
      <c r="ER304">
        <v>21.24</v>
      </c>
      <c r="ES304">
        <v>0</v>
      </c>
      <c r="ET304">
        <v>0</v>
      </c>
      <c r="EU304">
        <v>0</v>
      </c>
      <c r="EW304">
        <v>0</v>
      </c>
      <c r="FA304">
        <v>0</v>
      </c>
      <c r="FE304">
        <v>0</v>
      </c>
      <c r="FI304">
        <v>0</v>
      </c>
      <c r="FJ304">
        <v>1978.76</v>
      </c>
      <c r="FK304">
        <v>35015</v>
      </c>
      <c r="FL304">
        <v>34501.879856295425</v>
      </c>
      <c r="FM304">
        <v>33036.239999999998</v>
      </c>
      <c r="FO304" t="s">
        <v>586</v>
      </c>
      <c r="FP304" t="s">
        <v>587</v>
      </c>
      <c r="FQ304" t="s">
        <v>263</v>
      </c>
      <c r="FR304" t="s">
        <v>588</v>
      </c>
    </row>
    <row r="305" spans="1:174" x14ac:dyDescent="0.35">
      <c r="A305">
        <v>196440</v>
      </c>
      <c r="B305" t="s">
        <v>589</v>
      </c>
      <c r="C305" t="s">
        <v>590</v>
      </c>
      <c r="D305" t="s">
        <v>591</v>
      </c>
      <c r="E305" s="43" t="s">
        <v>592</v>
      </c>
      <c r="F305">
        <v>1</v>
      </c>
      <c r="I305">
        <v>43801</v>
      </c>
      <c r="L305" s="43" t="s">
        <v>3204</v>
      </c>
      <c r="M305" t="s">
        <v>593</v>
      </c>
      <c r="N305" s="43"/>
      <c r="O305" s="43"/>
      <c r="P305" s="43"/>
      <c r="Q305" s="43"/>
      <c r="R305">
        <v>3.7</v>
      </c>
      <c r="S305">
        <v>44109</v>
      </c>
      <c r="T305" t="s">
        <v>285</v>
      </c>
      <c r="U305" t="s">
        <v>266</v>
      </c>
      <c r="V305" t="s">
        <v>267</v>
      </c>
      <c r="W305" t="s">
        <v>268</v>
      </c>
      <c r="X305" t="s">
        <v>269</v>
      </c>
      <c r="Y305">
        <v>8883022894</v>
      </c>
      <c r="Z305" t="s">
        <v>270</v>
      </c>
      <c r="AA305" t="s">
        <v>271</v>
      </c>
      <c r="AB305" t="s">
        <v>598</v>
      </c>
      <c r="AC305" t="s">
        <v>599</v>
      </c>
      <c r="AD305" t="s">
        <v>600</v>
      </c>
      <c r="AE305" t="s">
        <v>301</v>
      </c>
      <c r="AF305">
        <v>1</v>
      </c>
      <c r="AG305" t="s">
        <v>275</v>
      </c>
      <c r="AH305" t="s">
        <v>3314</v>
      </c>
      <c r="AI305" t="s">
        <v>3315</v>
      </c>
      <c r="AJ305" t="s">
        <v>3309</v>
      </c>
      <c r="AK305" s="43" t="s">
        <v>3208</v>
      </c>
      <c r="AL305" s="43" t="s">
        <v>3209</v>
      </c>
      <c r="AO305" s="23"/>
      <c r="AP305" s="23"/>
      <c r="AQ305" s="23"/>
      <c r="BD305" s="43" t="s">
        <v>2018</v>
      </c>
      <c r="BE305" s="43" t="s">
        <v>2018</v>
      </c>
      <c r="BF305" s="43" t="s">
        <v>2018</v>
      </c>
      <c r="BG305" s="43" t="s">
        <v>2018</v>
      </c>
      <c r="BH305" t="s">
        <v>2018</v>
      </c>
      <c r="BI305" s="43" t="s">
        <v>2018</v>
      </c>
      <c r="BJ305">
        <v>0</v>
      </c>
      <c r="BK305">
        <v>44109</v>
      </c>
      <c r="BL305">
        <v>44356</v>
      </c>
      <c r="BM305">
        <v>8505</v>
      </c>
      <c r="BN305">
        <v>8505</v>
      </c>
      <c r="BO305">
        <v>8505</v>
      </c>
      <c r="BP305">
        <v>25515</v>
      </c>
      <c r="BQ305">
        <v>3300</v>
      </c>
      <c r="BR305">
        <v>400</v>
      </c>
      <c r="BS305">
        <v>400</v>
      </c>
      <c r="BT305">
        <v>4100</v>
      </c>
      <c r="BU305">
        <v>2100</v>
      </c>
      <c r="BV305">
        <v>2100</v>
      </c>
      <c r="BW305">
        <v>2100</v>
      </c>
      <c r="BX305">
        <v>6300</v>
      </c>
      <c r="BY305">
        <v>1200</v>
      </c>
      <c r="BZ305">
        <v>1200</v>
      </c>
      <c r="CA305">
        <v>1200</v>
      </c>
      <c r="CB305">
        <v>3600</v>
      </c>
      <c r="CC305">
        <v>0</v>
      </c>
      <c r="CD305">
        <v>0</v>
      </c>
      <c r="CE305">
        <v>0</v>
      </c>
      <c r="CF305">
        <v>0</v>
      </c>
      <c r="CG305">
        <v>39515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1700</v>
      </c>
      <c r="CU305">
        <v>1700</v>
      </c>
      <c r="CV305">
        <v>1700</v>
      </c>
      <c r="CW305">
        <v>5100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5100</v>
      </c>
      <c r="EH305">
        <v>0</v>
      </c>
      <c r="EI305">
        <v>1154</v>
      </c>
      <c r="EJ305">
        <v>1154</v>
      </c>
      <c r="EK305">
        <v>1155</v>
      </c>
      <c r="EL305">
        <v>3500</v>
      </c>
      <c r="EM305">
        <v>37.065000000000005</v>
      </c>
      <c r="EN305">
        <v>660</v>
      </c>
      <c r="EO305">
        <v>660</v>
      </c>
      <c r="EP305">
        <v>659</v>
      </c>
      <c r="EQ305">
        <v>2000</v>
      </c>
      <c r="ER305">
        <v>21.18</v>
      </c>
      <c r="ES305">
        <v>0</v>
      </c>
      <c r="ET305">
        <v>0</v>
      </c>
      <c r="EU305">
        <v>0</v>
      </c>
      <c r="EV305">
        <v>0</v>
      </c>
      <c r="EW305">
        <v>0</v>
      </c>
      <c r="FA305">
        <v>0</v>
      </c>
      <c r="FE305">
        <v>0</v>
      </c>
      <c r="FI305">
        <v>0</v>
      </c>
      <c r="FJ305">
        <v>5441.7550000000001</v>
      </c>
      <c r="FK305">
        <v>34415</v>
      </c>
      <c r="FL305">
        <v>30258.631673489846</v>
      </c>
      <c r="FM305">
        <v>28973.244999999999</v>
      </c>
      <c r="FO305" t="s">
        <v>594</v>
      </c>
      <c r="FP305" t="s">
        <v>595</v>
      </c>
      <c r="FQ305" t="s">
        <v>596</v>
      </c>
      <c r="FR305" t="s">
        <v>597</v>
      </c>
    </row>
    <row r="306" spans="1:174" x14ac:dyDescent="0.35">
      <c r="A306">
        <v>197064</v>
      </c>
      <c r="B306" t="s">
        <v>1131</v>
      </c>
      <c r="C306" t="s">
        <v>3453</v>
      </c>
      <c r="D306" t="s">
        <v>3454</v>
      </c>
      <c r="E306" s="43" t="s">
        <v>4202</v>
      </c>
      <c r="J306" t="s">
        <v>3425</v>
      </c>
      <c r="L306" s="43" t="s">
        <v>259</v>
      </c>
      <c r="M306" t="s">
        <v>3455</v>
      </c>
      <c r="N306" s="43"/>
      <c r="O306" s="43"/>
      <c r="P306" s="43"/>
      <c r="Q306" s="43"/>
      <c r="R306">
        <v>3.1</v>
      </c>
      <c r="S306">
        <v>44109</v>
      </c>
      <c r="T306" t="s">
        <v>285</v>
      </c>
      <c r="U306" t="s">
        <v>266</v>
      </c>
      <c r="V306" t="s">
        <v>267</v>
      </c>
      <c r="W306" t="s">
        <v>268</v>
      </c>
      <c r="X306" t="s">
        <v>269</v>
      </c>
      <c r="Y306">
        <v>8883022894</v>
      </c>
      <c r="Z306" t="s">
        <v>270</v>
      </c>
      <c r="AA306" t="s">
        <v>271</v>
      </c>
      <c r="AB306">
        <v>0</v>
      </c>
      <c r="AC306">
        <v>0</v>
      </c>
      <c r="AD306" t="s">
        <v>313</v>
      </c>
      <c r="AE306" t="s">
        <v>344</v>
      </c>
      <c r="AF306">
        <v>10</v>
      </c>
      <c r="AG306" t="s">
        <v>3345</v>
      </c>
      <c r="AH306" t="s">
        <v>259</v>
      </c>
      <c r="AI306" t="s">
        <v>259</v>
      </c>
      <c r="AJ306" t="s">
        <v>259</v>
      </c>
      <c r="AK306" s="43" t="s">
        <v>259</v>
      </c>
      <c r="AL306" s="43" t="s">
        <v>259</v>
      </c>
      <c r="AO306" s="23"/>
      <c r="AP306" s="23"/>
      <c r="AQ306" s="23"/>
      <c r="BD306" s="43" t="s">
        <v>259</v>
      </c>
      <c r="BE306" s="43" t="s">
        <v>259</v>
      </c>
      <c r="BF306" s="43" t="s">
        <v>259</v>
      </c>
      <c r="BG306" s="43" t="s">
        <v>259</v>
      </c>
      <c r="BH306" t="s">
        <v>259</v>
      </c>
      <c r="BI306" s="43" t="s">
        <v>259</v>
      </c>
      <c r="BJ306">
        <v>0</v>
      </c>
      <c r="BK306">
        <v>44109</v>
      </c>
      <c r="BL306">
        <v>44356</v>
      </c>
      <c r="BM306">
        <v>8505</v>
      </c>
      <c r="BN306">
        <v>8505</v>
      </c>
      <c r="BO306">
        <v>8505</v>
      </c>
      <c r="BP306">
        <v>25515</v>
      </c>
      <c r="BQ306">
        <v>3300</v>
      </c>
      <c r="BR306">
        <v>400</v>
      </c>
      <c r="BS306">
        <v>400</v>
      </c>
      <c r="BT306">
        <v>4100</v>
      </c>
      <c r="BU306">
        <v>2100</v>
      </c>
      <c r="BV306">
        <v>2100</v>
      </c>
      <c r="BW306">
        <v>2100</v>
      </c>
      <c r="BX306">
        <v>6300</v>
      </c>
      <c r="BY306">
        <v>1200</v>
      </c>
      <c r="BZ306">
        <v>1200</v>
      </c>
      <c r="CA306">
        <v>1200</v>
      </c>
      <c r="CB306">
        <v>3600</v>
      </c>
      <c r="CF306">
        <v>0</v>
      </c>
      <c r="CG306">
        <v>39515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N306">
        <v>0</v>
      </c>
      <c r="DO306">
        <v>0</v>
      </c>
      <c r="DP306">
        <v>0</v>
      </c>
      <c r="DR306">
        <v>0</v>
      </c>
      <c r="DS306">
        <v>0</v>
      </c>
      <c r="DT306">
        <v>0</v>
      </c>
      <c r="DY306">
        <v>0</v>
      </c>
      <c r="EC306">
        <v>0</v>
      </c>
      <c r="ED306">
        <v>0</v>
      </c>
      <c r="EH306">
        <v>0</v>
      </c>
      <c r="EI306">
        <v>1154</v>
      </c>
      <c r="EJ306">
        <v>1154</v>
      </c>
      <c r="EK306">
        <v>1155</v>
      </c>
      <c r="EL306">
        <v>3500</v>
      </c>
      <c r="EM306">
        <v>37.065000000000005</v>
      </c>
      <c r="EN306">
        <v>660</v>
      </c>
      <c r="EO306">
        <v>660</v>
      </c>
      <c r="EP306">
        <v>659</v>
      </c>
      <c r="EQ306">
        <v>2000</v>
      </c>
      <c r="ER306">
        <v>21.24</v>
      </c>
      <c r="ES306">
        <v>0</v>
      </c>
      <c r="ET306">
        <v>0</v>
      </c>
      <c r="EU306">
        <v>0</v>
      </c>
      <c r="EW306">
        <v>0</v>
      </c>
      <c r="FA306">
        <v>0</v>
      </c>
      <c r="FE306">
        <v>0</v>
      </c>
      <c r="FI306">
        <v>0</v>
      </c>
      <c r="FJ306">
        <v>5441.6949999999997</v>
      </c>
      <c r="FK306">
        <v>39515</v>
      </c>
      <c r="FL306">
        <v>35584.953839084301</v>
      </c>
      <c r="FM306">
        <v>34073.305</v>
      </c>
      <c r="FO306" t="s">
        <v>3456</v>
      </c>
      <c r="FP306" t="s">
        <v>3457</v>
      </c>
      <c r="FQ306" t="s">
        <v>384</v>
      </c>
      <c r="FR306" t="s">
        <v>3458</v>
      </c>
    </row>
    <row r="307" spans="1:174" x14ac:dyDescent="0.35">
      <c r="A307">
        <v>199502</v>
      </c>
      <c r="B307" t="s">
        <v>1131</v>
      </c>
      <c r="C307" t="s">
        <v>3846</v>
      </c>
      <c r="D307" t="s">
        <v>3847</v>
      </c>
      <c r="E307" s="43" t="s">
        <v>4185</v>
      </c>
      <c r="J307" t="s">
        <v>3830</v>
      </c>
      <c r="L307" s="43" t="s">
        <v>344</v>
      </c>
      <c r="M307" t="s">
        <v>3848</v>
      </c>
      <c r="N307" s="43"/>
      <c r="O307" s="43"/>
      <c r="P307" s="43"/>
      <c r="Q307" s="43"/>
      <c r="R307">
        <v>2.59</v>
      </c>
      <c r="S307">
        <v>44109</v>
      </c>
      <c r="T307" t="s">
        <v>311</v>
      </c>
      <c r="U307" t="s">
        <v>266</v>
      </c>
      <c r="V307" t="s">
        <v>267</v>
      </c>
      <c r="W307" t="s">
        <v>268</v>
      </c>
      <c r="X307" t="s">
        <v>269</v>
      </c>
      <c r="Y307">
        <v>8883022894</v>
      </c>
      <c r="Z307" t="s">
        <v>270</v>
      </c>
      <c r="AA307" t="s">
        <v>271</v>
      </c>
      <c r="AB307">
        <v>0</v>
      </c>
      <c r="AC307">
        <v>0</v>
      </c>
      <c r="AD307" t="s">
        <v>313</v>
      </c>
      <c r="AE307" t="s">
        <v>324</v>
      </c>
      <c r="AF307">
        <v>8</v>
      </c>
      <c r="AG307" t="s">
        <v>3345</v>
      </c>
      <c r="AH307" t="s">
        <v>313</v>
      </c>
      <c r="AI307" t="s">
        <v>313</v>
      </c>
      <c r="AJ307" t="s">
        <v>3309</v>
      </c>
      <c r="AK307" s="43" t="s">
        <v>1715</v>
      </c>
      <c r="AL307" s="43" t="s">
        <v>259</v>
      </c>
      <c r="AO307" s="23"/>
      <c r="AP307" s="23"/>
      <c r="AQ307" s="23"/>
      <c r="BD307" s="43" t="s">
        <v>259</v>
      </c>
      <c r="BE307" s="43" t="s">
        <v>259</v>
      </c>
      <c r="BF307" s="43" t="s">
        <v>259</v>
      </c>
      <c r="BG307" s="43" t="s">
        <v>259</v>
      </c>
      <c r="BH307" t="s">
        <v>259</v>
      </c>
      <c r="BI307" s="43" t="s">
        <v>259</v>
      </c>
      <c r="BJ307">
        <v>0</v>
      </c>
      <c r="BK307">
        <v>44109</v>
      </c>
      <c r="BL307">
        <v>44356</v>
      </c>
      <c r="BM307">
        <v>8505</v>
      </c>
      <c r="BN307">
        <v>8505</v>
      </c>
      <c r="BO307">
        <v>8505</v>
      </c>
      <c r="BP307">
        <v>25515</v>
      </c>
      <c r="BQ307">
        <v>3300</v>
      </c>
      <c r="BR307">
        <v>400</v>
      </c>
      <c r="BS307">
        <v>400</v>
      </c>
      <c r="BT307">
        <v>4100</v>
      </c>
      <c r="BU307">
        <v>2100</v>
      </c>
      <c r="BV307">
        <v>2100</v>
      </c>
      <c r="BW307">
        <v>2100</v>
      </c>
      <c r="BX307">
        <v>6300</v>
      </c>
      <c r="BY307">
        <v>1200</v>
      </c>
      <c r="BZ307">
        <v>1200</v>
      </c>
      <c r="CA307">
        <v>1200</v>
      </c>
      <c r="CB307">
        <v>3600</v>
      </c>
      <c r="CF307">
        <v>0</v>
      </c>
      <c r="CG307">
        <v>39515</v>
      </c>
      <c r="CK307">
        <v>0</v>
      </c>
      <c r="CL307">
        <v>2065</v>
      </c>
      <c r="CM307">
        <v>2065</v>
      </c>
      <c r="CN307">
        <v>2065</v>
      </c>
      <c r="CO307">
        <v>6195</v>
      </c>
      <c r="CP307">
        <v>500</v>
      </c>
      <c r="CQ307">
        <v>500</v>
      </c>
      <c r="CR307">
        <v>500</v>
      </c>
      <c r="CS307">
        <v>1500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N307">
        <v>0</v>
      </c>
      <c r="DO307">
        <v>0</v>
      </c>
      <c r="DP307">
        <v>0</v>
      </c>
      <c r="DR307">
        <v>0</v>
      </c>
      <c r="DS307">
        <v>0</v>
      </c>
      <c r="DT307">
        <v>0</v>
      </c>
      <c r="DY307">
        <v>0</v>
      </c>
      <c r="EC307">
        <v>0</v>
      </c>
      <c r="ED307">
        <v>7695</v>
      </c>
      <c r="EH307">
        <v>0</v>
      </c>
      <c r="EI307">
        <v>1154</v>
      </c>
      <c r="EJ307">
        <v>1154</v>
      </c>
      <c r="EK307">
        <v>1155</v>
      </c>
      <c r="EL307">
        <v>3500</v>
      </c>
      <c r="EM307">
        <v>37.065000000000005</v>
      </c>
      <c r="EN307">
        <v>660</v>
      </c>
      <c r="EO307">
        <v>660</v>
      </c>
      <c r="EP307">
        <v>659</v>
      </c>
      <c r="EQ307">
        <v>2000</v>
      </c>
      <c r="ER307">
        <v>21.24</v>
      </c>
      <c r="ES307">
        <v>0</v>
      </c>
      <c r="ET307">
        <v>0</v>
      </c>
      <c r="EU307">
        <v>0</v>
      </c>
      <c r="EW307">
        <v>0</v>
      </c>
      <c r="FA307">
        <v>0</v>
      </c>
      <c r="FE307">
        <v>0</v>
      </c>
      <c r="FI307">
        <v>0</v>
      </c>
      <c r="FJ307">
        <v>5441.6949999999997</v>
      </c>
      <c r="FK307">
        <v>31820</v>
      </c>
      <c r="FL307">
        <v>27548.568176121647</v>
      </c>
      <c r="FM307">
        <v>26378.305</v>
      </c>
      <c r="FO307" t="s">
        <v>3849</v>
      </c>
      <c r="FP307" t="s">
        <v>3850</v>
      </c>
      <c r="FQ307" t="s">
        <v>372</v>
      </c>
      <c r="FR307" t="s">
        <v>3851</v>
      </c>
    </row>
    <row r="308" spans="1:174" x14ac:dyDescent="0.35">
      <c r="A308">
        <v>199330</v>
      </c>
      <c r="B308" t="s">
        <v>3828</v>
      </c>
      <c r="C308" t="s">
        <v>2264</v>
      </c>
      <c r="D308" t="s">
        <v>3829</v>
      </c>
      <c r="E308" s="43" t="s">
        <v>4180</v>
      </c>
      <c r="F308">
        <v>1</v>
      </c>
      <c r="G308">
        <v>43801</v>
      </c>
      <c r="H308">
        <v>43802</v>
      </c>
      <c r="I308">
        <v>43802</v>
      </c>
      <c r="K308" t="s">
        <v>1715</v>
      </c>
      <c r="L308" s="43" t="s">
        <v>3204</v>
      </c>
      <c r="M308" t="s">
        <v>3831</v>
      </c>
      <c r="N308" s="43"/>
      <c r="O308" s="43"/>
      <c r="P308" s="43"/>
      <c r="Q308" s="43"/>
      <c r="R308">
        <v>3.11</v>
      </c>
      <c r="S308">
        <v>44109</v>
      </c>
      <c r="T308" t="s">
        <v>311</v>
      </c>
      <c r="U308" t="s">
        <v>266</v>
      </c>
      <c r="V308" t="s">
        <v>267</v>
      </c>
      <c r="W308" t="s">
        <v>268</v>
      </c>
      <c r="X308" t="s">
        <v>269</v>
      </c>
      <c r="Y308">
        <v>8883022894</v>
      </c>
      <c r="Z308" t="s">
        <v>270</v>
      </c>
      <c r="AA308" t="s">
        <v>271</v>
      </c>
      <c r="AB308">
        <v>0</v>
      </c>
      <c r="AC308" t="s">
        <v>1321</v>
      </c>
      <c r="AD308" t="s">
        <v>771</v>
      </c>
      <c r="AE308" t="s">
        <v>416</v>
      </c>
      <c r="AF308">
        <v>5</v>
      </c>
      <c r="AG308" t="s">
        <v>3345</v>
      </c>
      <c r="AH308" t="s">
        <v>3835</v>
      </c>
      <c r="AI308" t="s">
        <v>3836</v>
      </c>
      <c r="AJ308" t="s">
        <v>3207</v>
      </c>
      <c r="AK308" s="43" t="s">
        <v>1715</v>
      </c>
      <c r="AL308" s="43" t="s">
        <v>259</v>
      </c>
      <c r="AM308">
        <v>43802</v>
      </c>
      <c r="AN308">
        <v>43802</v>
      </c>
      <c r="AO308" s="23">
        <v>43802</v>
      </c>
      <c r="AP308" s="23"/>
      <c r="AQ308" s="23"/>
      <c r="BD308" s="43" t="s">
        <v>259</v>
      </c>
      <c r="BE308" s="43" t="s">
        <v>259</v>
      </c>
      <c r="BF308" s="43" t="s">
        <v>2018</v>
      </c>
      <c r="BG308" s="43" t="s">
        <v>2018</v>
      </c>
      <c r="BH308" t="s">
        <v>3207</v>
      </c>
      <c r="BI308" s="43" t="s">
        <v>2018</v>
      </c>
      <c r="BJ308">
        <v>0.19999999999999996</v>
      </c>
      <c r="BK308">
        <v>44109</v>
      </c>
      <c r="BL308">
        <v>44356</v>
      </c>
      <c r="BM308">
        <v>8505</v>
      </c>
      <c r="BN308">
        <v>8505</v>
      </c>
      <c r="BO308">
        <v>8505</v>
      </c>
      <c r="BP308">
        <v>25515</v>
      </c>
      <c r="BQ308">
        <v>3300</v>
      </c>
      <c r="BR308">
        <v>400</v>
      </c>
      <c r="BS308">
        <v>400</v>
      </c>
      <c r="BT308">
        <v>4100</v>
      </c>
      <c r="BU308">
        <v>2100</v>
      </c>
      <c r="BV308">
        <v>2100</v>
      </c>
      <c r="BW308">
        <v>2100</v>
      </c>
      <c r="BX308">
        <v>6300</v>
      </c>
      <c r="BY308">
        <v>1050</v>
      </c>
      <c r="BZ308">
        <v>1050</v>
      </c>
      <c r="CA308">
        <v>1050</v>
      </c>
      <c r="CB308">
        <v>3150</v>
      </c>
      <c r="CF308">
        <v>0</v>
      </c>
      <c r="CG308">
        <v>39065</v>
      </c>
      <c r="CK308">
        <v>0</v>
      </c>
      <c r="CL308">
        <v>1915</v>
      </c>
      <c r="CM308">
        <v>1915</v>
      </c>
      <c r="CN308">
        <v>1915</v>
      </c>
      <c r="CO308">
        <v>5745</v>
      </c>
      <c r="CP308">
        <v>500</v>
      </c>
      <c r="CQ308">
        <v>500</v>
      </c>
      <c r="CR308">
        <v>500</v>
      </c>
      <c r="CS308">
        <v>1500</v>
      </c>
      <c r="CT308">
        <v>1000</v>
      </c>
      <c r="CU308">
        <v>1000</v>
      </c>
      <c r="CV308">
        <v>1000</v>
      </c>
      <c r="CW308">
        <v>3000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0</v>
      </c>
      <c r="DN308">
        <v>0</v>
      </c>
      <c r="DO308">
        <v>0</v>
      </c>
      <c r="DP308">
        <v>0</v>
      </c>
      <c r="DR308">
        <v>0</v>
      </c>
      <c r="DS308">
        <v>0</v>
      </c>
      <c r="DT308">
        <v>0</v>
      </c>
      <c r="DY308">
        <v>0</v>
      </c>
      <c r="EC308">
        <v>0</v>
      </c>
      <c r="ED308">
        <v>10245</v>
      </c>
      <c r="EH308">
        <v>0</v>
      </c>
      <c r="EI308">
        <v>1154</v>
      </c>
      <c r="EJ308">
        <v>1154</v>
      </c>
      <c r="EK308">
        <v>1155</v>
      </c>
      <c r="EL308">
        <v>3500</v>
      </c>
      <c r="EM308">
        <v>37.065000000000005</v>
      </c>
      <c r="EN308">
        <v>660</v>
      </c>
      <c r="EO308">
        <v>660</v>
      </c>
      <c r="EP308">
        <v>659</v>
      </c>
      <c r="EQ308">
        <v>2000</v>
      </c>
      <c r="ER308">
        <v>21.24</v>
      </c>
      <c r="ES308">
        <v>7807</v>
      </c>
      <c r="ET308">
        <v>7807</v>
      </c>
      <c r="EU308">
        <v>7807</v>
      </c>
      <c r="EV308">
        <v>24415</v>
      </c>
      <c r="EW308">
        <v>1037</v>
      </c>
      <c r="FA308">
        <v>0</v>
      </c>
      <c r="FE308">
        <v>0</v>
      </c>
      <c r="FI308">
        <v>0</v>
      </c>
      <c r="FJ308">
        <v>28819.5458</v>
      </c>
      <c r="FK308">
        <v>28820</v>
      </c>
      <c r="FL308">
        <v>0.47435040521360183</v>
      </c>
      <c r="FM308">
        <v>0.45420000000012806</v>
      </c>
      <c r="FO308" t="s">
        <v>3832</v>
      </c>
      <c r="FP308" t="s">
        <v>3833</v>
      </c>
      <c r="FQ308" t="s">
        <v>1370</v>
      </c>
      <c r="FR308" t="s">
        <v>3834</v>
      </c>
    </row>
    <row r="309" spans="1:174" x14ac:dyDescent="0.35">
      <c r="A309">
        <v>198217</v>
      </c>
      <c r="B309" t="s">
        <v>601</v>
      </c>
      <c r="C309" t="s">
        <v>602</v>
      </c>
      <c r="D309" t="s">
        <v>603</v>
      </c>
      <c r="E309" s="43" t="s">
        <v>604</v>
      </c>
      <c r="F309">
        <v>1</v>
      </c>
      <c r="G309">
        <v>43781</v>
      </c>
      <c r="H309">
        <v>43781</v>
      </c>
      <c r="I309">
        <v>43781</v>
      </c>
      <c r="L309" s="43" t="s">
        <v>3204</v>
      </c>
      <c r="M309" t="s">
        <v>605</v>
      </c>
      <c r="N309" s="43"/>
      <c r="O309" s="43"/>
      <c r="P309" s="43"/>
      <c r="Q309" s="43"/>
      <c r="R309">
        <v>3.3</v>
      </c>
      <c r="S309">
        <v>44109</v>
      </c>
      <c r="T309" t="s">
        <v>285</v>
      </c>
      <c r="U309" t="s">
        <v>266</v>
      </c>
      <c r="V309" t="s">
        <v>267</v>
      </c>
      <c r="W309" t="s">
        <v>268</v>
      </c>
      <c r="X309" t="s">
        <v>269</v>
      </c>
      <c r="Y309">
        <v>8883022894</v>
      </c>
      <c r="Z309" t="s">
        <v>270</v>
      </c>
      <c r="AA309" t="s">
        <v>271</v>
      </c>
      <c r="AB309" t="s">
        <v>610</v>
      </c>
      <c r="AC309">
        <v>0</v>
      </c>
      <c r="AD309" t="s">
        <v>611</v>
      </c>
      <c r="AE309" t="s">
        <v>364</v>
      </c>
      <c r="AF309">
        <v>3</v>
      </c>
      <c r="AG309" t="s">
        <v>275</v>
      </c>
      <c r="AH309" t="s">
        <v>3231</v>
      </c>
      <c r="AI309" t="s">
        <v>3232</v>
      </c>
      <c r="AJ309" t="s">
        <v>3207</v>
      </c>
      <c r="AK309" s="43" t="s">
        <v>3208</v>
      </c>
      <c r="AL309" s="43" t="s">
        <v>3209</v>
      </c>
      <c r="AO309" s="23"/>
      <c r="AP309" s="23"/>
      <c r="AQ309" s="23"/>
      <c r="BD309" s="43" t="s">
        <v>2018</v>
      </c>
      <c r="BE309" s="43" t="s">
        <v>2018</v>
      </c>
      <c r="BF309" s="43" t="s">
        <v>2018</v>
      </c>
      <c r="BG309" s="43" t="s">
        <v>2018</v>
      </c>
      <c r="BH309" t="s">
        <v>2018</v>
      </c>
      <c r="BI309" s="43" t="s">
        <v>2018</v>
      </c>
      <c r="BJ309">
        <v>0</v>
      </c>
      <c r="BK309">
        <v>44109</v>
      </c>
      <c r="BL309">
        <v>44356</v>
      </c>
      <c r="BM309">
        <v>8505</v>
      </c>
      <c r="BN309">
        <v>8505</v>
      </c>
      <c r="BO309">
        <v>8505</v>
      </c>
      <c r="BP309">
        <v>25515</v>
      </c>
      <c r="BQ309">
        <v>3300</v>
      </c>
      <c r="BR309">
        <v>400</v>
      </c>
      <c r="BS309">
        <v>400</v>
      </c>
      <c r="BT309">
        <v>4100</v>
      </c>
      <c r="BU309">
        <v>2100</v>
      </c>
      <c r="BV309">
        <v>2100</v>
      </c>
      <c r="BW309">
        <v>2100</v>
      </c>
      <c r="BX309">
        <v>6300</v>
      </c>
      <c r="BY309">
        <v>1200</v>
      </c>
      <c r="BZ309">
        <v>1200</v>
      </c>
      <c r="CA309">
        <v>1200</v>
      </c>
      <c r="CB309">
        <v>3600</v>
      </c>
      <c r="CC309">
        <v>0</v>
      </c>
      <c r="CD309">
        <v>0</v>
      </c>
      <c r="CE309">
        <v>0</v>
      </c>
      <c r="CF309">
        <v>0</v>
      </c>
      <c r="CG309">
        <v>39515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1300</v>
      </c>
      <c r="CU309">
        <v>1300</v>
      </c>
      <c r="CV309">
        <v>1300</v>
      </c>
      <c r="CW309">
        <v>3900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3900</v>
      </c>
      <c r="EH309">
        <v>0</v>
      </c>
      <c r="EI309">
        <v>1154</v>
      </c>
      <c r="EJ309">
        <v>1154</v>
      </c>
      <c r="EK309">
        <v>1155</v>
      </c>
      <c r="EL309">
        <v>3500</v>
      </c>
      <c r="EM309">
        <v>37.065000000000005</v>
      </c>
      <c r="EN309">
        <v>660</v>
      </c>
      <c r="EO309">
        <v>660</v>
      </c>
      <c r="EP309">
        <v>659</v>
      </c>
      <c r="EQ309">
        <v>2000</v>
      </c>
      <c r="ER309">
        <v>21.18</v>
      </c>
      <c r="ES309">
        <v>0</v>
      </c>
      <c r="ET309">
        <v>0</v>
      </c>
      <c r="EU309">
        <v>0</v>
      </c>
      <c r="EV309">
        <v>0</v>
      </c>
      <c r="EW309">
        <v>0</v>
      </c>
      <c r="FA309">
        <v>0</v>
      </c>
      <c r="FE309">
        <v>0</v>
      </c>
      <c r="FI309">
        <v>0</v>
      </c>
      <c r="FJ309">
        <v>5441.7550000000001</v>
      </c>
      <c r="FK309">
        <v>35615</v>
      </c>
      <c r="FL309">
        <v>31511.869203776419</v>
      </c>
      <c r="FM309">
        <v>30173.244999999999</v>
      </c>
      <c r="FO309" t="s">
        <v>606</v>
      </c>
      <c r="FP309" t="s">
        <v>607</v>
      </c>
      <c r="FQ309" t="s">
        <v>608</v>
      </c>
      <c r="FR309" t="s">
        <v>609</v>
      </c>
    </row>
    <row r="310" spans="1:174" x14ac:dyDescent="0.35">
      <c r="A310">
        <v>199233</v>
      </c>
      <c r="B310" t="s">
        <v>3742</v>
      </c>
      <c r="C310" t="s">
        <v>3743</v>
      </c>
      <c r="D310" t="s">
        <v>3744</v>
      </c>
      <c r="E310" s="43" t="s">
        <v>4203</v>
      </c>
      <c r="J310" t="s">
        <v>3745</v>
      </c>
      <c r="L310" s="43" t="s">
        <v>259</v>
      </c>
      <c r="M310" t="s">
        <v>3746</v>
      </c>
      <c r="N310" s="43"/>
      <c r="O310" s="43"/>
      <c r="P310" s="43"/>
      <c r="Q310" s="43"/>
      <c r="R310">
        <v>3.1219999999999999</v>
      </c>
      <c r="S310">
        <v>44109</v>
      </c>
      <c r="T310" t="s">
        <v>544</v>
      </c>
      <c r="U310" t="s">
        <v>286</v>
      </c>
      <c r="V310" t="s">
        <v>267</v>
      </c>
      <c r="W310" t="s">
        <v>268</v>
      </c>
      <c r="X310" t="s">
        <v>269</v>
      </c>
      <c r="Y310">
        <v>8883022894</v>
      </c>
      <c r="Z310" t="s">
        <v>270</v>
      </c>
      <c r="AA310" t="s">
        <v>271</v>
      </c>
      <c r="AB310" t="s">
        <v>526</v>
      </c>
      <c r="AC310">
        <v>0</v>
      </c>
      <c r="AD310" t="s">
        <v>288</v>
      </c>
      <c r="AE310" t="s">
        <v>301</v>
      </c>
      <c r="AF310">
        <v>1</v>
      </c>
      <c r="AG310" t="s">
        <v>3345</v>
      </c>
      <c r="AH310" t="s">
        <v>259</v>
      </c>
      <c r="AI310" t="s">
        <v>259</v>
      </c>
      <c r="AJ310" t="s">
        <v>259</v>
      </c>
      <c r="AK310" s="43" t="s">
        <v>259</v>
      </c>
      <c r="AL310" s="43" t="s">
        <v>259</v>
      </c>
      <c r="AO310" s="23"/>
      <c r="AP310" s="23"/>
      <c r="AQ310" s="23"/>
      <c r="BD310" s="43" t="s">
        <v>259</v>
      </c>
      <c r="BE310" s="43" t="s">
        <v>259</v>
      </c>
      <c r="BF310" s="43" t="s">
        <v>259</v>
      </c>
      <c r="BG310" s="43" t="s">
        <v>259</v>
      </c>
      <c r="BH310" t="s">
        <v>259</v>
      </c>
      <c r="BI310" s="43" t="s">
        <v>259</v>
      </c>
      <c r="BJ310">
        <v>0</v>
      </c>
      <c r="BK310">
        <v>44109</v>
      </c>
      <c r="BL310">
        <v>44356</v>
      </c>
      <c r="BM310">
        <v>8505</v>
      </c>
      <c r="BN310">
        <v>8505</v>
      </c>
      <c r="BO310">
        <v>8505</v>
      </c>
      <c r="BP310">
        <v>25515</v>
      </c>
      <c r="BQ310">
        <v>3300</v>
      </c>
      <c r="BR310">
        <v>400</v>
      </c>
      <c r="BS310">
        <v>400</v>
      </c>
      <c r="BT310">
        <v>4100</v>
      </c>
      <c r="BU310">
        <v>2100</v>
      </c>
      <c r="BV310">
        <v>2100</v>
      </c>
      <c r="BW310">
        <v>2100</v>
      </c>
      <c r="BX310">
        <v>6300</v>
      </c>
      <c r="BY310">
        <v>1200</v>
      </c>
      <c r="BZ310">
        <v>1200</v>
      </c>
      <c r="CA310">
        <v>1200</v>
      </c>
      <c r="CB310">
        <v>3600</v>
      </c>
      <c r="CF310">
        <v>0</v>
      </c>
      <c r="CG310">
        <v>39515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1700</v>
      </c>
      <c r="CU310">
        <v>1700</v>
      </c>
      <c r="CV310">
        <v>1700</v>
      </c>
      <c r="CW310">
        <v>5100</v>
      </c>
      <c r="CX310">
        <v>3000</v>
      </c>
      <c r="CY310">
        <v>3000</v>
      </c>
      <c r="CZ310">
        <v>3000</v>
      </c>
      <c r="DA310">
        <v>9000</v>
      </c>
      <c r="DB310">
        <v>1000</v>
      </c>
      <c r="DC310">
        <v>1000</v>
      </c>
      <c r="DD310">
        <v>1000</v>
      </c>
      <c r="DE310">
        <v>3000</v>
      </c>
      <c r="DF310">
        <v>0</v>
      </c>
      <c r="DG310">
        <v>0</v>
      </c>
      <c r="DH310">
        <v>0</v>
      </c>
      <c r="DN310">
        <v>0</v>
      </c>
      <c r="DO310">
        <v>0</v>
      </c>
      <c r="DP310">
        <v>0</v>
      </c>
      <c r="DR310">
        <v>0</v>
      </c>
      <c r="DS310">
        <v>0</v>
      </c>
      <c r="DT310">
        <v>0</v>
      </c>
      <c r="DY310">
        <v>0</v>
      </c>
      <c r="EC310">
        <v>0</v>
      </c>
      <c r="ED310">
        <v>17100</v>
      </c>
      <c r="EH310">
        <v>0</v>
      </c>
      <c r="EI310">
        <v>1154</v>
      </c>
      <c r="EJ310">
        <v>1154</v>
      </c>
      <c r="EK310">
        <v>1155</v>
      </c>
      <c r="EL310">
        <v>3500</v>
      </c>
      <c r="EM310">
        <v>37.065000000000005</v>
      </c>
      <c r="EN310">
        <v>660</v>
      </c>
      <c r="EO310">
        <v>660</v>
      </c>
      <c r="EP310">
        <v>659</v>
      </c>
      <c r="EQ310">
        <v>2000</v>
      </c>
      <c r="ER310">
        <v>21.24</v>
      </c>
      <c r="ES310">
        <v>0</v>
      </c>
      <c r="ET310">
        <v>0</v>
      </c>
      <c r="EU310">
        <v>0</v>
      </c>
      <c r="EW310">
        <v>0</v>
      </c>
      <c r="FA310">
        <v>0</v>
      </c>
      <c r="FE310">
        <v>0</v>
      </c>
      <c r="FI310">
        <v>0</v>
      </c>
      <c r="FJ310">
        <v>5441.6949999999997</v>
      </c>
      <c r="FK310">
        <v>22415</v>
      </c>
      <c r="FL310">
        <v>17726.319032500625</v>
      </c>
      <c r="FM310">
        <v>16973.305</v>
      </c>
      <c r="FO310" t="s">
        <v>3747</v>
      </c>
      <c r="FP310" t="s">
        <v>3748</v>
      </c>
      <c r="FQ310" t="s">
        <v>542</v>
      </c>
      <c r="FR310" t="s">
        <v>3749</v>
      </c>
    </row>
    <row r="311" spans="1:174" x14ac:dyDescent="0.35">
      <c r="A311">
        <v>197799</v>
      </c>
      <c r="B311" t="s">
        <v>612</v>
      </c>
      <c r="C311" t="s">
        <v>613</v>
      </c>
      <c r="D311" t="s">
        <v>614</v>
      </c>
      <c r="E311" s="43" t="s">
        <v>615</v>
      </c>
      <c r="F311">
        <v>1</v>
      </c>
      <c r="I311">
        <v>43776</v>
      </c>
      <c r="L311" s="43" t="s">
        <v>259</v>
      </c>
      <c r="M311" t="s">
        <v>616</v>
      </c>
      <c r="N311" s="43"/>
      <c r="O311" s="43"/>
      <c r="P311" s="43"/>
      <c r="Q311" s="43"/>
      <c r="R311">
        <v>3.13</v>
      </c>
      <c r="S311">
        <v>44109</v>
      </c>
      <c r="T311" t="s">
        <v>311</v>
      </c>
      <c r="U311" t="s">
        <v>266</v>
      </c>
      <c r="V311" t="s">
        <v>267</v>
      </c>
      <c r="W311" t="s">
        <v>268</v>
      </c>
      <c r="X311" t="s">
        <v>269</v>
      </c>
      <c r="Y311">
        <v>8883022894</v>
      </c>
      <c r="Z311" t="s">
        <v>270</v>
      </c>
      <c r="AA311" t="s">
        <v>271</v>
      </c>
      <c r="AB311">
        <v>0</v>
      </c>
      <c r="AC311">
        <v>0</v>
      </c>
      <c r="AD311" t="s">
        <v>313</v>
      </c>
      <c r="AE311" t="s">
        <v>274</v>
      </c>
      <c r="AF311">
        <v>9</v>
      </c>
      <c r="AG311" t="s">
        <v>275</v>
      </c>
      <c r="AH311" t="s">
        <v>259</v>
      </c>
      <c r="AI311" t="s">
        <v>259</v>
      </c>
      <c r="AJ311" t="s">
        <v>259</v>
      </c>
      <c r="AK311" s="43" t="s">
        <v>259</v>
      </c>
      <c r="AL311" s="43" t="s">
        <v>259</v>
      </c>
      <c r="AO311" s="23">
        <v>43767</v>
      </c>
      <c r="AP311" s="23"/>
      <c r="AQ311" s="23"/>
      <c r="BD311" s="43" t="s">
        <v>259</v>
      </c>
      <c r="BE311" s="43" t="s">
        <v>259</v>
      </c>
      <c r="BF311" s="43" t="s">
        <v>259</v>
      </c>
      <c r="BG311" s="43" t="s">
        <v>259</v>
      </c>
      <c r="BH311" t="s">
        <v>259</v>
      </c>
      <c r="BI311" s="43" t="s">
        <v>259</v>
      </c>
      <c r="BJ311">
        <v>4.3478260869565188E-2</v>
      </c>
      <c r="BK311">
        <v>44109</v>
      </c>
      <c r="BL311">
        <v>44356</v>
      </c>
      <c r="BM311">
        <v>8505</v>
      </c>
      <c r="BN311">
        <v>8505</v>
      </c>
      <c r="BO311">
        <v>8505</v>
      </c>
      <c r="BP311">
        <v>25515</v>
      </c>
      <c r="BQ311">
        <v>3300</v>
      </c>
      <c r="BR311">
        <v>400</v>
      </c>
      <c r="BS311">
        <v>400</v>
      </c>
      <c r="BT311">
        <v>4100</v>
      </c>
      <c r="BU311">
        <v>2100</v>
      </c>
      <c r="BV311">
        <v>2100</v>
      </c>
      <c r="BW311">
        <v>2100</v>
      </c>
      <c r="BX311">
        <v>6300</v>
      </c>
      <c r="BY311">
        <v>1200</v>
      </c>
      <c r="BZ311">
        <v>1200</v>
      </c>
      <c r="CA311">
        <v>1200</v>
      </c>
      <c r="CB311">
        <v>3600</v>
      </c>
      <c r="CC311">
        <v>0</v>
      </c>
      <c r="CD311">
        <v>0</v>
      </c>
      <c r="CE311">
        <v>0</v>
      </c>
      <c r="CF311">
        <v>0</v>
      </c>
      <c r="CG311">
        <v>39515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H311">
        <v>0</v>
      </c>
      <c r="EI311">
        <v>1154</v>
      </c>
      <c r="EJ311">
        <v>1154</v>
      </c>
      <c r="EK311">
        <v>1155</v>
      </c>
      <c r="EL311">
        <v>3500</v>
      </c>
      <c r="EM311">
        <v>37.065000000000005</v>
      </c>
      <c r="EN311">
        <v>660</v>
      </c>
      <c r="EO311">
        <v>660</v>
      </c>
      <c r="EP311">
        <v>659</v>
      </c>
      <c r="EQ311">
        <v>2000</v>
      </c>
      <c r="ER311">
        <v>21.18</v>
      </c>
      <c r="ES311">
        <v>0</v>
      </c>
      <c r="ET311">
        <v>0</v>
      </c>
      <c r="EU311">
        <v>0</v>
      </c>
      <c r="EV311">
        <v>0</v>
      </c>
      <c r="EW311">
        <v>0</v>
      </c>
      <c r="FA311">
        <v>0</v>
      </c>
      <c r="FE311">
        <v>0</v>
      </c>
      <c r="FI311">
        <v>0</v>
      </c>
      <c r="FJ311">
        <v>5441.7550000000001</v>
      </c>
      <c r="FK311">
        <v>39515</v>
      </c>
      <c r="FL311">
        <v>35584.891177207784</v>
      </c>
      <c r="FM311">
        <v>34073.245000000003</v>
      </c>
      <c r="FO311" t="s">
        <v>617</v>
      </c>
      <c r="FP311" t="s">
        <v>618</v>
      </c>
      <c r="FQ311" t="s">
        <v>342</v>
      </c>
      <c r="FR311" t="s">
        <v>619</v>
      </c>
    </row>
    <row r="312" spans="1:174" x14ac:dyDescent="0.35">
      <c r="A312">
        <v>197675</v>
      </c>
      <c r="B312" t="s">
        <v>620</v>
      </c>
      <c r="C312" t="s">
        <v>621</v>
      </c>
      <c r="D312" t="s">
        <v>622</v>
      </c>
      <c r="E312" s="43" t="s">
        <v>623</v>
      </c>
      <c r="F312">
        <v>2</v>
      </c>
      <c r="G312">
        <v>43776</v>
      </c>
      <c r="H312">
        <v>43776</v>
      </c>
      <c r="I312">
        <v>43776</v>
      </c>
      <c r="K312" t="s">
        <v>1715</v>
      </c>
      <c r="L312" s="43" t="s">
        <v>3204</v>
      </c>
      <c r="M312" t="s">
        <v>624</v>
      </c>
      <c r="N312" s="43"/>
      <c r="O312" s="43"/>
      <c r="P312" s="43"/>
      <c r="Q312" s="43"/>
      <c r="R312">
        <v>2.9</v>
      </c>
      <c r="S312">
        <v>44109</v>
      </c>
      <c r="T312" t="s">
        <v>311</v>
      </c>
      <c r="U312" t="s">
        <v>266</v>
      </c>
      <c r="V312" t="s">
        <v>267</v>
      </c>
      <c r="W312" t="s">
        <v>268</v>
      </c>
      <c r="X312" t="s">
        <v>269</v>
      </c>
      <c r="Y312">
        <v>8883022894</v>
      </c>
      <c r="Z312" t="s">
        <v>270</v>
      </c>
      <c r="AA312" t="s">
        <v>271</v>
      </c>
      <c r="AB312">
        <v>0</v>
      </c>
      <c r="AC312" t="s">
        <v>1346</v>
      </c>
      <c r="AD312" t="s">
        <v>1011</v>
      </c>
      <c r="AE312" t="s">
        <v>354</v>
      </c>
      <c r="AF312">
        <v>6</v>
      </c>
      <c r="AG312" t="s">
        <v>275</v>
      </c>
      <c r="AH312" t="s">
        <v>3588</v>
      </c>
      <c r="AI312" t="s">
        <v>3589</v>
      </c>
      <c r="AJ312" t="s">
        <v>3590</v>
      </c>
      <c r="AK312" s="43" t="s">
        <v>3208</v>
      </c>
      <c r="AL312" s="43" t="s">
        <v>3209</v>
      </c>
      <c r="AO312" s="23"/>
      <c r="AP312" s="23"/>
      <c r="AQ312" s="23"/>
      <c r="BD312" s="43" t="s">
        <v>2018</v>
      </c>
      <c r="BE312" s="43" t="s">
        <v>2018</v>
      </c>
      <c r="BF312" s="43" t="s">
        <v>2018</v>
      </c>
      <c r="BG312" s="43" t="s">
        <v>2018</v>
      </c>
      <c r="BH312" t="s">
        <v>2018</v>
      </c>
      <c r="BI312" s="43" t="s">
        <v>2018</v>
      </c>
      <c r="BJ312">
        <v>0</v>
      </c>
      <c r="BK312">
        <v>44109</v>
      </c>
      <c r="BL312">
        <v>44356</v>
      </c>
      <c r="BM312">
        <v>8505</v>
      </c>
      <c r="BN312">
        <v>8505</v>
      </c>
      <c r="BO312">
        <v>8505</v>
      </c>
      <c r="BP312">
        <v>25515</v>
      </c>
      <c r="BQ312">
        <v>3300</v>
      </c>
      <c r="BR312">
        <v>400</v>
      </c>
      <c r="BS312">
        <v>400</v>
      </c>
      <c r="BT312">
        <v>4100</v>
      </c>
      <c r="BU312">
        <v>2100</v>
      </c>
      <c r="BV312">
        <v>2100</v>
      </c>
      <c r="BW312">
        <v>2100</v>
      </c>
      <c r="BX312">
        <v>6300</v>
      </c>
      <c r="BY312">
        <v>1200</v>
      </c>
      <c r="BZ312">
        <v>1200</v>
      </c>
      <c r="CA312">
        <v>1200</v>
      </c>
      <c r="CB312">
        <v>3600</v>
      </c>
      <c r="CC312">
        <v>0</v>
      </c>
      <c r="CD312">
        <v>0</v>
      </c>
      <c r="CE312">
        <v>0</v>
      </c>
      <c r="CF312">
        <v>0</v>
      </c>
      <c r="CG312">
        <v>39515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750</v>
      </c>
      <c r="CU312">
        <v>750</v>
      </c>
      <c r="CV312">
        <v>750</v>
      </c>
      <c r="CW312">
        <v>2250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2250</v>
      </c>
      <c r="EH312">
        <v>0</v>
      </c>
      <c r="EI312">
        <v>1154</v>
      </c>
      <c r="EJ312">
        <v>1154</v>
      </c>
      <c r="EK312">
        <v>1155</v>
      </c>
      <c r="EL312">
        <v>3500</v>
      </c>
      <c r="EM312">
        <v>37.065000000000005</v>
      </c>
      <c r="EN312">
        <v>660</v>
      </c>
      <c r="EO312">
        <v>660</v>
      </c>
      <c r="EP312">
        <v>659</v>
      </c>
      <c r="EQ312">
        <v>2000</v>
      </c>
      <c r="ER312">
        <v>21.18</v>
      </c>
      <c r="ES312">
        <v>0</v>
      </c>
      <c r="ET312">
        <v>0</v>
      </c>
      <c r="EU312">
        <v>0</v>
      </c>
      <c r="EV312">
        <v>0</v>
      </c>
      <c r="EW312">
        <v>0</v>
      </c>
      <c r="FA312">
        <v>0</v>
      </c>
      <c r="FE312">
        <v>0</v>
      </c>
      <c r="FI312">
        <v>0</v>
      </c>
      <c r="FJ312">
        <v>5441.7550000000001</v>
      </c>
      <c r="FK312">
        <v>37265</v>
      </c>
      <c r="FL312">
        <v>33235.070807920463</v>
      </c>
      <c r="FM312">
        <v>31823.245000000003</v>
      </c>
      <c r="FO312" t="s">
        <v>625</v>
      </c>
      <c r="FP312" t="s">
        <v>626</v>
      </c>
      <c r="FQ312" t="s">
        <v>454</v>
      </c>
      <c r="FR312" t="s">
        <v>627</v>
      </c>
    </row>
    <row r="313" spans="1:174" x14ac:dyDescent="0.35">
      <c r="A313">
        <v>197783</v>
      </c>
      <c r="B313" t="s">
        <v>628</v>
      </c>
      <c r="C313" t="s">
        <v>629</v>
      </c>
      <c r="D313" t="s">
        <v>630</v>
      </c>
      <c r="E313" s="43" t="s">
        <v>631</v>
      </c>
      <c r="L313" s="43" t="s">
        <v>259</v>
      </c>
      <c r="M313" t="s">
        <v>632</v>
      </c>
      <c r="N313" s="43"/>
      <c r="O313" s="43"/>
      <c r="P313" s="43"/>
      <c r="Q313" s="43"/>
      <c r="R313">
        <v>3.1</v>
      </c>
      <c r="S313">
        <v>44109</v>
      </c>
      <c r="T313" t="s">
        <v>311</v>
      </c>
      <c r="U313" t="s">
        <v>266</v>
      </c>
      <c r="V313" t="s">
        <v>267</v>
      </c>
      <c r="W313" t="s">
        <v>268</v>
      </c>
      <c r="X313" t="s">
        <v>269</v>
      </c>
      <c r="Y313">
        <v>8883022894</v>
      </c>
      <c r="Z313" t="s">
        <v>270</v>
      </c>
      <c r="AA313" t="s">
        <v>271</v>
      </c>
      <c r="AB313">
        <v>0</v>
      </c>
      <c r="AC313" t="s">
        <v>636</v>
      </c>
      <c r="AD313" t="s">
        <v>637</v>
      </c>
      <c r="AE313" t="s">
        <v>445</v>
      </c>
      <c r="AF313">
        <v>4</v>
      </c>
      <c r="AG313" t="s">
        <v>275</v>
      </c>
      <c r="AH313" t="s">
        <v>259</v>
      </c>
      <c r="AI313" t="s">
        <v>259</v>
      </c>
      <c r="AJ313" t="s">
        <v>259</v>
      </c>
      <c r="AK313" s="43" t="s">
        <v>259</v>
      </c>
      <c r="AL313" s="43" t="s">
        <v>259</v>
      </c>
      <c r="AO313" s="23"/>
      <c r="AP313" s="23"/>
      <c r="AQ313" s="23"/>
      <c r="BD313" s="43" t="s">
        <v>259</v>
      </c>
      <c r="BE313" s="43" t="s">
        <v>259</v>
      </c>
      <c r="BF313" s="43" t="s">
        <v>259</v>
      </c>
      <c r="BG313" s="43" t="s">
        <v>259</v>
      </c>
      <c r="BH313" t="s">
        <v>259</v>
      </c>
      <c r="BI313" s="43" t="s">
        <v>259</v>
      </c>
      <c r="BJ313">
        <v>0</v>
      </c>
      <c r="BK313">
        <v>44109</v>
      </c>
      <c r="BL313">
        <v>44356</v>
      </c>
      <c r="BM313">
        <v>8505</v>
      </c>
      <c r="BN313">
        <v>8505</v>
      </c>
      <c r="BO313">
        <v>8505</v>
      </c>
      <c r="BP313">
        <v>25515</v>
      </c>
      <c r="BQ313">
        <v>3300</v>
      </c>
      <c r="BR313">
        <v>400</v>
      </c>
      <c r="BS313">
        <v>400</v>
      </c>
      <c r="BT313">
        <v>4100</v>
      </c>
      <c r="BU313">
        <v>2100</v>
      </c>
      <c r="BV313">
        <v>2100</v>
      </c>
      <c r="BW313">
        <v>2100</v>
      </c>
      <c r="BX313">
        <v>6300</v>
      </c>
      <c r="BY313">
        <v>1200</v>
      </c>
      <c r="BZ313">
        <v>1200</v>
      </c>
      <c r="CA313">
        <v>1200</v>
      </c>
      <c r="CB313">
        <v>3600</v>
      </c>
      <c r="CC313">
        <v>0</v>
      </c>
      <c r="CD313">
        <v>0</v>
      </c>
      <c r="CE313">
        <v>0</v>
      </c>
      <c r="CF313">
        <v>0</v>
      </c>
      <c r="CG313">
        <v>39515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1250</v>
      </c>
      <c r="CU313">
        <v>1250</v>
      </c>
      <c r="CV313">
        <v>1250</v>
      </c>
      <c r="CW313">
        <v>3750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3750</v>
      </c>
      <c r="EH313">
        <v>0</v>
      </c>
      <c r="EI313">
        <v>1154</v>
      </c>
      <c r="EJ313">
        <v>1154</v>
      </c>
      <c r="EK313">
        <v>1155</v>
      </c>
      <c r="EL313">
        <v>3500</v>
      </c>
      <c r="EM313">
        <v>37.065000000000005</v>
      </c>
      <c r="EN313">
        <v>660</v>
      </c>
      <c r="EO313">
        <v>660</v>
      </c>
      <c r="EP313">
        <v>659</v>
      </c>
      <c r="EQ313">
        <v>2000</v>
      </c>
      <c r="ER313">
        <v>21.18</v>
      </c>
      <c r="ES313">
        <v>0</v>
      </c>
      <c r="ET313">
        <v>0</v>
      </c>
      <c r="EU313">
        <v>0</v>
      </c>
      <c r="EV313">
        <v>0</v>
      </c>
      <c r="EW313">
        <v>0</v>
      </c>
      <c r="FA313">
        <v>0</v>
      </c>
      <c r="FE313">
        <v>0</v>
      </c>
      <c r="FI313">
        <v>0</v>
      </c>
      <c r="FJ313">
        <v>5441.7550000000001</v>
      </c>
      <c r="FK313">
        <v>35765</v>
      </c>
      <c r="FL313">
        <v>31668.523895062241</v>
      </c>
      <c r="FM313">
        <v>30323.244999999999</v>
      </c>
      <c r="FO313" t="s">
        <v>633</v>
      </c>
      <c r="FP313" t="s">
        <v>634</v>
      </c>
      <c r="FQ313" t="s">
        <v>297</v>
      </c>
      <c r="FR313" t="s">
        <v>635</v>
      </c>
    </row>
    <row r="314" spans="1:174" x14ac:dyDescent="0.35">
      <c r="A314">
        <v>194868</v>
      </c>
      <c r="B314" t="s">
        <v>638</v>
      </c>
      <c r="C314" t="s">
        <v>639</v>
      </c>
      <c r="D314" t="s">
        <v>640</v>
      </c>
      <c r="E314" s="43" t="s">
        <v>641</v>
      </c>
      <c r="L314" s="43" t="s">
        <v>259</v>
      </c>
      <c r="M314" t="s">
        <v>642</v>
      </c>
      <c r="N314" s="43"/>
      <c r="O314" s="43"/>
      <c r="P314" s="43"/>
      <c r="Q314" s="43"/>
      <c r="R314">
        <v>3.524</v>
      </c>
      <c r="S314">
        <v>44109</v>
      </c>
      <c r="T314" t="s">
        <v>311</v>
      </c>
      <c r="U314" t="s">
        <v>286</v>
      </c>
      <c r="V314" t="s">
        <v>267</v>
      </c>
      <c r="W314" t="s">
        <v>268</v>
      </c>
      <c r="X314" t="s">
        <v>269</v>
      </c>
      <c r="Y314">
        <v>8883022894</v>
      </c>
      <c r="Z314" t="s">
        <v>270</v>
      </c>
      <c r="AA314" t="s">
        <v>271</v>
      </c>
      <c r="AB314" t="s">
        <v>287</v>
      </c>
      <c r="AC314">
        <v>0</v>
      </c>
      <c r="AD314" t="s">
        <v>415</v>
      </c>
      <c r="AE314" t="s">
        <v>445</v>
      </c>
      <c r="AF314">
        <v>4</v>
      </c>
      <c r="AG314" t="s">
        <v>275</v>
      </c>
      <c r="AH314" t="s">
        <v>259</v>
      </c>
      <c r="AI314" t="s">
        <v>259</v>
      </c>
      <c r="AJ314" t="s">
        <v>259</v>
      </c>
      <c r="AK314" s="43" t="s">
        <v>259</v>
      </c>
      <c r="AL314" s="43" t="s">
        <v>259</v>
      </c>
      <c r="AO314" s="23"/>
      <c r="AP314" s="23"/>
      <c r="AQ314" s="23"/>
      <c r="BD314" s="43" t="s">
        <v>259</v>
      </c>
      <c r="BE314" s="43" t="s">
        <v>259</v>
      </c>
      <c r="BF314" s="43" t="s">
        <v>259</v>
      </c>
      <c r="BG314" s="43" t="s">
        <v>259</v>
      </c>
      <c r="BH314" t="s">
        <v>259</v>
      </c>
      <c r="BI314" s="43" t="s">
        <v>259</v>
      </c>
      <c r="BJ314">
        <v>0</v>
      </c>
      <c r="BK314">
        <v>44109</v>
      </c>
      <c r="BL314">
        <v>44356</v>
      </c>
      <c r="BM314">
        <v>8505</v>
      </c>
      <c r="BN314">
        <v>8505</v>
      </c>
      <c r="BO314">
        <v>8505</v>
      </c>
      <c r="BP314">
        <v>25515</v>
      </c>
      <c r="BQ314">
        <v>3300</v>
      </c>
      <c r="BR314">
        <v>400</v>
      </c>
      <c r="BS314">
        <v>400</v>
      </c>
      <c r="BT314">
        <v>4100</v>
      </c>
      <c r="BU314">
        <v>2100</v>
      </c>
      <c r="BV314">
        <v>2100</v>
      </c>
      <c r="BW314">
        <v>2100</v>
      </c>
      <c r="BX314">
        <v>6300</v>
      </c>
      <c r="BY314">
        <v>1200</v>
      </c>
      <c r="BZ314">
        <v>1200</v>
      </c>
      <c r="CA314">
        <v>1200</v>
      </c>
      <c r="CB314">
        <v>3600</v>
      </c>
      <c r="CC314">
        <v>0</v>
      </c>
      <c r="CD314">
        <v>0</v>
      </c>
      <c r="CE314">
        <v>0</v>
      </c>
      <c r="CF314">
        <v>0</v>
      </c>
      <c r="CG314">
        <v>39515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1250</v>
      </c>
      <c r="CU314">
        <v>1250</v>
      </c>
      <c r="CV314">
        <v>1250</v>
      </c>
      <c r="CW314">
        <v>3750</v>
      </c>
      <c r="CX314">
        <v>0</v>
      </c>
      <c r="CY314">
        <v>0</v>
      </c>
      <c r="CZ314">
        <v>0</v>
      </c>
      <c r="DA314">
        <v>0</v>
      </c>
      <c r="DB314">
        <v>1000</v>
      </c>
      <c r="DC314">
        <v>1000</v>
      </c>
      <c r="DD314">
        <v>1000</v>
      </c>
      <c r="DE314">
        <v>3000</v>
      </c>
      <c r="DF314">
        <v>0</v>
      </c>
      <c r="DG314">
        <v>0</v>
      </c>
      <c r="DH314">
        <v>0</v>
      </c>
      <c r="DN314">
        <v>0</v>
      </c>
      <c r="DO314">
        <v>0</v>
      </c>
      <c r="DP314">
        <v>0</v>
      </c>
      <c r="DQ314">
        <v>0</v>
      </c>
      <c r="DR314">
        <v>0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6750</v>
      </c>
      <c r="EH314">
        <v>0</v>
      </c>
      <c r="EI314">
        <v>1154</v>
      </c>
      <c r="EJ314">
        <v>1154</v>
      </c>
      <c r="EK314">
        <v>1155</v>
      </c>
      <c r="EL314">
        <v>3500</v>
      </c>
      <c r="EM314">
        <v>37.065000000000005</v>
      </c>
      <c r="EN314">
        <v>660</v>
      </c>
      <c r="EO314">
        <v>660</v>
      </c>
      <c r="EP314">
        <v>659</v>
      </c>
      <c r="EQ314">
        <v>2000</v>
      </c>
      <c r="ER314">
        <v>21.18</v>
      </c>
      <c r="ES314">
        <v>0</v>
      </c>
      <c r="ET314">
        <v>0</v>
      </c>
      <c r="EU314">
        <v>0</v>
      </c>
      <c r="EV314">
        <v>0</v>
      </c>
      <c r="EW314">
        <v>0</v>
      </c>
      <c r="FA314">
        <v>0</v>
      </c>
      <c r="FE314">
        <v>0</v>
      </c>
      <c r="FI314">
        <v>0</v>
      </c>
      <c r="FJ314">
        <v>5441.7550000000001</v>
      </c>
      <c r="FK314">
        <v>32765</v>
      </c>
      <c r="FL314">
        <v>28535.430069345806</v>
      </c>
      <c r="FM314">
        <v>27323.244999999999</v>
      </c>
      <c r="FO314" t="s">
        <v>643</v>
      </c>
      <c r="FP314" t="s">
        <v>644</v>
      </c>
      <c r="FQ314" t="s">
        <v>608</v>
      </c>
      <c r="FR314" t="s">
        <v>645</v>
      </c>
    </row>
    <row r="315" spans="1:174" x14ac:dyDescent="0.35">
      <c r="A315">
        <v>198556</v>
      </c>
      <c r="B315" t="s">
        <v>3459</v>
      </c>
      <c r="C315" t="s">
        <v>3460</v>
      </c>
      <c r="D315" t="s">
        <v>3461</v>
      </c>
      <c r="E315" s="43" t="s">
        <v>4193</v>
      </c>
      <c r="F315">
        <v>1</v>
      </c>
      <c r="I315">
        <v>43803</v>
      </c>
      <c r="L315" s="43" t="s">
        <v>3204</v>
      </c>
      <c r="M315" t="s">
        <v>3462</v>
      </c>
      <c r="N315" s="43"/>
      <c r="O315" s="43"/>
      <c r="P315" s="43"/>
      <c r="Q315" s="43"/>
      <c r="R315">
        <v>3.996</v>
      </c>
      <c r="S315">
        <v>44109</v>
      </c>
      <c r="T315" t="s">
        <v>544</v>
      </c>
      <c r="U315" t="s">
        <v>266</v>
      </c>
      <c r="V315" t="s">
        <v>267</v>
      </c>
      <c r="W315" t="s">
        <v>268</v>
      </c>
      <c r="X315" t="s">
        <v>269</v>
      </c>
      <c r="Y315">
        <v>8883022894</v>
      </c>
      <c r="Z315" t="s">
        <v>270</v>
      </c>
      <c r="AA315" t="s">
        <v>271</v>
      </c>
      <c r="AB315" t="s">
        <v>287</v>
      </c>
      <c r="AC315">
        <v>0</v>
      </c>
      <c r="AD315" t="s">
        <v>1381</v>
      </c>
      <c r="AE315" t="s">
        <v>301</v>
      </c>
      <c r="AF315">
        <v>1</v>
      </c>
      <c r="AG315" t="s">
        <v>3345</v>
      </c>
      <c r="AH315" t="s">
        <v>3226</v>
      </c>
      <c r="AI315" t="s">
        <v>313</v>
      </c>
      <c r="AJ315" t="s">
        <v>3821</v>
      </c>
      <c r="AK315" s="43" t="s">
        <v>1715</v>
      </c>
      <c r="AL315" s="43" t="s">
        <v>259</v>
      </c>
      <c r="AO315" s="23"/>
      <c r="AP315" s="23"/>
      <c r="AQ315" s="23"/>
      <c r="BD315" s="43" t="s">
        <v>259</v>
      </c>
      <c r="BE315" s="43" t="s">
        <v>259</v>
      </c>
      <c r="BF315" s="43" t="s">
        <v>259</v>
      </c>
      <c r="BG315" s="43" t="s">
        <v>259</v>
      </c>
      <c r="BH315" t="s">
        <v>259</v>
      </c>
      <c r="BI315" s="43" t="s">
        <v>259</v>
      </c>
      <c r="BJ315">
        <v>0</v>
      </c>
      <c r="BK315">
        <v>44109</v>
      </c>
      <c r="BL315">
        <v>44356</v>
      </c>
      <c r="BM315">
        <v>8505</v>
      </c>
      <c r="BN315">
        <v>8505</v>
      </c>
      <c r="BO315">
        <v>8505</v>
      </c>
      <c r="BP315">
        <v>25515</v>
      </c>
      <c r="BQ315">
        <v>3300</v>
      </c>
      <c r="BR315">
        <v>400</v>
      </c>
      <c r="BS315">
        <v>400</v>
      </c>
      <c r="BT315">
        <v>4100</v>
      </c>
      <c r="BU315">
        <v>2100</v>
      </c>
      <c r="BV315">
        <v>2100</v>
      </c>
      <c r="BW315">
        <v>2100</v>
      </c>
      <c r="BX315">
        <v>6300</v>
      </c>
      <c r="BY315">
        <v>1200</v>
      </c>
      <c r="BZ315">
        <v>1200</v>
      </c>
      <c r="CA315">
        <v>1200</v>
      </c>
      <c r="CB315">
        <v>3600</v>
      </c>
      <c r="CF315">
        <v>0</v>
      </c>
      <c r="CG315">
        <v>39515</v>
      </c>
      <c r="CK315">
        <v>0</v>
      </c>
      <c r="CL315">
        <v>2065</v>
      </c>
      <c r="CM315">
        <v>2065</v>
      </c>
      <c r="CN315">
        <v>2065</v>
      </c>
      <c r="CO315">
        <v>6195</v>
      </c>
      <c r="CP315">
        <v>500</v>
      </c>
      <c r="CQ315">
        <v>500</v>
      </c>
      <c r="CR315">
        <v>500</v>
      </c>
      <c r="CS315">
        <v>1500</v>
      </c>
      <c r="CT315">
        <v>1700</v>
      </c>
      <c r="CU315">
        <v>1700</v>
      </c>
      <c r="CV315">
        <v>1700</v>
      </c>
      <c r="CW315">
        <v>5100</v>
      </c>
      <c r="CX315">
        <v>3000</v>
      </c>
      <c r="CY315">
        <v>3000</v>
      </c>
      <c r="CZ315">
        <v>3000</v>
      </c>
      <c r="DA315">
        <v>9000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0</v>
      </c>
      <c r="DN315">
        <v>0</v>
      </c>
      <c r="DO315">
        <v>0</v>
      </c>
      <c r="DP315">
        <v>0</v>
      </c>
      <c r="DR315">
        <v>0</v>
      </c>
      <c r="DS315">
        <v>0</v>
      </c>
      <c r="DT315">
        <v>0</v>
      </c>
      <c r="DY315">
        <v>0</v>
      </c>
      <c r="EC315">
        <v>0</v>
      </c>
      <c r="ED315">
        <v>21795</v>
      </c>
      <c r="EH315">
        <v>0</v>
      </c>
      <c r="EI315">
        <v>0</v>
      </c>
      <c r="EJ315">
        <v>0</v>
      </c>
      <c r="EK315">
        <v>0</v>
      </c>
      <c r="EM315">
        <v>0</v>
      </c>
      <c r="EN315">
        <v>660</v>
      </c>
      <c r="EO315">
        <v>660</v>
      </c>
      <c r="EP315">
        <v>659</v>
      </c>
      <c r="EQ315">
        <v>2000</v>
      </c>
      <c r="ER315">
        <v>21.24</v>
      </c>
      <c r="ES315">
        <v>0</v>
      </c>
      <c r="ET315">
        <v>0</v>
      </c>
      <c r="EU315">
        <v>0</v>
      </c>
      <c r="EW315">
        <v>0</v>
      </c>
      <c r="FA315">
        <v>0</v>
      </c>
      <c r="FE315">
        <v>0</v>
      </c>
      <c r="FI315">
        <v>0</v>
      </c>
      <c r="FJ315">
        <v>1978.76</v>
      </c>
      <c r="FK315">
        <v>17720</v>
      </c>
      <c r="FL315">
        <v>16439.593951040188</v>
      </c>
      <c r="FM315">
        <v>15741.24</v>
      </c>
      <c r="FO315" t="s">
        <v>3463</v>
      </c>
      <c r="FP315" t="s">
        <v>3464</v>
      </c>
      <c r="FQ315" t="s">
        <v>542</v>
      </c>
      <c r="FR315" t="s">
        <v>3465</v>
      </c>
    </row>
    <row r="316" spans="1:174" x14ac:dyDescent="0.35">
      <c r="A316">
        <v>196776</v>
      </c>
      <c r="B316" t="s">
        <v>646</v>
      </c>
      <c r="C316" t="s">
        <v>647</v>
      </c>
      <c r="D316" t="s">
        <v>648</v>
      </c>
      <c r="E316" s="43" t="s">
        <v>649</v>
      </c>
      <c r="F316">
        <v>1</v>
      </c>
      <c r="I316">
        <v>43776</v>
      </c>
      <c r="L316" s="43" t="s">
        <v>259</v>
      </c>
      <c r="M316" t="s">
        <v>3466</v>
      </c>
      <c r="N316" s="43"/>
      <c r="O316" s="43"/>
      <c r="P316" s="43"/>
      <c r="Q316" s="43"/>
      <c r="R316">
        <v>3.0652200000000001</v>
      </c>
      <c r="S316">
        <v>44109</v>
      </c>
      <c r="T316" t="s">
        <v>265</v>
      </c>
      <c r="U316" t="s">
        <v>266</v>
      </c>
      <c r="V316" t="s">
        <v>267</v>
      </c>
      <c r="W316" t="s">
        <v>268</v>
      </c>
      <c r="X316" t="s">
        <v>269</v>
      </c>
      <c r="Y316">
        <v>8883022894</v>
      </c>
      <c r="Z316" t="s">
        <v>270</v>
      </c>
      <c r="AA316" t="s">
        <v>271</v>
      </c>
      <c r="AB316">
        <v>0</v>
      </c>
      <c r="AC316" t="s">
        <v>653</v>
      </c>
      <c r="AD316" t="s">
        <v>654</v>
      </c>
      <c r="AE316" t="s">
        <v>445</v>
      </c>
      <c r="AF316">
        <v>4</v>
      </c>
      <c r="AG316" t="s">
        <v>275</v>
      </c>
      <c r="AH316" t="s">
        <v>259</v>
      </c>
      <c r="AI316" t="s">
        <v>259</v>
      </c>
      <c r="AJ316" t="s">
        <v>259</v>
      </c>
      <c r="AK316" s="43" t="s">
        <v>259</v>
      </c>
      <c r="AL316" s="43" t="s">
        <v>259</v>
      </c>
      <c r="AO316" s="23"/>
      <c r="AP316" s="23"/>
      <c r="AQ316" s="23"/>
      <c r="BD316" s="43" t="s">
        <v>259</v>
      </c>
      <c r="BE316" s="43" t="s">
        <v>259</v>
      </c>
      <c r="BF316" s="43" t="s">
        <v>259</v>
      </c>
      <c r="BG316" s="43" t="s">
        <v>259</v>
      </c>
      <c r="BH316" t="s">
        <v>259</v>
      </c>
      <c r="BI316" s="43" t="s">
        <v>259</v>
      </c>
      <c r="BJ316">
        <v>0</v>
      </c>
      <c r="BK316">
        <v>44109</v>
      </c>
      <c r="BL316">
        <v>44356</v>
      </c>
      <c r="BM316">
        <v>8505</v>
      </c>
      <c r="BN316">
        <v>8505</v>
      </c>
      <c r="BO316">
        <v>8505</v>
      </c>
      <c r="BP316">
        <v>25515</v>
      </c>
      <c r="BQ316">
        <v>3300</v>
      </c>
      <c r="BR316">
        <v>400</v>
      </c>
      <c r="BS316">
        <v>400</v>
      </c>
      <c r="BT316">
        <v>4100</v>
      </c>
      <c r="BU316">
        <v>2100</v>
      </c>
      <c r="BV316">
        <v>2100</v>
      </c>
      <c r="BW316">
        <v>2100</v>
      </c>
      <c r="BX316">
        <v>6300</v>
      </c>
      <c r="BY316">
        <v>1200</v>
      </c>
      <c r="BZ316">
        <v>1200</v>
      </c>
      <c r="CA316">
        <v>1200</v>
      </c>
      <c r="CB316">
        <v>3600</v>
      </c>
      <c r="CC316">
        <v>0</v>
      </c>
      <c r="CD316">
        <v>0</v>
      </c>
      <c r="CE316">
        <v>0</v>
      </c>
      <c r="CF316">
        <v>0</v>
      </c>
      <c r="CG316">
        <v>39515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1250</v>
      </c>
      <c r="CU316">
        <v>1250</v>
      </c>
      <c r="CV316">
        <v>1250</v>
      </c>
      <c r="CW316">
        <v>3750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3750</v>
      </c>
      <c r="EH316">
        <v>0</v>
      </c>
      <c r="EI316">
        <v>1154</v>
      </c>
      <c r="EJ316">
        <v>1154</v>
      </c>
      <c r="EK316">
        <v>1155</v>
      </c>
      <c r="EL316">
        <v>3500</v>
      </c>
      <c r="EM316">
        <v>37.065000000000005</v>
      </c>
      <c r="EN316">
        <v>660</v>
      </c>
      <c r="EO316">
        <v>660</v>
      </c>
      <c r="EP316">
        <v>659</v>
      </c>
      <c r="EQ316">
        <v>2000</v>
      </c>
      <c r="ER316">
        <v>21.18</v>
      </c>
      <c r="ES316">
        <v>0</v>
      </c>
      <c r="ET316">
        <v>0</v>
      </c>
      <c r="EU316">
        <v>0</v>
      </c>
      <c r="EV316">
        <v>0</v>
      </c>
      <c r="EW316">
        <v>0</v>
      </c>
      <c r="FA316">
        <v>0</v>
      </c>
      <c r="FE316">
        <v>0</v>
      </c>
      <c r="FI316">
        <v>0</v>
      </c>
      <c r="FJ316">
        <v>5441.7550000000001</v>
      </c>
      <c r="FK316">
        <v>35765</v>
      </c>
      <c r="FL316">
        <v>31668.523895062241</v>
      </c>
      <c r="FM316">
        <v>30323.244999999999</v>
      </c>
      <c r="FO316" t="s">
        <v>650</v>
      </c>
      <c r="FP316" t="s">
        <v>651</v>
      </c>
      <c r="FQ316" t="s">
        <v>454</v>
      </c>
      <c r="FR316" t="s">
        <v>652</v>
      </c>
    </row>
    <row r="317" spans="1:174" x14ac:dyDescent="0.35">
      <c r="A317">
        <v>198092</v>
      </c>
      <c r="B317" t="s">
        <v>655</v>
      </c>
      <c r="C317" t="s">
        <v>547</v>
      </c>
      <c r="D317" t="s">
        <v>656</v>
      </c>
      <c r="E317" s="43" t="s">
        <v>657</v>
      </c>
      <c r="L317" s="43" t="s">
        <v>259</v>
      </c>
      <c r="M317" t="s">
        <v>658</v>
      </c>
      <c r="N317" s="43"/>
      <c r="O317" s="43"/>
      <c r="P317" s="43"/>
      <c r="Q317" s="43"/>
      <c r="R317">
        <v>3.8571399999999998</v>
      </c>
      <c r="S317">
        <v>44109</v>
      </c>
      <c r="T317" t="s">
        <v>311</v>
      </c>
      <c r="U317" t="s">
        <v>266</v>
      </c>
      <c r="V317" t="s">
        <v>267</v>
      </c>
      <c r="W317" t="s">
        <v>268</v>
      </c>
      <c r="X317" t="s">
        <v>269</v>
      </c>
      <c r="Y317">
        <v>8883022894</v>
      </c>
      <c r="Z317" t="s">
        <v>270</v>
      </c>
      <c r="AA317" t="s">
        <v>271</v>
      </c>
      <c r="AB317">
        <v>0</v>
      </c>
      <c r="AC317">
        <v>0</v>
      </c>
      <c r="AD317" t="s">
        <v>313</v>
      </c>
      <c r="AE317" t="s">
        <v>416</v>
      </c>
      <c r="AF317">
        <v>5</v>
      </c>
      <c r="AG317" t="s">
        <v>275</v>
      </c>
      <c r="AH317" t="s">
        <v>259</v>
      </c>
      <c r="AI317" t="s">
        <v>259</v>
      </c>
      <c r="AJ317" t="s">
        <v>259</v>
      </c>
      <c r="AK317" s="43" t="s">
        <v>259</v>
      </c>
      <c r="AL317" s="43" t="s">
        <v>259</v>
      </c>
      <c r="AO317" s="23"/>
      <c r="AP317" s="23"/>
      <c r="AQ317" s="23"/>
      <c r="BD317" s="43" t="s">
        <v>259</v>
      </c>
      <c r="BE317" s="43" t="s">
        <v>259</v>
      </c>
      <c r="BF317" s="43" t="s">
        <v>259</v>
      </c>
      <c r="BG317" s="43" t="s">
        <v>259</v>
      </c>
      <c r="BH317" t="s">
        <v>259</v>
      </c>
      <c r="BI317" s="43" t="s">
        <v>259</v>
      </c>
      <c r="BJ317">
        <v>0</v>
      </c>
      <c r="BK317">
        <v>44109</v>
      </c>
      <c r="BL317">
        <v>44356</v>
      </c>
      <c r="BM317">
        <v>8505</v>
      </c>
      <c r="BN317">
        <v>8505</v>
      </c>
      <c r="BO317">
        <v>8505</v>
      </c>
      <c r="BP317">
        <v>25515</v>
      </c>
      <c r="BQ317">
        <v>3300</v>
      </c>
      <c r="BR317">
        <v>400</v>
      </c>
      <c r="BS317">
        <v>400</v>
      </c>
      <c r="BT317">
        <v>4100</v>
      </c>
      <c r="BU317">
        <v>2100</v>
      </c>
      <c r="BV317">
        <v>2100</v>
      </c>
      <c r="BW317">
        <v>2100</v>
      </c>
      <c r="BX317">
        <v>6300</v>
      </c>
      <c r="BY317">
        <v>1200</v>
      </c>
      <c r="BZ317">
        <v>1200</v>
      </c>
      <c r="CA317">
        <v>1200</v>
      </c>
      <c r="CB317">
        <v>3600</v>
      </c>
      <c r="CC317">
        <v>0</v>
      </c>
      <c r="CD317">
        <v>0</v>
      </c>
      <c r="CE317">
        <v>0</v>
      </c>
      <c r="CF317">
        <v>0</v>
      </c>
      <c r="CG317">
        <v>39515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1000</v>
      </c>
      <c r="CU317">
        <v>1000</v>
      </c>
      <c r="CV317">
        <v>1000</v>
      </c>
      <c r="CW317">
        <v>3000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3000</v>
      </c>
      <c r="EH317">
        <v>0</v>
      </c>
      <c r="EI317">
        <v>1154</v>
      </c>
      <c r="EJ317">
        <v>1154</v>
      </c>
      <c r="EK317">
        <v>1155</v>
      </c>
      <c r="EL317">
        <v>3500</v>
      </c>
      <c r="EM317">
        <v>37.065000000000005</v>
      </c>
      <c r="EN317">
        <v>660</v>
      </c>
      <c r="EO317">
        <v>660</v>
      </c>
      <c r="EP317">
        <v>659</v>
      </c>
      <c r="EQ317">
        <v>2000</v>
      </c>
      <c r="ER317">
        <v>21.18</v>
      </c>
      <c r="ES317">
        <v>0</v>
      </c>
      <c r="ET317">
        <v>0</v>
      </c>
      <c r="EU317">
        <v>0</v>
      </c>
      <c r="EV317">
        <v>0</v>
      </c>
      <c r="EW317">
        <v>0</v>
      </c>
      <c r="FA317">
        <v>0</v>
      </c>
      <c r="FE317">
        <v>0</v>
      </c>
      <c r="FI317">
        <v>0</v>
      </c>
      <c r="FJ317">
        <v>5441.7550000000001</v>
      </c>
      <c r="FK317">
        <v>36515</v>
      </c>
      <c r="FL317">
        <v>32451.797351491354</v>
      </c>
      <c r="FM317">
        <v>31073.245000000003</v>
      </c>
      <c r="FO317" t="s">
        <v>659</v>
      </c>
      <c r="FP317" t="s">
        <v>660</v>
      </c>
      <c r="FQ317" t="s">
        <v>596</v>
      </c>
      <c r="FR317" t="s">
        <v>661</v>
      </c>
    </row>
    <row r="318" spans="1:174" x14ac:dyDescent="0.35">
      <c r="A318">
        <v>194131</v>
      </c>
      <c r="B318" t="s">
        <v>662</v>
      </c>
      <c r="C318" t="s">
        <v>366</v>
      </c>
      <c r="D318" t="s">
        <v>663</v>
      </c>
      <c r="E318" s="43" t="s">
        <v>664</v>
      </c>
      <c r="L318" s="43" t="s">
        <v>259</v>
      </c>
      <c r="M318" t="s">
        <v>665</v>
      </c>
      <c r="N318" s="43"/>
      <c r="O318" s="43"/>
      <c r="P318" s="43"/>
      <c r="Q318" s="43"/>
      <c r="R318">
        <v>3.5</v>
      </c>
      <c r="S318">
        <v>44109</v>
      </c>
      <c r="T318" t="s">
        <v>285</v>
      </c>
      <c r="U318" t="s">
        <v>266</v>
      </c>
      <c r="V318" t="s">
        <v>267</v>
      </c>
      <c r="W318" t="s">
        <v>268</v>
      </c>
      <c r="X318" t="s">
        <v>269</v>
      </c>
      <c r="Y318">
        <v>8883022894</v>
      </c>
      <c r="Z318" t="s">
        <v>270</v>
      </c>
      <c r="AA318" t="s">
        <v>271</v>
      </c>
      <c r="AB318">
        <v>0</v>
      </c>
      <c r="AC318" t="s">
        <v>669</v>
      </c>
      <c r="AD318" t="s">
        <v>670</v>
      </c>
      <c r="AE318" t="s">
        <v>364</v>
      </c>
      <c r="AF318">
        <v>3</v>
      </c>
      <c r="AG318" t="s">
        <v>275</v>
      </c>
      <c r="AH318" t="s">
        <v>259</v>
      </c>
      <c r="AI318" t="s">
        <v>259</v>
      </c>
      <c r="AJ318" t="s">
        <v>259</v>
      </c>
      <c r="AK318" s="43" t="s">
        <v>259</v>
      </c>
      <c r="AL318" s="43" t="s">
        <v>259</v>
      </c>
      <c r="AO318" s="23"/>
      <c r="AP318" s="23"/>
      <c r="AQ318" s="23"/>
      <c r="BD318" s="43" t="s">
        <v>259</v>
      </c>
      <c r="BE318" s="43" t="s">
        <v>259</v>
      </c>
      <c r="BF318" s="43" t="s">
        <v>259</v>
      </c>
      <c r="BG318" s="43" t="s">
        <v>259</v>
      </c>
      <c r="BH318" t="s">
        <v>259</v>
      </c>
      <c r="BI318" s="43" t="s">
        <v>259</v>
      </c>
      <c r="BJ318">
        <v>0</v>
      </c>
      <c r="BK318">
        <v>44109</v>
      </c>
      <c r="BL318">
        <v>44356</v>
      </c>
      <c r="BM318">
        <v>8505</v>
      </c>
      <c r="BN318">
        <v>8505</v>
      </c>
      <c r="BO318">
        <v>8505</v>
      </c>
      <c r="BP318">
        <v>25515</v>
      </c>
      <c r="BQ318">
        <v>3300</v>
      </c>
      <c r="BR318">
        <v>400</v>
      </c>
      <c r="BS318">
        <v>400</v>
      </c>
      <c r="BT318">
        <v>4100</v>
      </c>
      <c r="BU318">
        <v>2100</v>
      </c>
      <c r="BV318">
        <v>2100</v>
      </c>
      <c r="BW318">
        <v>2100</v>
      </c>
      <c r="BX318">
        <v>6300</v>
      </c>
      <c r="BY318">
        <v>1200</v>
      </c>
      <c r="BZ318">
        <v>1200</v>
      </c>
      <c r="CA318">
        <v>1200</v>
      </c>
      <c r="CB318">
        <v>3600</v>
      </c>
      <c r="CC318">
        <v>0</v>
      </c>
      <c r="CD318">
        <v>0</v>
      </c>
      <c r="CE318">
        <v>0</v>
      </c>
      <c r="CF318">
        <v>0</v>
      </c>
      <c r="CG318">
        <v>39515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1300</v>
      </c>
      <c r="CU318">
        <v>1300</v>
      </c>
      <c r="CV318">
        <v>1300</v>
      </c>
      <c r="CW318">
        <v>3900</v>
      </c>
      <c r="CX318">
        <v>0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3900</v>
      </c>
      <c r="EH318">
        <v>0</v>
      </c>
      <c r="EI318">
        <v>1154</v>
      </c>
      <c r="EJ318">
        <v>1154</v>
      </c>
      <c r="EK318">
        <v>1155</v>
      </c>
      <c r="EL318">
        <v>3500</v>
      </c>
      <c r="EM318">
        <v>37.065000000000005</v>
      </c>
      <c r="EN318">
        <v>660</v>
      </c>
      <c r="EO318">
        <v>660</v>
      </c>
      <c r="EP318">
        <v>659</v>
      </c>
      <c r="EQ318">
        <v>2000</v>
      </c>
      <c r="ER318">
        <v>21.18</v>
      </c>
      <c r="ES318">
        <v>0</v>
      </c>
      <c r="ET318">
        <v>0</v>
      </c>
      <c r="EU318">
        <v>0</v>
      </c>
      <c r="EV318">
        <v>0</v>
      </c>
      <c r="EW318">
        <v>0</v>
      </c>
      <c r="FA318">
        <v>0</v>
      </c>
      <c r="FE318">
        <v>0</v>
      </c>
      <c r="FI318">
        <v>0</v>
      </c>
      <c r="FJ318">
        <v>5441.7550000000001</v>
      </c>
      <c r="FK318">
        <v>35615</v>
      </c>
      <c r="FL318">
        <v>31511.869203776419</v>
      </c>
      <c r="FM318">
        <v>30173.244999999999</v>
      </c>
      <c r="FO318" t="s">
        <v>666</v>
      </c>
      <c r="FP318" t="s">
        <v>667</v>
      </c>
      <c r="FQ318" t="s">
        <v>342</v>
      </c>
      <c r="FR318" t="s">
        <v>668</v>
      </c>
    </row>
    <row r="319" spans="1:174" x14ac:dyDescent="0.35">
      <c r="A319">
        <v>198890</v>
      </c>
      <c r="B319" t="s">
        <v>671</v>
      </c>
      <c r="C319" t="s">
        <v>672</v>
      </c>
      <c r="D319" t="s">
        <v>673</v>
      </c>
      <c r="E319" s="43" t="s">
        <v>3282</v>
      </c>
      <c r="L319" s="43" t="s">
        <v>259</v>
      </c>
      <c r="M319" t="s">
        <v>674</v>
      </c>
      <c r="N319" s="43"/>
      <c r="O319" s="43"/>
      <c r="P319" s="43"/>
      <c r="Q319" s="43"/>
      <c r="R319">
        <v>2.5419999999999998</v>
      </c>
      <c r="S319">
        <v>44109</v>
      </c>
      <c r="T319" t="s">
        <v>311</v>
      </c>
      <c r="U319" t="s">
        <v>266</v>
      </c>
      <c r="V319" t="s">
        <v>267</v>
      </c>
      <c r="W319" t="s">
        <v>268</v>
      </c>
      <c r="X319" t="s">
        <v>269</v>
      </c>
      <c r="Y319">
        <v>8883022894</v>
      </c>
      <c r="Z319" t="s">
        <v>270</v>
      </c>
      <c r="AA319" t="s">
        <v>271</v>
      </c>
      <c r="AB319" t="s">
        <v>679</v>
      </c>
      <c r="AC319">
        <v>0</v>
      </c>
      <c r="AD319" t="s">
        <v>375</v>
      </c>
      <c r="AE319" t="s">
        <v>274</v>
      </c>
      <c r="AF319">
        <v>9</v>
      </c>
      <c r="AG319" t="s">
        <v>446</v>
      </c>
      <c r="AH319" t="s">
        <v>259</v>
      </c>
      <c r="AI319" t="s">
        <v>259</v>
      </c>
      <c r="AJ319" t="s">
        <v>259</v>
      </c>
      <c r="AK319" s="43" t="s">
        <v>259</v>
      </c>
      <c r="AL319" s="43" t="s">
        <v>259</v>
      </c>
      <c r="AO319" s="23"/>
      <c r="AP319" s="23"/>
      <c r="AQ319" s="23"/>
      <c r="BD319" s="43" t="s">
        <v>259</v>
      </c>
      <c r="BE319" s="43" t="s">
        <v>259</v>
      </c>
      <c r="BF319" s="43" t="s">
        <v>259</v>
      </c>
      <c r="BG319" s="43" t="s">
        <v>259</v>
      </c>
      <c r="BH319" t="s">
        <v>259</v>
      </c>
      <c r="BI319" s="43" t="s">
        <v>259</v>
      </c>
      <c r="BJ319">
        <v>0</v>
      </c>
      <c r="BK319">
        <v>44109</v>
      </c>
      <c r="BL319">
        <v>44356</v>
      </c>
      <c r="BM319">
        <v>8505</v>
      </c>
      <c r="BN319">
        <v>8505</v>
      </c>
      <c r="BO319">
        <v>8505</v>
      </c>
      <c r="BP319">
        <v>25515</v>
      </c>
      <c r="BQ319">
        <v>3300</v>
      </c>
      <c r="BR319">
        <v>400</v>
      </c>
      <c r="BS319">
        <v>400</v>
      </c>
      <c r="BT319">
        <v>4100</v>
      </c>
      <c r="BU319">
        <v>2100</v>
      </c>
      <c r="BV319">
        <v>2100</v>
      </c>
      <c r="BW319">
        <v>2100</v>
      </c>
      <c r="BX319">
        <v>6300</v>
      </c>
      <c r="BY319">
        <v>1200</v>
      </c>
      <c r="BZ319">
        <v>1200</v>
      </c>
      <c r="CA319">
        <v>1200</v>
      </c>
      <c r="CB319">
        <v>3600</v>
      </c>
      <c r="CF319">
        <v>0</v>
      </c>
      <c r="CG319">
        <v>39515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N319">
        <v>0</v>
      </c>
      <c r="DO319">
        <v>0</v>
      </c>
      <c r="DP319">
        <v>0</v>
      </c>
      <c r="DR319">
        <v>0</v>
      </c>
      <c r="DS319">
        <v>0</v>
      </c>
      <c r="DT319">
        <v>0</v>
      </c>
      <c r="DY319">
        <v>0</v>
      </c>
      <c r="EC319">
        <v>0</v>
      </c>
      <c r="ED319">
        <v>0</v>
      </c>
      <c r="EH319">
        <v>0</v>
      </c>
      <c r="EI319">
        <v>0</v>
      </c>
      <c r="EJ319">
        <v>0</v>
      </c>
      <c r="EK319">
        <v>0</v>
      </c>
      <c r="EM319">
        <v>0</v>
      </c>
      <c r="EN319">
        <v>660</v>
      </c>
      <c r="EO319">
        <v>660</v>
      </c>
      <c r="EP319">
        <v>659</v>
      </c>
      <c r="EQ319">
        <v>2000</v>
      </c>
      <c r="ER319">
        <v>21.24</v>
      </c>
      <c r="ES319">
        <v>0</v>
      </c>
      <c r="ET319">
        <v>0</v>
      </c>
      <c r="EU319">
        <v>0</v>
      </c>
      <c r="EW319">
        <v>0</v>
      </c>
      <c r="FA319">
        <v>0</v>
      </c>
      <c r="FE319">
        <v>0</v>
      </c>
      <c r="FI319">
        <v>0</v>
      </c>
      <c r="FJ319">
        <v>1978.76</v>
      </c>
      <c r="FK319">
        <v>39515</v>
      </c>
      <c r="FL319">
        <v>39201.520594870075</v>
      </c>
      <c r="FM319">
        <v>37536.239999999998</v>
      </c>
      <c r="FO319" t="s">
        <v>675</v>
      </c>
      <c r="FP319" t="s">
        <v>676</v>
      </c>
      <c r="FQ319" t="s">
        <v>677</v>
      </c>
      <c r="FR319" t="s">
        <v>678</v>
      </c>
    </row>
    <row r="320" spans="1:174" x14ac:dyDescent="0.35">
      <c r="A320">
        <v>198179</v>
      </c>
      <c r="B320" t="s">
        <v>680</v>
      </c>
      <c r="C320" t="s">
        <v>681</v>
      </c>
      <c r="D320" t="s">
        <v>682</v>
      </c>
      <c r="E320" s="43" t="s">
        <v>683</v>
      </c>
      <c r="F320">
        <v>1</v>
      </c>
      <c r="I320">
        <v>43776</v>
      </c>
      <c r="L320" s="43" t="s">
        <v>3204</v>
      </c>
      <c r="M320" t="s">
        <v>684</v>
      </c>
      <c r="N320" s="43"/>
      <c r="O320" s="43"/>
      <c r="P320" s="43"/>
      <c r="Q320" s="43"/>
      <c r="R320">
        <v>3.9169999999999998</v>
      </c>
      <c r="S320">
        <v>44109</v>
      </c>
      <c r="T320" t="s">
        <v>311</v>
      </c>
      <c r="U320" t="s">
        <v>286</v>
      </c>
      <c r="V320" t="s">
        <v>267</v>
      </c>
      <c r="W320" t="s">
        <v>268</v>
      </c>
      <c r="X320" t="s">
        <v>269</v>
      </c>
      <c r="Y320">
        <v>8883022894</v>
      </c>
      <c r="Z320" t="s">
        <v>270</v>
      </c>
      <c r="AA320" t="s">
        <v>271</v>
      </c>
      <c r="AB320">
        <v>0</v>
      </c>
      <c r="AC320" t="s">
        <v>653</v>
      </c>
      <c r="AD320" t="s">
        <v>434</v>
      </c>
      <c r="AE320" t="s">
        <v>301</v>
      </c>
      <c r="AF320">
        <v>1</v>
      </c>
      <c r="AG320" t="s">
        <v>275</v>
      </c>
      <c r="AH320" t="s">
        <v>3316</v>
      </c>
      <c r="AI320" t="s">
        <v>3317</v>
      </c>
      <c r="AJ320" t="s">
        <v>3309</v>
      </c>
      <c r="AK320" s="43" t="s">
        <v>1715</v>
      </c>
      <c r="AL320" s="43" t="s">
        <v>259</v>
      </c>
      <c r="AO320" s="23"/>
      <c r="AP320" s="23"/>
      <c r="AQ320" s="23"/>
      <c r="BD320" s="43" t="s">
        <v>259</v>
      </c>
      <c r="BE320" s="43" t="s">
        <v>259</v>
      </c>
      <c r="BF320" s="43" t="s">
        <v>259</v>
      </c>
      <c r="BG320" s="43" t="s">
        <v>259</v>
      </c>
      <c r="BH320" t="s">
        <v>259</v>
      </c>
      <c r="BI320" s="43" t="s">
        <v>259</v>
      </c>
      <c r="BJ320">
        <v>0</v>
      </c>
      <c r="BK320">
        <v>44109</v>
      </c>
      <c r="BL320">
        <v>44356</v>
      </c>
      <c r="BM320">
        <v>8505</v>
      </c>
      <c r="BN320">
        <v>8505</v>
      </c>
      <c r="BO320">
        <v>8505</v>
      </c>
      <c r="BP320">
        <v>25515</v>
      </c>
      <c r="BQ320">
        <v>3300</v>
      </c>
      <c r="BR320">
        <v>400</v>
      </c>
      <c r="BS320">
        <v>400</v>
      </c>
      <c r="BT320">
        <v>4100</v>
      </c>
      <c r="BU320">
        <v>2100</v>
      </c>
      <c r="BV320">
        <v>2100</v>
      </c>
      <c r="BW320">
        <v>2100</v>
      </c>
      <c r="BX320">
        <v>6300</v>
      </c>
      <c r="BY320">
        <v>1200</v>
      </c>
      <c r="BZ320">
        <v>1200</v>
      </c>
      <c r="CA320">
        <v>1200</v>
      </c>
      <c r="CB320">
        <v>3600</v>
      </c>
      <c r="CC320">
        <v>0</v>
      </c>
      <c r="CD320">
        <v>0</v>
      </c>
      <c r="CE320">
        <v>0</v>
      </c>
      <c r="CF320">
        <v>0</v>
      </c>
      <c r="CG320">
        <v>39515</v>
      </c>
      <c r="CK320">
        <v>0</v>
      </c>
      <c r="CL320">
        <v>1882</v>
      </c>
      <c r="CM320">
        <v>1882</v>
      </c>
      <c r="CN320">
        <v>1881</v>
      </c>
      <c r="CO320">
        <v>5645</v>
      </c>
      <c r="CP320">
        <v>500</v>
      </c>
      <c r="CQ320">
        <v>500</v>
      </c>
      <c r="CR320">
        <v>500</v>
      </c>
      <c r="CS320">
        <v>1500</v>
      </c>
      <c r="CT320">
        <v>1700</v>
      </c>
      <c r="CU320">
        <v>1700</v>
      </c>
      <c r="CV320">
        <v>1700</v>
      </c>
      <c r="CW320">
        <v>5100</v>
      </c>
      <c r="CX320">
        <v>0</v>
      </c>
      <c r="CY320">
        <v>0</v>
      </c>
      <c r="CZ320">
        <v>0</v>
      </c>
      <c r="DA320">
        <v>0</v>
      </c>
      <c r="DB320">
        <v>1000</v>
      </c>
      <c r="DC320">
        <v>1000</v>
      </c>
      <c r="DD320">
        <v>1000</v>
      </c>
      <c r="DE320">
        <v>3000</v>
      </c>
      <c r="DF320">
        <v>0</v>
      </c>
      <c r="DG320">
        <v>0</v>
      </c>
      <c r="DH320">
        <v>0</v>
      </c>
      <c r="DN320">
        <v>0</v>
      </c>
      <c r="DO320">
        <v>0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15245</v>
      </c>
      <c r="EH320">
        <v>0</v>
      </c>
      <c r="EI320">
        <v>1154</v>
      </c>
      <c r="EJ320">
        <v>1154</v>
      </c>
      <c r="EK320">
        <v>1155</v>
      </c>
      <c r="EL320">
        <v>3500</v>
      </c>
      <c r="EM320">
        <v>37.065000000000005</v>
      </c>
      <c r="EN320">
        <v>660</v>
      </c>
      <c r="EO320">
        <v>660</v>
      </c>
      <c r="EP320">
        <v>659</v>
      </c>
      <c r="EQ320">
        <v>2000</v>
      </c>
      <c r="ER320">
        <v>21.18</v>
      </c>
      <c r="ES320">
        <v>0</v>
      </c>
      <c r="ET320">
        <v>0</v>
      </c>
      <c r="EU320">
        <v>0</v>
      </c>
      <c r="EV320">
        <v>0</v>
      </c>
      <c r="EW320">
        <v>0</v>
      </c>
      <c r="FA320">
        <v>0</v>
      </c>
      <c r="FE320">
        <v>0</v>
      </c>
      <c r="FI320">
        <v>0</v>
      </c>
      <c r="FJ320">
        <v>5441.7550000000001</v>
      </c>
      <c r="FK320">
        <v>24270</v>
      </c>
      <c r="FL320">
        <v>19663.55271952544</v>
      </c>
      <c r="FM320">
        <v>18828.244999999999</v>
      </c>
      <c r="FO320" t="s">
        <v>685</v>
      </c>
      <c r="FP320" t="s">
        <v>686</v>
      </c>
      <c r="FQ320" t="s">
        <v>687</v>
      </c>
      <c r="FR320" t="s">
        <v>688</v>
      </c>
    </row>
    <row r="321" spans="1:174" x14ac:dyDescent="0.35">
      <c r="A321">
        <v>197503</v>
      </c>
      <c r="B321" t="s">
        <v>689</v>
      </c>
      <c r="C321" t="s">
        <v>690</v>
      </c>
      <c r="D321" t="s">
        <v>691</v>
      </c>
      <c r="E321" s="43" t="s">
        <v>692</v>
      </c>
      <c r="F321">
        <v>1</v>
      </c>
      <c r="I321">
        <v>43782</v>
      </c>
      <c r="L321" s="43" t="s">
        <v>3204</v>
      </c>
      <c r="M321" t="s">
        <v>693</v>
      </c>
      <c r="N321" s="43"/>
      <c r="O321" s="43"/>
      <c r="P321" s="43"/>
      <c r="Q321" s="43"/>
      <c r="R321">
        <v>3.6</v>
      </c>
      <c r="S321">
        <v>44109</v>
      </c>
      <c r="T321" t="s">
        <v>285</v>
      </c>
      <c r="U321" t="s">
        <v>266</v>
      </c>
      <c r="V321" t="s">
        <v>267</v>
      </c>
      <c r="W321" t="s">
        <v>268</v>
      </c>
      <c r="X321" t="s">
        <v>269</v>
      </c>
      <c r="Y321">
        <v>8883022894</v>
      </c>
      <c r="Z321" t="s">
        <v>270</v>
      </c>
      <c r="AA321" t="s">
        <v>271</v>
      </c>
      <c r="AB321">
        <v>0</v>
      </c>
      <c r="AC321" t="s">
        <v>697</v>
      </c>
      <c r="AD321" t="s">
        <v>387</v>
      </c>
      <c r="AE321" t="s">
        <v>301</v>
      </c>
      <c r="AF321">
        <v>1</v>
      </c>
      <c r="AG321" t="s">
        <v>275</v>
      </c>
      <c r="AH321" t="s">
        <v>3233</v>
      </c>
      <c r="AI321" t="s">
        <v>3234</v>
      </c>
      <c r="AJ321" t="s">
        <v>3207</v>
      </c>
      <c r="AK321" s="43" t="s">
        <v>3208</v>
      </c>
      <c r="AL321" s="43" t="s">
        <v>3209</v>
      </c>
      <c r="AO321" s="23"/>
      <c r="AP321" s="23"/>
      <c r="AQ321" s="23"/>
      <c r="BD321" s="43" t="s">
        <v>2018</v>
      </c>
      <c r="BE321" s="43" t="s">
        <v>2018</v>
      </c>
      <c r="BF321" s="43" t="s">
        <v>2018</v>
      </c>
      <c r="BG321" s="43" t="s">
        <v>2018</v>
      </c>
      <c r="BH321" t="s">
        <v>2018</v>
      </c>
      <c r="BI321" s="43" t="s">
        <v>2018</v>
      </c>
      <c r="BJ321">
        <v>0</v>
      </c>
      <c r="BK321">
        <v>44109</v>
      </c>
      <c r="BL321">
        <v>44356</v>
      </c>
      <c r="BM321">
        <v>8505</v>
      </c>
      <c r="BN321">
        <v>8505</v>
      </c>
      <c r="BO321">
        <v>8505</v>
      </c>
      <c r="BP321">
        <v>25515</v>
      </c>
      <c r="BQ321">
        <v>3300</v>
      </c>
      <c r="BR321">
        <v>400</v>
      </c>
      <c r="BS321">
        <v>400</v>
      </c>
      <c r="BT321">
        <v>4100</v>
      </c>
      <c r="BU321">
        <v>2100</v>
      </c>
      <c r="BV321">
        <v>2100</v>
      </c>
      <c r="BW321">
        <v>2100</v>
      </c>
      <c r="BX321">
        <v>6300</v>
      </c>
      <c r="BY321">
        <v>1200</v>
      </c>
      <c r="BZ321">
        <v>1200</v>
      </c>
      <c r="CA321">
        <v>1200</v>
      </c>
      <c r="CB321">
        <v>3600</v>
      </c>
      <c r="CC321">
        <v>0</v>
      </c>
      <c r="CD321">
        <v>0</v>
      </c>
      <c r="CE321">
        <v>0</v>
      </c>
      <c r="CF321">
        <v>0</v>
      </c>
      <c r="CG321">
        <v>39515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1700</v>
      </c>
      <c r="CU321">
        <v>1700</v>
      </c>
      <c r="CV321">
        <v>1700</v>
      </c>
      <c r="CW321">
        <v>5100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5100</v>
      </c>
      <c r="EH321">
        <v>0</v>
      </c>
      <c r="EI321">
        <v>1154</v>
      </c>
      <c r="EJ321">
        <v>1154</v>
      </c>
      <c r="EK321">
        <v>1155</v>
      </c>
      <c r="EL321">
        <v>3500</v>
      </c>
      <c r="EM321">
        <v>37.065000000000005</v>
      </c>
      <c r="EN321">
        <v>660</v>
      </c>
      <c r="EO321">
        <v>660</v>
      </c>
      <c r="EP321">
        <v>659</v>
      </c>
      <c r="EQ321">
        <v>2000</v>
      </c>
      <c r="ER321">
        <v>21.18</v>
      </c>
      <c r="ES321">
        <v>0</v>
      </c>
      <c r="ET321">
        <v>0</v>
      </c>
      <c r="EU321">
        <v>0</v>
      </c>
      <c r="EV321">
        <v>0</v>
      </c>
      <c r="EW321">
        <v>0</v>
      </c>
      <c r="FA321">
        <v>0</v>
      </c>
      <c r="FE321">
        <v>0</v>
      </c>
      <c r="FI321">
        <v>0</v>
      </c>
      <c r="FJ321">
        <v>5441.7550000000001</v>
      </c>
      <c r="FK321">
        <v>34415</v>
      </c>
      <c r="FL321">
        <v>30258.631673489846</v>
      </c>
      <c r="FM321">
        <v>28973.244999999999</v>
      </c>
      <c r="FO321" t="s">
        <v>694</v>
      </c>
      <c r="FP321" t="s">
        <v>695</v>
      </c>
      <c r="FQ321" t="s">
        <v>342</v>
      </c>
      <c r="FR321" t="s">
        <v>696</v>
      </c>
    </row>
    <row r="322" spans="1:174" x14ac:dyDescent="0.35">
      <c r="A322">
        <v>198277</v>
      </c>
      <c r="B322" t="s">
        <v>698</v>
      </c>
      <c r="C322" t="s">
        <v>699</v>
      </c>
      <c r="D322" t="s">
        <v>700</v>
      </c>
      <c r="E322" s="43" t="s">
        <v>701</v>
      </c>
      <c r="F322">
        <v>1</v>
      </c>
      <c r="I322">
        <v>43776</v>
      </c>
      <c r="L322" s="43" t="s">
        <v>3204</v>
      </c>
      <c r="M322" t="s">
        <v>702</v>
      </c>
      <c r="N322" s="43"/>
      <c r="O322" s="43"/>
      <c r="P322" s="43"/>
      <c r="Q322" s="43"/>
      <c r="R322">
        <v>4</v>
      </c>
      <c r="S322">
        <v>44109</v>
      </c>
      <c r="T322" t="s">
        <v>311</v>
      </c>
      <c r="U322" t="s">
        <v>266</v>
      </c>
      <c r="V322" t="s">
        <v>267</v>
      </c>
      <c r="W322" t="s">
        <v>268</v>
      </c>
      <c r="X322" t="s">
        <v>269</v>
      </c>
      <c r="Y322">
        <v>8883022894</v>
      </c>
      <c r="Z322" t="s">
        <v>270</v>
      </c>
      <c r="AA322" t="s">
        <v>271</v>
      </c>
      <c r="AB322">
        <v>0</v>
      </c>
      <c r="AC322" t="s">
        <v>707</v>
      </c>
      <c r="AD322" t="s">
        <v>708</v>
      </c>
      <c r="AE322" t="s">
        <v>301</v>
      </c>
      <c r="AF322">
        <v>1</v>
      </c>
      <c r="AG322" t="s">
        <v>275</v>
      </c>
      <c r="AH322" t="s">
        <v>3591</v>
      </c>
      <c r="AI322" t="s">
        <v>3592</v>
      </c>
      <c r="AJ322" t="s">
        <v>3590</v>
      </c>
      <c r="AK322" s="43" t="s">
        <v>1715</v>
      </c>
      <c r="AL322" s="43" t="s">
        <v>259</v>
      </c>
      <c r="AO322" s="23"/>
      <c r="AP322" s="23"/>
      <c r="AQ322" s="23"/>
      <c r="BD322" s="43" t="s">
        <v>259</v>
      </c>
      <c r="BE322" s="43" t="s">
        <v>259</v>
      </c>
      <c r="BF322" s="43" t="s">
        <v>259</v>
      </c>
      <c r="BG322" s="43" t="s">
        <v>259</v>
      </c>
      <c r="BH322" t="s">
        <v>259</v>
      </c>
      <c r="BI322" s="43" t="s">
        <v>259</v>
      </c>
      <c r="BJ322">
        <v>0</v>
      </c>
      <c r="BK322">
        <v>44109</v>
      </c>
      <c r="BL322">
        <v>44356</v>
      </c>
      <c r="BM322">
        <v>8505</v>
      </c>
      <c r="BN322">
        <v>8505</v>
      </c>
      <c r="BO322">
        <v>8505</v>
      </c>
      <c r="BP322">
        <v>25515</v>
      </c>
      <c r="BQ322">
        <v>3300</v>
      </c>
      <c r="BR322">
        <v>400</v>
      </c>
      <c r="BS322">
        <v>400</v>
      </c>
      <c r="BT322">
        <v>4100</v>
      </c>
      <c r="BU322">
        <v>2100</v>
      </c>
      <c r="BV322">
        <v>2100</v>
      </c>
      <c r="BW322">
        <v>2100</v>
      </c>
      <c r="BX322">
        <v>6300</v>
      </c>
      <c r="BY322">
        <v>1200</v>
      </c>
      <c r="BZ322">
        <v>1200</v>
      </c>
      <c r="CA322">
        <v>1200</v>
      </c>
      <c r="CB322">
        <v>3600</v>
      </c>
      <c r="CC322">
        <v>0</v>
      </c>
      <c r="CD322">
        <v>0</v>
      </c>
      <c r="CE322">
        <v>0</v>
      </c>
      <c r="CF322">
        <v>0</v>
      </c>
      <c r="CG322">
        <v>39515</v>
      </c>
      <c r="CK322">
        <v>0</v>
      </c>
      <c r="CL322">
        <v>415</v>
      </c>
      <c r="CM322">
        <v>415</v>
      </c>
      <c r="CN322">
        <v>415</v>
      </c>
      <c r="CO322">
        <v>1245</v>
      </c>
      <c r="CP322">
        <v>500</v>
      </c>
      <c r="CQ322">
        <v>500</v>
      </c>
      <c r="CR322">
        <v>500</v>
      </c>
      <c r="CS322">
        <v>1500</v>
      </c>
      <c r="CT322">
        <v>1700</v>
      </c>
      <c r="CU322">
        <v>1700</v>
      </c>
      <c r="CV322">
        <v>1700</v>
      </c>
      <c r="CW322">
        <v>5100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7845</v>
      </c>
      <c r="EH322">
        <v>0</v>
      </c>
      <c r="EI322">
        <v>1154</v>
      </c>
      <c r="EJ322">
        <v>1154</v>
      </c>
      <c r="EK322">
        <v>1155</v>
      </c>
      <c r="EL322">
        <v>3500</v>
      </c>
      <c r="EM322">
        <v>37.065000000000005</v>
      </c>
      <c r="EN322">
        <v>660</v>
      </c>
      <c r="EO322">
        <v>660</v>
      </c>
      <c r="EP322">
        <v>659</v>
      </c>
      <c r="EQ322">
        <v>2000</v>
      </c>
      <c r="ER322">
        <v>21.18</v>
      </c>
      <c r="ES322">
        <v>0</v>
      </c>
      <c r="ET322">
        <v>0</v>
      </c>
      <c r="EU322">
        <v>0</v>
      </c>
      <c r="EV322">
        <v>0</v>
      </c>
      <c r="EW322">
        <v>0</v>
      </c>
      <c r="FA322">
        <v>0</v>
      </c>
      <c r="FE322">
        <v>0</v>
      </c>
      <c r="FI322">
        <v>0</v>
      </c>
      <c r="FJ322">
        <v>5441.7550000000001</v>
      </c>
      <c r="FK322">
        <v>31670</v>
      </c>
      <c r="FL322">
        <v>27391.85082295931</v>
      </c>
      <c r="FM322">
        <v>26228.244999999999</v>
      </c>
      <c r="FO322" t="s">
        <v>703</v>
      </c>
      <c r="FP322" t="s">
        <v>704</v>
      </c>
      <c r="FQ322" t="s">
        <v>705</v>
      </c>
      <c r="FR322" t="s">
        <v>706</v>
      </c>
    </row>
    <row r="323" spans="1:174" x14ac:dyDescent="0.35">
      <c r="A323">
        <v>198029</v>
      </c>
      <c r="B323" t="s">
        <v>709</v>
      </c>
      <c r="C323" t="s">
        <v>710</v>
      </c>
      <c r="D323" t="s">
        <v>711</v>
      </c>
      <c r="E323" s="43" t="s">
        <v>712</v>
      </c>
      <c r="L323" s="43" t="s">
        <v>259</v>
      </c>
      <c r="M323" t="s">
        <v>713</v>
      </c>
      <c r="N323" s="43"/>
      <c r="O323" s="43"/>
      <c r="P323" s="43"/>
      <c r="Q323" s="43"/>
      <c r="R323">
        <v>3.91</v>
      </c>
      <c r="S323">
        <v>44109</v>
      </c>
      <c r="T323" t="s">
        <v>265</v>
      </c>
      <c r="U323" t="s">
        <v>266</v>
      </c>
      <c r="V323" t="s">
        <v>267</v>
      </c>
      <c r="W323" t="s">
        <v>268</v>
      </c>
      <c r="X323" t="s">
        <v>269</v>
      </c>
      <c r="Y323">
        <v>8883022894</v>
      </c>
      <c r="Z323" t="s">
        <v>270</v>
      </c>
      <c r="AA323" t="s">
        <v>271</v>
      </c>
      <c r="AB323">
        <v>0</v>
      </c>
      <c r="AC323" t="s">
        <v>717</v>
      </c>
      <c r="AD323" t="s">
        <v>718</v>
      </c>
      <c r="AE323" t="s">
        <v>301</v>
      </c>
      <c r="AF323">
        <v>1</v>
      </c>
      <c r="AG323" t="s">
        <v>275</v>
      </c>
      <c r="AH323" t="s">
        <v>259</v>
      </c>
      <c r="AI323" t="s">
        <v>259</v>
      </c>
      <c r="AJ323" t="s">
        <v>259</v>
      </c>
      <c r="AK323" s="43" t="s">
        <v>259</v>
      </c>
      <c r="AL323" s="43" t="s">
        <v>259</v>
      </c>
      <c r="AO323" s="23"/>
      <c r="AP323" s="23"/>
      <c r="AQ323" s="23"/>
      <c r="BD323" s="43" t="s">
        <v>259</v>
      </c>
      <c r="BE323" s="43" t="s">
        <v>259</v>
      </c>
      <c r="BF323" s="43" t="s">
        <v>259</v>
      </c>
      <c r="BG323" s="43" t="s">
        <v>259</v>
      </c>
      <c r="BH323" t="s">
        <v>259</v>
      </c>
      <c r="BI323" s="43" t="s">
        <v>259</v>
      </c>
      <c r="BJ323">
        <v>0</v>
      </c>
      <c r="BK323">
        <v>44109</v>
      </c>
      <c r="BL323">
        <v>44356</v>
      </c>
      <c r="BM323">
        <v>8505</v>
      </c>
      <c r="BN323">
        <v>8505</v>
      </c>
      <c r="BO323">
        <v>8505</v>
      </c>
      <c r="BP323">
        <v>25515</v>
      </c>
      <c r="BQ323">
        <v>3300</v>
      </c>
      <c r="BR323">
        <v>400</v>
      </c>
      <c r="BS323">
        <v>400</v>
      </c>
      <c r="BT323">
        <v>4100</v>
      </c>
      <c r="BU323">
        <v>2100</v>
      </c>
      <c r="BV323">
        <v>2100</v>
      </c>
      <c r="BW323">
        <v>2100</v>
      </c>
      <c r="BX323">
        <v>6300</v>
      </c>
      <c r="BY323">
        <v>1200</v>
      </c>
      <c r="BZ323">
        <v>1200</v>
      </c>
      <c r="CA323">
        <v>1200</v>
      </c>
      <c r="CB323">
        <v>3600</v>
      </c>
      <c r="CC323">
        <v>0</v>
      </c>
      <c r="CD323">
        <v>0</v>
      </c>
      <c r="CE323">
        <v>0</v>
      </c>
      <c r="CF323">
        <v>0</v>
      </c>
      <c r="CG323">
        <v>39515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1700</v>
      </c>
      <c r="CU323">
        <v>1700</v>
      </c>
      <c r="CV323">
        <v>1700</v>
      </c>
      <c r="CW323">
        <v>5100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5100</v>
      </c>
      <c r="EH323">
        <v>0</v>
      </c>
      <c r="EI323">
        <v>1154</v>
      </c>
      <c r="EJ323">
        <v>1154</v>
      </c>
      <c r="EK323">
        <v>1155</v>
      </c>
      <c r="EL323">
        <v>3500</v>
      </c>
      <c r="EM323">
        <v>37.065000000000005</v>
      </c>
      <c r="EN323">
        <v>660</v>
      </c>
      <c r="EO323">
        <v>660</v>
      </c>
      <c r="EP323">
        <v>659</v>
      </c>
      <c r="EQ323">
        <v>2000</v>
      </c>
      <c r="ER323">
        <v>21.18</v>
      </c>
      <c r="ES323">
        <v>0</v>
      </c>
      <c r="ET323">
        <v>0</v>
      </c>
      <c r="EU323">
        <v>0</v>
      </c>
      <c r="EV323">
        <v>0</v>
      </c>
      <c r="EW323">
        <v>0</v>
      </c>
      <c r="FA323">
        <v>0</v>
      </c>
      <c r="FE323">
        <v>0</v>
      </c>
      <c r="FI323">
        <v>0</v>
      </c>
      <c r="FJ323">
        <v>5441.7550000000001</v>
      </c>
      <c r="FK323">
        <v>34415</v>
      </c>
      <c r="FL323">
        <v>30258.631673489846</v>
      </c>
      <c r="FM323">
        <v>28973.244999999999</v>
      </c>
      <c r="FO323" t="s">
        <v>714</v>
      </c>
      <c r="FP323" t="s">
        <v>715</v>
      </c>
      <c r="FQ323" t="s">
        <v>342</v>
      </c>
      <c r="FR323" t="s">
        <v>716</v>
      </c>
    </row>
    <row r="324" spans="1:174" x14ac:dyDescent="0.35">
      <c r="A324">
        <v>199211</v>
      </c>
      <c r="B324" t="s">
        <v>3889</v>
      </c>
      <c r="C324" t="s">
        <v>3890</v>
      </c>
      <c r="D324" t="s">
        <v>3891</v>
      </c>
      <c r="E324" s="43" t="s">
        <v>4204</v>
      </c>
      <c r="J324" t="s">
        <v>3830</v>
      </c>
      <c r="L324" s="43" t="s">
        <v>259</v>
      </c>
      <c r="M324" t="s">
        <v>3892</v>
      </c>
      <c r="N324" s="43"/>
      <c r="O324" s="43"/>
      <c r="P324" s="43"/>
      <c r="Q324" s="43"/>
      <c r="R324">
        <v>2.931</v>
      </c>
      <c r="S324">
        <v>44109</v>
      </c>
      <c r="T324" t="s">
        <v>311</v>
      </c>
      <c r="U324" t="s">
        <v>286</v>
      </c>
      <c r="V324" t="s">
        <v>1110</v>
      </c>
      <c r="W324" t="s">
        <v>268</v>
      </c>
      <c r="X324" t="s">
        <v>269</v>
      </c>
      <c r="Y324">
        <v>8883022894</v>
      </c>
      <c r="Z324" t="s">
        <v>270</v>
      </c>
      <c r="AA324" t="s">
        <v>271</v>
      </c>
      <c r="AB324">
        <v>0</v>
      </c>
      <c r="AC324" t="s">
        <v>3894</v>
      </c>
      <c r="AD324" t="s">
        <v>273</v>
      </c>
      <c r="AE324" t="s">
        <v>376</v>
      </c>
      <c r="AF324">
        <v>7</v>
      </c>
      <c r="AG324" t="s">
        <v>3345</v>
      </c>
      <c r="AH324" t="s">
        <v>259</v>
      </c>
      <c r="AI324" t="s">
        <v>259</v>
      </c>
      <c r="AJ324" t="s">
        <v>259</v>
      </c>
      <c r="AK324" s="43" t="s">
        <v>259</v>
      </c>
      <c r="AL324" s="43" t="s">
        <v>259</v>
      </c>
      <c r="AO324" s="23"/>
      <c r="AP324" s="23"/>
      <c r="AQ324" s="23"/>
      <c r="BD324" s="43" t="s">
        <v>259</v>
      </c>
      <c r="BE324" s="43" t="s">
        <v>259</v>
      </c>
      <c r="BF324" s="43" t="s">
        <v>259</v>
      </c>
      <c r="BG324" s="43" t="s">
        <v>259</v>
      </c>
      <c r="BH324" t="s">
        <v>259</v>
      </c>
      <c r="BI324" s="43" t="s">
        <v>259</v>
      </c>
      <c r="BJ324">
        <v>0</v>
      </c>
      <c r="BK324">
        <v>44109</v>
      </c>
      <c r="BL324">
        <v>44356</v>
      </c>
      <c r="BP324">
        <v>0</v>
      </c>
      <c r="BT324">
        <v>0</v>
      </c>
      <c r="BX324">
        <v>0</v>
      </c>
      <c r="CB324">
        <v>0</v>
      </c>
      <c r="CF324">
        <v>0</v>
      </c>
      <c r="CG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1000</v>
      </c>
      <c r="DC324">
        <v>1000</v>
      </c>
      <c r="DD324">
        <v>1000</v>
      </c>
      <c r="DE324">
        <v>3000</v>
      </c>
      <c r="DF324">
        <v>0</v>
      </c>
      <c r="DG324">
        <v>0</v>
      </c>
      <c r="DH324">
        <v>0</v>
      </c>
      <c r="DN324">
        <v>0</v>
      </c>
      <c r="DO324">
        <v>0</v>
      </c>
      <c r="DP324">
        <v>0</v>
      </c>
      <c r="DR324">
        <v>0</v>
      </c>
      <c r="DS324">
        <v>0</v>
      </c>
      <c r="DT324">
        <v>0</v>
      </c>
      <c r="DY324">
        <v>0</v>
      </c>
      <c r="EC324">
        <v>0</v>
      </c>
      <c r="ED324">
        <v>3000</v>
      </c>
      <c r="EH324">
        <v>0</v>
      </c>
      <c r="EI324">
        <v>0</v>
      </c>
      <c r="EJ324">
        <v>0</v>
      </c>
      <c r="EK324">
        <v>0</v>
      </c>
      <c r="EM324">
        <v>0</v>
      </c>
      <c r="EN324">
        <v>660</v>
      </c>
      <c r="EO324">
        <v>660</v>
      </c>
      <c r="EP324">
        <v>659</v>
      </c>
      <c r="EQ324">
        <v>2000</v>
      </c>
      <c r="ER324">
        <v>21.24</v>
      </c>
      <c r="ES324">
        <v>0</v>
      </c>
      <c r="ET324">
        <v>0</v>
      </c>
      <c r="EU324">
        <v>0</v>
      </c>
      <c r="EW324">
        <v>0</v>
      </c>
      <c r="FA324">
        <v>0</v>
      </c>
      <c r="FE324">
        <v>0</v>
      </c>
      <c r="FI324">
        <v>0</v>
      </c>
      <c r="FJ324">
        <v>1978.76</v>
      </c>
      <c r="FK324">
        <v>-3000</v>
      </c>
      <c r="FL324">
        <v>-5199.6407385746516</v>
      </c>
      <c r="FM324">
        <v>-4978.76</v>
      </c>
      <c r="FO324" t="s">
        <v>3893</v>
      </c>
      <c r="FP324" t="s">
        <v>2473</v>
      </c>
      <c r="FQ324" t="s">
        <v>309</v>
      </c>
      <c r="FR324" t="s">
        <v>2474</v>
      </c>
    </row>
    <row r="325" spans="1:174" x14ac:dyDescent="0.35">
      <c r="A325">
        <v>196002</v>
      </c>
      <c r="B325" t="s">
        <v>719</v>
      </c>
      <c r="C325" t="s">
        <v>720</v>
      </c>
      <c r="D325" t="s">
        <v>721</v>
      </c>
      <c r="E325" s="43" t="s">
        <v>722</v>
      </c>
      <c r="L325" s="43" t="s">
        <v>259</v>
      </c>
      <c r="M325" t="s">
        <v>723</v>
      </c>
      <c r="N325" s="43"/>
      <c r="O325" s="43"/>
      <c r="P325" s="43"/>
      <c r="Q325" s="43"/>
      <c r="R325">
        <v>3.02</v>
      </c>
      <c r="S325">
        <v>44109</v>
      </c>
      <c r="T325" t="s">
        <v>311</v>
      </c>
      <c r="U325" t="s">
        <v>266</v>
      </c>
      <c r="V325" t="s">
        <v>267</v>
      </c>
      <c r="W325" t="s">
        <v>268</v>
      </c>
      <c r="X325" t="s">
        <v>269</v>
      </c>
      <c r="Y325">
        <v>8883022894</v>
      </c>
      <c r="Z325" t="s">
        <v>270</v>
      </c>
      <c r="AA325" t="s">
        <v>271</v>
      </c>
      <c r="AB325">
        <v>0</v>
      </c>
      <c r="AC325" t="s">
        <v>727</v>
      </c>
      <c r="AD325" t="s">
        <v>728</v>
      </c>
      <c r="AE325" t="s">
        <v>445</v>
      </c>
      <c r="AF325">
        <v>4</v>
      </c>
      <c r="AG325" t="s">
        <v>275</v>
      </c>
      <c r="AH325" t="s">
        <v>259</v>
      </c>
      <c r="AI325" t="s">
        <v>259</v>
      </c>
      <c r="AJ325" t="s">
        <v>259</v>
      </c>
      <c r="AK325" s="43" t="s">
        <v>259</v>
      </c>
      <c r="AL325" s="43" t="s">
        <v>259</v>
      </c>
      <c r="AO325" s="23"/>
      <c r="AP325" s="23"/>
      <c r="AQ325" s="23"/>
      <c r="BD325" s="43" t="s">
        <v>259</v>
      </c>
      <c r="BE325" s="43" t="s">
        <v>259</v>
      </c>
      <c r="BF325" s="43" t="s">
        <v>259</v>
      </c>
      <c r="BG325" s="43" t="s">
        <v>259</v>
      </c>
      <c r="BH325" t="s">
        <v>259</v>
      </c>
      <c r="BI325" s="43" t="s">
        <v>259</v>
      </c>
      <c r="BJ325">
        <v>0</v>
      </c>
      <c r="BK325">
        <v>44109</v>
      </c>
      <c r="BL325">
        <v>44356</v>
      </c>
      <c r="BM325">
        <v>8505</v>
      </c>
      <c r="BN325">
        <v>8505</v>
      </c>
      <c r="BO325">
        <v>8505</v>
      </c>
      <c r="BP325">
        <v>25515</v>
      </c>
      <c r="BQ325">
        <v>3300</v>
      </c>
      <c r="BR325">
        <v>400</v>
      </c>
      <c r="BS325">
        <v>400</v>
      </c>
      <c r="BT325">
        <v>4100</v>
      </c>
      <c r="BU325">
        <v>2100</v>
      </c>
      <c r="BV325">
        <v>2100</v>
      </c>
      <c r="BW325">
        <v>2100</v>
      </c>
      <c r="BX325">
        <v>6300</v>
      </c>
      <c r="BY325">
        <v>1200</v>
      </c>
      <c r="BZ325">
        <v>1200</v>
      </c>
      <c r="CA325">
        <v>1200</v>
      </c>
      <c r="CB325">
        <v>3600</v>
      </c>
      <c r="CC325">
        <v>0</v>
      </c>
      <c r="CD325">
        <v>0</v>
      </c>
      <c r="CE325">
        <v>0</v>
      </c>
      <c r="CF325">
        <v>0</v>
      </c>
      <c r="CG325">
        <v>39515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1250</v>
      </c>
      <c r="CU325">
        <v>1250</v>
      </c>
      <c r="CV325">
        <v>1250</v>
      </c>
      <c r="CW325">
        <v>3750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3750</v>
      </c>
      <c r="EH325">
        <v>0</v>
      </c>
      <c r="EI325">
        <v>1154</v>
      </c>
      <c r="EJ325">
        <v>1154</v>
      </c>
      <c r="EK325">
        <v>1155</v>
      </c>
      <c r="EL325">
        <v>3500</v>
      </c>
      <c r="EM325">
        <v>37.065000000000005</v>
      </c>
      <c r="EN325">
        <v>660</v>
      </c>
      <c r="EO325">
        <v>660</v>
      </c>
      <c r="EP325">
        <v>659</v>
      </c>
      <c r="EQ325">
        <v>2000</v>
      </c>
      <c r="ER325">
        <v>21.18</v>
      </c>
      <c r="ES325">
        <v>0</v>
      </c>
      <c r="ET325">
        <v>0</v>
      </c>
      <c r="EU325">
        <v>0</v>
      </c>
      <c r="EV325">
        <v>0</v>
      </c>
      <c r="EW325">
        <v>0</v>
      </c>
      <c r="FA325">
        <v>0</v>
      </c>
      <c r="FE325">
        <v>0</v>
      </c>
      <c r="FI325">
        <v>0</v>
      </c>
      <c r="FJ325">
        <v>5441.7550000000001</v>
      </c>
      <c r="FK325">
        <v>35765</v>
      </c>
      <c r="FL325">
        <v>31668.523895062241</v>
      </c>
      <c r="FM325">
        <v>30323.244999999999</v>
      </c>
      <c r="FO325" t="s">
        <v>724</v>
      </c>
      <c r="FP325" t="s">
        <v>725</v>
      </c>
      <c r="FQ325" t="s">
        <v>342</v>
      </c>
      <c r="FR325" t="s">
        <v>726</v>
      </c>
    </row>
    <row r="326" spans="1:174" x14ac:dyDescent="0.35">
      <c r="A326">
        <v>198664</v>
      </c>
      <c r="B326" t="s">
        <v>3467</v>
      </c>
      <c r="C326" t="s">
        <v>904</v>
      </c>
      <c r="D326" t="s">
        <v>3468</v>
      </c>
      <c r="E326" s="43" t="s">
        <v>4186</v>
      </c>
      <c r="J326" t="s">
        <v>3425</v>
      </c>
      <c r="L326" s="43" t="s">
        <v>3204</v>
      </c>
      <c r="M326" t="s">
        <v>3469</v>
      </c>
      <c r="N326" s="43"/>
      <c r="O326" s="43"/>
      <c r="P326" s="43"/>
      <c r="Q326" s="43"/>
      <c r="R326">
        <v>3.4762</v>
      </c>
      <c r="S326">
        <v>44109</v>
      </c>
      <c r="T326" t="s">
        <v>311</v>
      </c>
      <c r="U326" t="s">
        <v>266</v>
      </c>
      <c r="V326" t="s">
        <v>1028</v>
      </c>
      <c r="W326" t="s">
        <v>268</v>
      </c>
      <c r="X326" t="s">
        <v>269</v>
      </c>
      <c r="Y326">
        <v>8883022894</v>
      </c>
      <c r="Z326" t="s">
        <v>270</v>
      </c>
      <c r="AA326" t="s">
        <v>271</v>
      </c>
      <c r="AB326" t="s">
        <v>1228</v>
      </c>
      <c r="AC326" t="s">
        <v>3473</v>
      </c>
      <c r="AD326" t="s">
        <v>708</v>
      </c>
      <c r="AE326" t="s">
        <v>301</v>
      </c>
      <c r="AF326">
        <v>1</v>
      </c>
      <c r="AG326" t="s">
        <v>3345</v>
      </c>
      <c r="AH326" t="s">
        <v>3593</v>
      </c>
      <c r="AI326" t="s">
        <v>3594</v>
      </c>
      <c r="AJ326" t="s">
        <v>3309</v>
      </c>
      <c r="AK326" s="43" t="s">
        <v>3208</v>
      </c>
      <c r="AL326" s="43" t="s">
        <v>3209</v>
      </c>
      <c r="AO326" s="23"/>
      <c r="AP326" s="23"/>
      <c r="AQ326" s="23"/>
      <c r="BD326" s="43" t="s">
        <v>2018</v>
      </c>
      <c r="BE326" s="43" t="s">
        <v>2018</v>
      </c>
      <c r="BF326" s="43" t="s">
        <v>2018</v>
      </c>
      <c r="BG326" s="43" t="s">
        <v>2018</v>
      </c>
      <c r="BH326" t="s">
        <v>2018</v>
      </c>
      <c r="BI326" s="43" t="s">
        <v>2018</v>
      </c>
      <c r="BJ326">
        <v>0</v>
      </c>
      <c r="BK326">
        <v>44109</v>
      </c>
      <c r="BL326">
        <v>44356</v>
      </c>
      <c r="BM326">
        <v>8505</v>
      </c>
      <c r="BN326">
        <v>8505</v>
      </c>
      <c r="BO326">
        <v>8505</v>
      </c>
      <c r="BP326">
        <v>25515</v>
      </c>
      <c r="BQ326">
        <v>3300</v>
      </c>
      <c r="BR326">
        <v>400</v>
      </c>
      <c r="BS326">
        <v>400</v>
      </c>
      <c r="BT326">
        <v>4100</v>
      </c>
      <c r="BU326">
        <v>2100</v>
      </c>
      <c r="BV326">
        <v>2100</v>
      </c>
      <c r="BW326">
        <v>2100</v>
      </c>
      <c r="BX326">
        <v>6300</v>
      </c>
      <c r="BY326">
        <v>1200</v>
      </c>
      <c r="BZ326">
        <v>1200</v>
      </c>
      <c r="CA326">
        <v>1200</v>
      </c>
      <c r="CB326">
        <v>3600</v>
      </c>
      <c r="CF326">
        <v>0</v>
      </c>
      <c r="CG326">
        <v>39515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1700</v>
      </c>
      <c r="CU326">
        <v>1700</v>
      </c>
      <c r="CV326">
        <v>1700</v>
      </c>
      <c r="CW326">
        <v>5100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N326">
        <v>0</v>
      </c>
      <c r="DO326">
        <v>0</v>
      </c>
      <c r="DP326">
        <v>0</v>
      </c>
      <c r="DR326">
        <v>0</v>
      </c>
      <c r="DS326">
        <v>0</v>
      </c>
      <c r="DT326">
        <v>0</v>
      </c>
      <c r="DY326">
        <v>0</v>
      </c>
      <c r="EC326">
        <v>0</v>
      </c>
      <c r="ED326">
        <v>5100</v>
      </c>
      <c r="EH326">
        <v>0</v>
      </c>
      <c r="EI326">
        <v>0</v>
      </c>
      <c r="EJ326">
        <v>0</v>
      </c>
      <c r="EK326">
        <v>0</v>
      </c>
      <c r="EM326">
        <v>0</v>
      </c>
      <c r="EN326">
        <v>660</v>
      </c>
      <c r="EO326">
        <v>660</v>
      </c>
      <c r="EP326">
        <v>659</v>
      </c>
      <c r="EQ326">
        <v>2000</v>
      </c>
      <c r="ER326">
        <v>21.24</v>
      </c>
      <c r="ES326">
        <v>0</v>
      </c>
      <c r="ET326">
        <v>0</v>
      </c>
      <c r="EU326">
        <v>0</v>
      </c>
      <c r="EW326">
        <v>0</v>
      </c>
      <c r="FA326">
        <v>0</v>
      </c>
      <c r="FE326">
        <v>0</v>
      </c>
      <c r="FI326">
        <v>0</v>
      </c>
      <c r="FJ326">
        <v>1978.76</v>
      </c>
      <c r="FK326">
        <v>34415</v>
      </c>
      <c r="FL326">
        <v>33875.261091152141</v>
      </c>
      <c r="FM326">
        <v>32436.240000000002</v>
      </c>
      <c r="FO326" t="s">
        <v>3470</v>
      </c>
      <c r="FP326" t="s">
        <v>3471</v>
      </c>
      <c r="FQ326" t="s">
        <v>297</v>
      </c>
      <c r="FR326" t="s">
        <v>3472</v>
      </c>
    </row>
    <row r="327" spans="1:174" x14ac:dyDescent="0.35">
      <c r="A327">
        <v>198106</v>
      </c>
      <c r="B327" t="s">
        <v>3854</v>
      </c>
      <c r="C327" t="s">
        <v>1193</v>
      </c>
      <c r="D327" t="s">
        <v>3855</v>
      </c>
      <c r="E327" s="43" t="s">
        <v>4177</v>
      </c>
      <c r="F327">
        <v>1</v>
      </c>
      <c r="G327">
        <v>43801</v>
      </c>
      <c r="H327">
        <v>43801</v>
      </c>
      <c r="I327">
        <v>43801</v>
      </c>
      <c r="J327" t="s">
        <v>4178</v>
      </c>
      <c r="L327" s="43" t="s">
        <v>3204</v>
      </c>
      <c r="M327" t="s">
        <v>3856</v>
      </c>
      <c r="N327" s="43"/>
      <c r="O327" s="43"/>
      <c r="P327" s="43"/>
      <c r="Q327" s="43"/>
      <c r="R327">
        <v>2.81</v>
      </c>
      <c r="S327">
        <v>44109</v>
      </c>
      <c r="T327" t="s">
        <v>311</v>
      </c>
      <c r="U327" t="s">
        <v>266</v>
      </c>
      <c r="V327" t="s">
        <v>267</v>
      </c>
      <c r="W327" t="s">
        <v>268</v>
      </c>
      <c r="X327" t="s">
        <v>269</v>
      </c>
      <c r="Y327">
        <v>8883022894</v>
      </c>
      <c r="Z327" t="s">
        <v>270</v>
      </c>
      <c r="AA327" t="s">
        <v>271</v>
      </c>
      <c r="AB327">
        <v>0</v>
      </c>
      <c r="AC327">
        <v>0</v>
      </c>
      <c r="AD327" t="s">
        <v>313</v>
      </c>
      <c r="AE327" t="s">
        <v>354</v>
      </c>
      <c r="AF327">
        <v>6</v>
      </c>
      <c r="AG327" t="s">
        <v>3345</v>
      </c>
      <c r="AH327" t="s">
        <v>3226</v>
      </c>
      <c r="AI327" t="s">
        <v>313</v>
      </c>
      <c r="AJ327" t="s">
        <v>4237</v>
      </c>
      <c r="AK327" s="43" t="s">
        <v>3208</v>
      </c>
      <c r="AL327" s="43" t="s">
        <v>3209</v>
      </c>
      <c r="AO327" s="23">
        <v>43801</v>
      </c>
      <c r="AP327" s="23"/>
      <c r="AQ327" s="23"/>
      <c r="BD327" s="43" t="s">
        <v>2018</v>
      </c>
      <c r="BE327" s="43" t="s">
        <v>2018</v>
      </c>
      <c r="BF327" s="43" t="s">
        <v>2018</v>
      </c>
      <c r="BG327" s="43" t="s">
        <v>2018</v>
      </c>
      <c r="BH327" t="s">
        <v>2018</v>
      </c>
      <c r="BI327" s="43" t="s">
        <v>2018</v>
      </c>
      <c r="BJ327">
        <v>5.8823529411764719E-2</v>
      </c>
      <c r="BK327">
        <v>44109</v>
      </c>
      <c r="BL327">
        <v>44356</v>
      </c>
      <c r="BP327">
        <v>0</v>
      </c>
      <c r="BT327">
        <v>0</v>
      </c>
      <c r="BX327">
        <v>0</v>
      </c>
      <c r="CB327">
        <v>0</v>
      </c>
      <c r="CF327">
        <v>0</v>
      </c>
      <c r="CG327">
        <v>0</v>
      </c>
      <c r="CK327">
        <v>0</v>
      </c>
      <c r="CL327">
        <v>2065</v>
      </c>
      <c r="CM327">
        <v>2065</v>
      </c>
      <c r="CN327">
        <v>2065</v>
      </c>
      <c r="CO327">
        <v>6195</v>
      </c>
      <c r="CP327">
        <v>500</v>
      </c>
      <c r="CQ327">
        <v>500</v>
      </c>
      <c r="CR327">
        <v>500</v>
      </c>
      <c r="CS327">
        <v>1500</v>
      </c>
      <c r="CT327">
        <v>750</v>
      </c>
      <c r="CU327">
        <v>750</v>
      </c>
      <c r="CV327">
        <v>750</v>
      </c>
      <c r="CW327">
        <v>2250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N327">
        <v>0</v>
      </c>
      <c r="DO327">
        <v>0</v>
      </c>
      <c r="DP327">
        <v>0</v>
      </c>
      <c r="DR327">
        <v>0</v>
      </c>
      <c r="DS327">
        <v>0</v>
      </c>
      <c r="DT327">
        <v>0</v>
      </c>
      <c r="DY327">
        <v>0</v>
      </c>
      <c r="EC327">
        <v>0</v>
      </c>
      <c r="ED327">
        <v>9945</v>
      </c>
      <c r="EH327">
        <v>0</v>
      </c>
      <c r="EI327">
        <v>0</v>
      </c>
      <c r="EJ327">
        <v>0</v>
      </c>
      <c r="EK327">
        <v>0</v>
      </c>
      <c r="EM327">
        <v>0</v>
      </c>
      <c r="EN327">
        <v>660</v>
      </c>
      <c r="EO327">
        <v>660</v>
      </c>
      <c r="EP327">
        <v>659</v>
      </c>
      <c r="EQ327">
        <v>2000</v>
      </c>
      <c r="ER327">
        <v>21.24</v>
      </c>
      <c r="ES327">
        <v>0</v>
      </c>
      <c r="ET327">
        <v>0</v>
      </c>
      <c r="EU327">
        <v>0</v>
      </c>
      <c r="EW327">
        <v>0</v>
      </c>
      <c r="FA327">
        <v>0</v>
      </c>
      <c r="FE327">
        <v>0</v>
      </c>
      <c r="FI327">
        <v>0</v>
      </c>
      <c r="FJ327">
        <v>1978.76</v>
      </c>
      <c r="FK327">
        <v>-9945</v>
      </c>
      <c r="FL327">
        <v>-12452.752945108195</v>
      </c>
      <c r="FM327">
        <v>-11923.76</v>
      </c>
      <c r="FO327" t="s">
        <v>3857</v>
      </c>
      <c r="FP327" t="s">
        <v>3692</v>
      </c>
      <c r="FQ327" t="s">
        <v>342</v>
      </c>
      <c r="FR327" t="s">
        <v>3858</v>
      </c>
    </row>
    <row r="328" spans="1:174" x14ac:dyDescent="0.35">
      <c r="A328">
        <v>199019</v>
      </c>
      <c r="B328" t="s">
        <v>3474</v>
      </c>
      <c r="C328" t="s">
        <v>3475</v>
      </c>
      <c r="D328" t="s">
        <v>3476</v>
      </c>
      <c r="E328" s="43" t="s">
        <v>4205</v>
      </c>
      <c r="J328" t="s">
        <v>3425</v>
      </c>
      <c r="L328" s="43" t="s">
        <v>259</v>
      </c>
      <c r="M328" t="s">
        <v>3477</v>
      </c>
      <c r="N328" s="43"/>
      <c r="O328" s="43"/>
      <c r="P328" s="43"/>
      <c r="Q328" s="43"/>
      <c r="R328">
        <v>3.5</v>
      </c>
      <c r="S328">
        <v>44109</v>
      </c>
      <c r="T328" t="s">
        <v>311</v>
      </c>
      <c r="U328" t="s">
        <v>286</v>
      </c>
      <c r="V328" t="s">
        <v>267</v>
      </c>
      <c r="W328" t="s">
        <v>268</v>
      </c>
      <c r="X328" t="s">
        <v>269</v>
      </c>
      <c r="Y328">
        <v>8883022894</v>
      </c>
      <c r="Z328" t="s">
        <v>270</v>
      </c>
      <c r="AA328" t="s">
        <v>271</v>
      </c>
      <c r="AB328">
        <v>0</v>
      </c>
      <c r="AC328" t="s">
        <v>3481</v>
      </c>
      <c r="AD328" t="s">
        <v>415</v>
      </c>
      <c r="AE328" t="s">
        <v>301</v>
      </c>
      <c r="AF328">
        <v>1</v>
      </c>
      <c r="AG328" t="s">
        <v>3345</v>
      </c>
      <c r="AH328" t="s">
        <v>259</v>
      </c>
      <c r="AI328" t="s">
        <v>259</v>
      </c>
      <c r="AJ328" t="s">
        <v>259</v>
      </c>
      <c r="AK328" s="43" t="s">
        <v>259</v>
      </c>
      <c r="AL328" s="43" t="s">
        <v>259</v>
      </c>
      <c r="AO328" s="23"/>
      <c r="AP328" s="23"/>
      <c r="AQ328" s="23"/>
      <c r="BD328" s="43" t="s">
        <v>259</v>
      </c>
      <c r="BE328" s="43" t="s">
        <v>259</v>
      </c>
      <c r="BF328" s="43" t="s">
        <v>259</v>
      </c>
      <c r="BG328" s="43" t="s">
        <v>259</v>
      </c>
      <c r="BH328" t="s">
        <v>259</v>
      </c>
      <c r="BI328" s="43" t="s">
        <v>259</v>
      </c>
      <c r="BJ328">
        <v>0</v>
      </c>
      <c r="BK328">
        <v>44109</v>
      </c>
      <c r="BL328">
        <v>44356</v>
      </c>
      <c r="BM328">
        <v>8505</v>
      </c>
      <c r="BN328">
        <v>8505</v>
      </c>
      <c r="BO328">
        <v>8505</v>
      </c>
      <c r="BP328">
        <v>25515</v>
      </c>
      <c r="BQ328">
        <v>3300</v>
      </c>
      <c r="BR328">
        <v>400</v>
      </c>
      <c r="BS328">
        <v>400</v>
      </c>
      <c r="BT328">
        <v>4100</v>
      </c>
      <c r="BU328">
        <v>2100</v>
      </c>
      <c r="BV328">
        <v>2100</v>
      </c>
      <c r="BW328">
        <v>2100</v>
      </c>
      <c r="BX328">
        <v>6300</v>
      </c>
      <c r="BY328">
        <v>1200</v>
      </c>
      <c r="BZ328">
        <v>1200</v>
      </c>
      <c r="CA328">
        <v>1200</v>
      </c>
      <c r="CB328">
        <v>3600</v>
      </c>
      <c r="CF328">
        <v>0</v>
      </c>
      <c r="CG328">
        <v>39515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1700</v>
      </c>
      <c r="CU328">
        <v>1700</v>
      </c>
      <c r="CV328">
        <v>1700</v>
      </c>
      <c r="CW328">
        <v>5100</v>
      </c>
      <c r="CX328">
        <v>0</v>
      </c>
      <c r="CY328">
        <v>0</v>
      </c>
      <c r="CZ328">
        <v>0</v>
      </c>
      <c r="DA328">
        <v>0</v>
      </c>
      <c r="DB328">
        <v>1000</v>
      </c>
      <c r="DC328">
        <v>1000</v>
      </c>
      <c r="DD328">
        <v>1000</v>
      </c>
      <c r="DE328">
        <v>3000</v>
      </c>
      <c r="DF328">
        <v>0</v>
      </c>
      <c r="DG328">
        <v>0</v>
      </c>
      <c r="DH328">
        <v>0</v>
      </c>
      <c r="DN328">
        <v>0</v>
      </c>
      <c r="DO328">
        <v>0</v>
      </c>
      <c r="DP328">
        <v>0</v>
      </c>
      <c r="DR328">
        <v>0</v>
      </c>
      <c r="DS328">
        <v>0</v>
      </c>
      <c r="DT328">
        <v>0</v>
      </c>
      <c r="DY328">
        <v>0</v>
      </c>
      <c r="EC328">
        <v>0</v>
      </c>
      <c r="ED328">
        <v>8100</v>
      </c>
      <c r="EH328">
        <v>0</v>
      </c>
      <c r="EI328">
        <v>0</v>
      </c>
      <c r="EJ328">
        <v>0</v>
      </c>
      <c r="EK328">
        <v>0</v>
      </c>
      <c r="EM328">
        <v>0</v>
      </c>
      <c r="EN328">
        <v>660</v>
      </c>
      <c r="EO328">
        <v>660</v>
      </c>
      <c r="EP328">
        <v>659</v>
      </c>
      <c r="EQ328">
        <v>2000</v>
      </c>
      <c r="ER328">
        <v>21.24</v>
      </c>
      <c r="ES328">
        <v>0</v>
      </c>
      <c r="ET328">
        <v>0</v>
      </c>
      <c r="EU328">
        <v>0</v>
      </c>
      <c r="EW328">
        <v>0</v>
      </c>
      <c r="FA328">
        <v>0</v>
      </c>
      <c r="FE328">
        <v>0</v>
      </c>
      <c r="FI328">
        <v>0</v>
      </c>
      <c r="FJ328">
        <v>1978.76</v>
      </c>
      <c r="FK328">
        <v>31415</v>
      </c>
      <c r="FL328">
        <v>30742.16726543571</v>
      </c>
      <c r="FM328">
        <v>29436.240000000002</v>
      </c>
      <c r="FO328" t="s">
        <v>3478</v>
      </c>
      <c r="FP328" t="s">
        <v>3479</v>
      </c>
      <c r="FQ328" t="s">
        <v>309</v>
      </c>
      <c r="FR328" t="s">
        <v>3480</v>
      </c>
    </row>
    <row r="329" spans="1:174" x14ac:dyDescent="0.35">
      <c r="A329">
        <v>196408</v>
      </c>
      <c r="B329" t="s">
        <v>729</v>
      </c>
      <c r="C329" t="s">
        <v>730</v>
      </c>
      <c r="D329" t="s">
        <v>731</v>
      </c>
      <c r="E329" s="43" t="s">
        <v>3283</v>
      </c>
      <c r="L329" s="43" t="s">
        <v>3204</v>
      </c>
      <c r="M329" t="s">
        <v>732</v>
      </c>
      <c r="N329" s="43"/>
      <c r="O329" s="43"/>
      <c r="P329" s="43"/>
      <c r="Q329" s="43"/>
      <c r="R329">
        <v>3.8</v>
      </c>
      <c r="S329">
        <v>44109</v>
      </c>
      <c r="T329" t="s">
        <v>285</v>
      </c>
      <c r="U329" t="s">
        <v>286</v>
      </c>
      <c r="V329" t="s">
        <v>267</v>
      </c>
      <c r="W329" t="s">
        <v>268</v>
      </c>
      <c r="X329" t="s">
        <v>269</v>
      </c>
      <c r="Y329">
        <v>8883022894</v>
      </c>
      <c r="Z329" t="s">
        <v>270</v>
      </c>
      <c r="AA329" t="s">
        <v>271</v>
      </c>
      <c r="AB329" t="s">
        <v>571</v>
      </c>
      <c r="AC329" t="s">
        <v>737</v>
      </c>
      <c r="AD329" t="s">
        <v>600</v>
      </c>
      <c r="AE329" t="s">
        <v>301</v>
      </c>
      <c r="AF329">
        <v>1</v>
      </c>
      <c r="AG329" t="s">
        <v>446</v>
      </c>
      <c r="AH329" t="s">
        <v>4238</v>
      </c>
      <c r="AI329" t="s">
        <v>4239</v>
      </c>
      <c r="AJ329" t="s">
        <v>4237</v>
      </c>
      <c r="AK329" s="43" t="s">
        <v>3208</v>
      </c>
      <c r="AL329" s="43" t="s">
        <v>3209</v>
      </c>
      <c r="AO329" s="23"/>
      <c r="AP329" s="23"/>
      <c r="AQ329" s="23"/>
      <c r="BD329" s="43" t="s">
        <v>2018</v>
      </c>
      <c r="BE329" s="43" t="s">
        <v>2018</v>
      </c>
      <c r="BF329" s="43" t="s">
        <v>2018</v>
      </c>
      <c r="BG329" s="43" t="s">
        <v>2018</v>
      </c>
      <c r="BH329" t="s">
        <v>2018</v>
      </c>
      <c r="BI329" s="43" t="s">
        <v>2018</v>
      </c>
      <c r="BJ329">
        <v>0</v>
      </c>
      <c r="BK329">
        <v>44109</v>
      </c>
      <c r="BL329">
        <v>44356</v>
      </c>
      <c r="BM329">
        <v>8505</v>
      </c>
      <c r="BN329">
        <v>8505</v>
      </c>
      <c r="BO329">
        <v>8505</v>
      </c>
      <c r="BP329">
        <v>25515</v>
      </c>
      <c r="BQ329">
        <v>3300</v>
      </c>
      <c r="BR329">
        <v>400</v>
      </c>
      <c r="BS329">
        <v>400</v>
      </c>
      <c r="BT329">
        <v>4100</v>
      </c>
      <c r="BU329">
        <v>2100</v>
      </c>
      <c r="BV329">
        <v>2100</v>
      </c>
      <c r="BW329">
        <v>2100</v>
      </c>
      <c r="BX329">
        <v>6300</v>
      </c>
      <c r="BY329">
        <v>1200</v>
      </c>
      <c r="BZ329">
        <v>1200</v>
      </c>
      <c r="CA329">
        <v>1200</v>
      </c>
      <c r="CB329">
        <v>3600</v>
      </c>
      <c r="CF329">
        <v>0</v>
      </c>
      <c r="CG329">
        <v>39515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1700</v>
      </c>
      <c r="CU329">
        <v>1700</v>
      </c>
      <c r="CV329">
        <v>1700</v>
      </c>
      <c r="CW329">
        <v>5100</v>
      </c>
      <c r="CX329">
        <v>0</v>
      </c>
      <c r="CY329">
        <v>0</v>
      </c>
      <c r="CZ329">
        <v>0</v>
      </c>
      <c r="DA329">
        <v>0</v>
      </c>
      <c r="DB329">
        <v>1000</v>
      </c>
      <c r="DC329">
        <v>1000</v>
      </c>
      <c r="DD329">
        <v>1000</v>
      </c>
      <c r="DE329">
        <v>3000</v>
      </c>
      <c r="DF329">
        <v>0</v>
      </c>
      <c r="DG329">
        <v>0</v>
      </c>
      <c r="DH329">
        <v>0</v>
      </c>
      <c r="DN329">
        <v>0</v>
      </c>
      <c r="DO329">
        <v>0</v>
      </c>
      <c r="DP329">
        <v>0</v>
      </c>
      <c r="DR329">
        <v>0</v>
      </c>
      <c r="DS329">
        <v>0</v>
      </c>
      <c r="DT329">
        <v>0</v>
      </c>
      <c r="DY329">
        <v>0</v>
      </c>
      <c r="EC329">
        <v>0</v>
      </c>
      <c r="ED329">
        <v>8100</v>
      </c>
      <c r="EH329">
        <v>0</v>
      </c>
      <c r="EI329">
        <v>0</v>
      </c>
      <c r="EJ329">
        <v>0</v>
      </c>
      <c r="EK329">
        <v>0</v>
      </c>
      <c r="EM329">
        <v>0</v>
      </c>
      <c r="EN329">
        <v>660</v>
      </c>
      <c r="EO329">
        <v>660</v>
      </c>
      <c r="EP329">
        <v>659</v>
      </c>
      <c r="EQ329">
        <v>2000</v>
      </c>
      <c r="ER329">
        <v>21.24</v>
      </c>
      <c r="ES329">
        <v>0</v>
      </c>
      <c r="ET329">
        <v>0</v>
      </c>
      <c r="EU329">
        <v>0</v>
      </c>
      <c r="EW329">
        <v>0</v>
      </c>
      <c r="FA329">
        <v>0</v>
      </c>
      <c r="FE329">
        <v>0</v>
      </c>
      <c r="FI329">
        <v>0</v>
      </c>
      <c r="FJ329">
        <v>1978.76</v>
      </c>
      <c r="FK329">
        <v>31415</v>
      </c>
      <c r="FL329">
        <v>30742.16726543571</v>
      </c>
      <c r="FM329">
        <v>29436.240000000002</v>
      </c>
      <c r="FO329" t="s">
        <v>733</v>
      </c>
      <c r="FP329" t="s">
        <v>734</v>
      </c>
      <c r="FQ329" t="s">
        <v>735</v>
      </c>
      <c r="FR329" t="s">
        <v>736</v>
      </c>
    </row>
    <row r="330" spans="1:174" x14ac:dyDescent="0.35">
      <c r="A330">
        <v>197731</v>
      </c>
      <c r="B330" t="s">
        <v>738</v>
      </c>
      <c r="C330" t="s">
        <v>739</v>
      </c>
      <c r="D330" t="s">
        <v>740</v>
      </c>
      <c r="E330" s="43" t="s">
        <v>3284</v>
      </c>
      <c r="L330" s="43" t="s">
        <v>259</v>
      </c>
      <c r="M330" t="s">
        <v>741</v>
      </c>
      <c r="N330" s="43"/>
      <c r="O330" s="43"/>
      <c r="P330" s="43"/>
      <c r="Q330" s="43"/>
      <c r="R330">
        <v>3.5190000000000001</v>
      </c>
      <c r="S330">
        <v>44109</v>
      </c>
      <c r="T330" t="s">
        <v>265</v>
      </c>
      <c r="U330" t="s">
        <v>286</v>
      </c>
      <c r="V330" t="s">
        <v>267</v>
      </c>
      <c r="W330" t="s">
        <v>268</v>
      </c>
      <c r="X330" t="s">
        <v>269</v>
      </c>
      <c r="Y330">
        <v>8883022894</v>
      </c>
      <c r="Z330" t="s">
        <v>270</v>
      </c>
      <c r="AA330" t="s">
        <v>271</v>
      </c>
      <c r="AB330">
        <v>0</v>
      </c>
      <c r="AC330">
        <v>0</v>
      </c>
      <c r="AD330" t="s">
        <v>313</v>
      </c>
      <c r="AE330" t="s">
        <v>445</v>
      </c>
      <c r="AF330">
        <v>4</v>
      </c>
      <c r="AG330" t="s">
        <v>446</v>
      </c>
      <c r="AH330" t="s">
        <v>259</v>
      </c>
      <c r="AI330" t="s">
        <v>259</v>
      </c>
      <c r="AJ330" t="s">
        <v>259</v>
      </c>
      <c r="AK330" s="43" t="s">
        <v>259</v>
      </c>
      <c r="AL330" s="43" t="s">
        <v>259</v>
      </c>
      <c r="AO330" s="23"/>
      <c r="AP330" s="23"/>
      <c r="AQ330" s="23"/>
      <c r="BD330" s="43" t="s">
        <v>259</v>
      </c>
      <c r="BE330" s="43" t="s">
        <v>259</v>
      </c>
      <c r="BF330" s="43" t="s">
        <v>259</v>
      </c>
      <c r="BG330" s="43" t="s">
        <v>259</v>
      </c>
      <c r="BH330" t="s">
        <v>259</v>
      </c>
      <c r="BI330" s="43" t="s">
        <v>259</v>
      </c>
      <c r="BJ330">
        <v>0</v>
      </c>
      <c r="BK330">
        <v>44109</v>
      </c>
      <c r="BL330">
        <v>44356</v>
      </c>
      <c r="BM330">
        <v>8505</v>
      </c>
      <c r="BN330">
        <v>8505</v>
      </c>
      <c r="BO330">
        <v>8505</v>
      </c>
      <c r="BP330">
        <v>25515</v>
      </c>
      <c r="BQ330">
        <v>3300</v>
      </c>
      <c r="BR330">
        <v>400</v>
      </c>
      <c r="BS330">
        <v>400</v>
      </c>
      <c r="BT330">
        <v>4100</v>
      </c>
      <c r="BU330">
        <v>2100</v>
      </c>
      <c r="BV330">
        <v>2100</v>
      </c>
      <c r="BW330">
        <v>2100</v>
      </c>
      <c r="BX330">
        <v>6300</v>
      </c>
      <c r="BY330">
        <v>1200</v>
      </c>
      <c r="BZ330">
        <v>1200</v>
      </c>
      <c r="CA330">
        <v>1200</v>
      </c>
      <c r="CB330">
        <v>3600</v>
      </c>
      <c r="CF330">
        <v>0</v>
      </c>
      <c r="CG330">
        <v>39515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1250</v>
      </c>
      <c r="CU330">
        <v>1250</v>
      </c>
      <c r="CV330">
        <v>1250</v>
      </c>
      <c r="CW330">
        <v>3750</v>
      </c>
      <c r="CX330">
        <v>0</v>
      </c>
      <c r="CY330">
        <v>0</v>
      </c>
      <c r="CZ330">
        <v>0</v>
      </c>
      <c r="DA330">
        <v>0</v>
      </c>
      <c r="DB330">
        <v>1000</v>
      </c>
      <c r="DC330">
        <v>1000</v>
      </c>
      <c r="DD330">
        <v>1000</v>
      </c>
      <c r="DE330">
        <v>3000</v>
      </c>
      <c r="DF330">
        <v>0</v>
      </c>
      <c r="DG330">
        <v>0</v>
      </c>
      <c r="DH330">
        <v>0</v>
      </c>
      <c r="DN330">
        <v>0</v>
      </c>
      <c r="DO330">
        <v>0</v>
      </c>
      <c r="DP330">
        <v>0</v>
      </c>
      <c r="DR330">
        <v>0</v>
      </c>
      <c r="DS330">
        <v>0</v>
      </c>
      <c r="DT330">
        <v>0</v>
      </c>
      <c r="DY330">
        <v>0</v>
      </c>
      <c r="EC330">
        <v>0</v>
      </c>
      <c r="ED330">
        <v>6750</v>
      </c>
      <c r="EH330">
        <v>0</v>
      </c>
      <c r="EI330">
        <v>0</v>
      </c>
      <c r="EJ330">
        <v>0</v>
      </c>
      <c r="EK330">
        <v>0</v>
      </c>
      <c r="EM330">
        <v>0</v>
      </c>
      <c r="EN330">
        <v>660</v>
      </c>
      <c r="EO330">
        <v>660</v>
      </c>
      <c r="EP330">
        <v>659</v>
      </c>
      <c r="EQ330">
        <v>2000</v>
      </c>
      <c r="ER330">
        <v>21.24</v>
      </c>
      <c r="ES330">
        <v>0</v>
      </c>
      <c r="ET330">
        <v>0</v>
      </c>
      <c r="EU330">
        <v>0</v>
      </c>
      <c r="EW330">
        <v>0</v>
      </c>
      <c r="FA330">
        <v>0</v>
      </c>
      <c r="FE330">
        <v>0</v>
      </c>
      <c r="FI330">
        <v>0</v>
      </c>
      <c r="FJ330">
        <v>1978.76</v>
      </c>
      <c r="FK330">
        <v>32765</v>
      </c>
      <c r="FL330">
        <v>32152.059487008104</v>
      </c>
      <c r="FM330">
        <v>30786.240000000002</v>
      </c>
      <c r="FO330" t="s">
        <v>742</v>
      </c>
      <c r="FP330" t="s">
        <v>743</v>
      </c>
      <c r="FQ330" t="s">
        <v>735</v>
      </c>
      <c r="FR330" t="s">
        <v>744</v>
      </c>
    </row>
    <row r="331" spans="1:174" x14ac:dyDescent="0.35">
      <c r="A331">
        <v>198066</v>
      </c>
      <c r="B331" t="s">
        <v>3895</v>
      </c>
      <c r="C331" t="s">
        <v>1987</v>
      </c>
      <c r="D331" t="s">
        <v>3896</v>
      </c>
      <c r="E331" s="43" t="s">
        <v>4206</v>
      </c>
      <c r="J331" t="s">
        <v>3830</v>
      </c>
      <c r="L331" s="43" t="s">
        <v>259</v>
      </c>
      <c r="M331" t="s">
        <v>3897</v>
      </c>
      <c r="N331" s="43"/>
      <c r="O331" s="43"/>
      <c r="P331" s="43"/>
      <c r="Q331" s="43"/>
      <c r="R331">
        <v>3.7</v>
      </c>
      <c r="S331">
        <v>44109</v>
      </c>
      <c r="T331" t="s">
        <v>285</v>
      </c>
      <c r="U331" t="s">
        <v>266</v>
      </c>
      <c r="V331" t="s">
        <v>267</v>
      </c>
      <c r="W331" t="s">
        <v>268</v>
      </c>
      <c r="X331" t="s">
        <v>269</v>
      </c>
      <c r="Y331">
        <v>8883022894</v>
      </c>
      <c r="Z331" t="s">
        <v>270</v>
      </c>
      <c r="AA331" t="s">
        <v>271</v>
      </c>
      <c r="AB331" t="s">
        <v>3901</v>
      </c>
      <c r="AC331" t="s">
        <v>796</v>
      </c>
      <c r="AD331" t="s">
        <v>1141</v>
      </c>
      <c r="AE331" t="s">
        <v>289</v>
      </c>
      <c r="AF331">
        <v>2</v>
      </c>
      <c r="AG331" t="s">
        <v>3345</v>
      </c>
      <c r="AH331" t="s">
        <v>259</v>
      </c>
      <c r="AI331" t="s">
        <v>259</v>
      </c>
      <c r="AJ331" t="s">
        <v>259</v>
      </c>
      <c r="AK331" s="43" t="s">
        <v>259</v>
      </c>
      <c r="AL331" s="43" t="s">
        <v>259</v>
      </c>
      <c r="AO331" s="23"/>
      <c r="AP331" s="23"/>
      <c r="AQ331" s="23"/>
      <c r="BD331" s="43" t="s">
        <v>259</v>
      </c>
      <c r="BE331" s="43" t="s">
        <v>259</v>
      </c>
      <c r="BF331" s="43" t="s">
        <v>259</v>
      </c>
      <c r="BG331" s="43" t="s">
        <v>259</v>
      </c>
      <c r="BH331" t="s">
        <v>259</v>
      </c>
      <c r="BI331" s="43" t="s">
        <v>259</v>
      </c>
      <c r="BJ331">
        <v>0</v>
      </c>
      <c r="BK331">
        <v>44109</v>
      </c>
      <c r="BL331">
        <v>44356</v>
      </c>
      <c r="BP331">
        <v>0</v>
      </c>
      <c r="BT331">
        <v>0</v>
      </c>
      <c r="BX331">
        <v>0</v>
      </c>
      <c r="CB331">
        <v>0</v>
      </c>
      <c r="CF331">
        <v>0</v>
      </c>
      <c r="CG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1500</v>
      </c>
      <c r="CU331">
        <v>1500</v>
      </c>
      <c r="CV331">
        <v>1500</v>
      </c>
      <c r="CW331">
        <v>4500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N331">
        <v>0</v>
      </c>
      <c r="DO331">
        <v>0</v>
      </c>
      <c r="DP331">
        <v>0</v>
      </c>
      <c r="DR331">
        <v>0</v>
      </c>
      <c r="DS331">
        <v>0</v>
      </c>
      <c r="DT331">
        <v>0</v>
      </c>
      <c r="DY331">
        <v>0</v>
      </c>
      <c r="EC331">
        <v>0</v>
      </c>
      <c r="ED331">
        <v>4500</v>
      </c>
      <c r="EH331">
        <v>0</v>
      </c>
      <c r="EI331">
        <v>0</v>
      </c>
      <c r="EJ331">
        <v>0</v>
      </c>
      <c r="EK331">
        <v>0</v>
      </c>
      <c r="EM331">
        <v>0</v>
      </c>
      <c r="EN331">
        <v>660</v>
      </c>
      <c r="EO331">
        <v>660</v>
      </c>
      <c r="EP331">
        <v>659</v>
      </c>
      <c r="EQ331">
        <v>2000</v>
      </c>
      <c r="ER331">
        <v>21.24</v>
      </c>
      <c r="ES331">
        <v>0</v>
      </c>
      <c r="ET331">
        <v>0</v>
      </c>
      <c r="EU331">
        <v>0</v>
      </c>
      <c r="EW331">
        <v>0</v>
      </c>
      <c r="FA331">
        <v>0</v>
      </c>
      <c r="FE331">
        <v>0</v>
      </c>
      <c r="FI331">
        <v>0</v>
      </c>
      <c r="FJ331">
        <v>1978.76</v>
      </c>
      <c r="FK331">
        <v>-4500</v>
      </c>
      <c r="FL331">
        <v>-6766.1876514328678</v>
      </c>
      <c r="FM331">
        <v>-6478.76</v>
      </c>
      <c r="FO331" t="s">
        <v>3898</v>
      </c>
      <c r="FP331" t="s">
        <v>3899</v>
      </c>
      <c r="FQ331" t="s">
        <v>705</v>
      </c>
      <c r="FR331" t="s">
        <v>3900</v>
      </c>
    </row>
    <row r="332" spans="1:174" x14ac:dyDescent="0.35">
      <c r="A332">
        <v>198887</v>
      </c>
      <c r="B332" t="s">
        <v>745</v>
      </c>
      <c r="C332" t="s">
        <v>746</v>
      </c>
      <c r="D332" t="s">
        <v>747</v>
      </c>
      <c r="E332" s="43" t="s">
        <v>3285</v>
      </c>
      <c r="L332" s="43" t="s">
        <v>259</v>
      </c>
      <c r="M332" t="s">
        <v>748</v>
      </c>
      <c r="N332" s="43"/>
      <c r="O332" s="43"/>
      <c r="P332" s="43"/>
      <c r="Q332" s="43"/>
      <c r="R332">
        <v>2.52</v>
      </c>
      <c r="S332">
        <v>44109</v>
      </c>
      <c r="T332" t="s">
        <v>311</v>
      </c>
      <c r="U332" t="s">
        <v>266</v>
      </c>
      <c r="V332" t="s">
        <v>267</v>
      </c>
      <c r="W332" t="s">
        <v>268</v>
      </c>
      <c r="X332" t="s">
        <v>269</v>
      </c>
      <c r="Y332">
        <v>8883022894</v>
      </c>
      <c r="Z332" t="s">
        <v>270</v>
      </c>
      <c r="AA332" t="s">
        <v>271</v>
      </c>
      <c r="AB332">
        <v>0</v>
      </c>
      <c r="AC332" t="s">
        <v>752</v>
      </c>
      <c r="AD332" t="s">
        <v>273</v>
      </c>
      <c r="AE332" t="s">
        <v>354</v>
      </c>
      <c r="AF332">
        <v>6</v>
      </c>
      <c r="AG332" t="s">
        <v>446</v>
      </c>
      <c r="AH332" t="s">
        <v>259</v>
      </c>
      <c r="AI332" t="s">
        <v>259</v>
      </c>
      <c r="AJ332" t="s">
        <v>259</v>
      </c>
      <c r="AK332" s="43" t="s">
        <v>259</v>
      </c>
      <c r="AL332" s="43" t="s">
        <v>259</v>
      </c>
      <c r="AO332" s="23"/>
      <c r="AP332" s="23"/>
      <c r="AQ332" s="23"/>
      <c r="BD332" s="43" t="s">
        <v>259</v>
      </c>
      <c r="BE332" s="43" t="s">
        <v>259</v>
      </c>
      <c r="BF332" s="43" t="s">
        <v>259</v>
      </c>
      <c r="BG332" s="43" t="s">
        <v>259</v>
      </c>
      <c r="BH332" t="s">
        <v>259</v>
      </c>
      <c r="BI332" s="43" t="s">
        <v>259</v>
      </c>
      <c r="BJ332">
        <v>0</v>
      </c>
      <c r="BK332">
        <v>44109</v>
      </c>
      <c r="BL332">
        <v>44356</v>
      </c>
      <c r="BM332">
        <v>8505</v>
      </c>
      <c r="BN332">
        <v>8505</v>
      </c>
      <c r="BO332">
        <v>8505</v>
      </c>
      <c r="BP332">
        <v>25515</v>
      </c>
      <c r="BQ332">
        <v>3300</v>
      </c>
      <c r="BR332">
        <v>400</v>
      </c>
      <c r="BS332">
        <v>400</v>
      </c>
      <c r="BT332">
        <v>4100</v>
      </c>
      <c r="BU332">
        <v>2100</v>
      </c>
      <c r="BV332">
        <v>2100</v>
      </c>
      <c r="BW332">
        <v>2100</v>
      </c>
      <c r="BX332">
        <v>6300</v>
      </c>
      <c r="BY332">
        <v>1200</v>
      </c>
      <c r="BZ332">
        <v>1200</v>
      </c>
      <c r="CA332">
        <v>1200</v>
      </c>
      <c r="CB332">
        <v>3600</v>
      </c>
      <c r="CF332">
        <v>0</v>
      </c>
      <c r="CG332">
        <v>39515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750</v>
      </c>
      <c r="CU332">
        <v>750</v>
      </c>
      <c r="CV332">
        <v>750</v>
      </c>
      <c r="CW332">
        <v>2250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N332">
        <v>0</v>
      </c>
      <c r="DO332">
        <v>0</v>
      </c>
      <c r="DP332">
        <v>0</v>
      </c>
      <c r="DR332">
        <v>0</v>
      </c>
      <c r="DS332">
        <v>0</v>
      </c>
      <c r="DT332">
        <v>0</v>
      </c>
      <c r="DY332">
        <v>0</v>
      </c>
      <c r="EC332">
        <v>0</v>
      </c>
      <c r="ED332">
        <v>2250</v>
      </c>
      <c r="EH332">
        <v>0</v>
      </c>
      <c r="EI332">
        <v>0</v>
      </c>
      <c r="EJ332">
        <v>0</v>
      </c>
      <c r="EK332">
        <v>0</v>
      </c>
      <c r="EM332">
        <v>0</v>
      </c>
      <c r="EN332">
        <v>660</v>
      </c>
      <c r="EO332">
        <v>660</v>
      </c>
      <c r="EP332">
        <v>659</v>
      </c>
      <c r="EQ332">
        <v>2000</v>
      </c>
      <c r="ER332">
        <v>21.24</v>
      </c>
      <c r="ES332">
        <v>0</v>
      </c>
      <c r="ET332">
        <v>0</v>
      </c>
      <c r="EU332">
        <v>0</v>
      </c>
      <c r="EW332">
        <v>0</v>
      </c>
      <c r="FA332">
        <v>0</v>
      </c>
      <c r="FE332">
        <v>0</v>
      </c>
      <c r="FI332">
        <v>0</v>
      </c>
      <c r="FJ332">
        <v>1978.76</v>
      </c>
      <c r="FK332">
        <v>37265</v>
      </c>
      <c r="FL332">
        <v>36851.700225582754</v>
      </c>
      <c r="FM332">
        <v>35286.239999999998</v>
      </c>
      <c r="FO332" t="s">
        <v>749</v>
      </c>
      <c r="FP332" t="s">
        <v>750</v>
      </c>
      <c r="FQ332" t="s">
        <v>705</v>
      </c>
      <c r="FR332" t="s">
        <v>751</v>
      </c>
    </row>
    <row r="333" spans="1:174" x14ac:dyDescent="0.35">
      <c r="A333">
        <v>198185</v>
      </c>
      <c r="B333" t="s">
        <v>745</v>
      </c>
      <c r="C333" t="s">
        <v>753</v>
      </c>
      <c r="D333" t="s">
        <v>754</v>
      </c>
      <c r="E333" s="43" t="s">
        <v>755</v>
      </c>
      <c r="F333">
        <v>1</v>
      </c>
      <c r="I333">
        <v>43776</v>
      </c>
      <c r="L333" s="43" t="s">
        <v>259</v>
      </c>
      <c r="M333" t="s">
        <v>756</v>
      </c>
      <c r="N333" s="43"/>
      <c r="O333" s="43"/>
      <c r="P333" s="43"/>
      <c r="Q333" s="43"/>
      <c r="R333">
        <v>2.6858</v>
      </c>
      <c r="S333">
        <v>44109</v>
      </c>
      <c r="T333" t="s">
        <v>265</v>
      </c>
      <c r="U333" t="s">
        <v>266</v>
      </c>
      <c r="V333" t="s">
        <v>267</v>
      </c>
      <c r="W333" t="s">
        <v>268</v>
      </c>
      <c r="X333" t="s">
        <v>269</v>
      </c>
      <c r="Y333">
        <v>8883022894</v>
      </c>
      <c r="Z333" t="s">
        <v>270</v>
      </c>
      <c r="AA333" t="s">
        <v>271</v>
      </c>
      <c r="AB333">
        <v>0</v>
      </c>
      <c r="AC333" t="s">
        <v>761</v>
      </c>
      <c r="AD333" t="s">
        <v>375</v>
      </c>
      <c r="AE333" t="s">
        <v>324</v>
      </c>
      <c r="AF333">
        <v>8</v>
      </c>
      <c r="AG333" t="s">
        <v>275</v>
      </c>
      <c r="AH333" t="s">
        <v>259</v>
      </c>
      <c r="AI333" t="s">
        <v>259</v>
      </c>
      <c r="AJ333" t="s">
        <v>259</v>
      </c>
      <c r="AK333" s="43" t="s">
        <v>259</v>
      </c>
      <c r="AL333" s="43" t="s">
        <v>259</v>
      </c>
      <c r="AO333" s="23"/>
      <c r="AP333" s="23"/>
      <c r="AQ333" s="23"/>
      <c r="BD333" s="43" t="s">
        <v>259</v>
      </c>
      <c r="BE333" s="43" t="s">
        <v>259</v>
      </c>
      <c r="BF333" s="43" t="s">
        <v>259</v>
      </c>
      <c r="BG333" s="43" t="s">
        <v>259</v>
      </c>
      <c r="BH333" t="s">
        <v>259</v>
      </c>
      <c r="BI333" s="43" t="s">
        <v>259</v>
      </c>
      <c r="BJ333">
        <v>0</v>
      </c>
      <c r="BK333">
        <v>44109</v>
      </c>
      <c r="BL333">
        <v>44356</v>
      </c>
      <c r="BM333">
        <v>8505</v>
      </c>
      <c r="BN333">
        <v>8505</v>
      </c>
      <c r="BO333">
        <v>8505</v>
      </c>
      <c r="BP333">
        <v>25515</v>
      </c>
      <c r="BQ333">
        <v>3300</v>
      </c>
      <c r="BR333">
        <v>400</v>
      </c>
      <c r="BS333">
        <v>400</v>
      </c>
      <c r="BT333">
        <v>4100</v>
      </c>
      <c r="BU333">
        <v>2100</v>
      </c>
      <c r="BV333">
        <v>2100</v>
      </c>
      <c r="BW333">
        <v>2100</v>
      </c>
      <c r="BX333">
        <v>6300</v>
      </c>
      <c r="BY333">
        <v>1200</v>
      </c>
      <c r="BZ333">
        <v>1200</v>
      </c>
      <c r="CA333">
        <v>1200</v>
      </c>
      <c r="CB333">
        <v>3600</v>
      </c>
      <c r="CC333">
        <v>0</v>
      </c>
      <c r="CD333">
        <v>0</v>
      </c>
      <c r="CE333">
        <v>0</v>
      </c>
      <c r="CF333">
        <v>0</v>
      </c>
      <c r="CG333">
        <v>39515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N333">
        <v>0</v>
      </c>
      <c r="DO333">
        <v>0</v>
      </c>
      <c r="DP333">
        <v>0</v>
      </c>
      <c r="DQ333">
        <v>0</v>
      </c>
      <c r="DR333">
        <v>0</v>
      </c>
      <c r="DS333">
        <v>0</v>
      </c>
      <c r="DT333">
        <v>0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0</v>
      </c>
      <c r="EH333">
        <v>0</v>
      </c>
      <c r="EI333">
        <v>1154</v>
      </c>
      <c r="EJ333">
        <v>1154</v>
      </c>
      <c r="EK333">
        <v>1155</v>
      </c>
      <c r="EL333">
        <v>3500</v>
      </c>
      <c r="EM333">
        <v>37.065000000000005</v>
      </c>
      <c r="EN333">
        <v>660</v>
      </c>
      <c r="EO333">
        <v>660</v>
      </c>
      <c r="EP333">
        <v>659</v>
      </c>
      <c r="EQ333">
        <v>2000</v>
      </c>
      <c r="ER333">
        <v>21.18</v>
      </c>
      <c r="ES333">
        <v>0</v>
      </c>
      <c r="ET333">
        <v>0</v>
      </c>
      <c r="EU333">
        <v>0</v>
      </c>
      <c r="EV333">
        <v>0</v>
      </c>
      <c r="EW333">
        <v>0</v>
      </c>
      <c r="FA333">
        <v>0</v>
      </c>
      <c r="FE333">
        <v>0</v>
      </c>
      <c r="FI333">
        <v>0</v>
      </c>
      <c r="FJ333">
        <v>5441.7550000000001</v>
      </c>
      <c r="FK333">
        <v>39515</v>
      </c>
      <c r="FL333">
        <v>35584.891177207784</v>
      </c>
      <c r="FM333">
        <v>34073.245000000003</v>
      </c>
      <c r="FO333" t="s">
        <v>757</v>
      </c>
      <c r="FP333" t="s">
        <v>758</v>
      </c>
      <c r="FQ333" t="s">
        <v>759</v>
      </c>
      <c r="FR333" t="s">
        <v>760</v>
      </c>
    </row>
    <row r="334" spans="1:174" x14ac:dyDescent="0.35">
      <c r="A334">
        <v>193867</v>
      </c>
      <c r="B334" t="s">
        <v>762</v>
      </c>
      <c r="C334" t="s">
        <v>763</v>
      </c>
      <c r="D334" t="s">
        <v>764</v>
      </c>
      <c r="E334" s="43" t="s">
        <v>765</v>
      </c>
      <c r="F334">
        <v>1</v>
      </c>
      <c r="G334">
        <v>43783</v>
      </c>
      <c r="H334">
        <v>43783</v>
      </c>
      <c r="I334">
        <v>43783</v>
      </c>
      <c r="L334" s="43" t="s">
        <v>3204</v>
      </c>
      <c r="M334" t="s">
        <v>766</v>
      </c>
      <c r="N334" s="43"/>
      <c r="O334" s="43"/>
      <c r="P334" s="43"/>
      <c r="Q334" s="43"/>
      <c r="R334">
        <v>2.4700000000000002</v>
      </c>
      <c r="S334">
        <v>44109</v>
      </c>
      <c r="T334" t="s">
        <v>311</v>
      </c>
      <c r="U334" t="s">
        <v>266</v>
      </c>
      <c r="V334" t="s">
        <v>267</v>
      </c>
      <c r="W334" t="s">
        <v>268</v>
      </c>
      <c r="X334" t="s">
        <v>269</v>
      </c>
      <c r="Y334">
        <v>8883022894</v>
      </c>
      <c r="Z334" t="s">
        <v>270</v>
      </c>
      <c r="AA334" t="s">
        <v>271</v>
      </c>
      <c r="AB334">
        <v>0</v>
      </c>
      <c r="AC334" t="s">
        <v>770</v>
      </c>
      <c r="AD334" t="s">
        <v>771</v>
      </c>
      <c r="AE334" t="s">
        <v>324</v>
      </c>
      <c r="AF334">
        <v>8</v>
      </c>
      <c r="AG334" t="s">
        <v>275</v>
      </c>
      <c r="AH334" t="s">
        <v>3235</v>
      </c>
      <c r="AI334" t="s">
        <v>3236</v>
      </c>
      <c r="AJ334" t="s">
        <v>3207</v>
      </c>
      <c r="AK334" s="43" t="s">
        <v>1715</v>
      </c>
      <c r="AL334" s="43" t="s">
        <v>259</v>
      </c>
      <c r="AO334" s="23"/>
      <c r="AP334" s="23">
        <v>43797</v>
      </c>
      <c r="AQ334" s="23"/>
      <c r="BD334" s="43" t="s">
        <v>259</v>
      </c>
      <c r="BE334" s="43" t="s">
        <v>259</v>
      </c>
      <c r="BF334" s="43" t="s">
        <v>259</v>
      </c>
      <c r="BG334" s="43" t="s">
        <v>259</v>
      </c>
      <c r="BH334" t="s">
        <v>259</v>
      </c>
      <c r="BI334" s="43" t="s">
        <v>259</v>
      </c>
      <c r="BJ334">
        <v>4.3478260869565188E-2</v>
      </c>
      <c r="BK334">
        <v>44109</v>
      </c>
      <c r="BL334">
        <v>44356</v>
      </c>
      <c r="BM334">
        <v>8505</v>
      </c>
      <c r="BN334">
        <v>8505</v>
      </c>
      <c r="BO334">
        <v>8505</v>
      </c>
      <c r="BP334">
        <v>25515</v>
      </c>
      <c r="BQ334">
        <v>3300</v>
      </c>
      <c r="BR334">
        <v>400</v>
      </c>
      <c r="BS334">
        <v>400</v>
      </c>
      <c r="BT334">
        <v>4100</v>
      </c>
      <c r="BU334">
        <v>2100</v>
      </c>
      <c r="BV334">
        <v>2100</v>
      </c>
      <c r="BW334">
        <v>2100</v>
      </c>
      <c r="BX334">
        <v>6300</v>
      </c>
      <c r="BY334">
        <v>1200</v>
      </c>
      <c r="BZ334">
        <v>1200</v>
      </c>
      <c r="CA334">
        <v>1200</v>
      </c>
      <c r="CB334">
        <v>3600</v>
      </c>
      <c r="CC334">
        <v>0</v>
      </c>
      <c r="CD334">
        <v>0</v>
      </c>
      <c r="CE334">
        <v>0</v>
      </c>
      <c r="CF334">
        <v>0</v>
      </c>
      <c r="CG334">
        <v>39515</v>
      </c>
      <c r="CK334">
        <v>0</v>
      </c>
      <c r="CL334">
        <v>1949</v>
      </c>
      <c r="CM334">
        <v>1948</v>
      </c>
      <c r="CN334">
        <v>1948</v>
      </c>
      <c r="CO334">
        <v>5845</v>
      </c>
      <c r="CP334">
        <v>500</v>
      </c>
      <c r="CQ334">
        <v>500</v>
      </c>
      <c r="CR334">
        <v>500</v>
      </c>
      <c r="CS334">
        <v>1500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0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0</v>
      </c>
      <c r="DT334">
        <v>0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0</v>
      </c>
      <c r="ED334">
        <v>7345</v>
      </c>
      <c r="EH334">
        <v>0</v>
      </c>
      <c r="EI334">
        <v>1154</v>
      </c>
      <c r="EJ334">
        <v>1154</v>
      </c>
      <c r="EK334">
        <v>1155</v>
      </c>
      <c r="EL334">
        <v>3500</v>
      </c>
      <c r="EM334">
        <v>37.065000000000005</v>
      </c>
      <c r="EN334">
        <v>660</v>
      </c>
      <c r="EO334">
        <v>660</v>
      </c>
      <c r="EP334">
        <v>659</v>
      </c>
      <c r="EQ334">
        <v>2000</v>
      </c>
      <c r="ER334">
        <v>21.18</v>
      </c>
      <c r="ES334">
        <v>0</v>
      </c>
      <c r="ET334">
        <v>0</v>
      </c>
      <c r="EU334">
        <v>0</v>
      </c>
      <c r="EV334">
        <v>0</v>
      </c>
      <c r="EW334">
        <v>0</v>
      </c>
      <c r="FA334">
        <v>0</v>
      </c>
      <c r="FE334">
        <v>0</v>
      </c>
      <c r="FI334">
        <v>0</v>
      </c>
      <c r="FJ334">
        <v>5441.7550000000001</v>
      </c>
      <c r="FK334">
        <v>32170</v>
      </c>
      <c r="FL334">
        <v>27914.03312724538</v>
      </c>
      <c r="FM334">
        <v>26728.244999999999</v>
      </c>
      <c r="FO334" t="s">
        <v>767</v>
      </c>
      <c r="FP334" t="s">
        <v>768</v>
      </c>
      <c r="FQ334" t="s">
        <v>705</v>
      </c>
      <c r="FR334" t="s">
        <v>769</v>
      </c>
    </row>
    <row r="335" spans="1:174" x14ac:dyDescent="0.35">
      <c r="A335">
        <v>196488</v>
      </c>
      <c r="B335" t="s">
        <v>3482</v>
      </c>
      <c r="C335" t="s">
        <v>3073</v>
      </c>
      <c r="D335" t="s">
        <v>3483</v>
      </c>
      <c r="E335" s="43" t="s">
        <v>4163</v>
      </c>
      <c r="F335">
        <v>1</v>
      </c>
      <c r="G335">
        <v>43789</v>
      </c>
      <c r="H335">
        <v>43796</v>
      </c>
      <c r="I335">
        <v>43796</v>
      </c>
      <c r="L335" s="43" t="s">
        <v>3204</v>
      </c>
      <c r="M335" t="s">
        <v>3484</v>
      </c>
      <c r="N335" s="43"/>
      <c r="O335" s="43"/>
      <c r="P335" s="43"/>
      <c r="Q335" s="43"/>
      <c r="R335">
        <v>2.38</v>
      </c>
      <c r="S335">
        <v>44109</v>
      </c>
      <c r="T335" t="s">
        <v>311</v>
      </c>
      <c r="U335" t="s">
        <v>266</v>
      </c>
      <c r="V335" t="s">
        <v>267</v>
      </c>
      <c r="W335" t="s">
        <v>268</v>
      </c>
      <c r="X335" t="s">
        <v>269</v>
      </c>
      <c r="Y335">
        <v>8883022894</v>
      </c>
      <c r="Z335" t="s">
        <v>508</v>
      </c>
      <c r="AA335" t="s">
        <v>271</v>
      </c>
      <c r="AB335">
        <v>0</v>
      </c>
      <c r="AC335" t="s">
        <v>913</v>
      </c>
      <c r="AD335" t="s">
        <v>273</v>
      </c>
      <c r="AE335" t="s">
        <v>324</v>
      </c>
      <c r="AF335">
        <v>8</v>
      </c>
      <c r="AG335" t="s">
        <v>3345</v>
      </c>
      <c r="AH335" t="s">
        <v>3226</v>
      </c>
      <c r="AI335" t="s">
        <v>313</v>
      </c>
      <c r="AJ335" t="s">
        <v>3207</v>
      </c>
      <c r="AK335" s="43" t="s">
        <v>3208</v>
      </c>
      <c r="AL335" s="43" t="s">
        <v>3209</v>
      </c>
      <c r="AM335">
        <v>43796</v>
      </c>
      <c r="AN335">
        <v>43796</v>
      </c>
      <c r="AO335" s="23">
        <v>43789</v>
      </c>
      <c r="AP335" s="23"/>
      <c r="AQ335" s="23"/>
      <c r="BD335" s="43" t="s">
        <v>2018</v>
      </c>
      <c r="BE335" s="43" t="s">
        <v>2018</v>
      </c>
      <c r="BF335" s="43" t="s">
        <v>2018</v>
      </c>
      <c r="BG335" s="43" t="s">
        <v>2018</v>
      </c>
      <c r="BH335" t="s">
        <v>2018</v>
      </c>
      <c r="BI335" s="43" t="s">
        <v>2018</v>
      </c>
      <c r="BJ335">
        <v>0.17647058823529416</v>
      </c>
      <c r="BK335">
        <v>44109</v>
      </c>
      <c r="BL335">
        <v>44356</v>
      </c>
      <c r="BM335">
        <v>8505</v>
      </c>
      <c r="BN335">
        <v>8505</v>
      </c>
      <c r="BO335">
        <v>8505</v>
      </c>
      <c r="BP335">
        <v>25515</v>
      </c>
      <c r="BQ335">
        <v>3300</v>
      </c>
      <c r="BR335">
        <v>400</v>
      </c>
      <c r="BS335">
        <v>400</v>
      </c>
      <c r="BT335">
        <v>4100</v>
      </c>
      <c r="BU335">
        <v>2100</v>
      </c>
      <c r="BV335">
        <v>2100</v>
      </c>
      <c r="BW335">
        <v>2100</v>
      </c>
      <c r="BX335">
        <v>6300</v>
      </c>
      <c r="BY335">
        <v>1050</v>
      </c>
      <c r="BZ335">
        <v>1050</v>
      </c>
      <c r="CA335">
        <v>1050</v>
      </c>
      <c r="CB335">
        <v>3150</v>
      </c>
      <c r="CF335">
        <v>0</v>
      </c>
      <c r="CG335">
        <v>39065</v>
      </c>
      <c r="CK335">
        <v>0</v>
      </c>
      <c r="CL335">
        <v>2065</v>
      </c>
      <c r="CM335">
        <v>2065</v>
      </c>
      <c r="CN335">
        <v>2065</v>
      </c>
      <c r="CO335">
        <v>6195</v>
      </c>
      <c r="CP335">
        <v>500</v>
      </c>
      <c r="CQ335">
        <v>500</v>
      </c>
      <c r="CR335">
        <v>500</v>
      </c>
      <c r="CS335">
        <v>1500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N335">
        <v>0</v>
      </c>
      <c r="DO335">
        <v>0</v>
      </c>
      <c r="DP335">
        <v>0</v>
      </c>
      <c r="DR335">
        <v>0</v>
      </c>
      <c r="DS335">
        <v>0</v>
      </c>
      <c r="DT335">
        <v>0</v>
      </c>
      <c r="DY335">
        <v>0</v>
      </c>
      <c r="EC335">
        <v>0</v>
      </c>
      <c r="ED335">
        <v>7695</v>
      </c>
      <c r="EH335">
        <v>0</v>
      </c>
      <c r="EI335">
        <v>1154</v>
      </c>
      <c r="EJ335">
        <v>1154</v>
      </c>
      <c r="EK335">
        <v>1155</v>
      </c>
      <c r="EL335">
        <v>3500</v>
      </c>
      <c r="EM335">
        <v>37.065000000000005</v>
      </c>
      <c r="EN335">
        <v>1979</v>
      </c>
      <c r="EO335">
        <v>1979</v>
      </c>
      <c r="EP335">
        <v>1978</v>
      </c>
      <c r="EQ335">
        <v>6000</v>
      </c>
      <c r="ER335">
        <v>63.72</v>
      </c>
      <c r="ES335">
        <v>0</v>
      </c>
      <c r="ET335">
        <v>0</v>
      </c>
      <c r="EU335">
        <v>0</v>
      </c>
      <c r="EV335">
        <v>0</v>
      </c>
      <c r="EW335">
        <v>0</v>
      </c>
      <c r="FA335">
        <v>0</v>
      </c>
      <c r="FB335">
        <v>9257</v>
      </c>
      <c r="FC335">
        <v>6357</v>
      </c>
      <c r="FD335">
        <v>6357</v>
      </c>
      <c r="FE335">
        <v>21971</v>
      </c>
      <c r="FI335">
        <v>0</v>
      </c>
      <c r="FJ335">
        <v>31370.215</v>
      </c>
      <c r="FK335">
        <v>31370</v>
      </c>
      <c r="FL335">
        <v>-0.22453839084316307</v>
      </c>
      <c r="FM335">
        <v>-0.21500000000014552</v>
      </c>
      <c r="FO335" t="s">
        <v>3750</v>
      </c>
      <c r="FP335" t="s">
        <v>3485</v>
      </c>
      <c r="FQ335" t="s">
        <v>342</v>
      </c>
      <c r="FR335" t="s">
        <v>3486</v>
      </c>
    </row>
    <row r="336" spans="1:174" x14ac:dyDescent="0.35">
      <c r="A336">
        <v>195008</v>
      </c>
      <c r="B336" t="s">
        <v>772</v>
      </c>
      <c r="C336" t="s">
        <v>582</v>
      </c>
      <c r="D336" t="s">
        <v>773</v>
      </c>
      <c r="E336" s="43" t="s">
        <v>774</v>
      </c>
      <c r="L336" s="43" t="s">
        <v>259</v>
      </c>
      <c r="M336" t="s">
        <v>775</v>
      </c>
      <c r="N336" s="43"/>
      <c r="O336" s="43"/>
      <c r="P336" s="43"/>
      <c r="Q336" s="43"/>
      <c r="R336">
        <v>2.75</v>
      </c>
      <c r="S336">
        <v>44109</v>
      </c>
      <c r="T336" t="s">
        <v>311</v>
      </c>
      <c r="U336" t="s">
        <v>266</v>
      </c>
      <c r="V336" t="s">
        <v>267</v>
      </c>
      <c r="W336" t="s">
        <v>268</v>
      </c>
      <c r="X336" t="s">
        <v>269</v>
      </c>
      <c r="Y336">
        <v>8883022894</v>
      </c>
      <c r="Z336" t="s">
        <v>270</v>
      </c>
      <c r="AA336" t="s">
        <v>271</v>
      </c>
      <c r="AB336" t="s">
        <v>779</v>
      </c>
      <c r="AC336">
        <v>0</v>
      </c>
      <c r="AD336" t="s">
        <v>780</v>
      </c>
      <c r="AE336" t="s">
        <v>376</v>
      </c>
      <c r="AF336">
        <v>7</v>
      </c>
      <c r="AG336" t="s">
        <v>275</v>
      </c>
      <c r="AH336" t="s">
        <v>259</v>
      </c>
      <c r="AI336" t="s">
        <v>259</v>
      </c>
      <c r="AJ336" t="s">
        <v>259</v>
      </c>
      <c r="AK336" s="43" t="s">
        <v>259</v>
      </c>
      <c r="AL336" s="43" t="s">
        <v>259</v>
      </c>
      <c r="AO336" s="23"/>
      <c r="AP336" s="23"/>
      <c r="AQ336" s="23"/>
      <c r="BD336" s="43" t="s">
        <v>259</v>
      </c>
      <c r="BE336" s="43" t="s">
        <v>259</v>
      </c>
      <c r="BF336" s="43" t="s">
        <v>259</v>
      </c>
      <c r="BG336" s="43" t="s">
        <v>259</v>
      </c>
      <c r="BH336" t="s">
        <v>259</v>
      </c>
      <c r="BI336" s="43" t="s">
        <v>259</v>
      </c>
      <c r="BJ336">
        <v>0</v>
      </c>
      <c r="BK336">
        <v>44109</v>
      </c>
      <c r="BL336">
        <v>44356</v>
      </c>
      <c r="BM336">
        <v>8505</v>
      </c>
      <c r="BN336">
        <v>8505</v>
      </c>
      <c r="BO336">
        <v>8505</v>
      </c>
      <c r="BP336">
        <v>25515</v>
      </c>
      <c r="BQ336">
        <v>3300</v>
      </c>
      <c r="BR336">
        <v>400</v>
      </c>
      <c r="BS336">
        <v>400</v>
      </c>
      <c r="BT336">
        <v>4100</v>
      </c>
      <c r="BU336">
        <v>2100</v>
      </c>
      <c r="BV336">
        <v>2100</v>
      </c>
      <c r="BW336">
        <v>2100</v>
      </c>
      <c r="BX336">
        <v>6300</v>
      </c>
      <c r="BY336">
        <v>1200</v>
      </c>
      <c r="BZ336">
        <v>1200</v>
      </c>
      <c r="CA336">
        <v>1200</v>
      </c>
      <c r="CB336">
        <v>3600</v>
      </c>
      <c r="CC336">
        <v>0</v>
      </c>
      <c r="CD336">
        <v>0</v>
      </c>
      <c r="CE336">
        <v>0</v>
      </c>
      <c r="CF336">
        <v>0</v>
      </c>
      <c r="CG336">
        <v>39515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0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N336">
        <v>0</v>
      </c>
      <c r="DO336">
        <v>0</v>
      </c>
      <c r="DP336">
        <v>0</v>
      </c>
      <c r="DQ336">
        <v>0</v>
      </c>
      <c r="DR336">
        <v>0</v>
      </c>
      <c r="DS336">
        <v>0</v>
      </c>
      <c r="DT336">
        <v>0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0</v>
      </c>
      <c r="ED336">
        <v>0</v>
      </c>
      <c r="EH336">
        <v>0</v>
      </c>
      <c r="EI336">
        <v>1154</v>
      </c>
      <c r="EJ336">
        <v>1154</v>
      </c>
      <c r="EK336">
        <v>1155</v>
      </c>
      <c r="EL336">
        <v>3500</v>
      </c>
      <c r="EM336">
        <v>37.065000000000005</v>
      </c>
      <c r="EN336">
        <v>660</v>
      </c>
      <c r="EO336">
        <v>660</v>
      </c>
      <c r="EP336">
        <v>659</v>
      </c>
      <c r="EQ336">
        <v>2000</v>
      </c>
      <c r="ER336">
        <v>21.18</v>
      </c>
      <c r="ES336">
        <v>0</v>
      </c>
      <c r="ET336">
        <v>0</v>
      </c>
      <c r="EU336">
        <v>0</v>
      </c>
      <c r="EV336">
        <v>0</v>
      </c>
      <c r="EW336">
        <v>0</v>
      </c>
      <c r="FA336">
        <v>0</v>
      </c>
      <c r="FE336">
        <v>0</v>
      </c>
      <c r="FI336">
        <v>0</v>
      </c>
      <c r="FJ336">
        <v>5441.7550000000001</v>
      </c>
      <c r="FK336">
        <v>39515</v>
      </c>
      <c r="FL336">
        <v>35584.891177207784</v>
      </c>
      <c r="FM336">
        <v>34073.245000000003</v>
      </c>
      <c r="FO336" t="s">
        <v>776</v>
      </c>
      <c r="FP336" t="s">
        <v>777</v>
      </c>
      <c r="FQ336" t="s">
        <v>297</v>
      </c>
      <c r="FR336" t="s">
        <v>778</v>
      </c>
    </row>
    <row r="337" spans="1:174" x14ac:dyDescent="0.35">
      <c r="A337">
        <v>199219</v>
      </c>
      <c r="B337" t="s">
        <v>3487</v>
      </c>
      <c r="C337" t="s">
        <v>3488</v>
      </c>
      <c r="D337" t="s">
        <v>3489</v>
      </c>
      <c r="E337" s="43" t="s">
        <v>4164</v>
      </c>
      <c r="J337" t="s">
        <v>3425</v>
      </c>
      <c r="L337" s="43" t="s">
        <v>259</v>
      </c>
      <c r="M337" t="s">
        <v>3490</v>
      </c>
      <c r="N337" s="43"/>
      <c r="O337" s="43"/>
      <c r="P337" s="43"/>
      <c r="Q337" s="43"/>
      <c r="R337">
        <v>3.7044999999999999</v>
      </c>
      <c r="S337">
        <v>44109</v>
      </c>
      <c r="T337" t="s">
        <v>265</v>
      </c>
      <c r="U337" t="s">
        <v>266</v>
      </c>
      <c r="V337" t="s">
        <v>267</v>
      </c>
      <c r="W337" t="s">
        <v>268</v>
      </c>
      <c r="X337" t="s">
        <v>269</v>
      </c>
      <c r="Y337">
        <v>8883022894</v>
      </c>
      <c r="Z337" t="s">
        <v>270</v>
      </c>
      <c r="AA337" t="s">
        <v>271</v>
      </c>
      <c r="AB337" t="s">
        <v>598</v>
      </c>
      <c r="AC337" t="s">
        <v>3751</v>
      </c>
      <c r="AD337" t="s">
        <v>3752</v>
      </c>
      <c r="AE337" t="s">
        <v>301</v>
      </c>
      <c r="AF337">
        <v>1</v>
      </c>
      <c r="AG337" t="s">
        <v>3345</v>
      </c>
      <c r="AH337" t="s">
        <v>259</v>
      </c>
      <c r="AI337" t="s">
        <v>259</v>
      </c>
      <c r="AJ337" t="s">
        <v>259</v>
      </c>
      <c r="AK337" s="43" t="s">
        <v>259</v>
      </c>
      <c r="AL337" s="43" t="s">
        <v>259</v>
      </c>
      <c r="AO337" s="23"/>
      <c r="AP337" s="23"/>
      <c r="AQ337" s="23"/>
      <c r="BD337" s="43" t="s">
        <v>259</v>
      </c>
      <c r="BE337" s="43" t="s">
        <v>259</v>
      </c>
      <c r="BF337" s="43" t="s">
        <v>259</v>
      </c>
      <c r="BG337" s="43" t="s">
        <v>259</v>
      </c>
      <c r="BH337" t="s">
        <v>259</v>
      </c>
      <c r="BI337" s="43" t="s">
        <v>259</v>
      </c>
      <c r="BJ337">
        <v>0</v>
      </c>
      <c r="BK337">
        <v>44109</v>
      </c>
      <c r="BL337">
        <v>44356</v>
      </c>
      <c r="BM337">
        <v>8505</v>
      </c>
      <c r="BN337">
        <v>8505</v>
      </c>
      <c r="BO337">
        <v>8505</v>
      </c>
      <c r="BP337">
        <v>25515</v>
      </c>
      <c r="BQ337">
        <v>3300</v>
      </c>
      <c r="BR337">
        <v>400</v>
      </c>
      <c r="BS337">
        <v>400</v>
      </c>
      <c r="BT337">
        <v>4100</v>
      </c>
      <c r="BU337">
        <v>2100</v>
      </c>
      <c r="BV337">
        <v>2100</v>
      </c>
      <c r="BW337">
        <v>2100</v>
      </c>
      <c r="BX337">
        <v>6300</v>
      </c>
      <c r="BY337">
        <v>1200</v>
      </c>
      <c r="BZ337">
        <v>1200</v>
      </c>
      <c r="CA337">
        <v>1200</v>
      </c>
      <c r="CB337">
        <v>3600</v>
      </c>
      <c r="CF337">
        <v>0</v>
      </c>
      <c r="CG337">
        <v>39515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1700</v>
      </c>
      <c r="CU337">
        <v>1700</v>
      </c>
      <c r="CV337">
        <v>1700</v>
      </c>
      <c r="CW337">
        <v>5100</v>
      </c>
      <c r="CX337">
        <v>0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N337">
        <v>0</v>
      </c>
      <c r="DO337">
        <v>0</v>
      </c>
      <c r="DP337">
        <v>0</v>
      </c>
      <c r="DR337">
        <v>0</v>
      </c>
      <c r="DS337">
        <v>0</v>
      </c>
      <c r="DT337">
        <v>0</v>
      </c>
      <c r="DY337">
        <v>0</v>
      </c>
      <c r="EC337">
        <v>0</v>
      </c>
      <c r="ED337">
        <v>5100</v>
      </c>
      <c r="EH337">
        <v>0</v>
      </c>
      <c r="EI337">
        <v>1154</v>
      </c>
      <c r="EJ337">
        <v>1154</v>
      </c>
      <c r="EK337">
        <v>1155</v>
      </c>
      <c r="EL337">
        <v>3500</v>
      </c>
      <c r="EM337">
        <v>37.065000000000005</v>
      </c>
      <c r="EN337">
        <v>660</v>
      </c>
      <c r="EO337">
        <v>660</v>
      </c>
      <c r="EP337">
        <v>659</v>
      </c>
      <c r="EQ337">
        <v>2000</v>
      </c>
      <c r="ER337">
        <v>21.24</v>
      </c>
      <c r="ES337">
        <v>0</v>
      </c>
      <c r="ET337">
        <v>0</v>
      </c>
      <c r="EU337">
        <v>0</v>
      </c>
      <c r="EW337">
        <v>0</v>
      </c>
      <c r="FA337">
        <v>0</v>
      </c>
      <c r="FE337">
        <v>0</v>
      </c>
      <c r="FI337">
        <v>0</v>
      </c>
      <c r="FJ337">
        <v>5441.6949999999997</v>
      </c>
      <c r="FK337">
        <v>34415</v>
      </c>
      <c r="FL337">
        <v>30258.694335366363</v>
      </c>
      <c r="FM337">
        <v>28973.305</v>
      </c>
      <c r="FO337" t="s">
        <v>3491</v>
      </c>
      <c r="FP337" t="s">
        <v>3492</v>
      </c>
      <c r="FQ337" t="s">
        <v>454</v>
      </c>
      <c r="FR337" t="s">
        <v>3493</v>
      </c>
    </row>
    <row r="338" spans="1:174" x14ac:dyDescent="0.35">
      <c r="A338">
        <v>169771</v>
      </c>
      <c r="B338" t="s">
        <v>3902</v>
      </c>
      <c r="C338" t="s">
        <v>1119</v>
      </c>
      <c r="D338" t="s">
        <v>3903</v>
      </c>
      <c r="E338" s="43" t="s">
        <v>4165</v>
      </c>
      <c r="J338" t="s">
        <v>3830</v>
      </c>
      <c r="L338" s="43" t="s">
        <v>344</v>
      </c>
      <c r="M338" t="s">
        <v>3904</v>
      </c>
      <c r="N338" s="43"/>
      <c r="O338" s="43"/>
      <c r="P338" s="43"/>
      <c r="Q338" s="43"/>
      <c r="R338">
        <v>2.41</v>
      </c>
      <c r="S338">
        <v>44109</v>
      </c>
      <c r="T338" t="s">
        <v>265</v>
      </c>
      <c r="U338" t="s">
        <v>266</v>
      </c>
      <c r="V338" t="s">
        <v>267</v>
      </c>
      <c r="W338" t="s">
        <v>268</v>
      </c>
      <c r="X338" t="s">
        <v>269</v>
      </c>
      <c r="Y338">
        <v>8883022894</v>
      </c>
      <c r="Z338" t="s">
        <v>508</v>
      </c>
      <c r="AA338" t="s">
        <v>271</v>
      </c>
      <c r="AB338" t="s">
        <v>545</v>
      </c>
      <c r="AC338">
        <v>0</v>
      </c>
      <c r="AD338" t="s">
        <v>375</v>
      </c>
      <c r="AE338" t="s">
        <v>324</v>
      </c>
      <c r="AF338">
        <v>8</v>
      </c>
      <c r="AG338" t="s">
        <v>3345</v>
      </c>
      <c r="AH338" t="s">
        <v>313</v>
      </c>
      <c r="AI338" t="s">
        <v>313</v>
      </c>
      <c r="AJ338" t="s">
        <v>4237</v>
      </c>
      <c r="AK338" s="43" t="s">
        <v>3208</v>
      </c>
      <c r="AL338" s="43" t="s">
        <v>3209</v>
      </c>
      <c r="AO338" s="23"/>
      <c r="AP338" s="23"/>
      <c r="AQ338" s="23"/>
      <c r="BD338" s="43" t="s">
        <v>2018</v>
      </c>
      <c r="BE338" s="43" t="s">
        <v>2018</v>
      </c>
      <c r="BF338" s="43" t="s">
        <v>2018</v>
      </c>
      <c r="BG338" s="43" t="s">
        <v>2018</v>
      </c>
      <c r="BH338" t="s">
        <v>2018</v>
      </c>
      <c r="BI338" s="43" t="s">
        <v>2018</v>
      </c>
      <c r="BJ338">
        <v>0</v>
      </c>
      <c r="BK338">
        <v>44109</v>
      </c>
      <c r="BL338">
        <v>44356</v>
      </c>
      <c r="BP338">
        <v>0</v>
      </c>
      <c r="BT338">
        <v>0</v>
      </c>
      <c r="BX338">
        <v>0</v>
      </c>
      <c r="CB338">
        <v>0</v>
      </c>
      <c r="CF338">
        <v>0</v>
      </c>
      <c r="CG338">
        <v>0</v>
      </c>
      <c r="CK338">
        <v>0</v>
      </c>
      <c r="CL338">
        <v>2065</v>
      </c>
      <c r="CM338">
        <v>2065</v>
      </c>
      <c r="CN338">
        <v>2065</v>
      </c>
      <c r="CO338">
        <v>6195</v>
      </c>
      <c r="CP338">
        <v>500</v>
      </c>
      <c r="CQ338">
        <v>500</v>
      </c>
      <c r="CR338">
        <v>500</v>
      </c>
      <c r="CS338">
        <v>1500</v>
      </c>
      <c r="CT338">
        <v>0</v>
      </c>
      <c r="CU338">
        <v>0</v>
      </c>
      <c r="CV338">
        <v>0</v>
      </c>
      <c r="CW338">
        <v>0</v>
      </c>
      <c r="CX338">
        <v>3000</v>
      </c>
      <c r="CY338">
        <v>3000</v>
      </c>
      <c r="CZ338">
        <v>3000</v>
      </c>
      <c r="DA338">
        <v>9000</v>
      </c>
      <c r="DB338">
        <v>0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0</v>
      </c>
      <c r="DN338">
        <v>0</v>
      </c>
      <c r="DO338">
        <v>0</v>
      </c>
      <c r="DP338">
        <v>0</v>
      </c>
      <c r="DR338">
        <v>0</v>
      </c>
      <c r="DS338">
        <v>0</v>
      </c>
      <c r="DT338">
        <v>0</v>
      </c>
      <c r="DY338">
        <v>0</v>
      </c>
      <c r="EC338">
        <v>0</v>
      </c>
      <c r="ED338">
        <v>16695</v>
      </c>
      <c r="EH338">
        <v>0</v>
      </c>
      <c r="EI338">
        <v>1154</v>
      </c>
      <c r="EJ338">
        <v>1154</v>
      </c>
      <c r="EK338">
        <v>1155</v>
      </c>
      <c r="EL338">
        <v>3500</v>
      </c>
      <c r="EM338">
        <v>37.065000000000005</v>
      </c>
      <c r="EN338">
        <v>660</v>
      </c>
      <c r="EO338">
        <v>660</v>
      </c>
      <c r="EP338">
        <v>659</v>
      </c>
      <c r="EQ338">
        <v>2000</v>
      </c>
      <c r="ER338">
        <v>21.24</v>
      </c>
      <c r="ES338">
        <v>0</v>
      </c>
      <c r="ET338">
        <v>0</v>
      </c>
      <c r="EU338">
        <v>0</v>
      </c>
      <c r="EW338">
        <v>0</v>
      </c>
      <c r="FA338">
        <v>0</v>
      </c>
      <c r="FE338">
        <v>0</v>
      </c>
      <c r="FI338">
        <v>0</v>
      </c>
      <c r="FJ338">
        <v>5441.6949999999997</v>
      </c>
      <c r="FK338">
        <v>-16695</v>
      </c>
      <c r="FL338">
        <v>-23118.780808755953</v>
      </c>
      <c r="FM338">
        <v>-22136.695</v>
      </c>
      <c r="FO338" t="s">
        <v>3905</v>
      </c>
      <c r="FP338" t="s">
        <v>3906</v>
      </c>
      <c r="FQ338" t="s">
        <v>542</v>
      </c>
      <c r="FR338" t="s">
        <v>3907</v>
      </c>
    </row>
    <row r="339" spans="1:174" x14ac:dyDescent="0.35">
      <c r="A339">
        <v>198061</v>
      </c>
      <c r="B339" t="s">
        <v>781</v>
      </c>
      <c r="C339" t="s">
        <v>1955</v>
      </c>
      <c r="D339" t="s">
        <v>3753</v>
      </c>
      <c r="E339" s="43" t="s">
        <v>4166</v>
      </c>
      <c r="J339" t="s">
        <v>3745</v>
      </c>
      <c r="L339" s="43" t="s">
        <v>3204</v>
      </c>
      <c r="M339" t="s">
        <v>3754</v>
      </c>
      <c r="N339" s="43"/>
      <c r="O339" s="43"/>
      <c r="P339" s="43"/>
      <c r="Q339" s="43"/>
      <c r="R339">
        <v>3.37</v>
      </c>
      <c r="S339">
        <v>44109</v>
      </c>
      <c r="T339" t="s">
        <v>311</v>
      </c>
      <c r="U339" t="s">
        <v>266</v>
      </c>
      <c r="V339" t="s">
        <v>267</v>
      </c>
      <c r="W339" t="s">
        <v>268</v>
      </c>
      <c r="X339" t="s">
        <v>269</v>
      </c>
      <c r="Y339">
        <v>8883022894</v>
      </c>
      <c r="Z339" t="s">
        <v>270</v>
      </c>
      <c r="AA339" t="s">
        <v>271</v>
      </c>
      <c r="AB339">
        <v>0</v>
      </c>
      <c r="AC339" t="s">
        <v>796</v>
      </c>
      <c r="AD339" t="s">
        <v>3758</v>
      </c>
      <c r="AE339" t="s">
        <v>364</v>
      </c>
      <c r="AF339">
        <v>3</v>
      </c>
      <c r="AG339" t="s">
        <v>3345</v>
      </c>
      <c r="AH339" t="s">
        <v>3852</v>
      </c>
      <c r="AI339" t="s">
        <v>3853</v>
      </c>
      <c r="AJ339" t="s">
        <v>3309</v>
      </c>
      <c r="AK339" s="43" t="s">
        <v>3208</v>
      </c>
      <c r="AL339" s="43" t="s">
        <v>3209</v>
      </c>
      <c r="AO339" s="23"/>
      <c r="AP339" s="23"/>
      <c r="AQ339" s="23"/>
      <c r="BD339" s="43" t="s">
        <v>2018</v>
      </c>
      <c r="BE339" s="43" t="s">
        <v>2018</v>
      </c>
      <c r="BF339" s="43" t="s">
        <v>2018</v>
      </c>
      <c r="BG339" s="43" t="s">
        <v>2018</v>
      </c>
      <c r="BH339" t="s">
        <v>2018</v>
      </c>
      <c r="BI339" s="43" t="s">
        <v>2018</v>
      </c>
      <c r="BJ339">
        <v>0</v>
      </c>
      <c r="BK339">
        <v>44109</v>
      </c>
      <c r="BL339">
        <v>44356</v>
      </c>
      <c r="BM339">
        <v>8505</v>
      </c>
      <c r="BN339">
        <v>8505</v>
      </c>
      <c r="BO339">
        <v>8505</v>
      </c>
      <c r="BP339">
        <v>25515</v>
      </c>
      <c r="BQ339">
        <v>3300</v>
      </c>
      <c r="BR339">
        <v>400</v>
      </c>
      <c r="BS339">
        <v>400</v>
      </c>
      <c r="BT339">
        <v>4100</v>
      </c>
      <c r="BU339">
        <v>2100</v>
      </c>
      <c r="BV339">
        <v>2100</v>
      </c>
      <c r="BW339">
        <v>2100</v>
      </c>
      <c r="BX339">
        <v>6300</v>
      </c>
      <c r="BY339">
        <v>1200</v>
      </c>
      <c r="BZ339">
        <v>1200</v>
      </c>
      <c r="CA339">
        <v>1200</v>
      </c>
      <c r="CB339">
        <v>3600</v>
      </c>
      <c r="CF339">
        <v>0</v>
      </c>
      <c r="CG339">
        <v>39515</v>
      </c>
      <c r="CK339">
        <v>0</v>
      </c>
      <c r="CL339">
        <v>2015</v>
      </c>
      <c r="CM339">
        <v>2015</v>
      </c>
      <c r="CN339">
        <v>2015</v>
      </c>
      <c r="CO339">
        <v>6045</v>
      </c>
      <c r="CP339">
        <v>500</v>
      </c>
      <c r="CQ339">
        <v>500</v>
      </c>
      <c r="CR339">
        <v>500</v>
      </c>
      <c r="CS339">
        <v>1500</v>
      </c>
      <c r="CT339">
        <v>1300</v>
      </c>
      <c r="CU339">
        <v>1300</v>
      </c>
      <c r="CV339">
        <v>1300</v>
      </c>
      <c r="CW339">
        <v>3900</v>
      </c>
      <c r="CX339">
        <v>0</v>
      </c>
      <c r="CY339">
        <v>0</v>
      </c>
      <c r="CZ339">
        <v>0</v>
      </c>
      <c r="DA339">
        <v>0</v>
      </c>
      <c r="DB339">
        <v>0</v>
      </c>
      <c r="DC339">
        <v>0</v>
      </c>
      <c r="DD339">
        <v>0</v>
      </c>
      <c r="DE339">
        <v>0</v>
      </c>
      <c r="DF339">
        <v>0</v>
      </c>
      <c r="DG339">
        <v>0</v>
      </c>
      <c r="DH339">
        <v>0</v>
      </c>
      <c r="DN339">
        <v>0</v>
      </c>
      <c r="DO339">
        <v>0</v>
      </c>
      <c r="DP339">
        <v>0</v>
      </c>
      <c r="DR339">
        <v>0</v>
      </c>
      <c r="DS339">
        <v>0</v>
      </c>
      <c r="DT339">
        <v>0</v>
      </c>
      <c r="DY339">
        <v>0</v>
      </c>
      <c r="EC339">
        <v>0</v>
      </c>
      <c r="ED339">
        <v>11445</v>
      </c>
      <c r="EH339">
        <v>0</v>
      </c>
      <c r="EI339">
        <v>1154</v>
      </c>
      <c r="EJ339">
        <v>1154</v>
      </c>
      <c r="EK339">
        <v>1155</v>
      </c>
      <c r="EL339">
        <v>3500</v>
      </c>
      <c r="EM339">
        <v>37.065000000000005</v>
      </c>
      <c r="EN339">
        <v>660</v>
      </c>
      <c r="EO339">
        <v>660</v>
      </c>
      <c r="EP339">
        <v>659</v>
      </c>
      <c r="EQ339">
        <v>2000</v>
      </c>
      <c r="ER339">
        <v>21.24</v>
      </c>
      <c r="ES339">
        <v>0</v>
      </c>
      <c r="ET339">
        <v>0</v>
      </c>
      <c r="EU339">
        <v>0</v>
      </c>
      <c r="EW339">
        <v>0</v>
      </c>
      <c r="FA339">
        <v>0</v>
      </c>
      <c r="FE339">
        <v>0</v>
      </c>
      <c r="FI339">
        <v>0</v>
      </c>
      <c r="FJ339">
        <v>5441.6949999999997</v>
      </c>
      <c r="FK339">
        <v>28070</v>
      </c>
      <c r="FL339">
        <v>23632.200893976104</v>
      </c>
      <c r="FM339">
        <v>22628.305</v>
      </c>
      <c r="FO339" t="s">
        <v>3755</v>
      </c>
      <c r="FP339" t="s">
        <v>3756</v>
      </c>
      <c r="FQ339" t="s">
        <v>705</v>
      </c>
      <c r="FR339" t="s">
        <v>3757</v>
      </c>
    </row>
    <row r="340" spans="1:174" x14ac:dyDescent="0.35">
      <c r="A340">
        <v>199477</v>
      </c>
      <c r="B340" t="s">
        <v>781</v>
      </c>
      <c r="C340" t="s">
        <v>3759</v>
      </c>
      <c r="D340" t="s">
        <v>3760</v>
      </c>
      <c r="E340" s="43" t="s">
        <v>4167</v>
      </c>
      <c r="J340" t="s">
        <v>3745</v>
      </c>
      <c r="L340" s="43" t="s">
        <v>259</v>
      </c>
      <c r="M340" t="s">
        <v>3761</v>
      </c>
      <c r="N340" s="43"/>
      <c r="O340" s="43"/>
      <c r="P340" s="43"/>
      <c r="Q340" s="43"/>
      <c r="R340">
        <v>2.8546999999999998</v>
      </c>
      <c r="S340">
        <v>44109</v>
      </c>
      <c r="T340" t="s">
        <v>265</v>
      </c>
      <c r="U340" t="s">
        <v>286</v>
      </c>
      <c r="V340" t="s">
        <v>893</v>
      </c>
      <c r="W340" t="s">
        <v>268</v>
      </c>
      <c r="X340" t="s">
        <v>269</v>
      </c>
      <c r="Y340">
        <v>8883022894</v>
      </c>
      <c r="Z340" t="s">
        <v>270</v>
      </c>
      <c r="AA340" t="s">
        <v>271</v>
      </c>
      <c r="AB340">
        <v>0</v>
      </c>
      <c r="AC340">
        <v>0</v>
      </c>
      <c r="AD340" t="s">
        <v>313</v>
      </c>
      <c r="AE340" t="s">
        <v>344</v>
      </c>
      <c r="AF340">
        <v>10</v>
      </c>
      <c r="AG340" t="s">
        <v>3345</v>
      </c>
      <c r="AH340" t="s">
        <v>259</v>
      </c>
      <c r="AI340" t="s">
        <v>259</v>
      </c>
      <c r="AJ340" t="s">
        <v>259</v>
      </c>
      <c r="AK340" s="43" t="s">
        <v>259</v>
      </c>
      <c r="AL340" s="43" t="s">
        <v>259</v>
      </c>
      <c r="AO340" s="23"/>
      <c r="AP340" s="23"/>
      <c r="AQ340" s="23"/>
      <c r="BD340" s="43" t="s">
        <v>259</v>
      </c>
      <c r="BE340" s="43" t="s">
        <v>259</v>
      </c>
      <c r="BF340" s="43" t="s">
        <v>259</v>
      </c>
      <c r="BG340" s="43" t="s">
        <v>259</v>
      </c>
      <c r="BH340" t="s">
        <v>259</v>
      </c>
      <c r="BI340" s="43" t="s">
        <v>259</v>
      </c>
      <c r="BJ340">
        <v>0</v>
      </c>
      <c r="BK340">
        <v>44109</v>
      </c>
      <c r="BL340">
        <v>44356</v>
      </c>
      <c r="BM340">
        <v>8505</v>
      </c>
      <c r="BN340">
        <v>8505</v>
      </c>
      <c r="BO340">
        <v>8505</v>
      </c>
      <c r="BP340">
        <v>25515</v>
      </c>
      <c r="BQ340">
        <v>3300</v>
      </c>
      <c r="BR340">
        <v>400</v>
      </c>
      <c r="BS340">
        <v>400</v>
      </c>
      <c r="BT340">
        <v>4100</v>
      </c>
      <c r="BU340">
        <v>2100</v>
      </c>
      <c r="BV340">
        <v>2100</v>
      </c>
      <c r="BW340">
        <v>2100</v>
      </c>
      <c r="BX340">
        <v>6300</v>
      </c>
      <c r="BY340">
        <v>1200</v>
      </c>
      <c r="BZ340">
        <v>1200</v>
      </c>
      <c r="CA340">
        <v>1200</v>
      </c>
      <c r="CB340">
        <v>3600</v>
      </c>
      <c r="CF340">
        <v>0</v>
      </c>
      <c r="CG340">
        <v>39515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0</v>
      </c>
      <c r="CW340">
        <v>0</v>
      </c>
      <c r="CX340">
        <v>3000</v>
      </c>
      <c r="CY340">
        <v>3000</v>
      </c>
      <c r="CZ340">
        <v>3000</v>
      </c>
      <c r="DA340">
        <v>9000</v>
      </c>
      <c r="DB340">
        <v>1000</v>
      </c>
      <c r="DC340">
        <v>1000</v>
      </c>
      <c r="DD340">
        <v>1000</v>
      </c>
      <c r="DE340">
        <v>3000</v>
      </c>
      <c r="DF340">
        <v>0</v>
      </c>
      <c r="DG340">
        <v>0</v>
      </c>
      <c r="DH340">
        <v>0</v>
      </c>
      <c r="DN340">
        <v>0</v>
      </c>
      <c r="DO340">
        <v>0</v>
      </c>
      <c r="DP340">
        <v>0</v>
      </c>
      <c r="DR340">
        <v>0</v>
      </c>
      <c r="DS340">
        <v>0</v>
      </c>
      <c r="DT340">
        <v>0</v>
      </c>
      <c r="DY340">
        <v>0</v>
      </c>
      <c r="EC340">
        <v>0</v>
      </c>
      <c r="ED340">
        <v>12000</v>
      </c>
      <c r="EH340">
        <v>0</v>
      </c>
      <c r="EI340">
        <v>1154</v>
      </c>
      <c r="EJ340">
        <v>1154</v>
      </c>
      <c r="EK340">
        <v>1155</v>
      </c>
      <c r="EL340">
        <v>3500</v>
      </c>
      <c r="EM340">
        <v>37.065000000000005</v>
      </c>
      <c r="EN340">
        <v>660</v>
      </c>
      <c r="EO340">
        <v>660</v>
      </c>
      <c r="EP340">
        <v>659</v>
      </c>
      <c r="EQ340">
        <v>2000</v>
      </c>
      <c r="ER340">
        <v>21.24</v>
      </c>
      <c r="ES340">
        <v>0</v>
      </c>
      <c r="ET340">
        <v>0</v>
      </c>
      <c r="EU340">
        <v>0</v>
      </c>
      <c r="EW340">
        <v>0</v>
      </c>
      <c r="FA340">
        <v>0</v>
      </c>
      <c r="FE340">
        <v>0</v>
      </c>
      <c r="FI340">
        <v>0</v>
      </c>
      <c r="FJ340">
        <v>5441.6949999999997</v>
      </c>
      <c r="FK340">
        <v>27515</v>
      </c>
      <c r="FL340">
        <v>23052.578536218563</v>
      </c>
      <c r="FM340">
        <v>22073.305</v>
      </c>
      <c r="FO340" t="s">
        <v>3762</v>
      </c>
      <c r="FP340" t="s">
        <v>3763</v>
      </c>
      <c r="FQ340" t="s">
        <v>542</v>
      </c>
      <c r="FR340" t="s">
        <v>3764</v>
      </c>
    </row>
    <row r="341" spans="1:174" x14ac:dyDescent="0.35">
      <c r="A341">
        <v>195928</v>
      </c>
      <c r="B341" t="s">
        <v>781</v>
      </c>
      <c r="C341" t="s">
        <v>782</v>
      </c>
      <c r="D341" t="s">
        <v>783</v>
      </c>
      <c r="E341" s="43" t="s">
        <v>784</v>
      </c>
      <c r="L341" s="43" t="s">
        <v>259</v>
      </c>
      <c r="M341" t="s">
        <v>785</v>
      </c>
      <c r="N341" s="43"/>
      <c r="O341" s="43"/>
      <c r="P341" s="43"/>
      <c r="Q341" s="43"/>
      <c r="R341">
        <v>3.7919999999999998</v>
      </c>
      <c r="S341">
        <v>44109</v>
      </c>
      <c r="T341" t="s">
        <v>265</v>
      </c>
      <c r="U341" t="s">
        <v>266</v>
      </c>
      <c r="V341" t="s">
        <v>267</v>
      </c>
      <c r="W341" t="s">
        <v>268</v>
      </c>
      <c r="X341" t="s">
        <v>269</v>
      </c>
      <c r="Y341">
        <v>8883022894</v>
      </c>
      <c r="Z341" t="s">
        <v>270</v>
      </c>
      <c r="AA341" t="s">
        <v>271</v>
      </c>
      <c r="AB341">
        <v>0</v>
      </c>
      <c r="AC341" t="s">
        <v>788</v>
      </c>
      <c r="AD341" t="s">
        <v>288</v>
      </c>
      <c r="AE341" t="s">
        <v>364</v>
      </c>
      <c r="AF341">
        <v>3</v>
      </c>
      <c r="AG341" t="s">
        <v>275</v>
      </c>
      <c r="AH341" t="s">
        <v>259</v>
      </c>
      <c r="AI341" t="s">
        <v>259</v>
      </c>
      <c r="AJ341" t="s">
        <v>259</v>
      </c>
      <c r="AK341" s="43" t="s">
        <v>259</v>
      </c>
      <c r="AL341" s="43" t="s">
        <v>259</v>
      </c>
      <c r="AO341" s="23"/>
      <c r="AP341" s="23"/>
      <c r="AQ341" s="23"/>
      <c r="BD341" s="43" t="s">
        <v>259</v>
      </c>
      <c r="BE341" s="43" t="s">
        <v>259</v>
      </c>
      <c r="BF341" s="43" t="s">
        <v>259</v>
      </c>
      <c r="BG341" s="43" t="s">
        <v>259</v>
      </c>
      <c r="BH341" t="s">
        <v>259</v>
      </c>
      <c r="BI341" s="43" t="s">
        <v>259</v>
      </c>
      <c r="BJ341">
        <v>0</v>
      </c>
      <c r="BK341">
        <v>44109</v>
      </c>
      <c r="BL341">
        <v>44356</v>
      </c>
      <c r="BM341">
        <v>8505</v>
      </c>
      <c r="BN341">
        <v>8505</v>
      </c>
      <c r="BO341">
        <v>8505</v>
      </c>
      <c r="BP341">
        <v>25515</v>
      </c>
      <c r="BQ341">
        <v>3300</v>
      </c>
      <c r="BR341">
        <v>400</v>
      </c>
      <c r="BS341">
        <v>400</v>
      </c>
      <c r="BT341">
        <v>4100</v>
      </c>
      <c r="BU341">
        <v>2100</v>
      </c>
      <c r="BV341">
        <v>2100</v>
      </c>
      <c r="BW341">
        <v>2100</v>
      </c>
      <c r="BX341">
        <v>6300</v>
      </c>
      <c r="BY341">
        <v>1200</v>
      </c>
      <c r="BZ341">
        <v>1200</v>
      </c>
      <c r="CA341">
        <v>1200</v>
      </c>
      <c r="CB341">
        <v>3600</v>
      </c>
      <c r="CC341">
        <v>0</v>
      </c>
      <c r="CD341">
        <v>0</v>
      </c>
      <c r="CE341">
        <v>0</v>
      </c>
      <c r="CF341">
        <v>0</v>
      </c>
      <c r="CG341">
        <v>39515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1300</v>
      </c>
      <c r="CU341">
        <v>1300</v>
      </c>
      <c r="CV341">
        <v>1300</v>
      </c>
      <c r="CW341">
        <v>3900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3900</v>
      </c>
      <c r="EH341">
        <v>0</v>
      </c>
      <c r="EI341">
        <v>1154</v>
      </c>
      <c r="EJ341">
        <v>1154</v>
      </c>
      <c r="EK341">
        <v>1155</v>
      </c>
      <c r="EL341">
        <v>3500</v>
      </c>
      <c r="EM341">
        <v>37.065000000000005</v>
      </c>
      <c r="EN341">
        <v>660</v>
      </c>
      <c r="EO341">
        <v>660</v>
      </c>
      <c r="EP341">
        <v>659</v>
      </c>
      <c r="EQ341">
        <v>2000</v>
      </c>
      <c r="ER341">
        <v>21.18</v>
      </c>
      <c r="ES341">
        <v>0</v>
      </c>
      <c r="ET341">
        <v>0</v>
      </c>
      <c r="EU341">
        <v>0</v>
      </c>
      <c r="EV341">
        <v>0</v>
      </c>
      <c r="EW341">
        <v>0</v>
      </c>
      <c r="FA341">
        <v>0</v>
      </c>
      <c r="FE341">
        <v>0</v>
      </c>
      <c r="FI341">
        <v>0</v>
      </c>
      <c r="FJ341">
        <v>5441.7550000000001</v>
      </c>
      <c r="FK341">
        <v>35615</v>
      </c>
      <c r="FL341">
        <v>31511.869203776419</v>
      </c>
      <c r="FM341">
        <v>30173.244999999999</v>
      </c>
      <c r="FO341" t="s">
        <v>786</v>
      </c>
      <c r="FP341" t="s">
        <v>462</v>
      </c>
      <c r="FQ341" t="s">
        <v>342</v>
      </c>
      <c r="FR341" t="s">
        <v>787</v>
      </c>
    </row>
    <row r="342" spans="1:174" x14ac:dyDescent="0.35">
      <c r="A342">
        <v>197842</v>
      </c>
      <c r="B342" t="s">
        <v>781</v>
      </c>
      <c r="C342" t="s">
        <v>789</v>
      </c>
      <c r="D342" t="s">
        <v>790</v>
      </c>
      <c r="E342" s="43" t="s">
        <v>791</v>
      </c>
      <c r="L342" s="43" t="s">
        <v>3204</v>
      </c>
      <c r="M342" t="s">
        <v>792</v>
      </c>
      <c r="N342" s="43"/>
      <c r="O342" s="43"/>
      <c r="P342" s="43"/>
      <c r="Q342" s="43"/>
      <c r="R342">
        <v>2.8</v>
      </c>
      <c r="S342">
        <v>44109</v>
      </c>
      <c r="T342" t="s">
        <v>311</v>
      </c>
      <c r="U342" t="s">
        <v>266</v>
      </c>
      <c r="V342" t="s">
        <v>267</v>
      </c>
      <c r="W342" t="s">
        <v>268</v>
      </c>
      <c r="X342" t="s">
        <v>269</v>
      </c>
      <c r="Y342">
        <v>8883022894</v>
      </c>
      <c r="Z342" t="s">
        <v>270</v>
      </c>
      <c r="AA342" t="s">
        <v>271</v>
      </c>
      <c r="AB342">
        <v>0</v>
      </c>
      <c r="AC342" t="s">
        <v>796</v>
      </c>
      <c r="AD342" t="s">
        <v>797</v>
      </c>
      <c r="AE342" t="s">
        <v>364</v>
      </c>
      <c r="AF342">
        <v>3</v>
      </c>
      <c r="AG342" t="s">
        <v>275</v>
      </c>
      <c r="AH342" t="s">
        <v>3226</v>
      </c>
      <c r="AI342" t="s">
        <v>313</v>
      </c>
      <c r="AJ342" t="s">
        <v>4237</v>
      </c>
      <c r="AK342" s="43" t="s">
        <v>3208</v>
      </c>
      <c r="AL342" s="43" t="s">
        <v>3209</v>
      </c>
      <c r="AO342" s="23"/>
      <c r="AP342" s="23"/>
      <c r="AQ342" s="23"/>
      <c r="BD342" s="43" t="s">
        <v>2018</v>
      </c>
      <c r="BE342" s="43" t="s">
        <v>2018</v>
      </c>
      <c r="BF342" s="43" t="s">
        <v>2018</v>
      </c>
      <c r="BG342" s="43" t="s">
        <v>2018</v>
      </c>
      <c r="BH342" t="s">
        <v>2018</v>
      </c>
      <c r="BI342" s="43" t="s">
        <v>2018</v>
      </c>
      <c r="BJ342">
        <v>0</v>
      </c>
      <c r="BK342">
        <v>44109</v>
      </c>
      <c r="BL342">
        <v>44356</v>
      </c>
      <c r="BM342">
        <v>8505</v>
      </c>
      <c r="BN342">
        <v>8505</v>
      </c>
      <c r="BO342">
        <v>8505</v>
      </c>
      <c r="BP342">
        <v>25515</v>
      </c>
      <c r="BQ342">
        <v>3300</v>
      </c>
      <c r="BR342">
        <v>400</v>
      </c>
      <c r="BS342">
        <v>400</v>
      </c>
      <c r="BT342">
        <v>4100</v>
      </c>
      <c r="BU342">
        <v>2100</v>
      </c>
      <c r="BV342">
        <v>2100</v>
      </c>
      <c r="BW342">
        <v>2100</v>
      </c>
      <c r="BX342">
        <v>6300</v>
      </c>
      <c r="BY342">
        <v>1200</v>
      </c>
      <c r="BZ342">
        <v>1200</v>
      </c>
      <c r="CA342">
        <v>1200</v>
      </c>
      <c r="CB342">
        <v>3600</v>
      </c>
      <c r="CC342">
        <v>0</v>
      </c>
      <c r="CD342">
        <v>0</v>
      </c>
      <c r="CE342">
        <v>0</v>
      </c>
      <c r="CF342">
        <v>0</v>
      </c>
      <c r="CG342">
        <v>39515</v>
      </c>
      <c r="CK342">
        <v>0</v>
      </c>
      <c r="CL342">
        <v>2065</v>
      </c>
      <c r="CM342">
        <v>2065</v>
      </c>
      <c r="CN342">
        <v>2065</v>
      </c>
      <c r="CO342">
        <v>6195</v>
      </c>
      <c r="CP342">
        <v>500</v>
      </c>
      <c r="CQ342">
        <v>500</v>
      </c>
      <c r="CR342">
        <v>500</v>
      </c>
      <c r="CS342">
        <v>1500</v>
      </c>
      <c r="CT342">
        <v>1300</v>
      </c>
      <c r="CU342">
        <v>1300</v>
      </c>
      <c r="CV342">
        <v>1300</v>
      </c>
      <c r="CW342">
        <v>3900</v>
      </c>
      <c r="CX342">
        <v>0</v>
      </c>
      <c r="CY342">
        <v>0</v>
      </c>
      <c r="CZ342">
        <v>0</v>
      </c>
      <c r="DA342">
        <v>0</v>
      </c>
      <c r="DB342">
        <v>0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0</v>
      </c>
      <c r="DN342">
        <v>0</v>
      </c>
      <c r="DO342">
        <v>0</v>
      </c>
      <c r="DP342">
        <v>0</v>
      </c>
      <c r="DQ342">
        <v>0</v>
      </c>
      <c r="DR342">
        <v>0</v>
      </c>
      <c r="DS342">
        <v>0</v>
      </c>
      <c r="DT342">
        <v>0</v>
      </c>
      <c r="DU342">
        <v>0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0</v>
      </c>
      <c r="EC342">
        <v>0</v>
      </c>
      <c r="ED342">
        <v>11595</v>
      </c>
      <c r="EH342">
        <v>0</v>
      </c>
      <c r="EI342">
        <v>1154</v>
      </c>
      <c r="EJ342">
        <v>1154</v>
      </c>
      <c r="EK342">
        <v>1155</v>
      </c>
      <c r="EL342">
        <v>3500</v>
      </c>
      <c r="EM342">
        <v>37.065000000000005</v>
      </c>
      <c r="EN342">
        <v>660</v>
      </c>
      <c r="EO342">
        <v>660</v>
      </c>
      <c r="EP342">
        <v>659</v>
      </c>
      <c r="EQ342">
        <v>2000</v>
      </c>
      <c r="ER342">
        <v>21.18</v>
      </c>
      <c r="ES342">
        <v>0</v>
      </c>
      <c r="ET342">
        <v>0</v>
      </c>
      <c r="EU342">
        <v>0</v>
      </c>
      <c r="EV342">
        <v>0</v>
      </c>
      <c r="EW342">
        <v>0</v>
      </c>
      <c r="FA342">
        <v>0</v>
      </c>
      <c r="FE342">
        <v>0</v>
      </c>
      <c r="FI342">
        <v>0</v>
      </c>
      <c r="FJ342">
        <v>5441.7550000000001</v>
      </c>
      <c r="FK342">
        <v>27920</v>
      </c>
      <c r="FL342">
        <v>23475.48354081377</v>
      </c>
      <c r="FM342">
        <v>22478.244999999999</v>
      </c>
      <c r="FO342" t="s">
        <v>793</v>
      </c>
      <c r="FP342" t="s">
        <v>794</v>
      </c>
      <c r="FQ342" t="s">
        <v>342</v>
      </c>
      <c r="FR342" t="s">
        <v>795</v>
      </c>
    </row>
    <row r="343" spans="1:174" x14ac:dyDescent="0.35">
      <c r="A343">
        <v>196158</v>
      </c>
      <c r="B343" t="s">
        <v>3494</v>
      </c>
      <c r="C343" t="s">
        <v>1193</v>
      </c>
      <c r="D343" t="s">
        <v>3495</v>
      </c>
      <c r="E343" s="43" t="s">
        <v>4207</v>
      </c>
      <c r="J343" t="s">
        <v>3908</v>
      </c>
      <c r="L343" s="43" t="s">
        <v>259</v>
      </c>
      <c r="M343" t="s">
        <v>3496</v>
      </c>
      <c r="N343" s="43"/>
      <c r="O343" s="43"/>
      <c r="P343" s="43"/>
      <c r="Q343" s="43"/>
      <c r="R343">
        <v>2.71</v>
      </c>
      <c r="S343">
        <v>44109</v>
      </c>
      <c r="T343" t="s">
        <v>311</v>
      </c>
      <c r="U343" t="s">
        <v>266</v>
      </c>
      <c r="V343" t="s">
        <v>267</v>
      </c>
      <c r="W343" t="s">
        <v>268</v>
      </c>
      <c r="X343" t="s">
        <v>269</v>
      </c>
      <c r="Y343">
        <v>8883022894</v>
      </c>
      <c r="Z343" t="s">
        <v>270</v>
      </c>
      <c r="AA343" t="s">
        <v>271</v>
      </c>
      <c r="AB343" t="s">
        <v>3437</v>
      </c>
      <c r="AC343">
        <v>0</v>
      </c>
      <c r="AD343" t="s">
        <v>3500</v>
      </c>
      <c r="AE343" t="s">
        <v>274</v>
      </c>
      <c r="AF343">
        <v>9</v>
      </c>
      <c r="AG343" t="s">
        <v>3345</v>
      </c>
      <c r="AH343" t="s">
        <v>259</v>
      </c>
      <c r="AI343" t="s">
        <v>259</v>
      </c>
      <c r="AJ343" t="s">
        <v>259</v>
      </c>
      <c r="AK343" s="43" t="s">
        <v>259</v>
      </c>
      <c r="AL343" s="43" t="s">
        <v>259</v>
      </c>
      <c r="AO343" s="23"/>
      <c r="AP343" s="23"/>
      <c r="AQ343" s="23"/>
      <c r="BD343" s="43" t="s">
        <v>259</v>
      </c>
      <c r="BE343" s="43" t="s">
        <v>259</v>
      </c>
      <c r="BF343" s="43" t="s">
        <v>259</v>
      </c>
      <c r="BG343" s="43" t="s">
        <v>259</v>
      </c>
      <c r="BH343" t="s">
        <v>259</v>
      </c>
      <c r="BI343" s="43" t="s">
        <v>259</v>
      </c>
      <c r="BJ343">
        <v>0</v>
      </c>
      <c r="BK343">
        <v>44109</v>
      </c>
      <c r="BL343">
        <v>44356</v>
      </c>
      <c r="BM343">
        <v>8505</v>
      </c>
      <c r="BN343">
        <v>8505</v>
      </c>
      <c r="BO343">
        <v>8505</v>
      </c>
      <c r="BP343">
        <v>25515</v>
      </c>
      <c r="BQ343">
        <v>3300</v>
      </c>
      <c r="BR343">
        <v>400</v>
      </c>
      <c r="BS343">
        <v>400</v>
      </c>
      <c r="BT343">
        <v>4100</v>
      </c>
      <c r="BU343">
        <v>2100</v>
      </c>
      <c r="BV343">
        <v>2100</v>
      </c>
      <c r="BW343">
        <v>2100</v>
      </c>
      <c r="BX343">
        <v>6300</v>
      </c>
      <c r="BY343">
        <v>1200</v>
      </c>
      <c r="BZ343">
        <v>1200</v>
      </c>
      <c r="CA343">
        <v>1200</v>
      </c>
      <c r="CB343">
        <v>3600</v>
      </c>
      <c r="CF343">
        <v>0</v>
      </c>
      <c r="CG343">
        <v>39515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0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N343">
        <v>0</v>
      </c>
      <c r="DO343">
        <v>0</v>
      </c>
      <c r="DP343">
        <v>0</v>
      </c>
      <c r="DR343">
        <v>0</v>
      </c>
      <c r="DS343">
        <v>0</v>
      </c>
      <c r="DT343">
        <v>0</v>
      </c>
      <c r="DY343">
        <v>0</v>
      </c>
      <c r="EC343">
        <v>0</v>
      </c>
      <c r="ED343">
        <v>0</v>
      </c>
      <c r="EH343">
        <v>0</v>
      </c>
      <c r="EI343">
        <v>1154</v>
      </c>
      <c r="EJ343">
        <v>1154</v>
      </c>
      <c r="EK343">
        <v>1155</v>
      </c>
      <c r="EL343">
        <v>3500</v>
      </c>
      <c r="EM343">
        <v>37.065000000000005</v>
      </c>
      <c r="EN343">
        <v>660</v>
      </c>
      <c r="EO343">
        <v>660</v>
      </c>
      <c r="EP343">
        <v>659</v>
      </c>
      <c r="EQ343">
        <v>2000</v>
      </c>
      <c r="ER343">
        <v>21.24</v>
      </c>
      <c r="ES343">
        <v>0</v>
      </c>
      <c r="ET343">
        <v>0</v>
      </c>
      <c r="EU343">
        <v>0</v>
      </c>
      <c r="EW343">
        <v>0</v>
      </c>
      <c r="FA343">
        <v>0</v>
      </c>
      <c r="FE343">
        <v>0</v>
      </c>
      <c r="FI343">
        <v>0</v>
      </c>
      <c r="FJ343">
        <v>5441.6949999999997</v>
      </c>
      <c r="FK343">
        <v>39515</v>
      </c>
      <c r="FL343">
        <v>35584.953839084301</v>
      </c>
      <c r="FM343">
        <v>34073.305</v>
      </c>
      <c r="FO343" t="s">
        <v>3497</v>
      </c>
      <c r="FP343" t="s">
        <v>3498</v>
      </c>
      <c r="FQ343" t="s">
        <v>1046</v>
      </c>
      <c r="FR343" t="s">
        <v>3499</v>
      </c>
    </row>
    <row r="344" spans="1:174" x14ac:dyDescent="0.35">
      <c r="A344">
        <v>196658</v>
      </c>
      <c r="B344" t="s">
        <v>798</v>
      </c>
      <c r="C344" t="s">
        <v>799</v>
      </c>
      <c r="D344" t="s">
        <v>800</v>
      </c>
      <c r="E344" s="43" t="s">
        <v>801</v>
      </c>
      <c r="L344" s="43" t="s">
        <v>259</v>
      </c>
      <c r="M344" t="s">
        <v>802</v>
      </c>
      <c r="N344" s="43"/>
      <c r="O344" s="43"/>
      <c r="P344" s="43"/>
      <c r="Q344" s="43"/>
      <c r="R344">
        <v>3.875</v>
      </c>
      <c r="S344">
        <v>44109</v>
      </c>
      <c r="T344" t="s">
        <v>311</v>
      </c>
      <c r="U344" t="s">
        <v>266</v>
      </c>
      <c r="V344" t="s">
        <v>267</v>
      </c>
      <c r="W344" t="s">
        <v>268</v>
      </c>
      <c r="X344" t="s">
        <v>269</v>
      </c>
      <c r="Y344">
        <v>8883022894</v>
      </c>
      <c r="Z344" t="s">
        <v>270</v>
      </c>
      <c r="AA344" t="s">
        <v>271</v>
      </c>
      <c r="AB344">
        <v>0</v>
      </c>
      <c r="AC344">
        <v>0</v>
      </c>
      <c r="AD344" t="s">
        <v>313</v>
      </c>
      <c r="AE344" t="s">
        <v>354</v>
      </c>
      <c r="AF344">
        <v>6</v>
      </c>
      <c r="AG344" t="s">
        <v>275</v>
      </c>
      <c r="AH344" t="s">
        <v>259</v>
      </c>
      <c r="AI344" t="s">
        <v>259</v>
      </c>
      <c r="AJ344" t="s">
        <v>259</v>
      </c>
      <c r="AK344" s="43" t="s">
        <v>259</v>
      </c>
      <c r="AL344" s="43" t="s">
        <v>259</v>
      </c>
      <c r="AO344" s="23"/>
      <c r="AP344" s="23"/>
      <c r="AQ344" s="23"/>
      <c r="BD344" s="43" t="s">
        <v>259</v>
      </c>
      <c r="BE344" s="43" t="s">
        <v>259</v>
      </c>
      <c r="BF344" s="43" t="s">
        <v>259</v>
      </c>
      <c r="BG344" s="43" t="s">
        <v>259</v>
      </c>
      <c r="BH344" t="s">
        <v>259</v>
      </c>
      <c r="BI344" s="43" t="s">
        <v>259</v>
      </c>
      <c r="BJ344">
        <v>0</v>
      </c>
      <c r="BK344">
        <v>44109</v>
      </c>
      <c r="BL344">
        <v>44356</v>
      </c>
      <c r="BM344">
        <v>8505</v>
      </c>
      <c r="BN344">
        <v>8505</v>
      </c>
      <c r="BO344">
        <v>8505</v>
      </c>
      <c r="BP344">
        <v>25515</v>
      </c>
      <c r="BQ344">
        <v>3300</v>
      </c>
      <c r="BR344">
        <v>400</v>
      </c>
      <c r="BS344">
        <v>400</v>
      </c>
      <c r="BT344">
        <v>4100</v>
      </c>
      <c r="BU344">
        <v>2100</v>
      </c>
      <c r="BV344">
        <v>2100</v>
      </c>
      <c r="BW344">
        <v>2100</v>
      </c>
      <c r="BX344">
        <v>6300</v>
      </c>
      <c r="BY344">
        <v>1200</v>
      </c>
      <c r="BZ344">
        <v>1200</v>
      </c>
      <c r="CA344">
        <v>1200</v>
      </c>
      <c r="CB344">
        <v>3600</v>
      </c>
      <c r="CC344">
        <v>0</v>
      </c>
      <c r="CD344">
        <v>0</v>
      </c>
      <c r="CE344">
        <v>0</v>
      </c>
      <c r="CF344">
        <v>0</v>
      </c>
      <c r="CG344">
        <v>39515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>
        <v>750</v>
      </c>
      <c r="CU344">
        <v>750</v>
      </c>
      <c r="CV344">
        <v>750</v>
      </c>
      <c r="CW344">
        <v>2250</v>
      </c>
      <c r="CX344">
        <v>0</v>
      </c>
      <c r="CY344">
        <v>0</v>
      </c>
      <c r="CZ344">
        <v>0</v>
      </c>
      <c r="DA344">
        <v>0</v>
      </c>
      <c r="DB344">
        <v>0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N344">
        <v>0</v>
      </c>
      <c r="DO344">
        <v>0</v>
      </c>
      <c r="DP344">
        <v>0</v>
      </c>
      <c r="DQ344">
        <v>0</v>
      </c>
      <c r="DR344">
        <v>0</v>
      </c>
      <c r="DS344">
        <v>0</v>
      </c>
      <c r="DT344">
        <v>0</v>
      </c>
      <c r="DU344">
        <v>0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0</v>
      </c>
      <c r="ED344">
        <v>2250</v>
      </c>
      <c r="EH344">
        <v>0</v>
      </c>
      <c r="EI344">
        <v>1154</v>
      </c>
      <c r="EJ344">
        <v>1154</v>
      </c>
      <c r="EK344">
        <v>1155</v>
      </c>
      <c r="EL344">
        <v>3500</v>
      </c>
      <c r="EM344">
        <v>37.065000000000005</v>
      </c>
      <c r="EN344">
        <v>660</v>
      </c>
      <c r="EO344">
        <v>660</v>
      </c>
      <c r="EP344">
        <v>659</v>
      </c>
      <c r="EQ344">
        <v>2000</v>
      </c>
      <c r="ER344">
        <v>21.18</v>
      </c>
      <c r="ES344">
        <v>0</v>
      </c>
      <c r="ET344">
        <v>0</v>
      </c>
      <c r="EU344">
        <v>0</v>
      </c>
      <c r="EV344">
        <v>0</v>
      </c>
      <c r="EW344">
        <v>0</v>
      </c>
      <c r="FA344">
        <v>0</v>
      </c>
      <c r="FE344">
        <v>0</v>
      </c>
      <c r="FI344">
        <v>0</v>
      </c>
      <c r="FJ344">
        <v>5441.7550000000001</v>
      </c>
      <c r="FK344">
        <v>37265</v>
      </c>
      <c r="FL344">
        <v>33235.070807920463</v>
      </c>
      <c r="FM344">
        <v>31823.245000000003</v>
      </c>
      <c r="FO344" t="s">
        <v>803</v>
      </c>
      <c r="FP344" t="s">
        <v>804</v>
      </c>
      <c r="FQ344" t="s">
        <v>553</v>
      </c>
      <c r="FR344" t="s">
        <v>805</v>
      </c>
    </row>
    <row r="345" spans="1:174" x14ac:dyDescent="0.35">
      <c r="A345">
        <v>195988</v>
      </c>
      <c r="B345" t="s">
        <v>806</v>
      </c>
      <c r="C345" t="s">
        <v>807</v>
      </c>
      <c r="D345" t="s">
        <v>808</v>
      </c>
      <c r="E345" s="43" t="s">
        <v>809</v>
      </c>
      <c r="F345">
        <v>1</v>
      </c>
      <c r="I345">
        <v>43780</v>
      </c>
      <c r="L345" s="43" t="s">
        <v>3204</v>
      </c>
      <c r="M345" t="s">
        <v>810</v>
      </c>
      <c r="N345" s="43"/>
      <c r="O345" s="43"/>
      <c r="P345" s="43"/>
      <c r="Q345" s="43"/>
      <c r="R345">
        <v>3.67</v>
      </c>
      <c r="S345">
        <v>44109</v>
      </c>
      <c r="T345" t="s">
        <v>265</v>
      </c>
      <c r="U345" t="s">
        <v>286</v>
      </c>
      <c r="V345" t="s">
        <v>267</v>
      </c>
      <c r="W345" t="s">
        <v>268</v>
      </c>
      <c r="X345" t="s">
        <v>269</v>
      </c>
      <c r="Y345">
        <v>8883022894</v>
      </c>
      <c r="Z345" t="s">
        <v>270</v>
      </c>
      <c r="AA345" t="s">
        <v>271</v>
      </c>
      <c r="AB345">
        <v>0</v>
      </c>
      <c r="AC345">
        <v>0</v>
      </c>
      <c r="AD345" t="s">
        <v>313</v>
      </c>
      <c r="AE345" t="s">
        <v>416</v>
      </c>
      <c r="AF345">
        <v>5</v>
      </c>
      <c r="AG345" t="s">
        <v>275</v>
      </c>
      <c r="AH345" t="s">
        <v>3226</v>
      </c>
      <c r="AI345" t="s">
        <v>313</v>
      </c>
      <c r="AJ345" t="s">
        <v>3590</v>
      </c>
      <c r="AK345" s="43" t="s">
        <v>3208</v>
      </c>
      <c r="AL345" s="43" t="s">
        <v>3209</v>
      </c>
      <c r="AO345" s="23">
        <v>43777</v>
      </c>
      <c r="AP345" s="23"/>
      <c r="AQ345" s="23"/>
      <c r="BD345" s="43" t="s">
        <v>2018</v>
      </c>
      <c r="BE345" s="43" t="s">
        <v>2018</v>
      </c>
      <c r="BF345" s="43" t="s">
        <v>2018</v>
      </c>
      <c r="BG345" s="43" t="s">
        <v>2018</v>
      </c>
      <c r="BH345" t="s">
        <v>2018</v>
      </c>
      <c r="BI345" s="43" t="s">
        <v>2018</v>
      </c>
      <c r="BJ345">
        <v>5.8823529411764719E-2</v>
      </c>
      <c r="BK345">
        <v>44109</v>
      </c>
      <c r="BL345">
        <v>44356</v>
      </c>
      <c r="BM345">
        <v>8505</v>
      </c>
      <c r="BN345">
        <v>8505</v>
      </c>
      <c r="BO345">
        <v>8505</v>
      </c>
      <c r="BP345">
        <v>25515</v>
      </c>
      <c r="BQ345">
        <v>3300</v>
      </c>
      <c r="BR345">
        <v>400</v>
      </c>
      <c r="BS345">
        <v>400</v>
      </c>
      <c r="BT345">
        <v>4100</v>
      </c>
      <c r="BU345">
        <v>2100</v>
      </c>
      <c r="BV345">
        <v>2100</v>
      </c>
      <c r="BW345">
        <v>2100</v>
      </c>
      <c r="BX345">
        <v>6300</v>
      </c>
      <c r="BY345">
        <v>1200</v>
      </c>
      <c r="BZ345">
        <v>1200</v>
      </c>
      <c r="CA345">
        <v>1200</v>
      </c>
      <c r="CB345">
        <v>3600</v>
      </c>
      <c r="CC345">
        <v>0</v>
      </c>
      <c r="CD345">
        <v>0</v>
      </c>
      <c r="CE345">
        <v>0</v>
      </c>
      <c r="CF345">
        <v>0</v>
      </c>
      <c r="CG345">
        <v>39515</v>
      </c>
      <c r="CK345">
        <v>0</v>
      </c>
      <c r="CL345">
        <v>2065</v>
      </c>
      <c r="CM345">
        <v>2065</v>
      </c>
      <c r="CN345">
        <v>2065</v>
      </c>
      <c r="CO345">
        <v>6195</v>
      </c>
      <c r="CP345">
        <v>500</v>
      </c>
      <c r="CQ345">
        <v>500</v>
      </c>
      <c r="CR345">
        <v>500</v>
      </c>
      <c r="CS345">
        <v>1500</v>
      </c>
      <c r="CT345">
        <v>1000</v>
      </c>
      <c r="CU345">
        <v>1000</v>
      </c>
      <c r="CV345">
        <v>1000</v>
      </c>
      <c r="CW345">
        <v>3000</v>
      </c>
      <c r="CX345">
        <v>0</v>
      </c>
      <c r="CY345">
        <v>0</v>
      </c>
      <c r="CZ345">
        <v>0</v>
      </c>
      <c r="DA345">
        <v>0</v>
      </c>
      <c r="DB345">
        <v>1000</v>
      </c>
      <c r="DC345">
        <v>1000</v>
      </c>
      <c r="DD345">
        <v>1000</v>
      </c>
      <c r="DE345">
        <v>3000</v>
      </c>
      <c r="DF345">
        <v>0</v>
      </c>
      <c r="DG345">
        <v>0</v>
      </c>
      <c r="DH345">
        <v>0</v>
      </c>
      <c r="DN345">
        <v>0</v>
      </c>
      <c r="DO345">
        <v>0</v>
      </c>
      <c r="DP345">
        <v>0</v>
      </c>
      <c r="DQ345">
        <v>0</v>
      </c>
      <c r="DR345">
        <v>0</v>
      </c>
      <c r="DS345">
        <v>0</v>
      </c>
      <c r="DT345">
        <v>0</v>
      </c>
      <c r="DU345">
        <v>0</v>
      </c>
      <c r="DV345">
        <v>0</v>
      </c>
      <c r="DW345">
        <v>0</v>
      </c>
      <c r="DX345">
        <v>0</v>
      </c>
      <c r="DY345">
        <v>0</v>
      </c>
      <c r="DZ345">
        <v>0</v>
      </c>
      <c r="EA345">
        <v>0</v>
      </c>
      <c r="EB345">
        <v>0</v>
      </c>
      <c r="EC345">
        <v>0</v>
      </c>
      <c r="ED345">
        <v>13695</v>
      </c>
      <c r="EH345">
        <v>0</v>
      </c>
      <c r="EI345">
        <v>1154</v>
      </c>
      <c r="EJ345">
        <v>1154</v>
      </c>
      <c r="EK345">
        <v>1155</v>
      </c>
      <c r="EL345">
        <v>3500</v>
      </c>
      <c r="EM345">
        <v>37.065000000000005</v>
      </c>
      <c r="EN345">
        <v>660</v>
      </c>
      <c r="EO345">
        <v>660</v>
      </c>
      <c r="EP345">
        <v>659</v>
      </c>
      <c r="EQ345">
        <v>2000</v>
      </c>
      <c r="ER345">
        <v>21.18</v>
      </c>
      <c r="ES345">
        <v>0</v>
      </c>
      <c r="ET345">
        <v>0</v>
      </c>
      <c r="EU345">
        <v>0</v>
      </c>
      <c r="EV345">
        <v>0</v>
      </c>
      <c r="EW345">
        <v>0</v>
      </c>
      <c r="FA345">
        <v>0</v>
      </c>
      <c r="FE345">
        <v>0</v>
      </c>
      <c r="FI345">
        <v>0</v>
      </c>
      <c r="FJ345">
        <v>5441.7550000000001</v>
      </c>
      <c r="FK345">
        <v>25820</v>
      </c>
      <c r="FL345">
        <v>21282.317862812262</v>
      </c>
      <c r="FM345">
        <v>20378.244999999999</v>
      </c>
      <c r="FO345" t="s">
        <v>811</v>
      </c>
      <c r="FP345" t="s">
        <v>812</v>
      </c>
      <c r="FQ345" t="s">
        <v>813</v>
      </c>
      <c r="FR345" t="s">
        <v>814</v>
      </c>
    </row>
    <row r="346" spans="1:174" x14ac:dyDescent="0.35">
      <c r="A346">
        <v>196949</v>
      </c>
      <c r="B346" t="s">
        <v>815</v>
      </c>
      <c r="C346" t="s">
        <v>816</v>
      </c>
      <c r="D346" t="s">
        <v>817</v>
      </c>
      <c r="E346" s="43" t="s">
        <v>818</v>
      </c>
      <c r="L346" s="43" t="s">
        <v>259</v>
      </c>
      <c r="M346" t="s">
        <v>819</v>
      </c>
      <c r="N346" s="43"/>
      <c r="O346" s="43"/>
      <c r="P346" s="43"/>
      <c r="Q346" s="43"/>
      <c r="R346">
        <v>2.8</v>
      </c>
      <c r="S346">
        <v>44109</v>
      </c>
      <c r="T346" t="s">
        <v>285</v>
      </c>
      <c r="U346" t="s">
        <v>286</v>
      </c>
      <c r="V346" t="s">
        <v>267</v>
      </c>
      <c r="W346" t="s">
        <v>268</v>
      </c>
      <c r="X346" t="s">
        <v>269</v>
      </c>
      <c r="Y346">
        <v>8883022894</v>
      </c>
      <c r="Z346" t="s">
        <v>270</v>
      </c>
      <c r="AA346" t="s">
        <v>271</v>
      </c>
      <c r="AB346">
        <v>0</v>
      </c>
      <c r="AC346">
        <v>0</v>
      </c>
      <c r="AD346" t="s">
        <v>313</v>
      </c>
      <c r="AE346" t="s">
        <v>274</v>
      </c>
      <c r="AF346">
        <v>9</v>
      </c>
      <c r="AG346" t="s">
        <v>275</v>
      </c>
      <c r="AH346" t="s">
        <v>259</v>
      </c>
      <c r="AI346" t="s">
        <v>259</v>
      </c>
      <c r="AJ346" t="s">
        <v>259</v>
      </c>
      <c r="AK346" s="43" t="s">
        <v>259</v>
      </c>
      <c r="AL346" s="43" t="s">
        <v>259</v>
      </c>
      <c r="AO346" s="23"/>
      <c r="AP346" s="23"/>
      <c r="AQ346" s="23"/>
      <c r="BD346" s="43" t="s">
        <v>259</v>
      </c>
      <c r="BE346" s="43" t="s">
        <v>259</v>
      </c>
      <c r="BF346" s="43" t="s">
        <v>259</v>
      </c>
      <c r="BG346" s="43" t="s">
        <v>259</v>
      </c>
      <c r="BH346" t="s">
        <v>259</v>
      </c>
      <c r="BI346" s="43" t="s">
        <v>259</v>
      </c>
      <c r="BJ346">
        <v>0</v>
      </c>
      <c r="BK346">
        <v>44109</v>
      </c>
      <c r="BL346">
        <v>44356</v>
      </c>
      <c r="BM346">
        <v>8505</v>
      </c>
      <c r="BN346">
        <v>8505</v>
      </c>
      <c r="BO346">
        <v>8505</v>
      </c>
      <c r="BP346">
        <v>25515</v>
      </c>
      <c r="BQ346">
        <v>3300</v>
      </c>
      <c r="BR346">
        <v>400</v>
      </c>
      <c r="BS346">
        <v>400</v>
      </c>
      <c r="BT346">
        <v>4100</v>
      </c>
      <c r="BU346">
        <v>2100</v>
      </c>
      <c r="BV346">
        <v>2100</v>
      </c>
      <c r="BW346">
        <v>2100</v>
      </c>
      <c r="BX346">
        <v>6300</v>
      </c>
      <c r="BY346">
        <v>1200</v>
      </c>
      <c r="BZ346">
        <v>1200</v>
      </c>
      <c r="CA346">
        <v>1200</v>
      </c>
      <c r="CB346">
        <v>3600</v>
      </c>
      <c r="CC346">
        <v>0</v>
      </c>
      <c r="CD346">
        <v>0</v>
      </c>
      <c r="CE346">
        <v>0</v>
      </c>
      <c r="CF346">
        <v>0</v>
      </c>
      <c r="CG346">
        <v>39515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0</v>
      </c>
      <c r="CQ346">
        <v>0</v>
      </c>
      <c r="CR346">
        <v>0</v>
      </c>
      <c r="CS346">
        <v>0</v>
      </c>
      <c r="CT346">
        <v>0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0</v>
      </c>
      <c r="DA346">
        <v>0</v>
      </c>
      <c r="DB346">
        <v>1000</v>
      </c>
      <c r="DC346">
        <v>1000</v>
      </c>
      <c r="DD346">
        <v>1000</v>
      </c>
      <c r="DE346">
        <v>3000</v>
      </c>
      <c r="DF346">
        <v>0</v>
      </c>
      <c r="DG346">
        <v>0</v>
      </c>
      <c r="DH346">
        <v>0</v>
      </c>
      <c r="DN346">
        <v>0</v>
      </c>
      <c r="DO346">
        <v>0</v>
      </c>
      <c r="DP346">
        <v>0</v>
      </c>
      <c r="DQ346">
        <v>0</v>
      </c>
      <c r="DR346">
        <v>0</v>
      </c>
      <c r="DS346">
        <v>0</v>
      </c>
      <c r="DT346">
        <v>0</v>
      </c>
      <c r="DU346">
        <v>0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0</v>
      </c>
      <c r="EB346">
        <v>0</v>
      </c>
      <c r="EC346">
        <v>0</v>
      </c>
      <c r="ED346">
        <v>3000</v>
      </c>
      <c r="EH346">
        <v>0</v>
      </c>
      <c r="EI346">
        <v>1154</v>
      </c>
      <c r="EJ346">
        <v>1154</v>
      </c>
      <c r="EK346">
        <v>1155</v>
      </c>
      <c r="EL346">
        <v>3500</v>
      </c>
      <c r="EM346">
        <v>37.065000000000005</v>
      </c>
      <c r="EN346">
        <v>660</v>
      </c>
      <c r="EO346">
        <v>660</v>
      </c>
      <c r="EP346">
        <v>659</v>
      </c>
      <c r="EQ346">
        <v>2000</v>
      </c>
      <c r="ER346">
        <v>21.18</v>
      </c>
      <c r="ES346">
        <v>0</v>
      </c>
      <c r="ET346">
        <v>0</v>
      </c>
      <c r="EU346">
        <v>0</v>
      </c>
      <c r="EV346">
        <v>0</v>
      </c>
      <c r="EW346">
        <v>0</v>
      </c>
      <c r="FA346">
        <v>0</v>
      </c>
      <c r="FE346">
        <v>0</v>
      </c>
      <c r="FI346">
        <v>0</v>
      </c>
      <c r="FJ346">
        <v>5441.7550000000001</v>
      </c>
      <c r="FK346">
        <v>36515</v>
      </c>
      <c r="FL346">
        <v>32451.797351491354</v>
      </c>
      <c r="FM346">
        <v>31073.245000000003</v>
      </c>
      <c r="FO346" t="s">
        <v>820</v>
      </c>
      <c r="FP346" t="s">
        <v>821</v>
      </c>
      <c r="FQ346" t="s">
        <v>822</v>
      </c>
      <c r="FR346" t="s">
        <v>823</v>
      </c>
    </row>
    <row r="347" spans="1:174" x14ac:dyDescent="0.35">
      <c r="A347">
        <v>193556</v>
      </c>
      <c r="B347" t="s">
        <v>824</v>
      </c>
      <c r="C347" t="s">
        <v>825</v>
      </c>
      <c r="D347" t="s">
        <v>826</v>
      </c>
      <c r="E347" s="43" t="s">
        <v>827</v>
      </c>
      <c r="L347" s="43" t="s">
        <v>259</v>
      </c>
      <c r="M347" t="s">
        <v>828</v>
      </c>
      <c r="N347" s="43"/>
      <c r="O347" s="43"/>
      <c r="P347" s="43"/>
      <c r="Q347" s="43"/>
      <c r="R347">
        <v>1.9</v>
      </c>
      <c r="S347">
        <v>44109</v>
      </c>
      <c r="T347" t="s">
        <v>285</v>
      </c>
      <c r="U347" t="s">
        <v>266</v>
      </c>
      <c r="V347" t="s">
        <v>267</v>
      </c>
      <c r="W347" t="s">
        <v>268</v>
      </c>
      <c r="X347" t="s">
        <v>269</v>
      </c>
      <c r="Y347">
        <v>8883022894</v>
      </c>
      <c r="Z347" t="s">
        <v>270</v>
      </c>
      <c r="AA347" t="s">
        <v>271</v>
      </c>
      <c r="AB347">
        <v>0</v>
      </c>
      <c r="AC347" t="s">
        <v>752</v>
      </c>
      <c r="AD347" t="s">
        <v>833</v>
      </c>
      <c r="AE347" t="s">
        <v>344</v>
      </c>
      <c r="AF347">
        <v>10</v>
      </c>
      <c r="AG347" t="s">
        <v>275</v>
      </c>
      <c r="AH347" t="s">
        <v>259</v>
      </c>
      <c r="AI347" t="s">
        <v>259</v>
      </c>
      <c r="AJ347" t="s">
        <v>259</v>
      </c>
      <c r="AK347" s="43" t="s">
        <v>259</v>
      </c>
      <c r="AL347" s="43" t="s">
        <v>259</v>
      </c>
      <c r="AO347" s="23"/>
      <c r="AP347" s="23"/>
      <c r="AQ347" s="23"/>
      <c r="BD347" s="43" t="s">
        <v>259</v>
      </c>
      <c r="BE347" s="43" t="s">
        <v>259</v>
      </c>
      <c r="BF347" s="43" t="s">
        <v>259</v>
      </c>
      <c r="BG347" s="43" t="s">
        <v>259</v>
      </c>
      <c r="BH347" t="s">
        <v>259</v>
      </c>
      <c r="BI347" s="43" t="s">
        <v>259</v>
      </c>
      <c r="BJ347">
        <v>0</v>
      </c>
      <c r="BK347">
        <v>44109</v>
      </c>
      <c r="BL347">
        <v>44356</v>
      </c>
      <c r="BM347">
        <v>8505</v>
      </c>
      <c r="BN347">
        <v>8505</v>
      </c>
      <c r="BO347">
        <v>8505</v>
      </c>
      <c r="BP347">
        <v>25515</v>
      </c>
      <c r="BQ347">
        <v>3300</v>
      </c>
      <c r="BR347">
        <v>400</v>
      </c>
      <c r="BS347">
        <v>400</v>
      </c>
      <c r="BT347">
        <v>4100</v>
      </c>
      <c r="BU347">
        <v>2100</v>
      </c>
      <c r="BV347">
        <v>2100</v>
      </c>
      <c r="BW347">
        <v>2100</v>
      </c>
      <c r="BX347">
        <v>6300</v>
      </c>
      <c r="BY347">
        <v>1200</v>
      </c>
      <c r="BZ347">
        <v>1200</v>
      </c>
      <c r="CA347">
        <v>1200</v>
      </c>
      <c r="CB347">
        <v>3600</v>
      </c>
      <c r="CC347">
        <v>0</v>
      </c>
      <c r="CD347">
        <v>0</v>
      </c>
      <c r="CE347">
        <v>0</v>
      </c>
      <c r="CF347">
        <v>0</v>
      </c>
      <c r="CG347">
        <v>39515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  <c r="CX347">
        <v>0</v>
      </c>
      <c r="CY347">
        <v>0</v>
      </c>
      <c r="CZ347">
        <v>0</v>
      </c>
      <c r="DA347">
        <v>0</v>
      </c>
      <c r="DB347">
        <v>0</v>
      </c>
      <c r="DC347">
        <v>0</v>
      </c>
      <c r="DD347">
        <v>0</v>
      </c>
      <c r="DE347">
        <v>0</v>
      </c>
      <c r="DF347">
        <v>0</v>
      </c>
      <c r="DG347">
        <v>0</v>
      </c>
      <c r="DH347">
        <v>0</v>
      </c>
      <c r="DN347">
        <v>0</v>
      </c>
      <c r="DO347">
        <v>0</v>
      </c>
      <c r="DP347">
        <v>0</v>
      </c>
      <c r="DQ347">
        <v>0</v>
      </c>
      <c r="DR347">
        <v>0</v>
      </c>
      <c r="DS347">
        <v>0</v>
      </c>
      <c r="DT347">
        <v>0</v>
      </c>
      <c r="DU347">
        <v>0</v>
      </c>
      <c r="DV347">
        <v>0</v>
      </c>
      <c r="DW347">
        <v>0</v>
      </c>
      <c r="DX347">
        <v>0</v>
      </c>
      <c r="DY347">
        <v>0</v>
      </c>
      <c r="DZ347">
        <v>0</v>
      </c>
      <c r="EA347">
        <v>0</v>
      </c>
      <c r="EB347">
        <v>0</v>
      </c>
      <c r="EC347">
        <v>0</v>
      </c>
      <c r="ED347">
        <v>0</v>
      </c>
      <c r="EH347">
        <v>0</v>
      </c>
      <c r="EI347">
        <v>1154</v>
      </c>
      <c r="EJ347">
        <v>1154</v>
      </c>
      <c r="EK347">
        <v>1155</v>
      </c>
      <c r="EL347">
        <v>3500</v>
      </c>
      <c r="EM347">
        <v>37.065000000000005</v>
      </c>
      <c r="EN347">
        <v>660</v>
      </c>
      <c r="EO347">
        <v>660</v>
      </c>
      <c r="EP347">
        <v>659</v>
      </c>
      <c r="EQ347">
        <v>2000</v>
      </c>
      <c r="ER347">
        <v>21.18</v>
      </c>
      <c r="ES347">
        <v>0</v>
      </c>
      <c r="ET347">
        <v>0</v>
      </c>
      <c r="EU347">
        <v>0</v>
      </c>
      <c r="EV347">
        <v>0</v>
      </c>
      <c r="EW347">
        <v>0</v>
      </c>
      <c r="FA347">
        <v>0</v>
      </c>
      <c r="FE347">
        <v>0</v>
      </c>
      <c r="FI347">
        <v>0</v>
      </c>
      <c r="FJ347">
        <v>5441.7550000000001</v>
      </c>
      <c r="FK347">
        <v>39515</v>
      </c>
      <c r="FL347">
        <v>35584.891177207784</v>
      </c>
      <c r="FM347">
        <v>34073.245000000003</v>
      </c>
      <c r="FO347" t="s">
        <v>829</v>
      </c>
      <c r="FP347" t="s">
        <v>830</v>
      </c>
      <c r="FQ347" t="s">
        <v>831</v>
      </c>
      <c r="FR347" t="s">
        <v>832</v>
      </c>
    </row>
    <row r="348" spans="1:174" x14ac:dyDescent="0.35">
      <c r="A348">
        <v>193827</v>
      </c>
      <c r="B348" t="s">
        <v>834</v>
      </c>
      <c r="C348" t="s">
        <v>835</v>
      </c>
      <c r="D348" t="s">
        <v>836</v>
      </c>
      <c r="E348" s="43" t="s">
        <v>837</v>
      </c>
      <c r="L348" s="43" t="s">
        <v>259</v>
      </c>
      <c r="M348" t="s">
        <v>838</v>
      </c>
      <c r="N348" s="43"/>
      <c r="O348" s="43"/>
      <c r="P348" s="43"/>
      <c r="Q348" s="43"/>
      <c r="R348">
        <v>2.605</v>
      </c>
      <c r="S348">
        <v>44109</v>
      </c>
      <c r="T348" t="s">
        <v>265</v>
      </c>
      <c r="U348" t="s">
        <v>266</v>
      </c>
      <c r="V348" t="s">
        <v>267</v>
      </c>
      <c r="W348" t="s">
        <v>268</v>
      </c>
      <c r="X348" t="s">
        <v>269</v>
      </c>
      <c r="Y348">
        <v>8883022894</v>
      </c>
      <c r="Z348" t="s">
        <v>270</v>
      </c>
      <c r="AA348" t="s">
        <v>271</v>
      </c>
      <c r="AB348" t="s">
        <v>842</v>
      </c>
      <c r="AC348">
        <v>0</v>
      </c>
      <c r="AD348" t="s">
        <v>843</v>
      </c>
      <c r="AE348" t="s">
        <v>274</v>
      </c>
      <c r="AF348">
        <v>9</v>
      </c>
      <c r="AG348" t="s">
        <v>275</v>
      </c>
      <c r="AH348" t="s">
        <v>259</v>
      </c>
      <c r="AI348" t="s">
        <v>259</v>
      </c>
      <c r="AJ348" t="s">
        <v>259</v>
      </c>
      <c r="AK348" s="43" t="s">
        <v>259</v>
      </c>
      <c r="AL348" s="43" t="s">
        <v>259</v>
      </c>
      <c r="AO348" s="23"/>
      <c r="AP348" s="23"/>
      <c r="AQ348" s="23"/>
      <c r="BD348" s="43" t="s">
        <v>259</v>
      </c>
      <c r="BE348" s="43" t="s">
        <v>259</v>
      </c>
      <c r="BF348" s="43" t="s">
        <v>259</v>
      </c>
      <c r="BG348" s="43" t="s">
        <v>259</v>
      </c>
      <c r="BH348" t="s">
        <v>259</v>
      </c>
      <c r="BI348" s="43" t="s">
        <v>259</v>
      </c>
      <c r="BJ348">
        <v>0</v>
      </c>
      <c r="BK348">
        <v>44109</v>
      </c>
      <c r="BL348">
        <v>44356</v>
      </c>
      <c r="BM348">
        <v>8505</v>
      </c>
      <c r="BN348">
        <v>8505</v>
      </c>
      <c r="BO348">
        <v>8505</v>
      </c>
      <c r="BP348">
        <v>25515</v>
      </c>
      <c r="BQ348">
        <v>3300</v>
      </c>
      <c r="BR348">
        <v>400</v>
      </c>
      <c r="BS348">
        <v>400</v>
      </c>
      <c r="BT348">
        <v>4100</v>
      </c>
      <c r="BU348">
        <v>2100</v>
      </c>
      <c r="BV348">
        <v>2100</v>
      </c>
      <c r="BW348">
        <v>2100</v>
      </c>
      <c r="BX348">
        <v>6300</v>
      </c>
      <c r="BY348">
        <v>1200</v>
      </c>
      <c r="BZ348">
        <v>1200</v>
      </c>
      <c r="CA348">
        <v>1200</v>
      </c>
      <c r="CB348">
        <v>3600</v>
      </c>
      <c r="CC348">
        <v>0</v>
      </c>
      <c r="CD348">
        <v>0</v>
      </c>
      <c r="CE348">
        <v>0</v>
      </c>
      <c r="CF348">
        <v>0</v>
      </c>
      <c r="CG348">
        <v>39515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0</v>
      </c>
      <c r="DB348">
        <v>0</v>
      </c>
      <c r="DC348">
        <v>0</v>
      </c>
      <c r="DD348">
        <v>0</v>
      </c>
      <c r="DE348">
        <v>0</v>
      </c>
      <c r="DF348">
        <v>0</v>
      </c>
      <c r="DG348">
        <v>0</v>
      </c>
      <c r="DH348">
        <v>0</v>
      </c>
      <c r="DN348">
        <v>0</v>
      </c>
      <c r="DO348">
        <v>0</v>
      </c>
      <c r="DP348">
        <v>0</v>
      </c>
      <c r="DQ348">
        <v>0</v>
      </c>
      <c r="DR348">
        <v>0</v>
      </c>
      <c r="DS348">
        <v>0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H348">
        <v>0</v>
      </c>
      <c r="EI348">
        <v>1154</v>
      </c>
      <c r="EJ348">
        <v>1154</v>
      </c>
      <c r="EK348">
        <v>1155</v>
      </c>
      <c r="EL348">
        <v>3500</v>
      </c>
      <c r="EM348">
        <v>37.065000000000005</v>
      </c>
      <c r="EN348">
        <v>660</v>
      </c>
      <c r="EO348">
        <v>660</v>
      </c>
      <c r="EP348">
        <v>659</v>
      </c>
      <c r="EQ348">
        <v>2000</v>
      </c>
      <c r="ER348">
        <v>21.18</v>
      </c>
      <c r="ES348">
        <v>0</v>
      </c>
      <c r="ET348">
        <v>0</v>
      </c>
      <c r="EU348">
        <v>0</v>
      </c>
      <c r="EV348">
        <v>0</v>
      </c>
      <c r="EW348">
        <v>0</v>
      </c>
      <c r="FA348">
        <v>0</v>
      </c>
      <c r="FE348">
        <v>0</v>
      </c>
      <c r="FI348">
        <v>0</v>
      </c>
      <c r="FJ348">
        <v>5441.7550000000001</v>
      </c>
      <c r="FK348">
        <v>39515</v>
      </c>
      <c r="FL348">
        <v>35584.891177207784</v>
      </c>
      <c r="FM348">
        <v>34073.245000000003</v>
      </c>
      <c r="FO348" t="s">
        <v>839</v>
      </c>
      <c r="FP348" t="s">
        <v>840</v>
      </c>
      <c r="FQ348" t="s">
        <v>596</v>
      </c>
      <c r="FR348" t="s">
        <v>841</v>
      </c>
    </row>
    <row r="349" spans="1:174" x14ac:dyDescent="0.35">
      <c r="A349">
        <v>196652</v>
      </c>
      <c r="B349" t="s">
        <v>844</v>
      </c>
      <c r="C349" t="s">
        <v>845</v>
      </c>
      <c r="D349" t="s">
        <v>846</v>
      </c>
      <c r="E349" s="43" t="s">
        <v>847</v>
      </c>
      <c r="F349">
        <v>1</v>
      </c>
      <c r="I349">
        <v>43783</v>
      </c>
      <c r="L349" s="43" t="s">
        <v>3204</v>
      </c>
      <c r="M349" t="s">
        <v>848</v>
      </c>
      <c r="N349" s="43"/>
      <c r="O349" s="43"/>
      <c r="P349" s="43"/>
      <c r="Q349" s="43"/>
      <c r="R349">
        <v>3</v>
      </c>
      <c r="S349">
        <v>44109</v>
      </c>
      <c r="T349" t="s">
        <v>285</v>
      </c>
      <c r="U349" t="s">
        <v>266</v>
      </c>
      <c r="V349" t="s">
        <v>267</v>
      </c>
      <c r="W349" t="s">
        <v>268</v>
      </c>
      <c r="X349" t="s">
        <v>269</v>
      </c>
      <c r="Y349">
        <v>8883022894</v>
      </c>
      <c r="Z349" t="s">
        <v>270</v>
      </c>
      <c r="AA349" t="s">
        <v>271</v>
      </c>
      <c r="AB349" t="s">
        <v>287</v>
      </c>
      <c r="AC349">
        <v>0</v>
      </c>
      <c r="AD349" t="s">
        <v>771</v>
      </c>
      <c r="AE349" t="s">
        <v>364</v>
      </c>
      <c r="AF349">
        <v>3</v>
      </c>
      <c r="AG349" t="s">
        <v>275</v>
      </c>
      <c r="AH349" t="s">
        <v>3237</v>
      </c>
      <c r="AI349" t="s">
        <v>3238</v>
      </c>
      <c r="AJ349" t="s">
        <v>3207</v>
      </c>
      <c r="AK349" s="43" t="s">
        <v>3208</v>
      </c>
      <c r="AL349" s="43" t="s">
        <v>3209</v>
      </c>
      <c r="AO349" s="23"/>
      <c r="AP349" s="23"/>
      <c r="AQ349" s="23"/>
      <c r="BD349" s="43" t="s">
        <v>2018</v>
      </c>
      <c r="BE349" s="43" t="s">
        <v>2018</v>
      </c>
      <c r="BF349" s="43" t="s">
        <v>2018</v>
      </c>
      <c r="BG349" s="43" t="s">
        <v>2018</v>
      </c>
      <c r="BH349" t="s">
        <v>2018</v>
      </c>
      <c r="BI349" s="43" t="s">
        <v>2018</v>
      </c>
      <c r="BJ349">
        <v>0</v>
      </c>
      <c r="BK349">
        <v>44109</v>
      </c>
      <c r="BL349">
        <v>44356</v>
      </c>
      <c r="BM349">
        <v>8505</v>
      </c>
      <c r="BN349">
        <v>8505</v>
      </c>
      <c r="BO349">
        <v>8505</v>
      </c>
      <c r="BP349">
        <v>25515</v>
      </c>
      <c r="BQ349">
        <v>3300</v>
      </c>
      <c r="BR349">
        <v>400</v>
      </c>
      <c r="BS349">
        <v>400</v>
      </c>
      <c r="BT349">
        <v>4100</v>
      </c>
      <c r="BU349">
        <v>2100</v>
      </c>
      <c r="BV349">
        <v>2100</v>
      </c>
      <c r="BW349">
        <v>2100</v>
      </c>
      <c r="BX349">
        <v>6300</v>
      </c>
      <c r="BY349">
        <v>1200</v>
      </c>
      <c r="BZ349">
        <v>1200</v>
      </c>
      <c r="CA349">
        <v>1200</v>
      </c>
      <c r="CB349">
        <v>3600</v>
      </c>
      <c r="CC349">
        <v>0</v>
      </c>
      <c r="CD349">
        <v>0</v>
      </c>
      <c r="CE349">
        <v>0</v>
      </c>
      <c r="CF349">
        <v>0</v>
      </c>
      <c r="CG349">
        <v>39515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0</v>
      </c>
      <c r="CS349">
        <v>0</v>
      </c>
      <c r="CT349">
        <v>1300</v>
      </c>
      <c r="CU349">
        <v>1300</v>
      </c>
      <c r="CV349">
        <v>1300</v>
      </c>
      <c r="CW349">
        <v>3900</v>
      </c>
      <c r="CX349">
        <v>0</v>
      </c>
      <c r="CY349">
        <v>0</v>
      </c>
      <c r="CZ349">
        <v>0</v>
      </c>
      <c r="DA349">
        <v>0</v>
      </c>
      <c r="DB349">
        <v>0</v>
      </c>
      <c r="DC349">
        <v>0</v>
      </c>
      <c r="DD349">
        <v>0</v>
      </c>
      <c r="DE349">
        <v>0</v>
      </c>
      <c r="DF349">
        <v>0</v>
      </c>
      <c r="DG349">
        <v>0</v>
      </c>
      <c r="DH349">
        <v>0</v>
      </c>
      <c r="DN349">
        <v>0</v>
      </c>
      <c r="DO349">
        <v>0</v>
      </c>
      <c r="DP349">
        <v>0</v>
      </c>
      <c r="DQ349">
        <v>0</v>
      </c>
      <c r="DR349">
        <v>0</v>
      </c>
      <c r="DS349">
        <v>0</v>
      </c>
      <c r="DT349">
        <v>0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0</v>
      </c>
      <c r="EB349">
        <v>0</v>
      </c>
      <c r="EC349">
        <v>0</v>
      </c>
      <c r="ED349">
        <v>3900</v>
      </c>
      <c r="EH349">
        <v>0</v>
      </c>
      <c r="EI349">
        <v>1154</v>
      </c>
      <c r="EJ349">
        <v>1154</v>
      </c>
      <c r="EK349">
        <v>1155</v>
      </c>
      <c r="EL349">
        <v>3500</v>
      </c>
      <c r="EM349">
        <v>37.065000000000005</v>
      </c>
      <c r="EN349">
        <v>660</v>
      </c>
      <c r="EO349">
        <v>660</v>
      </c>
      <c r="EP349">
        <v>659</v>
      </c>
      <c r="EQ349">
        <v>2000</v>
      </c>
      <c r="ER349">
        <v>21.18</v>
      </c>
      <c r="ES349">
        <v>0</v>
      </c>
      <c r="ET349">
        <v>0</v>
      </c>
      <c r="EU349">
        <v>0</v>
      </c>
      <c r="EV349">
        <v>0</v>
      </c>
      <c r="EW349">
        <v>0</v>
      </c>
      <c r="FA349">
        <v>0</v>
      </c>
      <c r="FE349">
        <v>0</v>
      </c>
      <c r="FI349">
        <v>0</v>
      </c>
      <c r="FJ349">
        <v>5441.7550000000001</v>
      </c>
      <c r="FK349">
        <v>35615</v>
      </c>
      <c r="FL349">
        <v>31511.869203776419</v>
      </c>
      <c r="FM349">
        <v>30173.244999999999</v>
      </c>
      <c r="FO349" t="s">
        <v>849</v>
      </c>
      <c r="FP349" t="s">
        <v>850</v>
      </c>
      <c r="FQ349" t="s">
        <v>372</v>
      </c>
      <c r="FR349" t="s">
        <v>851</v>
      </c>
    </row>
    <row r="350" spans="1:174" x14ac:dyDescent="0.35">
      <c r="A350">
        <v>196842</v>
      </c>
      <c r="B350" t="s">
        <v>852</v>
      </c>
      <c r="C350" t="s">
        <v>853</v>
      </c>
      <c r="D350" t="s">
        <v>854</v>
      </c>
      <c r="E350" s="43" t="s">
        <v>855</v>
      </c>
      <c r="F350">
        <v>1</v>
      </c>
      <c r="I350">
        <v>43776</v>
      </c>
      <c r="L350" s="43" t="s">
        <v>3204</v>
      </c>
      <c r="M350" t="s">
        <v>856</v>
      </c>
      <c r="N350" s="43"/>
      <c r="O350" s="43"/>
      <c r="P350" s="43"/>
      <c r="Q350" s="43"/>
      <c r="R350">
        <v>3.13</v>
      </c>
      <c r="S350">
        <v>44109</v>
      </c>
      <c r="T350" t="s">
        <v>311</v>
      </c>
      <c r="U350" t="s">
        <v>286</v>
      </c>
      <c r="V350" t="s">
        <v>267</v>
      </c>
      <c r="W350" t="s">
        <v>268</v>
      </c>
      <c r="X350" t="s">
        <v>269</v>
      </c>
      <c r="Y350">
        <v>8883022894</v>
      </c>
      <c r="Z350" t="s">
        <v>270</v>
      </c>
      <c r="AA350" t="s">
        <v>271</v>
      </c>
      <c r="AB350" t="s">
        <v>679</v>
      </c>
      <c r="AC350">
        <v>0</v>
      </c>
      <c r="AD350" t="s">
        <v>860</v>
      </c>
      <c r="AE350" t="s">
        <v>364</v>
      </c>
      <c r="AF350">
        <v>3</v>
      </c>
      <c r="AG350" t="s">
        <v>275</v>
      </c>
      <c r="AH350" t="s">
        <v>3239</v>
      </c>
      <c r="AI350" t="s">
        <v>3240</v>
      </c>
      <c r="AJ350" t="s">
        <v>3207</v>
      </c>
      <c r="AK350" s="43" t="s">
        <v>3208</v>
      </c>
      <c r="AL350" s="43" t="s">
        <v>3209</v>
      </c>
      <c r="AO350" s="23">
        <v>43766</v>
      </c>
      <c r="AP350" s="23"/>
      <c r="AQ350" s="23"/>
      <c r="BD350" s="43" t="s">
        <v>2018</v>
      </c>
      <c r="BE350" s="43" t="s">
        <v>2018</v>
      </c>
      <c r="BF350" s="43" t="s">
        <v>2018</v>
      </c>
      <c r="BG350" s="43" t="s">
        <v>2018</v>
      </c>
      <c r="BH350" t="s">
        <v>2018</v>
      </c>
      <c r="BI350" s="43" t="s">
        <v>2018</v>
      </c>
      <c r="BJ350">
        <v>5.8823529411764719E-2</v>
      </c>
      <c r="BK350">
        <v>44109</v>
      </c>
      <c r="BL350">
        <v>44356</v>
      </c>
      <c r="BM350">
        <v>8505</v>
      </c>
      <c r="BN350">
        <v>8505</v>
      </c>
      <c r="BO350">
        <v>8505</v>
      </c>
      <c r="BP350">
        <v>25515</v>
      </c>
      <c r="BQ350">
        <v>3300</v>
      </c>
      <c r="BR350">
        <v>400</v>
      </c>
      <c r="BS350">
        <v>400</v>
      </c>
      <c r="BT350">
        <v>4100</v>
      </c>
      <c r="BU350">
        <v>2100</v>
      </c>
      <c r="BV350">
        <v>2100</v>
      </c>
      <c r="BW350">
        <v>2100</v>
      </c>
      <c r="BX350">
        <v>6300</v>
      </c>
      <c r="BY350">
        <v>1200</v>
      </c>
      <c r="BZ350">
        <v>1200</v>
      </c>
      <c r="CA350">
        <v>1200</v>
      </c>
      <c r="CB350">
        <v>3600</v>
      </c>
      <c r="CC350">
        <v>0</v>
      </c>
      <c r="CD350">
        <v>0</v>
      </c>
      <c r="CE350">
        <v>0</v>
      </c>
      <c r="CF350">
        <v>0</v>
      </c>
      <c r="CG350">
        <v>39515</v>
      </c>
      <c r="CH350">
        <v>0</v>
      </c>
      <c r="CI350">
        <v>0</v>
      </c>
      <c r="CJ350">
        <v>0</v>
      </c>
      <c r="CK350">
        <v>0</v>
      </c>
      <c r="CL350">
        <v>1449</v>
      </c>
      <c r="CM350">
        <v>1448</v>
      </c>
      <c r="CN350">
        <v>1448</v>
      </c>
      <c r="CO350">
        <v>4345</v>
      </c>
      <c r="CP350">
        <v>500</v>
      </c>
      <c r="CQ350">
        <v>500</v>
      </c>
      <c r="CR350">
        <v>500</v>
      </c>
      <c r="CS350">
        <v>1500</v>
      </c>
      <c r="CT350">
        <v>1300</v>
      </c>
      <c r="CU350">
        <v>1300</v>
      </c>
      <c r="CV350">
        <v>1300</v>
      </c>
      <c r="CW350">
        <v>3900</v>
      </c>
      <c r="CX350">
        <v>0</v>
      </c>
      <c r="CY350">
        <v>0</v>
      </c>
      <c r="CZ350">
        <v>0</v>
      </c>
      <c r="DA350">
        <v>0</v>
      </c>
      <c r="DB350">
        <v>1000</v>
      </c>
      <c r="DC350">
        <v>1000</v>
      </c>
      <c r="DD350">
        <v>1000</v>
      </c>
      <c r="DE350">
        <v>3000</v>
      </c>
      <c r="DF350">
        <v>0</v>
      </c>
      <c r="DG350">
        <v>0</v>
      </c>
      <c r="DH350">
        <v>0</v>
      </c>
      <c r="DI350">
        <v>0</v>
      </c>
      <c r="DJ350">
        <v>0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0</v>
      </c>
      <c r="DQ350">
        <v>0</v>
      </c>
      <c r="DR350">
        <v>0</v>
      </c>
      <c r="DS350">
        <v>0</v>
      </c>
      <c r="DT350">
        <v>0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0</v>
      </c>
      <c r="ED350">
        <v>12745</v>
      </c>
      <c r="EE350">
        <v>0</v>
      </c>
      <c r="EF350">
        <v>0</v>
      </c>
      <c r="EG350">
        <v>0</v>
      </c>
      <c r="EH350">
        <v>0</v>
      </c>
      <c r="EI350">
        <v>1154</v>
      </c>
      <c r="EJ350">
        <v>1154</v>
      </c>
      <c r="EK350">
        <v>1155</v>
      </c>
      <c r="EL350">
        <v>3500</v>
      </c>
      <c r="EM350">
        <v>37.065000000000005</v>
      </c>
      <c r="EN350">
        <v>660</v>
      </c>
      <c r="EO350">
        <v>660</v>
      </c>
      <c r="EP350">
        <v>659</v>
      </c>
      <c r="EQ350">
        <v>2000</v>
      </c>
      <c r="ER350">
        <v>21.18</v>
      </c>
      <c r="ES350">
        <v>0</v>
      </c>
      <c r="ET350">
        <v>0</v>
      </c>
      <c r="EU350">
        <v>0</v>
      </c>
      <c r="EV350">
        <v>0</v>
      </c>
      <c r="EW350">
        <v>0</v>
      </c>
      <c r="FA350">
        <v>0</v>
      </c>
      <c r="FE350">
        <v>0</v>
      </c>
      <c r="FI350">
        <v>0</v>
      </c>
      <c r="FJ350">
        <v>5441.7550000000001</v>
      </c>
      <c r="FK350">
        <v>26770</v>
      </c>
      <c r="FL350">
        <v>22271.673071300276</v>
      </c>
      <c r="FM350">
        <v>21328.244999999999</v>
      </c>
      <c r="FO350" t="s">
        <v>857</v>
      </c>
      <c r="FP350" t="s">
        <v>858</v>
      </c>
      <c r="FQ350" t="s">
        <v>596</v>
      </c>
      <c r="FR350" t="s">
        <v>859</v>
      </c>
    </row>
    <row r="351" spans="1:174" x14ac:dyDescent="0.35">
      <c r="A351">
        <v>196339</v>
      </c>
      <c r="B351" t="s">
        <v>861</v>
      </c>
      <c r="C351" t="s">
        <v>862</v>
      </c>
      <c r="D351" t="s">
        <v>863</v>
      </c>
      <c r="E351" s="43" t="s">
        <v>864</v>
      </c>
      <c r="F351">
        <v>1</v>
      </c>
      <c r="I351">
        <v>43801</v>
      </c>
      <c r="L351" s="43" t="s">
        <v>344</v>
      </c>
      <c r="M351" t="s">
        <v>865</v>
      </c>
      <c r="N351" s="43"/>
      <c r="O351" s="43"/>
      <c r="P351" s="43"/>
      <c r="Q351" s="43"/>
      <c r="R351">
        <v>3.3409</v>
      </c>
      <c r="S351">
        <v>44109</v>
      </c>
      <c r="T351" t="s">
        <v>311</v>
      </c>
      <c r="U351" t="s">
        <v>286</v>
      </c>
      <c r="V351" t="s">
        <v>267</v>
      </c>
      <c r="W351" t="s">
        <v>268</v>
      </c>
      <c r="X351" t="s">
        <v>269</v>
      </c>
      <c r="Y351">
        <v>8883022894</v>
      </c>
      <c r="Z351" t="s">
        <v>270</v>
      </c>
      <c r="AA351" t="s">
        <v>271</v>
      </c>
      <c r="AB351" t="s">
        <v>287</v>
      </c>
      <c r="AC351">
        <v>0</v>
      </c>
      <c r="AD351" t="s">
        <v>868</v>
      </c>
      <c r="AE351" t="s">
        <v>301</v>
      </c>
      <c r="AF351">
        <v>1</v>
      </c>
      <c r="AG351" t="s">
        <v>275</v>
      </c>
      <c r="AH351" t="s">
        <v>313</v>
      </c>
      <c r="AI351" t="s">
        <v>313</v>
      </c>
      <c r="AJ351" t="s">
        <v>3309</v>
      </c>
      <c r="AK351" s="43" t="s">
        <v>3208</v>
      </c>
      <c r="AL351" s="43" t="s">
        <v>3209</v>
      </c>
      <c r="AO351" s="23"/>
      <c r="AP351" s="23"/>
      <c r="AQ351" s="23"/>
      <c r="BD351" s="43" t="s">
        <v>2018</v>
      </c>
      <c r="BE351" s="43" t="s">
        <v>2018</v>
      </c>
      <c r="BF351" s="43" t="s">
        <v>2018</v>
      </c>
      <c r="BG351" s="43" t="s">
        <v>2018</v>
      </c>
      <c r="BH351" t="s">
        <v>2018</v>
      </c>
      <c r="BI351" s="43" t="s">
        <v>2018</v>
      </c>
      <c r="BJ351">
        <v>0</v>
      </c>
      <c r="BK351">
        <v>44109</v>
      </c>
      <c r="BL351">
        <v>44356</v>
      </c>
      <c r="BM351">
        <v>8505</v>
      </c>
      <c r="BN351">
        <v>8505</v>
      </c>
      <c r="BO351">
        <v>8505</v>
      </c>
      <c r="BP351">
        <v>25515</v>
      </c>
      <c r="BQ351">
        <v>3300</v>
      </c>
      <c r="BR351">
        <v>400</v>
      </c>
      <c r="BS351">
        <v>400</v>
      </c>
      <c r="BT351">
        <v>4100</v>
      </c>
      <c r="BU351">
        <v>2100</v>
      </c>
      <c r="BV351">
        <v>2100</v>
      </c>
      <c r="BW351">
        <v>2100</v>
      </c>
      <c r="BX351">
        <v>6300</v>
      </c>
      <c r="BY351">
        <v>1200</v>
      </c>
      <c r="BZ351">
        <v>1200</v>
      </c>
      <c r="CA351">
        <v>1200</v>
      </c>
      <c r="CB351">
        <v>3600</v>
      </c>
      <c r="CC351">
        <v>0</v>
      </c>
      <c r="CD351">
        <v>0</v>
      </c>
      <c r="CE351">
        <v>0</v>
      </c>
      <c r="CF351">
        <v>0</v>
      </c>
      <c r="CG351">
        <v>39515</v>
      </c>
      <c r="CH351">
        <v>0</v>
      </c>
      <c r="CI351">
        <v>0</v>
      </c>
      <c r="CJ351">
        <v>0</v>
      </c>
      <c r="CK351">
        <v>0</v>
      </c>
      <c r="CL351">
        <v>2065</v>
      </c>
      <c r="CM351">
        <v>2065</v>
      </c>
      <c r="CN351">
        <v>2065</v>
      </c>
      <c r="CO351">
        <v>6195</v>
      </c>
      <c r="CP351">
        <v>500</v>
      </c>
      <c r="CQ351">
        <v>500</v>
      </c>
      <c r="CR351">
        <v>500</v>
      </c>
      <c r="CS351">
        <v>1500</v>
      </c>
      <c r="CT351">
        <v>1700</v>
      </c>
      <c r="CU351">
        <v>1700</v>
      </c>
      <c r="CV351">
        <v>1700</v>
      </c>
      <c r="CW351">
        <v>5100</v>
      </c>
      <c r="CX351">
        <v>0</v>
      </c>
      <c r="CY351">
        <v>0</v>
      </c>
      <c r="CZ351">
        <v>0</v>
      </c>
      <c r="DA351">
        <v>0</v>
      </c>
      <c r="DB351">
        <v>1000</v>
      </c>
      <c r="DC351">
        <v>1000</v>
      </c>
      <c r="DD351">
        <v>1000</v>
      </c>
      <c r="DE351">
        <v>3000</v>
      </c>
      <c r="DF351">
        <v>0</v>
      </c>
      <c r="DG351">
        <v>0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0</v>
      </c>
      <c r="DS351">
        <v>0</v>
      </c>
      <c r="DT351">
        <v>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0</v>
      </c>
      <c r="ED351">
        <v>15795</v>
      </c>
      <c r="EE351">
        <v>0</v>
      </c>
      <c r="EF351">
        <v>0</v>
      </c>
      <c r="EG351">
        <v>0</v>
      </c>
      <c r="EH351">
        <v>0</v>
      </c>
      <c r="EI351">
        <v>1154</v>
      </c>
      <c r="EJ351">
        <v>1154</v>
      </c>
      <c r="EK351">
        <v>1155</v>
      </c>
      <c r="EL351">
        <v>3500</v>
      </c>
      <c r="EM351">
        <v>37.065000000000005</v>
      </c>
      <c r="EN351">
        <v>660</v>
      </c>
      <c r="EO351">
        <v>660</v>
      </c>
      <c r="EP351">
        <v>659</v>
      </c>
      <c r="EQ351">
        <v>2000</v>
      </c>
      <c r="ER351">
        <v>21.18</v>
      </c>
      <c r="ES351">
        <v>0</v>
      </c>
      <c r="ET351">
        <v>0</v>
      </c>
      <c r="EU351">
        <v>0</v>
      </c>
      <c r="EV351">
        <v>0</v>
      </c>
      <c r="EW351">
        <v>0</v>
      </c>
      <c r="FA351">
        <v>0</v>
      </c>
      <c r="FE351">
        <v>0</v>
      </c>
      <c r="FI351">
        <v>0</v>
      </c>
      <c r="FJ351">
        <v>5441.7550000000001</v>
      </c>
      <c r="FK351">
        <v>23720</v>
      </c>
      <c r="FL351">
        <v>19086.7601603943</v>
      </c>
      <c r="FM351">
        <v>18278.244999999999</v>
      </c>
      <c r="FO351" t="s">
        <v>866</v>
      </c>
      <c r="FP351" t="s">
        <v>595</v>
      </c>
      <c r="FQ351" t="s">
        <v>596</v>
      </c>
      <c r="FR351" t="s">
        <v>867</v>
      </c>
    </row>
    <row r="352" spans="1:174" x14ac:dyDescent="0.35">
      <c r="A352">
        <v>195855</v>
      </c>
      <c r="B352" t="s">
        <v>869</v>
      </c>
      <c r="C352" t="s">
        <v>870</v>
      </c>
      <c r="D352" t="s">
        <v>871</v>
      </c>
      <c r="E352" s="43" t="s">
        <v>872</v>
      </c>
      <c r="F352">
        <v>1</v>
      </c>
      <c r="I352">
        <v>43782</v>
      </c>
      <c r="L352" s="43" t="s">
        <v>344</v>
      </c>
      <c r="M352" t="s">
        <v>873</v>
      </c>
      <c r="N352" s="43"/>
      <c r="O352" s="43"/>
      <c r="P352" s="43"/>
      <c r="Q352" s="43"/>
      <c r="R352">
        <v>3.2</v>
      </c>
      <c r="S352">
        <v>44109</v>
      </c>
      <c r="T352" t="s">
        <v>285</v>
      </c>
      <c r="U352" t="s">
        <v>266</v>
      </c>
      <c r="V352" t="s">
        <v>267</v>
      </c>
      <c r="W352" t="s">
        <v>268</v>
      </c>
      <c r="X352" t="s">
        <v>269</v>
      </c>
      <c r="Y352">
        <v>8883022894</v>
      </c>
      <c r="Z352" t="s">
        <v>270</v>
      </c>
      <c r="AA352" t="s">
        <v>271</v>
      </c>
      <c r="AB352">
        <v>0</v>
      </c>
      <c r="AC352" t="s">
        <v>877</v>
      </c>
      <c r="AD352" t="s">
        <v>728</v>
      </c>
      <c r="AE352" t="s">
        <v>416</v>
      </c>
      <c r="AF352">
        <v>5</v>
      </c>
      <c r="AG352" t="s">
        <v>275</v>
      </c>
      <c r="AH352" t="s">
        <v>313</v>
      </c>
      <c r="AI352" t="s">
        <v>313</v>
      </c>
      <c r="AJ352" t="s">
        <v>3207</v>
      </c>
      <c r="AK352" s="43" t="s">
        <v>1715</v>
      </c>
      <c r="AL352" s="43" t="s">
        <v>259</v>
      </c>
      <c r="AO352" s="23"/>
      <c r="AP352" s="23"/>
      <c r="AQ352" s="23"/>
      <c r="BD352" s="43" t="s">
        <v>259</v>
      </c>
      <c r="BE352" s="43" t="s">
        <v>259</v>
      </c>
      <c r="BF352" s="43" t="s">
        <v>259</v>
      </c>
      <c r="BG352" s="43" t="s">
        <v>259</v>
      </c>
      <c r="BH352" t="s">
        <v>259</v>
      </c>
      <c r="BI352" s="43" t="s">
        <v>259</v>
      </c>
      <c r="BJ352">
        <v>0</v>
      </c>
      <c r="BK352">
        <v>44109</v>
      </c>
      <c r="BL352">
        <v>44356</v>
      </c>
      <c r="BM352">
        <v>8505</v>
      </c>
      <c r="BN352">
        <v>8505</v>
      </c>
      <c r="BO352">
        <v>8505</v>
      </c>
      <c r="BP352">
        <v>25515</v>
      </c>
      <c r="BQ352">
        <v>3300</v>
      </c>
      <c r="BR352">
        <v>400</v>
      </c>
      <c r="BS352">
        <v>400</v>
      </c>
      <c r="BT352">
        <v>4100</v>
      </c>
      <c r="BU352">
        <v>2100</v>
      </c>
      <c r="BV352">
        <v>2100</v>
      </c>
      <c r="BW352">
        <v>2100</v>
      </c>
      <c r="BX352">
        <v>6300</v>
      </c>
      <c r="BY352">
        <v>1200</v>
      </c>
      <c r="BZ352">
        <v>1200</v>
      </c>
      <c r="CA352">
        <v>1200</v>
      </c>
      <c r="CB352">
        <v>3600</v>
      </c>
      <c r="CC352">
        <v>0</v>
      </c>
      <c r="CD352">
        <v>0</v>
      </c>
      <c r="CE352">
        <v>0</v>
      </c>
      <c r="CF352">
        <v>0</v>
      </c>
      <c r="CG352">
        <v>39515</v>
      </c>
      <c r="CH352">
        <v>0</v>
      </c>
      <c r="CI352">
        <v>0</v>
      </c>
      <c r="CJ352">
        <v>0</v>
      </c>
      <c r="CK352">
        <v>0</v>
      </c>
      <c r="CL352">
        <v>2065</v>
      </c>
      <c r="CM352">
        <v>2065</v>
      </c>
      <c r="CN352">
        <v>2065</v>
      </c>
      <c r="CO352">
        <v>6195</v>
      </c>
      <c r="CP352">
        <v>500</v>
      </c>
      <c r="CQ352">
        <v>500</v>
      </c>
      <c r="CR352">
        <v>500</v>
      </c>
      <c r="CS352">
        <v>1500</v>
      </c>
      <c r="CT352">
        <v>1000</v>
      </c>
      <c r="CU352">
        <v>1000</v>
      </c>
      <c r="CV352">
        <v>1000</v>
      </c>
      <c r="CW352">
        <v>3000</v>
      </c>
      <c r="CX352">
        <v>0</v>
      </c>
      <c r="CY352">
        <v>0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0</v>
      </c>
      <c r="DP352">
        <v>0</v>
      </c>
      <c r="DQ352">
        <v>0</v>
      </c>
      <c r="DR352">
        <v>0</v>
      </c>
      <c r="DS352">
        <v>0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10695</v>
      </c>
      <c r="EE352">
        <v>0</v>
      </c>
      <c r="EF352">
        <v>0</v>
      </c>
      <c r="EG352">
        <v>0</v>
      </c>
      <c r="EH352">
        <v>0</v>
      </c>
      <c r="EI352">
        <v>1154</v>
      </c>
      <c r="EJ352">
        <v>1154</v>
      </c>
      <c r="EK352">
        <v>1155</v>
      </c>
      <c r="EL352">
        <v>3500</v>
      </c>
      <c r="EM352">
        <v>37.065000000000005</v>
      </c>
      <c r="EN352">
        <v>660</v>
      </c>
      <c r="EO352">
        <v>660</v>
      </c>
      <c r="EP352">
        <v>659</v>
      </c>
      <c r="EQ352">
        <v>2000</v>
      </c>
      <c r="ER352">
        <v>21.18</v>
      </c>
      <c r="ES352">
        <v>0</v>
      </c>
      <c r="ET352">
        <v>0</v>
      </c>
      <c r="EU352">
        <v>0</v>
      </c>
      <c r="EV352">
        <v>0</v>
      </c>
      <c r="EW352">
        <v>0</v>
      </c>
      <c r="FA352">
        <v>0</v>
      </c>
      <c r="FE352">
        <v>0</v>
      </c>
      <c r="FI352">
        <v>0</v>
      </c>
      <c r="FJ352">
        <v>5441.7550000000001</v>
      </c>
      <c r="FK352">
        <v>28820</v>
      </c>
      <c r="FL352">
        <v>24412.352240925607</v>
      </c>
      <c r="FM352">
        <v>23378.244999999999</v>
      </c>
      <c r="FO352" t="s">
        <v>874</v>
      </c>
      <c r="FP352" t="s">
        <v>875</v>
      </c>
      <c r="FQ352" t="s">
        <v>342</v>
      </c>
      <c r="FR352" t="s">
        <v>876</v>
      </c>
    </row>
    <row r="353" spans="1:174" x14ac:dyDescent="0.35">
      <c r="A353">
        <v>197667</v>
      </c>
      <c r="B353" t="s">
        <v>869</v>
      </c>
      <c r="C353" t="s">
        <v>878</v>
      </c>
      <c r="D353" t="s">
        <v>879</v>
      </c>
      <c r="E353" s="43" t="s">
        <v>880</v>
      </c>
      <c r="F353">
        <v>1</v>
      </c>
      <c r="G353">
        <v>43776</v>
      </c>
      <c r="H353">
        <v>43776</v>
      </c>
      <c r="I353">
        <v>43776</v>
      </c>
      <c r="J353" t="s">
        <v>3765</v>
      </c>
      <c r="K353" t="s">
        <v>1715</v>
      </c>
      <c r="L353" s="43" t="s">
        <v>3204</v>
      </c>
      <c r="M353" t="s">
        <v>881</v>
      </c>
      <c r="N353" s="43"/>
      <c r="O353" s="43"/>
      <c r="P353" s="43"/>
      <c r="Q353" s="43"/>
      <c r="R353">
        <v>2.73</v>
      </c>
      <c r="S353">
        <v>44109</v>
      </c>
      <c r="T353" t="s">
        <v>311</v>
      </c>
      <c r="U353" t="s">
        <v>266</v>
      </c>
      <c r="V353" t="s">
        <v>267</v>
      </c>
      <c r="W353" t="s">
        <v>268</v>
      </c>
      <c r="X353" t="s">
        <v>269</v>
      </c>
      <c r="Y353">
        <v>8883022894</v>
      </c>
      <c r="Z353" t="s">
        <v>270</v>
      </c>
      <c r="AA353" t="s">
        <v>271</v>
      </c>
      <c r="AB353" t="s">
        <v>322</v>
      </c>
      <c r="AC353">
        <v>0</v>
      </c>
      <c r="AD353" t="s">
        <v>885</v>
      </c>
      <c r="AE353" t="s">
        <v>324</v>
      </c>
      <c r="AF353">
        <v>8</v>
      </c>
      <c r="AG353" t="s">
        <v>275</v>
      </c>
      <c r="AH353" t="s">
        <v>3226</v>
      </c>
      <c r="AI353" t="s">
        <v>313</v>
      </c>
      <c r="AJ353" t="s">
        <v>3207</v>
      </c>
      <c r="AK353" s="43" t="s">
        <v>3208</v>
      </c>
      <c r="AL353" s="43" t="s">
        <v>3209</v>
      </c>
      <c r="AO353" s="23">
        <v>43764</v>
      </c>
      <c r="AP353" s="23"/>
      <c r="AQ353" s="23"/>
      <c r="BD353" s="43" t="s">
        <v>2018</v>
      </c>
      <c r="BE353" s="43" t="s">
        <v>2018</v>
      </c>
      <c r="BF353" s="43" t="s">
        <v>2018</v>
      </c>
      <c r="BG353" s="43" t="s">
        <v>2018</v>
      </c>
      <c r="BH353" t="s">
        <v>2018</v>
      </c>
      <c r="BI353" s="43" t="s">
        <v>2018</v>
      </c>
      <c r="BJ353">
        <v>5.8823529411764719E-2</v>
      </c>
      <c r="BK353">
        <v>44109</v>
      </c>
      <c r="BL353">
        <v>44356</v>
      </c>
      <c r="BM353">
        <v>8505</v>
      </c>
      <c r="BN353">
        <v>8505</v>
      </c>
      <c r="BO353">
        <v>8505</v>
      </c>
      <c r="BP353">
        <v>25515</v>
      </c>
      <c r="BQ353">
        <v>3300</v>
      </c>
      <c r="BR353">
        <v>400</v>
      </c>
      <c r="BS353">
        <v>400</v>
      </c>
      <c r="BT353">
        <v>4100</v>
      </c>
      <c r="BU353">
        <v>2100</v>
      </c>
      <c r="BV353">
        <v>2100</v>
      </c>
      <c r="BW353">
        <v>2100</v>
      </c>
      <c r="BX353">
        <v>6300</v>
      </c>
      <c r="BY353">
        <v>1200</v>
      </c>
      <c r="BZ353">
        <v>1200</v>
      </c>
      <c r="CA353">
        <v>1200</v>
      </c>
      <c r="CB353">
        <v>3600</v>
      </c>
      <c r="CC353">
        <v>0</v>
      </c>
      <c r="CD353">
        <v>0</v>
      </c>
      <c r="CE353">
        <v>0</v>
      </c>
      <c r="CF353">
        <v>0</v>
      </c>
      <c r="CG353">
        <v>39515</v>
      </c>
      <c r="CH353">
        <v>0</v>
      </c>
      <c r="CI353">
        <v>0</v>
      </c>
      <c r="CJ353">
        <v>0</v>
      </c>
      <c r="CK353">
        <v>0</v>
      </c>
      <c r="CL353">
        <v>2065</v>
      </c>
      <c r="CM353">
        <v>2065</v>
      </c>
      <c r="CN353">
        <v>2065</v>
      </c>
      <c r="CO353">
        <v>6195</v>
      </c>
      <c r="CP353">
        <v>500</v>
      </c>
      <c r="CQ353">
        <v>500</v>
      </c>
      <c r="CR353">
        <v>500</v>
      </c>
      <c r="CS353">
        <v>1500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7695</v>
      </c>
      <c r="EE353">
        <v>0</v>
      </c>
      <c r="EF353">
        <v>0</v>
      </c>
      <c r="EG353">
        <v>0</v>
      </c>
      <c r="EH353">
        <v>0</v>
      </c>
      <c r="EI353">
        <v>1154</v>
      </c>
      <c r="EJ353">
        <v>1154</v>
      </c>
      <c r="EK353">
        <v>1155</v>
      </c>
      <c r="EL353">
        <v>3500</v>
      </c>
      <c r="EM353">
        <v>37.065000000000005</v>
      </c>
      <c r="EN353">
        <v>660</v>
      </c>
      <c r="EO353">
        <v>660</v>
      </c>
      <c r="EP353">
        <v>659</v>
      </c>
      <c r="EQ353">
        <v>2000</v>
      </c>
      <c r="ER353">
        <v>21.18</v>
      </c>
      <c r="ES353">
        <v>8809</v>
      </c>
      <c r="ET353">
        <v>8809</v>
      </c>
      <c r="EU353">
        <v>8809</v>
      </c>
      <c r="EV353">
        <v>27545</v>
      </c>
      <c r="EW353">
        <v>1167</v>
      </c>
      <c r="FA353">
        <v>0</v>
      </c>
      <c r="FE353">
        <v>0</v>
      </c>
      <c r="FI353">
        <v>0</v>
      </c>
      <c r="FJ353">
        <v>31819.948800000002</v>
      </c>
      <c r="FK353">
        <v>31820</v>
      </c>
      <c r="FL353">
        <v>5.3464767551545139E-2</v>
      </c>
      <c r="FM353">
        <v>5.1199999998061685E-2</v>
      </c>
      <c r="FO353" t="s">
        <v>882</v>
      </c>
      <c r="FP353" t="s">
        <v>883</v>
      </c>
      <c r="FQ353" t="s">
        <v>332</v>
      </c>
      <c r="FR353" t="s">
        <v>884</v>
      </c>
    </row>
    <row r="354" spans="1:174" x14ac:dyDescent="0.35">
      <c r="A354">
        <v>197351</v>
      </c>
      <c r="B354" t="s">
        <v>869</v>
      </c>
      <c r="C354" t="s">
        <v>886</v>
      </c>
      <c r="D354" t="s">
        <v>887</v>
      </c>
      <c r="E354" s="43" t="s">
        <v>888</v>
      </c>
      <c r="F354">
        <v>1</v>
      </c>
      <c r="G354">
        <v>43776</v>
      </c>
      <c r="H354">
        <v>43782</v>
      </c>
      <c r="I354">
        <v>43782</v>
      </c>
      <c r="J354" t="s">
        <v>3581</v>
      </c>
      <c r="K354" t="s">
        <v>3307</v>
      </c>
      <c r="L354" s="43" t="s">
        <v>3204</v>
      </c>
      <c r="M354" t="s">
        <v>889</v>
      </c>
      <c r="N354" s="43"/>
      <c r="O354" s="43"/>
      <c r="P354" s="43"/>
      <c r="Q354" s="43"/>
      <c r="R354">
        <v>2.5741000000000001</v>
      </c>
      <c r="S354">
        <v>44109</v>
      </c>
      <c r="T354" t="s">
        <v>265</v>
      </c>
      <c r="U354" t="s">
        <v>286</v>
      </c>
      <c r="V354" t="s">
        <v>893</v>
      </c>
      <c r="W354" t="s">
        <v>268</v>
      </c>
      <c r="X354" t="s">
        <v>269</v>
      </c>
      <c r="Y354">
        <v>8883022894</v>
      </c>
      <c r="Z354" t="s">
        <v>270</v>
      </c>
      <c r="AA354" t="s">
        <v>271</v>
      </c>
      <c r="AB354" t="s">
        <v>374</v>
      </c>
      <c r="AC354">
        <v>0</v>
      </c>
      <c r="AD354" t="s">
        <v>894</v>
      </c>
      <c r="AE354" t="s">
        <v>354</v>
      </c>
      <c r="AF354">
        <v>6</v>
      </c>
      <c r="AG354" t="s">
        <v>275</v>
      </c>
      <c r="AH354" t="s">
        <v>3241</v>
      </c>
      <c r="AI354" t="s">
        <v>3242</v>
      </c>
      <c r="AJ354" t="s">
        <v>3207</v>
      </c>
      <c r="AK354" s="43" t="s">
        <v>1715</v>
      </c>
      <c r="AL354" s="43" t="s">
        <v>259</v>
      </c>
      <c r="AM354">
        <v>43782</v>
      </c>
      <c r="AN354">
        <v>43782</v>
      </c>
      <c r="AO354" s="23">
        <v>43766</v>
      </c>
      <c r="AP354" s="23">
        <v>43782</v>
      </c>
      <c r="AQ354" s="23">
        <v>43767</v>
      </c>
      <c r="BD354" s="43" t="s">
        <v>259</v>
      </c>
      <c r="BE354" s="43" t="s">
        <v>259</v>
      </c>
      <c r="BF354" s="43" t="s">
        <v>2018</v>
      </c>
      <c r="BG354" s="43" t="s">
        <v>2018</v>
      </c>
      <c r="BH354" t="s">
        <v>3207</v>
      </c>
      <c r="BI354" s="43" t="s">
        <v>2018</v>
      </c>
      <c r="BJ354">
        <v>0.30000000000000004</v>
      </c>
      <c r="BK354">
        <v>44109</v>
      </c>
      <c r="BL354">
        <v>44356</v>
      </c>
      <c r="BM354">
        <v>8505</v>
      </c>
      <c r="BN354">
        <v>8505</v>
      </c>
      <c r="BO354">
        <v>8505</v>
      </c>
      <c r="BP354">
        <v>25515</v>
      </c>
      <c r="BQ354">
        <v>3300</v>
      </c>
      <c r="BR354">
        <v>400</v>
      </c>
      <c r="BS354">
        <v>400</v>
      </c>
      <c r="BT354">
        <v>4100</v>
      </c>
      <c r="BU354">
        <v>2100</v>
      </c>
      <c r="BV354">
        <v>2100</v>
      </c>
      <c r="BW354">
        <v>2100</v>
      </c>
      <c r="BX354">
        <v>6300</v>
      </c>
      <c r="BY354">
        <v>1200</v>
      </c>
      <c r="BZ354">
        <v>1200</v>
      </c>
      <c r="CA354">
        <v>1200</v>
      </c>
      <c r="CB354">
        <v>3600</v>
      </c>
      <c r="CC354">
        <v>0</v>
      </c>
      <c r="CD354">
        <v>0</v>
      </c>
      <c r="CE354">
        <v>0</v>
      </c>
      <c r="CF354">
        <v>0</v>
      </c>
      <c r="CG354">
        <v>39515</v>
      </c>
      <c r="CK354">
        <v>0</v>
      </c>
      <c r="CL354">
        <v>2049</v>
      </c>
      <c r="CM354">
        <v>2048</v>
      </c>
      <c r="CN354">
        <v>2048</v>
      </c>
      <c r="CO354">
        <v>6145</v>
      </c>
      <c r="CP354">
        <v>500</v>
      </c>
      <c r="CQ354">
        <v>500</v>
      </c>
      <c r="CR354">
        <v>500</v>
      </c>
      <c r="CS354">
        <v>1500</v>
      </c>
      <c r="CT354">
        <v>750</v>
      </c>
      <c r="CU354">
        <v>750</v>
      </c>
      <c r="CV354">
        <v>750</v>
      </c>
      <c r="CW354">
        <v>2250</v>
      </c>
      <c r="CX354">
        <v>0</v>
      </c>
      <c r="CY354">
        <v>0</v>
      </c>
      <c r="CZ354">
        <v>0</v>
      </c>
      <c r="DA354">
        <v>0</v>
      </c>
      <c r="DB354">
        <v>1000</v>
      </c>
      <c r="DC354">
        <v>1000</v>
      </c>
      <c r="DD354">
        <v>1000</v>
      </c>
      <c r="DE354">
        <v>3000</v>
      </c>
      <c r="DF354">
        <v>0</v>
      </c>
      <c r="DG354">
        <v>0</v>
      </c>
      <c r="DH354">
        <v>0</v>
      </c>
      <c r="DN354">
        <v>0</v>
      </c>
      <c r="DO354">
        <v>0</v>
      </c>
      <c r="DP354">
        <v>0</v>
      </c>
      <c r="DQ354">
        <v>0</v>
      </c>
      <c r="DR354">
        <v>0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0</v>
      </c>
      <c r="ED354">
        <v>12895</v>
      </c>
      <c r="EE354">
        <v>0</v>
      </c>
      <c r="EF354">
        <v>0</v>
      </c>
      <c r="EG354">
        <v>0</v>
      </c>
      <c r="EH354">
        <v>0</v>
      </c>
      <c r="EI354">
        <v>1154</v>
      </c>
      <c r="EJ354">
        <v>1154</v>
      </c>
      <c r="EK354">
        <v>1155</v>
      </c>
      <c r="EL354">
        <v>3500</v>
      </c>
      <c r="EM354">
        <v>37.065000000000005</v>
      </c>
      <c r="EN354">
        <v>660</v>
      </c>
      <c r="EO354">
        <v>660</v>
      </c>
      <c r="EP354">
        <v>659</v>
      </c>
      <c r="EQ354">
        <v>2000</v>
      </c>
      <c r="ER354">
        <v>21.18</v>
      </c>
      <c r="ES354">
        <v>7073</v>
      </c>
      <c r="ET354">
        <v>7073</v>
      </c>
      <c r="EU354">
        <v>7073</v>
      </c>
      <c r="EV354">
        <v>22118</v>
      </c>
      <c r="EW354">
        <v>940</v>
      </c>
      <c r="FA354">
        <v>0</v>
      </c>
      <c r="FE354">
        <v>0</v>
      </c>
      <c r="FI354">
        <v>0</v>
      </c>
      <c r="FJ354">
        <v>26620.182360000003</v>
      </c>
      <c r="FK354">
        <v>26620</v>
      </c>
      <c r="FL354">
        <v>-0.19045033002184608</v>
      </c>
      <c r="FM354">
        <v>-0.18236000000251809</v>
      </c>
      <c r="FO354" t="s">
        <v>890</v>
      </c>
      <c r="FP354" t="s">
        <v>891</v>
      </c>
      <c r="FQ354" t="s">
        <v>524</v>
      </c>
      <c r="FR354" t="s">
        <v>892</v>
      </c>
    </row>
    <row r="355" spans="1:174" x14ac:dyDescent="0.35">
      <c r="A355">
        <v>196698</v>
      </c>
      <c r="B355" t="s">
        <v>895</v>
      </c>
      <c r="C355" t="s">
        <v>896</v>
      </c>
      <c r="D355" t="s">
        <v>897</v>
      </c>
      <c r="E355" s="43" t="s">
        <v>898</v>
      </c>
      <c r="L355" s="43" t="s">
        <v>259</v>
      </c>
      <c r="M355" t="s">
        <v>899</v>
      </c>
      <c r="N355" s="43"/>
      <c r="O355" s="43"/>
      <c r="P355" s="43"/>
      <c r="Q355" s="43"/>
      <c r="R355">
        <v>3.4039999999999999</v>
      </c>
      <c r="S355">
        <v>44109</v>
      </c>
      <c r="T355" t="s">
        <v>544</v>
      </c>
      <c r="U355" t="s">
        <v>266</v>
      </c>
      <c r="V355" t="s">
        <v>267</v>
      </c>
      <c r="W355" t="s">
        <v>268</v>
      </c>
      <c r="X355" t="s">
        <v>269</v>
      </c>
      <c r="Y355">
        <v>8883022894</v>
      </c>
      <c r="Z355" t="s">
        <v>270</v>
      </c>
      <c r="AA355" t="s">
        <v>271</v>
      </c>
      <c r="AB355">
        <v>0</v>
      </c>
      <c r="AC355">
        <v>0</v>
      </c>
      <c r="AD355" t="s">
        <v>313</v>
      </c>
      <c r="AE355" t="s">
        <v>324</v>
      </c>
      <c r="AF355">
        <v>8</v>
      </c>
      <c r="AG355" t="s">
        <v>275</v>
      </c>
      <c r="AH355" t="s">
        <v>259</v>
      </c>
      <c r="AI355" t="s">
        <v>259</v>
      </c>
      <c r="AJ355" t="s">
        <v>259</v>
      </c>
      <c r="AK355" s="43" t="s">
        <v>259</v>
      </c>
      <c r="AL355" s="43" t="s">
        <v>259</v>
      </c>
      <c r="AO355" s="23"/>
      <c r="AP355" s="23"/>
      <c r="AQ355" s="23"/>
      <c r="BD355" s="43" t="s">
        <v>259</v>
      </c>
      <c r="BE355" s="43" t="s">
        <v>259</v>
      </c>
      <c r="BF355" s="43" t="s">
        <v>259</v>
      </c>
      <c r="BG355" s="43" t="s">
        <v>259</v>
      </c>
      <c r="BH355" t="s">
        <v>259</v>
      </c>
      <c r="BI355" s="43" t="s">
        <v>259</v>
      </c>
      <c r="BJ355">
        <v>0</v>
      </c>
      <c r="BK355">
        <v>44109</v>
      </c>
      <c r="BL355">
        <v>44356</v>
      </c>
      <c r="BM355">
        <v>8505</v>
      </c>
      <c r="BN355">
        <v>8505</v>
      </c>
      <c r="BO355">
        <v>8505</v>
      </c>
      <c r="BP355">
        <v>25515</v>
      </c>
      <c r="BQ355">
        <v>3300</v>
      </c>
      <c r="BR355">
        <v>400</v>
      </c>
      <c r="BS355">
        <v>400</v>
      </c>
      <c r="BT355">
        <v>4100</v>
      </c>
      <c r="BU355">
        <v>2100</v>
      </c>
      <c r="BV355">
        <v>2100</v>
      </c>
      <c r="BW355">
        <v>2100</v>
      </c>
      <c r="BX355">
        <v>6300</v>
      </c>
      <c r="BY355">
        <v>1200</v>
      </c>
      <c r="BZ355">
        <v>1200</v>
      </c>
      <c r="CA355">
        <v>1200</v>
      </c>
      <c r="CB355">
        <v>3600</v>
      </c>
      <c r="CC355">
        <v>0</v>
      </c>
      <c r="CD355">
        <v>0</v>
      </c>
      <c r="CE355">
        <v>0</v>
      </c>
      <c r="CF355">
        <v>0</v>
      </c>
      <c r="CG355">
        <v>39515</v>
      </c>
      <c r="CH355">
        <v>0</v>
      </c>
      <c r="CI355">
        <v>0</v>
      </c>
      <c r="CJ355">
        <v>0</v>
      </c>
      <c r="CK355">
        <v>0</v>
      </c>
      <c r="CL355">
        <v>2065</v>
      </c>
      <c r="CM355">
        <v>2065</v>
      </c>
      <c r="CN355">
        <v>2065</v>
      </c>
      <c r="CO355">
        <v>6195</v>
      </c>
      <c r="CP355">
        <v>500</v>
      </c>
      <c r="CQ355">
        <v>500</v>
      </c>
      <c r="CR355">
        <v>500</v>
      </c>
      <c r="CS355">
        <v>1500</v>
      </c>
      <c r="CT355">
        <v>0</v>
      </c>
      <c r="CU355">
        <v>0</v>
      </c>
      <c r="CV355">
        <v>0</v>
      </c>
      <c r="CW355">
        <v>0</v>
      </c>
      <c r="CX355">
        <v>3000</v>
      </c>
      <c r="CY355">
        <v>3000</v>
      </c>
      <c r="CZ355">
        <v>3000</v>
      </c>
      <c r="DA355">
        <v>9000</v>
      </c>
      <c r="DB355">
        <v>0</v>
      </c>
      <c r="DC355">
        <v>0</v>
      </c>
      <c r="DD355">
        <v>0</v>
      </c>
      <c r="DE355">
        <v>0</v>
      </c>
      <c r="DF355">
        <v>0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0</v>
      </c>
      <c r="DR355">
        <v>0</v>
      </c>
      <c r="DS355">
        <v>0</v>
      </c>
      <c r="DT355">
        <v>0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16695</v>
      </c>
      <c r="EE355">
        <v>0</v>
      </c>
      <c r="EF355">
        <v>0</v>
      </c>
      <c r="EG355">
        <v>0</v>
      </c>
      <c r="EH355">
        <v>0</v>
      </c>
      <c r="EI355">
        <v>1154</v>
      </c>
      <c r="EJ355">
        <v>1154</v>
      </c>
      <c r="EK355">
        <v>1155</v>
      </c>
      <c r="EL355">
        <v>3500</v>
      </c>
      <c r="EM355">
        <v>37.065000000000005</v>
      </c>
      <c r="EN355">
        <v>660</v>
      </c>
      <c r="EO355">
        <v>660</v>
      </c>
      <c r="EP355">
        <v>659</v>
      </c>
      <c r="EQ355">
        <v>2000</v>
      </c>
      <c r="ER355">
        <v>21.18</v>
      </c>
      <c r="ES355">
        <v>0</v>
      </c>
      <c r="ET355">
        <v>0</v>
      </c>
      <c r="EU355">
        <v>0</v>
      </c>
      <c r="EV355">
        <v>0</v>
      </c>
      <c r="EW355">
        <v>0</v>
      </c>
      <c r="FA355">
        <v>0</v>
      </c>
      <c r="FE355">
        <v>0</v>
      </c>
      <c r="FI355">
        <v>0</v>
      </c>
      <c r="FJ355">
        <v>5441.7550000000001</v>
      </c>
      <c r="FK355">
        <v>22820</v>
      </c>
      <c r="FL355">
        <v>18146.949793241722</v>
      </c>
      <c r="FM355">
        <v>17378.244999999999</v>
      </c>
      <c r="FO355" t="s">
        <v>900</v>
      </c>
      <c r="FP355" t="s">
        <v>901</v>
      </c>
      <c r="FQ355" t="s">
        <v>542</v>
      </c>
      <c r="FR355" t="s">
        <v>902</v>
      </c>
    </row>
    <row r="356" spans="1:174" x14ac:dyDescent="0.35">
      <c r="A356">
        <v>199124</v>
      </c>
      <c r="B356" t="s">
        <v>3501</v>
      </c>
      <c r="C356" t="s">
        <v>1780</v>
      </c>
      <c r="D356" t="s">
        <v>3502</v>
      </c>
      <c r="E356" s="43" t="s">
        <v>4208</v>
      </c>
      <c r="J356" t="s">
        <v>3425</v>
      </c>
      <c r="L356" s="43" t="s">
        <v>259</v>
      </c>
      <c r="M356" t="s">
        <v>3503</v>
      </c>
      <c r="N356" s="43"/>
      <c r="O356" s="43"/>
      <c r="P356" s="43"/>
      <c r="Q356" s="43"/>
      <c r="R356">
        <v>3.7</v>
      </c>
      <c r="S356">
        <v>44109</v>
      </c>
      <c r="T356" t="s">
        <v>285</v>
      </c>
      <c r="U356" t="s">
        <v>266</v>
      </c>
      <c r="V356" t="s">
        <v>267</v>
      </c>
      <c r="W356" t="s">
        <v>268</v>
      </c>
      <c r="X356" t="s">
        <v>269</v>
      </c>
      <c r="Y356">
        <v>8883022894</v>
      </c>
      <c r="Z356" t="s">
        <v>270</v>
      </c>
      <c r="AA356" t="s">
        <v>271</v>
      </c>
      <c r="AB356">
        <v>0</v>
      </c>
      <c r="AC356">
        <v>0</v>
      </c>
      <c r="AD356" t="s">
        <v>313</v>
      </c>
      <c r="AE356" t="s">
        <v>445</v>
      </c>
      <c r="AF356">
        <v>4</v>
      </c>
      <c r="AG356" t="s">
        <v>3345</v>
      </c>
      <c r="AH356" t="s">
        <v>259</v>
      </c>
      <c r="AI356" t="s">
        <v>259</v>
      </c>
      <c r="AJ356" t="s">
        <v>259</v>
      </c>
      <c r="AK356" s="43" t="s">
        <v>259</v>
      </c>
      <c r="AL356" s="43" t="s">
        <v>259</v>
      </c>
      <c r="AO356" s="23"/>
      <c r="AP356" s="23"/>
      <c r="AQ356" s="23"/>
      <c r="BD356" s="43" t="s">
        <v>259</v>
      </c>
      <c r="BE356" s="43" t="s">
        <v>259</v>
      </c>
      <c r="BF356" s="43" t="s">
        <v>259</v>
      </c>
      <c r="BG356" s="43" t="s">
        <v>259</v>
      </c>
      <c r="BH356" t="s">
        <v>259</v>
      </c>
      <c r="BI356" s="43" t="s">
        <v>259</v>
      </c>
      <c r="BJ356">
        <v>0</v>
      </c>
      <c r="BK356">
        <v>44109</v>
      </c>
      <c r="BL356">
        <v>44356</v>
      </c>
      <c r="BM356">
        <v>8505</v>
      </c>
      <c r="BN356">
        <v>8505</v>
      </c>
      <c r="BO356">
        <v>8505</v>
      </c>
      <c r="BP356">
        <v>25515</v>
      </c>
      <c r="BQ356">
        <v>3300</v>
      </c>
      <c r="BR356">
        <v>400</v>
      </c>
      <c r="BS356">
        <v>400</v>
      </c>
      <c r="BT356">
        <v>4100</v>
      </c>
      <c r="BU356">
        <v>2100</v>
      </c>
      <c r="BV356">
        <v>2100</v>
      </c>
      <c r="BW356">
        <v>2100</v>
      </c>
      <c r="BX356">
        <v>6300</v>
      </c>
      <c r="BY356">
        <v>1200</v>
      </c>
      <c r="BZ356">
        <v>1200</v>
      </c>
      <c r="CA356">
        <v>1200</v>
      </c>
      <c r="CB356">
        <v>3600</v>
      </c>
      <c r="CF356">
        <v>0</v>
      </c>
      <c r="CG356">
        <v>39515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>
        <v>0</v>
      </c>
      <c r="CS356">
        <v>0</v>
      </c>
      <c r="CT356">
        <v>1250</v>
      </c>
      <c r="CU356">
        <v>1250</v>
      </c>
      <c r="CV356">
        <v>1250</v>
      </c>
      <c r="CW356">
        <v>3750</v>
      </c>
      <c r="CX356">
        <v>0</v>
      </c>
      <c r="CY356">
        <v>0</v>
      </c>
      <c r="CZ356">
        <v>0</v>
      </c>
      <c r="DA356">
        <v>0</v>
      </c>
      <c r="DB356">
        <v>0</v>
      </c>
      <c r="DC356">
        <v>0</v>
      </c>
      <c r="DD356">
        <v>0</v>
      </c>
      <c r="DE356">
        <v>0</v>
      </c>
      <c r="DF356">
        <v>0</v>
      </c>
      <c r="DG356">
        <v>0</v>
      </c>
      <c r="DH356">
        <v>0</v>
      </c>
      <c r="DN356">
        <v>0</v>
      </c>
      <c r="DO356">
        <v>0</v>
      </c>
      <c r="DP356">
        <v>0</v>
      </c>
      <c r="DR356">
        <v>0</v>
      </c>
      <c r="DS356">
        <v>0</v>
      </c>
      <c r="DT356">
        <v>0</v>
      </c>
      <c r="DY356">
        <v>0</v>
      </c>
      <c r="EC356">
        <v>0</v>
      </c>
      <c r="ED356">
        <v>3750</v>
      </c>
      <c r="EH356">
        <v>0</v>
      </c>
      <c r="EI356">
        <v>0</v>
      </c>
      <c r="EJ356">
        <v>0</v>
      </c>
      <c r="EK356">
        <v>0</v>
      </c>
      <c r="EM356">
        <v>0</v>
      </c>
      <c r="EN356">
        <v>660</v>
      </c>
      <c r="EO356">
        <v>660</v>
      </c>
      <c r="EP356">
        <v>659</v>
      </c>
      <c r="EQ356">
        <v>2000</v>
      </c>
      <c r="ER356">
        <v>21.24</v>
      </c>
      <c r="ES356">
        <v>0</v>
      </c>
      <c r="ET356">
        <v>0</v>
      </c>
      <c r="EU356">
        <v>0</v>
      </c>
      <c r="EW356">
        <v>0</v>
      </c>
      <c r="FA356">
        <v>0</v>
      </c>
      <c r="FE356">
        <v>0</v>
      </c>
      <c r="FI356">
        <v>0</v>
      </c>
      <c r="FJ356">
        <v>1978.76</v>
      </c>
      <c r="FK356">
        <v>35765</v>
      </c>
      <c r="FL356">
        <v>35285.153312724535</v>
      </c>
      <c r="FM356">
        <v>33786.239999999998</v>
      </c>
      <c r="FO356" t="s">
        <v>3504</v>
      </c>
      <c r="FP356" t="s">
        <v>3505</v>
      </c>
      <c r="FQ356" t="s">
        <v>372</v>
      </c>
      <c r="FR356" t="s">
        <v>3506</v>
      </c>
    </row>
    <row r="357" spans="1:174" x14ac:dyDescent="0.35">
      <c r="A357">
        <v>198046</v>
      </c>
      <c r="B357" t="s">
        <v>904</v>
      </c>
      <c r="C357" t="s">
        <v>905</v>
      </c>
      <c r="D357" t="s">
        <v>906</v>
      </c>
      <c r="E357" s="43" t="s">
        <v>907</v>
      </c>
      <c r="F357">
        <v>1</v>
      </c>
      <c r="G357">
        <v>43794</v>
      </c>
      <c r="H357">
        <v>43794</v>
      </c>
      <c r="I357">
        <v>43794</v>
      </c>
      <c r="J357" t="s">
        <v>3909</v>
      </c>
      <c r="L357" s="43" t="s">
        <v>3204</v>
      </c>
      <c r="M357" t="s">
        <v>908</v>
      </c>
      <c r="N357" s="43"/>
      <c r="O357" s="43"/>
      <c r="P357" s="43"/>
      <c r="Q357" s="43"/>
      <c r="R357">
        <v>3.0375000000000001</v>
      </c>
      <c r="S357">
        <v>44109</v>
      </c>
      <c r="T357" t="s">
        <v>265</v>
      </c>
      <c r="U357" t="s">
        <v>266</v>
      </c>
      <c r="V357" t="s">
        <v>267</v>
      </c>
      <c r="W357" t="s">
        <v>268</v>
      </c>
      <c r="X357" t="s">
        <v>269</v>
      </c>
      <c r="Y357">
        <v>8883022894</v>
      </c>
      <c r="Z357" t="s">
        <v>270</v>
      </c>
      <c r="AA357" t="s">
        <v>271</v>
      </c>
      <c r="AB357">
        <v>0</v>
      </c>
      <c r="AC357" t="s">
        <v>913</v>
      </c>
      <c r="AD357" t="s">
        <v>771</v>
      </c>
      <c r="AE357" t="s">
        <v>445</v>
      </c>
      <c r="AF357">
        <v>4</v>
      </c>
      <c r="AG357" t="s">
        <v>275</v>
      </c>
      <c r="AH357" t="s">
        <v>4175</v>
      </c>
      <c r="AI357" t="s">
        <v>4176</v>
      </c>
      <c r="AJ357" t="s">
        <v>4169</v>
      </c>
      <c r="AK357" s="43" t="s">
        <v>3208</v>
      </c>
      <c r="AL357" s="43" t="s">
        <v>3209</v>
      </c>
      <c r="AO357" s="23">
        <v>43795</v>
      </c>
      <c r="AP357" s="23"/>
      <c r="AQ357" s="23"/>
      <c r="BD357" s="43" t="s">
        <v>2018</v>
      </c>
      <c r="BE357" s="43" t="s">
        <v>2018</v>
      </c>
      <c r="BF357" s="43" t="s">
        <v>2018</v>
      </c>
      <c r="BG357" s="43" t="s">
        <v>2018</v>
      </c>
      <c r="BH357" t="s">
        <v>2018</v>
      </c>
      <c r="BI357" s="43" t="s">
        <v>2018</v>
      </c>
      <c r="BJ357">
        <v>5.8823529411764719E-2</v>
      </c>
      <c r="BK357">
        <v>44109</v>
      </c>
      <c r="BL357">
        <v>44356</v>
      </c>
      <c r="BM357">
        <v>8505</v>
      </c>
      <c r="BN357">
        <v>8505</v>
      </c>
      <c r="BO357">
        <v>8505</v>
      </c>
      <c r="BP357">
        <v>25515</v>
      </c>
      <c r="BQ357">
        <v>3300</v>
      </c>
      <c r="BR357">
        <v>400</v>
      </c>
      <c r="BS357">
        <v>400</v>
      </c>
      <c r="BT357">
        <v>4100</v>
      </c>
      <c r="BU357">
        <v>2100</v>
      </c>
      <c r="BV357">
        <v>2100</v>
      </c>
      <c r="BW357">
        <v>2100</v>
      </c>
      <c r="BX357">
        <v>6300</v>
      </c>
      <c r="BY357">
        <v>1200</v>
      </c>
      <c r="BZ357">
        <v>1200</v>
      </c>
      <c r="CA357">
        <v>1200</v>
      </c>
      <c r="CB357">
        <v>3600</v>
      </c>
      <c r="CC357">
        <v>0</v>
      </c>
      <c r="CD357">
        <v>0</v>
      </c>
      <c r="CE357">
        <v>0</v>
      </c>
      <c r="CF357">
        <v>0</v>
      </c>
      <c r="CG357">
        <v>39515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0</v>
      </c>
      <c r="CT357">
        <v>1250</v>
      </c>
      <c r="CU357">
        <v>1250</v>
      </c>
      <c r="CV357">
        <v>1250</v>
      </c>
      <c r="CW357">
        <v>3750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0</v>
      </c>
      <c r="DF357">
        <v>0</v>
      </c>
      <c r="DG357">
        <v>0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0</v>
      </c>
      <c r="DT357">
        <v>0</v>
      </c>
      <c r="DU357">
        <v>0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0</v>
      </c>
      <c r="ED357">
        <v>3750</v>
      </c>
      <c r="EE357">
        <v>0</v>
      </c>
      <c r="EF357">
        <v>0</v>
      </c>
      <c r="EG357">
        <v>0</v>
      </c>
      <c r="EH357">
        <v>0</v>
      </c>
      <c r="EI357">
        <v>1154</v>
      </c>
      <c r="EJ357">
        <v>1154</v>
      </c>
      <c r="EK357">
        <v>1155</v>
      </c>
      <c r="EL357">
        <v>3500</v>
      </c>
      <c r="EM357">
        <v>37.065000000000005</v>
      </c>
      <c r="EN357">
        <v>660</v>
      </c>
      <c r="EO357">
        <v>660</v>
      </c>
      <c r="EP357">
        <v>659</v>
      </c>
      <c r="EQ357">
        <v>2000</v>
      </c>
      <c r="ER357">
        <v>21.18</v>
      </c>
      <c r="ES357">
        <v>0</v>
      </c>
      <c r="ET357">
        <v>0</v>
      </c>
      <c r="EU357">
        <v>0</v>
      </c>
      <c r="EV357">
        <v>0</v>
      </c>
      <c r="EW357">
        <v>0</v>
      </c>
      <c r="FA357">
        <v>0</v>
      </c>
      <c r="FE357">
        <v>0</v>
      </c>
      <c r="FI357">
        <v>0</v>
      </c>
      <c r="FJ357">
        <v>5441.7550000000001</v>
      </c>
      <c r="FK357">
        <v>35765</v>
      </c>
      <c r="FL357">
        <v>31664.555574119709</v>
      </c>
      <c r="FM357">
        <v>30323.244999999999</v>
      </c>
      <c r="FO357" t="s">
        <v>909</v>
      </c>
      <c r="FP357" t="s">
        <v>910</v>
      </c>
      <c r="FQ357" t="s">
        <v>911</v>
      </c>
      <c r="FR357" t="s">
        <v>912</v>
      </c>
    </row>
    <row r="358" spans="1:174" x14ac:dyDescent="0.35">
      <c r="A358">
        <v>198964</v>
      </c>
      <c r="B358" t="s">
        <v>914</v>
      </c>
      <c r="C358" t="s">
        <v>915</v>
      </c>
      <c r="D358" t="s">
        <v>916</v>
      </c>
      <c r="E358" s="43" t="s">
        <v>3286</v>
      </c>
      <c r="L358" s="43" t="s">
        <v>259</v>
      </c>
      <c r="M358" t="s">
        <v>917</v>
      </c>
      <c r="N358" s="43"/>
      <c r="O358" s="43"/>
      <c r="P358" s="43"/>
      <c r="Q358" s="43"/>
      <c r="R358">
        <v>1.353</v>
      </c>
      <c r="S358">
        <v>44109</v>
      </c>
      <c r="T358" t="s">
        <v>311</v>
      </c>
      <c r="U358" t="s">
        <v>266</v>
      </c>
      <c r="V358" t="s">
        <v>267</v>
      </c>
      <c r="W358" t="s">
        <v>268</v>
      </c>
      <c r="X358" t="s">
        <v>269</v>
      </c>
      <c r="Y358">
        <v>8883022894</v>
      </c>
      <c r="Z358" t="s">
        <v>270</v>
      </c>
      <c r="AA358" t="s">
        <v>271</v>
      </c>
      <c r="AB358">
        <v>0</v>
      </c>
      <c r="AC358" t="s">
        <v>796</v>
      </c>
      <c r="AD358" t="s">
        <v>313</v>
      </c>
      <c r="AE358" t="s">
        <v>324</v>
      </c>
      <c r="AF358">
        <v>8</v>
      </c>
      <c r="AG358" t="s">
        <v>446</v>
      </c>
      <c r="AH358" t="s">
        <v>259</v>
      </c>
      <c r="AI358" t="s">
        <v>259</v>
      </c>
      <c r="AJ358" t="s">
        <v>259</v>
      </c>
      <c r="AK358" s="43" t="s">
        <v>259</v>
      </c>
      <c r="AL358" s="43" t="s">
        <v>259</v>
      </c>
      <c r="AO358" s="23"/>
      <c r="AP358" s="23"/>
      <c r="AQ358" s="23"/>
      <c r="BD358" s="43" t="s">
        <v>259</v>
      </c>
      <c r="BE358" s="43" t="s">
        <v>259</v>
      </c>
      <c r="BF358" s="43" t="s">
        <v>259</v>
      </c>
      <c r="BG358" s="43" t="s">
        <v>259</v>
      </c>
      <c r="BH358" t="s">
        <v>259</v>
      </c>
      <c r="BI358" s="43" t="s">
        <v>259</v>
      </c>
      <c r="BJ358">
        <v>0</v>
      </c>
      <c r="BK358">
        <v>44109</v>
      </c>
      <c r="BL358">
        <v>44356</v>
      </c>
      <c r="BM358">
        <v>8505</v>
      </c>
      <c r="BN358">
        <v>8505</v>
      </c>
      <c r="BO358">
        <v>8505</v>
      </c>
      <c r="BP358">
        <v>25515</v>
      </c>
      <c r="BQ358">
        <v>3300</v>
      </c>
      <c r="BR358">
        <v>400</v>
      </c>
      <c r="BS358">
        <v>400</v>
      </c>
      <c r="BT358">
        <v>4100</v>
      </c>
      <c r="BU358">
        <v>2100</v>
      </c>
      <c r="BV358">
        <v>2100</v>
      </c>
      <c r="BW358">
        <v>2100</v>
      </c>
      <c r="BX358">
        <v>6300</v>
      </c>
      <c r="BY358">
        <v>1200</v>
      </c>
      <c r="BZ358">
        <v>1200</v>
      </c>
      <c r="CA358">
        <v>1200</v>
      </c>
      <c r="CB358">
        <v>3600</v>
      </c>
      <c r="CF358">
        <v>0</v>
      </c>
      <c r="CG358">
        <v>39515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0</v>
      </c>
      <c r="DN358">
        <v>0</v>
      </c>
      <c r="DO358">
        <v>0</v>
      </c>
      <c r="DP358">
        <v>0</v>
      </c>
      <c r="DR358">
        <v>0</v>
      </c>
      <c r="DS358">
        <v>0</v>
      </c>
      <c r="DT358">
        <v>0</v>
      </c>
      <c r="DY358">
        <v>0</v>
      </c>
      <c r="EC358">
        <v>0</v>
      </c>
      <c r="ED358">
        <v>0</v>
      </c>
      <c r="EH358">
        <v>0</v>
      </c>
      <c r="EI358">
        <v>0</v>
      </c>
      <c r="EJ358">
        <v>0</v>
      </c>
      <c r="EK358">
        <v>0</v>
      </c>
      <c r="EM358">
        <v>0</v>
      </c>
      <c r="EN358">
        <v>660</v>
      </c>
      <c r="EO358">
        <v>660</v>
      </c>
      <c r="EP358">
        <v>659</v>
      </c>
      <c r="EQ358">
        <v>2000</v>
      </c>
      <c r="ER358">
        <v>21.24</v>
      </c>
      <c r="ES358">
        <v>0</v>
      </c>
      <c r="ET358">
        <v>0</v>
      </c>
      <c r="EU358">
        <v>0</v>
      </c>
      <c r="EW358">
        <v>0</v>
      </c>
      <c r="FA358">
        <v>0</v>
      </c>
      <c r="FE358">
        <v>0</v>
      </c>
      <c r="FI358">
        <v>0</v>
      </c>
      <c r="FJ358">
        <v>1978.76</v>
      </c>
      <c r="FK358">
        <v>39515</v>
      </c>
      <c r="FL358">
        <v>39201.520594870075</v>
      </c>
      <c r="FM358">
        <v>37536.239999999998</v>
      </c>
      <c r="FO358" t="s">
        <v>918</v>
      </c>
      <c r="FP358" t="s">
        <v>919</v>
      </c>
      <c r="FQ358" t="s">
        <v>705</v>
      </c>
      <c r="FR358" t="s">
        <v>920</v>
      </c>
    </row>
    <row r="359" spans="1:174" x14ac:dyDescent="0.35">
      <c r="A359">
        <v>198525</v>
      </c>
      <c r="B359" t="s">
        <v>921</v>
      </c>
      <c r="C359" t="s">
        <v>3507</v>
      </c>
      <c r="D359" t="s">
        <v>3508</v>
      </c>
      <c r="E359" s="43" t="s">
        <v>4209</v>
      </c>
      <c r="J359" t="s">
        <v>3425</v>
      </c>
      <c r="L359" s="43" t="s">
        <v>259</v>
      </c>
      <c r="M359" t="s">
        <v>3509</v>
      </c>
      <c r="N359" s="43"/>
      <c r="O359" s="43"/>
      <c r="P359" s="43"/>
      <c r="Q359" s="43"/>
      <c r="R359">
        <v>2.84</v>
      </c>
      <c r="S359">
        <v>44109</v>
      </c>
      <c r="T359" t="s">
        <v>311</v>
      </c>
      <c r="U359" t="s">
        <v>266</v>
      </c>
      <c r="V359" t="s">
        <v>267</v>
      </c>
      <c r="W359" t="s">
        <v>268</v>
      </c>
      <c r="X359" t="s">
        <v>269</v>
      </c>
      <c r="Y359">
        <v>8883022894</v>
      </c>
      <c r="Z359" t="s">
        <v>270</v>
      </c>
      <c r="AA359" t="s">
        <v>271</v>
      </c>
      <c r="AB359">
        <v>0</v>
      </c>
      <c r="AC359">
        <v>0</v>
      </c>
      <c r="AD359" t="s">
        <v>313</v>
      </c>
      <c r="AE359" t="s">
        <v>274</v>
      </c>
      <c r="AF359">
        <v>9</v>
      </c>
      <c r="AG359" t="s">
        <v>3345</v>
      </c>
      <c r="AH359" t="s">
        <v>259</v>
      </c>
      <c r="AI359" t="s">
        <v>259</v>
      </c>
      <c r="AJ359" t="s">
        <v>259</v>
      </c>
      <c r="AK359" s="43" t="s">
        <v>259</v>
      </c>
      <c r="AL359" s="43" t="s">
        <v>259</v>
      </c>
      <c r="AO359" s="23"/>
      <c r="AP359" s="23"/>
      <c r="AQ359" s="23"/>
      <c r="BD359" s="43" t="s">
        <v>259</v>
      </c>
      <c r="BE359" s="43" t="s">
        <v>259</v>
      </c>
      <c r="BF359" s="43" t="s">
        <v>259</v>
      </c>
      <c r="BG359" s="43" t="s">
        <v>259</v>
      </c>
      <c r="BH359" t="s">
        <v>259</v>
      </c>
      <c r="BI359" s="43" t="s">
        <v>259</v>
      </c>
      <c r="BJ359">
        <v>0</v>
      </c>
      <c r="BK359">
        <v>44109</v>
      </c>
      <c r="BL359">
        <v>44356</v>
      </c>
      <c r="BM359">
        <v>8505</v>
      </c>
      <c r="BN359">
        <v>8505</v>
      </c>
      <c r="BO359">
        <v>8505</v>
      </c>
      <c r="BP359">
        <v>25515</v>
      </c>
      <c r="BQ359">
        <v>3300</v>
      </c>
      <c r="BR359">
        <v>400</v>
      </c>
      <c r="BS359">
        <v>400</v>
      </c>
      <c r="BT359">
        <v>4100</v>
      </c>
      <c r="BU359">
        <v>2100</v>
      </c>
      <c r="BV359">
        <v>2100</v>
      </c>
      <c r="BW359">
        <v>2100</v>
      </c>
      <c r="BX359">
        <v>6300</v>
      </c>
      <c r="BY359">
        <v>1200</v>
      </c>
      <c r="BZ359">
        <v>1200</v>
      </c>
      <c r="CA359">
        <v>1200</v>
      </c>
      <c r="CB359">
        <v>3600</v>
      </c>
      <c r="CF359">
        <v>0</v>
      </c>
      <c r="CG359">
        <v>39515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0</v>
      </c>
      <c r="DA359">
        <v>0</v>
      </c>
      <c r="DB359">
        <v>0</v>
      </c>
      <c r="DC359">
        <v>0</v>
      </c>
      <c r="DD359">
        <v>0</v>
      </c>
      <c r="DE359">
        <v>0</v>
      </c>
      <c r="DF359">
        <v>0</v>
      </c>
      <c r="DG359">
        <v>0</v>
      </c>
      <c r="DH359">
        <v>0</v>
      </c>
      <c r="DN359">
        <v>0</v>
      </c>
      <c r="DO359">
        <v>0</v>
      </c>
      <c r="DP359">
        <v>0</v>
      </c>
      <c r="DR359">
        <v>0</v>
      </c>
      <c r="DS359">
        <v>0</v>
      </c>
      <c r="DT359">
        <v>0</v>
      </c>
      <c r="DY359">
        <v>0</v>
      </c>
      <c r="EC359">
        <v>0</v>
      </c>
      <c r="ED359">
        <v>0</v>
      </c>
      <c r="EH359">
        <v>0</v>
      </c>
      <c r="EI359">
        <v>0</v>
      </c>
      <c r="EJ359">
        <v>0</v>
      </c>
      <c r="EK359">
        <v>0</v>
      </c>
      <c r="EM359">
        <v>0</v>
      </c>
      <c r="EN359">
        <v>660</v>
      </c>
      <c r="EO359">
        <v>660</v>
      </c>
      <c r="EP359">
        <v>659</v>
      </c>
      <c r="EQ359">
        <v>2000</v>
      </c>
      <c r="ER359">
        <v>21.24</v>
      </c>
      <c r="ES359">
        <v>0</v>
      </c>
      <c r="ET359">
        <v>0</v>
      </c>
      <c r="EU359">
        <v>0</v>
      </c>
      <c r="EW359">
        <v>0</v>
      </c>
      <c r="FA359">
        <v>0</v>
      </c>
      <c r="FE359">
        <v>0</v>
      </c>
      <c r="FI359">
        <v>0</v>
      </c>
      <c r="FJ359">
        <v>1978.76</v>
      </c>
      <c r="FK359">
        <v>39515</v>
      </c>
      <c r="FL359">
        <v>39201.520594870075</v>
      </c>
      <c r="FM359">
        <v>37536.239999999998</v>
      </c>
      <c r="FO359" t="s">
        <v>3510</v>
      </c>
      <c r="FP359" t="s">
        <v>3511</v>
      </c>
      <c r="FQ359" t="s">
        <v>1650</v>
      </c>
      <c r="FR359" t="s">
        <v>3512</v>
      </c>
    </row>
    <row r="360" spans="1:174" x14ac:dyDescent="0.35">
      <c r="A360">
        <v>198662</v>
      </c>
      <c r="B360" t="s">
        <v>921</v>
      </c>
      <c r="C360" t="s">
        <v>896</v>
      </c>
      <c r="D360" t="s">
        <v>3837</v>
      </c>
      <c r="E360" s="43" t="s">
        <v>4181</v>
      </c>
      <c r="F360">
        <v>2</v>
      </c>
      <c r="G360">
        <v>43802</v>
      </c>
      <c r="H360">
        <v>43802</v>
      </c>
      <c r="I360">
        <v>43802</v>
      </c>
      <c r="L360" s="43" t="s">
        <v>3204</v>
      </c>
      <c r="M360" t="s">
        <v>3838</v>
      </c>
      <c r="N360" s="43"/>
      <c r="O360" s="43"/>
      <c r="P360" s="43"/>
      <c r="Q360" s="43"/>
      <c r="R360">
        <v>3.5419999999999998</v>
      </c>
      <c r="S360">
        <v>44109</v>
      </c>
      <c r="T360" t="s">
        <v>311</v>
      </c>
      <c r="U360" t="s">
        <v>266</v>
      </c>
      <c r="V360" t="s">
        <v>267</v>
      </c>
      <c r="W360" t="s">
        <v>268</v>
      </c>
      <c r="X360" t="s">
        <v>269</v>
      </c>
      <c r="Y360">
        <v>8883022894</v>
      </c>
      <c r="Z360" t="s">
        <v>270</v>
      </c>
      <c r="AA360" t="s">
        <v>271</v>
      </c>
      <c r="AB360" t="s">
        <v>679</v>
      </c>
      <c r="AC360">
        <v>0</v>
      </c>
      <c r="AD360" t="s">
        <v>670</v>
      </c>
      <c r="AE360" t="s">
        <v>289</v>
      </c>
      <c r="AF360">
        <v>2</v>
      </c>
      <c r="AG360" t="s">
        <v>3345</v>
      </c>
      <c r="AH360" t="s">
        <v>3841</v>
      </c>
      <c r="AI360" t="s">
        <v>3842</v>
      </c>
      <c r="AJ360" t="s">
        <v>3207</v>
      </c>
      <c r="AK360" s="43" t="s">
        <v>3208</v>
      </c>
      <c r="AL360" s="43" t="s">
        <v>3209</v>
      </c>
      <c r="AO360" s="23"/>
      <c r="AP360" s="23"/>
      <c r="AQ360" s="23"/>
      <c r="BD360" s="43" t="s">
        <v>2018</v>
      </c>
      <c r="BE360" s="43" t="s">
        <v>2018</v>
      </c>
      <c r="BF360" s="43" t="s">
        <v>2018</v>
      </c>
      <c r="BG360" s="43" t="s">
        <v>2018</v>
      </c>
      <c r="BH360" t="s">
        <v>2018</v>
      </c>
      <c r="BI360" s="43" t="s">
        <v>2018</v>
      </c>
      <c r="BJ360">
        <v>0</v>
      </c>
      <c r="BK360">
        <v>44109</v>
      </c>
      <c r="BL360">
        <v>44356</v>
      </c>
      <c r="BP360">
        <v>0</v>
      </c>
      <c r="BT360">
        <v>0</v>
      </c>
      <c r="BX360">
        <v>0</v>
      </c>
      <c r="CB360">
        <v>0</v>
      </c>
      <c r="CF360">
        <v>0</v>
      </c>
      <c r="CG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>
        <v>0</v>
      </c>
      <c r="CS360">
        <v>0</v>
      </c>
      <c r="CT360">
        <v>1500</v>
      </c>
      <c r="CU360">
        <v>1500</v>
      </c>
      <c r="CV360">
        <v>1500</v>
      </c>
      <c r="CW360">
        <v>4500</v>
      </c>
      <c r="CX360">
        <v>0</v>
      </c>
      <c r="CY360">
        <v>0</v>
      </c>
      <c r="CZ360">
        <v>0</v>
      </c>
      <c r="DA360">
        <v>0</v>
      </c>
      <c r="DB360">
        <v>0</v>
      </c>
      <c r="DC360">
        <v>0</v>
      </c>
      <c r="DD360">
        <v>0</v>
      </c>
      <c r="DE360">
        <v>0</v>
      </c>
      <c r="DF360">
        <v>0</v>
      </c>
      <c r="DG360">
        <v>0</v>
      </c>
      <c r="DH360">
        <v>0</v>
      </c>
      <c r="DN360">
        <v>0</v>
      </c>
      <c r="DO360">
        <v>0</v>
      </c>
      <c r="DP360">
        <v>0</v>
      </c>
      <c r="DR360">
        <v>0</v>
      </c>
      <c r="DS360">
        <v>0</v>
      </c>
      <c r="DT360">
        <v>0</v>
      </c>
      <c r="DY360">
        <v>0</v>
      </c>
      <c r="EC360">
        <v>0</v>
      </c>
      <c r="ED360">
        <v>4500</v>
      </c>
      <c r="EH360">
        <v>0</v>
      </c>
      <c r="EI360">
        <v>0</v>
      </c>
      <c r="EJ360">
        <v>0</v>
      </c>
      <c r="EK360">
        <v>0</v>
      </c>
      <c r="EM360">
        <v>0</v>
      </c>
      <c r="EN360">
        <v>660</v>
      </c>
      <c r="EO360">
        <v>660</v>
      </c>
      <c r="EP360">
        <v>659</v>
      </c>
      <c r="EQ360">
        <v>2000</v>
      </c>
      <c r="ER360">
        <v>21.24</v>
      </c>
      <c r="ES360">
        <v>0</v>
      </c>
      <c r="ET360">
        <v>0</v>
      </c>
      <c r="EU360">
        <v>0</v>
      </c>
      <c r="EW360">
        <v>0</v>
      </c>
      <c r="FA360">
        <v>0</v>
      </c>
      <c r="FE360">
        <v>0</v>
      </c>
      <c r="FI360">
        <v>0</v>
      </c>
      <c r="FJ360">
        <v>1978.76</v>
      </c>
      <c r="FK360">
        <v>-4500</v>
      </c>
      <c r="FL360">
        <v>-6766.1876514328678</v>
      </c>
      <c r="FM360">
        <v>-6478.76</v>
      </c>
      <c r="FO360" t="s">
        <v>3839</v>
      </c>
      <c r="FP360" t="s">
        <v>1454</v>
      </c>
      <c r="FQ360" t="s">
        <v>1091</v>
      </c>
      <c r="FR360" t="s">
        <v>3840</v>
      </c>
    </row>
    <row r="361" spans="1:174" x14ac:dyDescent="0.35">
      <c r="A361">
        <v>195250</v>
      </c>
      <c r="B361" t="s">
        <v>921</v>
      </c>
      <c r="C361" t="s">
        <v>922</v>
      </c>
      <c r="D361" t="s">
        <v>923</v>
      </c>
      <c r="E361" s="43" t="s">
        <v>924</v>
      </c>
      <c r="F361">
        <v>1</v>
      </c>
      <c r="I361">
        <v>43803</v>
      </c>
      <c r="L361" s="43" t="s">
        <v>3204</v>
      </c>
      <c r="M361" t="s">
        <v>925</v>
      </c>
      <c r="N361" s="43"/>
      <c r="O361" s="43"/>
      <c r="P361" s="43"/>
      <c r="Q361" s="43"/>
      <c r="R361">
        <v>3.19</v>
      </c>
      <c r="S361">
        <v>44109</v>
      </c>
      <c r="T361" t="s">
        <v>311</v>
      </c>
      <c r="U361" t="s">
        <v>266</v>
      </c>
      <c r="V361" t="s">
        <v>267</v>
      </c>
      <c r="W361" t="s">
        <v>268</v>
      </c>
      <c r="X361" t="s">
        <v>269</v>
      </c>
      <c r="Y361">
        <v>8883022894</v>
      </c>
      <c r="Z361" t="s">
        <v>270</v>
      </c>
      <c r="AA361" t="s">
        <v>271</v>
      </c>
      <c r="AB361">
        <v>0</v>
      </c>
      <c r="AC361">
        <v>0</v>
      </c>
      <c r="AD361" t="s">
        <v>313</v>
      </c>
      <c r="AE361" t="s">
        <v>324</v>
      </c>
      <c r="AF361">
        <v>8</v>
      </c>
      <c r="AG361" t="s">
        <v>275</v>
      </c>
      <c r="AH361" t="s">
        <v>3859</v>
      </c>
      <c r="AI361" t="s">
        <v>3860</v>
      </c>
      <c r="AJ361" t="s">
        <v>3821</v>
      </c>
      <c r="AK361" s="43" t="s">
        <v>3208</v>
      </c>
      <c r="AL361" s="43" t="s">
        <v>3209</v>
      </c>
      <c r="AO361" s="23"/>
      <c r="AP361" s="23"/>
      <c r="AQ361" s="23"/>
      <c r="BD361" s="43" t="s">
        <v>2018</v>
      </c>
      <c r="BE361" s="43" t="s">
        <v>2018</v>
      </c>
      <c r="BF361" s="43" t="s">
        <v>2018</v>
      </c>
      <c r="BG361" s="43" t="s">
        <v>2018</v>
      </c>
      <c r="BH361" t="s">
        <v>2018</v>
      </c>
      <c r="BI361" s="43" t="s">
        <v>2018</v>
      </c>
      <c r="BJ361">
        <v>0</v>
      </c>
      <c r="BK361">
        <v>44109</v>
      </c>
      <c r="BL361">
        <v>44356</v>
      </c>
      <c r="BM361">
        <v>8505</v>
      </c>
      <c r="BN361">
        <v>8505</v>
      </c>
      <c r="BO361">
        <v>8505</v>
      </c>
      <c r="BP361">
        <v>25515</v>
      </c>
      <c r="BQ361">
        <v>3300</v>
      </c>
      <c r="BR361">
        <v>400</v>
      </c>
      <c r="BS361">
        <v>400</v>
      </c>
      <c r="BT361">
        <v>4100</v>
      </c>
      <c r="BU361">
        <v>2100</v>
      </c>
      <c r="BV361">
        <v>2100</v>
      </c>
      <c r="BW361">
        <v>2100</v>
      </c>
      <c r="BX361">
        <v>6300</v>
      </c>
      <c r="BY361">
        <v>1200</v>
      </c>
      <c r="BZ361">
        <v>1200</v>
      </c>
      <c r="CA361">
        <v>1200</v>
      </c>
      <c r="CB361">
        <v>3600</v>
      </c>
      <c r="CC361">
        <v>0</v>
      </c>
      <c r="CD361">
        <v>0</v>
      </c>
      <c r="CE361">
        <v>0</v>
      </c>
      <c r="CF361">
        <v>0</v>
      </c>
      <c r="CG361">
        <v>39515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0</v>
      </c>
      <c r="DE361">
        <v>0</v>
      </c>
      <c r="DF361">
        <v>0</v>
      </c>
      <c r="DG361">
        <v>0</v>
      </c>
      <c r="DH361">
        <v>0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0</v>
      </c>
      <c r="DS361">
        <v>0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0</v>
      </c>
      <c r="EG361">
        <v>0</v>
      </c>
      <c r="EH361">
        <v>0</v>
      </c>
      <c r="EI361">
        <v>1154</v>
      </c>
      <c r="EJ361">
        <v>1154</v>
      </c>
      <c r="EK361">
        <v>1155</v>
      </c>
      <c r="EL361">
        <v>3500</v>
      </c>
      <c r="EM361">
        <v>37.065000000000005</v>
      </c>
      <c r="EN361">
        <v>660</v>
      </c>
      <c r="EO361">
        <v>660</v>
      </c>
      <c r="EP361">
        <v>659</v>
      </c>
      <c r="EQ361">
        <v>2000</v>
      </c>
      <c r="ER361">
        <v>21.18</v>
      </c>
      <c r="ES361">
        <v>0</v>
      </c>
      <c r="ET361">
        <v>0</v>
      </c>
      <c r="EU361">
        <v>0</v>
      </c>
      <c r="EV361">
        <v>0</v>
      </c>
      <c r="EW361">
        <v>0</v>
      </c>
      <c r="FA361">
        <v>0</v>
      </c>
      <c r="FE361">
        <v>0</v>
      </c>
      <c r="FI361">
        <v>0</v>
      </c>
      <c r="FJ361">
        <v>5441.7550000000001</v>
      </c>
      <c r="FK361">
        <v>39515</v>
      </c>
      <c r="FL361">
        <v>35580.43210392214</v>
      </c>
      <c r="FM361">
        <v>34073.245000000003</v>
      </c>
      <c r="FO361" t="s">
        <v>926</v>
      </c>
      <c r="FP361" t="s">
        <v>927</v>
      </c>
      <c r="FQ361" t="s">
        <v>342</v>
      </c>
      <c r="FR361" t="s">
        <v>928</v>
      </c>
    </row>
    <row r="362" spans="1:174" x14ac:dyDescent="0.35">
      <c r="A362">
        <v>196116</v>
      </c>
      <c r="B362" t="s">
        <v>929</v>
      </c>
      <c r="C362" t="s">
        <v>690</v>
      </c>
      <c r="D362" t="s">
        <v>930</v>
      </c>
      <c r="E362" s="43" t="s">
        <v>931</v>
      </c>
      <c r="F362">
        <v>1</v>
      </c>
      <c r="G362">
        <v>43759</v>
      </c>
      <c r="H362">
        <v>43776</v>
      </c>
      <c r="I362">
        <v>43776</v>
      </c>
      <c r="L362" s="43" t="s">
        <v>3204</v>
      </c>
      <c r="M362" t="s">
        <v>932</v>
      </c>
      <c r="N362" s="43"/>
      <c r="O362" s="43"/>
      <c r="P362" s="43"/>
      <c r="Q362" s="43"/>
      <c r="R362">
        <v>3.56</v>
      </c>
      <c r="S362">
        <v>44109</v>
      </c>
      <c r="T362" t="s">
        <v>311</v>
      </c>
      <c r="U362" t="s">
        <v>266</v>
      </c>
      <c r="V362" t="s">
        <v>267</v>
      </c>
      <c r="W362" t="s">
        <v>268</v>
      </c>
      <c r="X362" t="s">
        <v>269</v>
      </c>
      <c r="Y362">
        <v>8883022894</v>
      </c>
      <c r="Z362" t="s">
        <v>270</v>
      </c>
      <c r="AA362" t="s">
        <v>271</v>
      </c>
      <c r="AB362">
        <v>0</v>
      </c>
      <c r="AC362" t="s">
        <v>936</v>
      </c>
      <c r="AD362" t="s">
        <v>300</v>
      </c>
      <c r="AE362" t="s">
        <v>289</v>
      </c>
      <c r="AF362">
        <v>2</v>
      </c>
      <c r="AG362" t="s">
        <v>275</v>
      </c>
      <c r="AH362" t="s">
        <v>3226</v>
      </c>
      <c r="AI362" t="s">
        <v>313</v>
      </c>
      <c r="AJ362" t="s">
        <v>3309</v>
      </c>
      <c r="AK362" s="43" t="s">
        <v>3208</v>
      </c>
      <c r="AL362" s="43" t="s">
        <v>3209</v>
      </c>
      <c r="AM362">
        <v>43776</v>
      </c>
      <c r="AN362">
        <v>43776</v>
      </c>
      <c r="AO362" s="23">
        <v>43759</v>
      </c>
      <c r="AP362" s="23">
        <v>43760</v>
      </c>
      <c r="AQ362" s="23">
        <v>43760</v>
      </c>
      <c r="BD362" s="43" t="s">
        <v>2018</v>
      </c>
      <c r="BE362" s="43" t="s">
        <v>2018</v>
      </c>
      <c r="BF362" s="43" t="s">
        <v>2018</v>
      </c>
      <c r="BG362" s="43" t="s">
        <v>2018</v>
      </c>
      <c r="BH362" t="s">
        <v>2018</v>
      </c>
      <c r="BI362" s="43" t="s">
        <v>2018</v>
      </c>
      <c r="BJ362">
        <v>0.29411764705882348</v>
      </c>
      <c r="BK362">
        <v>44109</v>
      </c>
      <c r="BL362">
        <v>44356</v>
      </c>
      <c r="BM362">
        <v>8505</v>
      </c>
      <c r="BN362">
        <v>8505</v>
      </c>
      <c r="BO362">
        <v>8505</v>
      </c>
      <c r="BP362">
        <v>25515</v>
      </c>
      <c r="BQ362">
        <v>3300</v>
      </c>
      <c r="BR362">
        <v>400</v>
      </c>
      <c r="BS362">
        <v>400</v>
      </c>
      <c r="BT362">
        <v>4100</v>
      </c>
      <c r="BU362">
        <v>2100</v>
      </c>
      <c r="BV362">
        <v>2100</v>
      </c>
      <c r="BW362">
        <v>2100</v>
      </c>
      <c r="BX362">
        <v>6300</v>
      </c>
      <c r="BY362">
        <v>1200</v>
      </c>
      <c r="BZ362">
        <v>1200</v>
      </c>
      <c r="CA362">
        <v>1200</v>
      </c>
      <c r="CB362">
        <v>3600</v>
      </c>
      <c r="CC362">
        <v>0</v>
      </c>
      <c r="CD362">
        <v>0</v>
      </c>
      <c r="CE362">
        <v>0</v>
      </c>
      <c r="CF362">
        <v>0</v>
      </c>
      <c r="CG362">
        <v>39515</v>
      </c>
      <c r="CH362">
        <v>0</v>
      </c>
      <c r="CI362">
        <v>0</v>
      </c>
      <c r="CJ362">
        <v>0</v>
      </c>
      <c r="CK362">
        <v>0</v>
      </c>
      <c r="CL362">
        <v>2065</v>
      </c>
      <c r="CM362">
        <v>2065</v>
      </c>
      <c r="CN362">
        <v>2065</v>
      </c>
      <c r="CO362">
        <v>6195</v>
      </c>
      <c r="CP362">
        <v>500</v>
      </c>
      <c r="CQ362">
        <v>500</v>
      </c>
      <c r="CR362">
        <v>500</v>
      </c>
      <c r="CS362">
        <v>1500</v>
      </c>
      <c r="CT362">
        <v>1500</v>
      </c>
      <c r="CU362">
        <v>1500</v>
      </c>
      <c r="CV362">
        <v>1500</v>
      </c>
      <c r="CW362">
        <v>4500</v>
      </c>
      <c r="CX362">
        <v>0</v>
      </c>
      <c r="CY362">
        <v>0</v>
      </c>
      <c r="CZ362">
        <v>0</v>
      </c>
      <c r="DA362">
        <v>0</v>
      </c>
      <c r="DB362">
        <v>0</v>
      </c>
      <c r="DC362">
        <v>0</v>
      </c>
      <c r="DD362">
        <v>0</v>
      </c>
      <c r="DE362">
        <v>0</v>
      </c>
      <c r="DF362">
        <v>0</v>
      </c>
      <c r="DG362">
        <v>0</v>
      </c>
      <c r="DH362">
        <v>0</v>
      </c>
      <c r="DN362">
        <v>0</v>
      </c>
      <c r="DO362">
        <v>0</v>
      </c>
      <c r="DP362">
        <v>0</v>
      </c>
      <c r="DQ362">
        <v>0</v>
      </c>
      <c r="DR362">
        <v>0</v>
      </c>
      <c r="DS362">
        <v>0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0</v>
      </c>
      <c r="ED362">
        <v>12195</v>
      </c>
      <c r="EE362">
        <v>0</v>
      </c>
      <c r="EF362">
        <v>0</v>
      </c>
      <c r="EG362">
        <v>0</v>
      </c>
      <c r="EH362">
        <v>0</v>
      </c>
      <c r="EI362">
        <v>1154</v>
      </c>
      <c r="EJ362">
        <v>1154</v>
      </c>
      <c r="EK362">
        <v>1155</v>
      </c>
      <c r="EL362">
        <v>3500</v>
      </c>
      <c r="EM362">
        <v>37.065000000000005</v>
      </c>
      <c r="EN362">
        <v>660</v>
      </c>
      <c r="EO362">
        <v>660</v>
      </c>
      <c r="EP362">
        <v>659</v>
      </c>
      <c r="EQ362">
        <v>2000</v>
      </c>
      <c r="ER362">
        <v>21.18</v>
      </c>
      <c r="ES362">
        <v>7307</v>
      </c>
      <c r="ET362">
        <v>7307</v>
      </c>
      <c r="EU362">
        <v>7307</v>
      </c>
      <c r="EV362">
        <v>22849</v>
      </c>
      <c r="EW362">
        <v>971</v>
      </c>
      <c r="FA362">
        <v>0</v>
      </c>
      <c r="FE362">
        <v>0</v>
      </c>
      <c r="FI362">
        <v>0</v>
      </c>
      <c r="FJ362">
        <v>27320.12948</v>
      </c>
      <c r="FK362">
        <v>27320</v>
      </c>
      <c r="FL362">
        <v>-0.13522432951750671</v>
      </c>
      <c r="FM362">
        <v>-0.12947999999960302</v>
      </c>
      <c r="FO362" t="s">
        <v>933</v>
      </c>
      <c r="FP362" t="s">
        <v>934</v>
      </c>
      <c r="FQ362" t="s">
        <v>372</v>
      </c>
      <c r="FR362" t="s">
        <v>935</v>
      </c>
    </row>
    <row r="363" spans="1:174" x14ac:dyDescent="0.35">
      <c r="A363">
        <v>193060</v>
      </c>
      <c r="B363" t="s">
        <v>929</v>
      </c>
      <c r="C363" t="s">
        <v>3513</v>
      </c>
      <c r="D363" t="s">
        <v>3514</v>
      </c>
      <c r="E363" s="43" t="s">
        <v>4210</v>
      </c>
      <c r="J363" t="s">
        <v>3425</v>
      </c>
      <c r="L363" s="43" t="s">
        <v>259</v>
      </c>
      <c r="M363" t="s">
        <v>3515</v>
      </c>
      <c r="N363" s="43"/>
      <c r="O363" s="43"/>
      <c r="P363" s="43"/>
      <c r="Q363" s="43"/>
      <c r="R363">
        <v>3.2</v>
      </c>
      <c r="S363">
        <v>44109</v>
      </c>
      <c r="T363" t="s">
        <v>285</v>
      </c>
      <c r="U363" t="s">
        <v>286</v>
      </c>
      <c r="V363" t="s">
        <v>267</v>
      </c>
      <c r="W363" t="s">
        <v>268</v>
      </c>
      <c r="X363" t="s">
        <v>269</v>
      </c>
      <c r="Y363">
        <v>8883022894</v>
      </c>
      <c r="Z363" t="s">
        <v>508</v>
      </c>
      <c r="AA363" t="s">
        <v>271</v>
      </c>
      <c r="AB363">
        <v>0</v>
      </c>
      <c r="AC363">
        <v>0</v>
      </c>
      <c r="AD363" t="s">
        <v>313</v>
      </c>
      <c r="AE363" t="s">
        <v>376</v>
      </c>
      <c r="AF363">
        <v>7</v>
      </c>
      <c r="AG363" t="s">
        <v>3345</v>
      </c>
      <c r="AH363" t="s">
        <v>259</v>
      </c>
      <c r="AI363" t="s">
        <v>259</v>
      </c>
      <c r="AJ363" t="s">
        <v>259</v>
      </c>
      <c r="AK363" s="43" t="s">
        <v>259</v>
      </c>
      <c r="AL363" s="43" t="s">
        <v>259</v>
      </c>
      <c r="AO363" s="23"/>
      <c r="AP363" s="23"/>
      <c r="AQ363" s="23"/>
      <c r="BD363" s="43" t="s">
        <v>259</v>
      </c>
      <c r="BE363" s="43" t="s">
        <v>259</v>
      </c>
      <c r="BF363" s="43" t="s">
        <v>259</v>
      </c>
      <c r="BG363" s="43" t="s">
        <v>259</v>
      </c>
      <c r="BH363" t="s">
        <v>259</v>
      </c>
      <c r="BI363" s="43" t="s">
        <v>259</v>
      </c>
      <c r="BJ363">
        <v>0</v>
      </c>
      <c r="BK363">
        <v>44109</v>
      </c>
      <c r="BL363">
        <v>44356</v>
      </c>
      <c r="BM363">
        <v>8505</v>
      </c>
      <c r="BN363">
        <v>8505</v>
      </c>
      <c r="BO363">
        <v>8505</v>
      </c>
      <c r="BP363">
        <v>25515</v>
      </c>
      <c r="BQ363">
        <v>3300</v>
      </c>
      <c r="BR363">
        <v>400</v>
      </c>
      <c r="BS363">
        <v>400</v>
      </c>
      <c r="BT363">
        <v>4100</v>
      </c>
      <c r="BU363">
        <v>2100</v>
      </c>
      <c r="BV363">
        <v>2100</v>
      </c>
      <c r="BW363">
        <v>2100</v>
      </c>
      <c r="BX363">
        <v>6300</v>
      </c>
      <c r="BY363">
        <v>1200</v>
      </c>
      <c r="BZ363">
        <v>1200</v>
      </c>
      <c r="CA363">
        <v>1200</v>
      </c>
      <c r="CB363">
        <v>3600</v>
      </c>
      <c r="CF363">
        <v>0</v>
      </c>
      <c r="CG363">
        <v>39515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0</v>
      </c>
      <c r="DB363">
        <v>1000</v>
      </c>
      <c r="DC363">
        <v>1000</v>
      </c>
      <c r="DD363">
        <v>1000</v>
      </c>
      <c r="DE363">
        <v>3000</v>
      </c>
      <c r="DF363">
        <v>0</v>
      </c>
      <c r="DG363">
        <v>0</v>
      </c>
      <c r="DH363">
        <v>0</v>
      </c>
      <c r="DN363">
        <v>0</v>
      </c>
      <c r="DO363">
        <v>0</v>
      </c>
      <c r="DP363">
        <v>0</v>
      </c>
      <c r="DR363">
        <v>0</v>
      </c>
      <c r="DS363">
        <v>0</v>
      </c>
      <c r="DT363">
        <v>0</v>
      </c>
      <c r="DY363">
        <v>0</v>
      </c>
      <c r="EC363">
        <v>0</v>
      </c>
      <c r="ED363">
        <v>3000</v>
      </c>
      <c r="EH363">
        <v>0</v>
      </c>
      <c r="EI363">
        <v>0</v>
      </c>
      <c r="EJ363">
        <v>0</v>
      </c>
      <c r="EK363">
        <v>0</v>
      </c>
      <c r="EM363">
        <v>0</v>
      </c>
      <c r="EN363">
        <v>660</v>
      </c>
      <c r="EO363">
        <v>660</v>
      </c>
      <c r="EP363">
        <v>659</v>
      </c>
      <c r="EQ363">
        <v>2000</v>
      </c>
      <c r="ER363">
        <v>21.24</v>
      </c>
      <c r="ES363">
        <v>0</v>
      </c>
      <c r="ET363">
        <v>0</v>
      </c>
      <c r="EU363">
        <v>0</v>
      </c>
      <c r="EW363">
        <v>0</v>
      </c>
      <c r="FA363">
        <v>0</v>
      </c>
      <c r="FE363">
        <v>0</v>
      </c>
      <c r="FI363">
        <v>0</v>
      </c>
      <c r="FJ363">
        <v>1978.76</v>
      </c>
      <c r="FK363">
        <v>36515</v>
      </c>
      <c r="FL363">
        <v>36068.426769153652</v>
      </c>
      <c r="FM363">
        <v>34536.239999999998</v>
      </c>
      <c r="FO363" t="s">
        <v>3516</v>
      </c>
      <c r="FP363" t="s">
        <v>3517</v>
      </c>
      <c r="FQ363" t="s">
        <v>1770</v>
      </c>
      <c r="FR363" t="s">
        <v>3518</v>
      </c>
    </row>
    <row r="364" spans="1:174" x14ac:dyDescent="0.35">
      <c r="A364">
        <v>197858</v>
      </c>
      <c r="B364" t="s">
        <v>937</v>
      </c>
      <c r="C364" t="s">
        <v>938</v>
      </c>
      <c r="D364" t="s">
        <v>939</v>
      </c>
      <c r="E364" s="43" t="s">
        <v>940</v>
      </c>
      <c r="L364" s="43" t="s">
        <v>259</v>
      </c>
      <c r="M364" t="s">
        <v>941</v>
      </c>
      <c r="N364" s="43"/>
      <c r="O364" s="43"/>
      <c r="P364" s="43"/>
      <c r="Q364" s="43"/>
      <c r="R364">
        <v>3.96</v>
      </c>
      <c r="S364">
        <v>44109</v>
      </c>
      <c r="T364" t="s">
        <v>311</v>
      </c>
      <c r="U364" t="s">
        <v>266</v>
      </c>
      <c r="V364" t="s">
        <v>267</v>
      </c>
      <c r="W364" t="s">
        <v>268</v>
      </c>
      <c r="X364" t="s">
        <v>269</v>
      </c>
      <c r="Y364">
        <v>8883022894</v>
      </c>
      <c r="Z364" t="s">
        <v>270</v>
      </c>
      <c r="AA364" t="s">
        <v>271</v>
      </c>
      <c r="AB364">
        <v>0</v>
      </c>
      <c r="AC364" t="s">
        <v>1428</v>
      </c>
      <c r="AD364" t="s">
        <v>335</v>
      </c>
      <c r="AE364" t="s">
        <v>445</v>
      </c>
      <c r="AF364">
        <v>4</v>
      </c>
      <c r="AG364" t="s">
        <v>275</v>
      </c>
      <c r="AH364" t="s">
        <v>259</v>
      </c>
      <c r="AI364" t="s">
        <v>259</v>
      </c>
      <c r="AJ364" t="s">
        <v>259</v>
      </c>
      <c r="AK364" s="43" t="s">
        <v>259</v>
      </c>
      <c r="AL364" s="43" t="s">
        <v>259</v>
      </c>
      <c r="AO364" s="23"/>
      <c r="AP364" s="23"/>
      <c r="AQ364" s="23"/>
      <c r="BD364" s="43" t="s">
        <v>259</v>
      </c>
      <c r="BE364" s="43" t="s">
        <v>259</v>
      </c>
      <c r="BF364" s="43" t="s">
        <v>259</v>
      </c>
      <c r="BG364" s="43" t="s">
        <v>259</v>
      </c>
      <c r="BH364" t="s">
        <v>259</v>
      </c>
      <c r="BI364" s="43" t="s">
        <v>259</v>
      </c>
      <c r="BJ364">
        <v>0</v>
      </c>
      <c r="BK364">
        <v>44109</v>
      </c>
      <c r="BL364">
        <v>44356</v>
      </c>
      <c r="BM364">
        <v>8505</v>
      </c>
      <c r="BN364">
        <v>8505</v>
      </c>
      <c r="BO364">
        <v>8505</v>
      </c>
      <c r="BP364">
        <v>25515</v>
      </c>
      <c r="BQ364">
        <v>3300</v>
      </c>
      <c r="BR364">
        <v>400</v>
      </c>
      <c r="BS364">
        <v>400</v>
      </c>
      <c r="BT364">
        <v>4100</v>
      </c>
      <c r="BU364">
        <v>2100</v>
      </c>
      <c r="BV364">
        <v>2100</v>
      </c>
      <c r="BW364">
        <v>2100</v>
      </c>
      <c r="BX364">
        <v>6300</v>
      </c>
      <c r="BY364">
        <v>1200</v>
      </c>
      <c r="BZ364">
        <v>1200</v>
      </c>
      <c r="CA364">
        <v>1200</v>
      </c>
      <c r="CB364">
        <v>3600</v>
      </c>
      <c r="CC364">
        <v>0</v>
      </c>
      <c r="CD364">
        <v>0</v>
      </c>
      <c r="CE364">
        <v>0</v>
      </c>
      <c r="CF364">
        <v>0</v>
      </c>
      <c r="CG364">
        <v>39515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>
        <v>0</v>
      </c>
      <c r="CS364">
        <v>0</v>
      </c>
      <c r="CT364">
        <v>1250</v>
      </c>
      <c r="CU364">
        <v>1250</v>
      </c>
      <c r="CV364">
        <v>1250</v>
      </c>
      <c r="CW364">
        <v>3750</v>
      </c>
      <c r="CX364">
        <v>0</v>
      </c>
      <c r="CY364">
        <v>0</v>
      </c>
      <c r="CZ364">
        <v>0</v>
      </c>
      <c r="DA364">
        <v>0</v>
      </c>
      <c r="DB364">
        <v>0</v>
      </c>
      <c r="DC364">
        <v>0</v>
      </c>
      <c r="DD364">
        <v>0</v>
      </c>
      <c r="DE364">
        <v>0</v>
      </c>
      <c r="DF364">
        <v>0</v>
      </c>
      <c r="DG364">
        <v>0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0</v>
      </c>
      <c r="DN364">
        <v>0</v>
      </c>
      <c r="DO364">
        <v>0</v>
      </c>
      <c r="DP364">
        <v>0</v>
      </c>
      <c r="DQ364">
        <v>0</v>
      </c>
      <c r="DR364">
        <v>0</v>
      </c>
      <c r="DS364">
        <v>0</v>
      </c>
      <c r="DT364">
        <v>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0</v>
      </c>
      <c r="EC364">
        <v>0</v>
      </c>
      <c r="ED364">
        <v>3750</v>
      </c>
      <c r="EE364">
        <v>0</v>
      </c>
      <c r="EF364">
        <v>0</v>
      </c>
      <c r="EG364">
        <v>0</v>
      </c>
      <c r="EH364">
        <v>0</v>
      </c>
      <c r="EI364">
        <v>1154</v>
      </c>
      <c r="EJ364">
        <v>1154</v>
      </c>
      <c r="EK364">
        <v>1155</v>
      </c>
      <c r="EL364">
        <v>3500</v>
      </c>
      <c r="EM364">
        <v>37.065000000000005</v>
      </c>
      <c r="EN364">
        <v>660</v>
      </c>
      <c r="EO364">
        <v>660</v>
      </c>
      <c r="EP364">
        <v>659</v>
      </c>
      <c r="EQ364">
        <v>2000</v>
      </c>
      <c r="ER364">
        <v>21.18</v>
      </c>
      <c r="ES364">
        <v>0</v>
      </c>
      <c r="ET364">
        <v>0</v>
      </c>
      <c r="EU364">
        <v>0</v>
      </c>
      <c r="EV364">
        <v>0</v>
      </c>
      <c r="EW364">
        <v>0</v>
      </c>
      <c r="FA364">
        <v>0</v>
      </c>
      <c r="FE364">
        <v>0</v>
      </c>
      <c r="FF364">
        <v>2736</v>
      </c>
      <c r="FG364">
        <v>2736</v>
      </c>
      <c r="FH364">
        <v>2736</v>
      </c>
      <c r="FI364">
        <v>8208</v>
      </c>
      <c r="FJ364">
        <v>13649.755000000001</v>
      </c>
      <c r="FK364">
        <v>35765</v>
      </c>
      <c r="FL364">
        <v>23093.485025688147</v>
      </c>
      <c r="FM364">
        <v>22115.244999999999</v>
      </c>
      <c r="FO364" t="s">
        <v>942</v>
      </c>
      <c r="FP364" t="s">
        <v>943</v>
      </c>
      <c r="FQ364" t="s">
        <v>342</v>
      </c>
      <c r="FR364" t="s">
        <v>944</v>
      </c>
    </row>
    <row r="365" spans="1:174" x14ac:dyDescent="0.35">
      <c r="A365">
        <v>196357</v>
      </c>
      <c r="B365" t="s">
        <v>945</v>
      </c>
      <c r="C365" t="s">
        <v>946</v>
      </c>
      <c r="D365" t="s">
        <v>947</v>
      </c>
      <c r="E365" s="43" t="s">
        <v>948</v>
      </c>
      <c r="L365" s="43" t="s">
        <v>259</v>
      </c>
      <c r="M365" t="s">
        <v>949</v>
      </c>
      <c r="N365" s="43"/>
      <c r="O365" s="43"/>
      <c r="P365" s="43"/>
      <c r="Q365" s="43"/>
      <c r="R365">
        <v>3.03</v>
      </c>
      <c r="S365">
        <v>44109</v>
      </c>
      <c r="T365" t="s">
        <v>311</v>
      </c>
      <c r="U365" t="s">
        <v>266</v>
      </c>
      <c r="V365" t="s">
        <v>267</v>
      </c>
      <c r="W365" t="s">
        <v>268</v>
      </c>
      <c r="X365" t="s">
        <v>269</v>
      </c>
      <c r="Y365">
        <v>8883022894</v>
      </c>
      <c r="Z365" t="s">
        <v>508</v>
      </c>
      <c r="AA365" t="s">
        <v>271</v>
      </c>
      <c r="AB365">
        <v>0</v>
      </c>
      <c r="AC365">
        <v>0</v>
      </c>
      <c r="AD365" t="s">
        <v>313</v>
      </c>
      <c r="AE365" t="s">
        <v>324</v>
      </c>
      <c r="AF365">
        <v>8</v>
      </c>
      <c r="AG365" t="s">
        <v>275</v>
      </c>
      <c r="AH365" t="s">
        <v>259</v>
      </c>
      <c r="AI365" t="s">
        <v>259</v>
      </c>
      <c r="AJ365" t="s">
        <v>259</v>
      </c>
      <c r="AK365" s="43" t="s">
        <v>259</v>
      </c>
      <c r="AL365" s="43" t="s">
        <v>259</v>
      </c>
      <c r="AO365" s="23"/>
      <c r="AP365" s="23"/>
      <c r="AQ365" s="23"/>
      <c r="BD365" s="43" t="s">
        <v>259</v>
      </c>
      <c r="BE365" s="43" t="s">
        <v>259</v>
      </c>
      <c r="BF365" s="43" t="s">
        <v>259</v>
      </c>
      <c r="BG365" s="43" t="s">
        <v>259</v>
      </c>
      <c r="BH365" t="s">
        <v>259</v>
      </c>
      <c r="BI365" s="43" t="s">
        <v>259</v>
      </c>
      <c r="BJ365">
        <v>0</v>
      </c>
      <c r="BK365">
        <v>44109</v>
      </c>
      <c r="BL365">
        <v>44356</v>
      </c>
      <c r="BM365">
        <v>8505</v>
      </c>
      <c r="BN365">
        <v>8505</v>
      </c>
      <c r="BO365">
        <v>8505</v>
      </c>
      <c r="BP365">
        <v>25515</v>
      </c>
      <c r="BQ365">
        <v>3300</v>
      </c>
      <c r="BR365">
        <v>400</v>
      </c>
      <c r="BS365">
        <v>400</v>
      </c>
      <c r="BT365">
        <v>4100</v>
      </c>
      <c r="BU365">
        <v>2100</v>
      </c>
      <c r="BV365">
        <v>2100</v>
      </c>
      <c r="BW365">
        <v>2100</v>
      </c>
      <c r="BX365">
        <v>6300</v>
      </c>
      <c r="BY365">
        <v>1200</v>
      </c>
      <c r="BZ365">
        <v>1200</v>
      </c>
      <c r="CA365">
        <v>1200</v>
      </c>
      <c r="CB365">
        <v>3600</v>
      </c>
      <c r="CC365">
        <v>0</v>
      </c>
      <c r="CD365">
        <v>0</v>
      </c>
      <c r="CE365">
        <v>0</v>
      </c>
      <c r="CF365">
        <v>0</v>
      </c>
      <c r="CG365">
        <v>39515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1154</v>
      </c>
      <c r="EJ365">
        <v>1154</v>
      </c>
      <c r="EK365">
        <v>1155</v>
      </c>
      <c r="EL365">
        <v>3500</v>
      </c>
      <c r="EM365">
        <v>37.065000000000005</v>
      </c>
      <c r="EN365">
        <v>660</v>
      </c>
      <c r="EO365">
        <v>660</v>
      </c>
      <c r="EP365">
        <v>659</v>
      </c>
      <c r="EQ365">
        <v>2000</v>
      </c>
      <c r="ER365">
        <v>21.18</v>
      </c>
      <c r="ES365">
        <v>0</v>
      </c>
      <c r="ET365">
        <v>0</v>
      </c>
      <c r="EU365">
        <v>0</v>
      </c>
      <c r="EV365">
        <v>0</v>
      </c>
      <c r="EW365">
        <v>0</v>
      </c>
      <c r="FA365">
        <v>0</v>
      </c>
      <c r="FE365">
        <v>0</v>
      </c>
      <c r="FI365">
        <v>0</v>
      </c>
      <c r="FJ365">
        <v>5441.7550000000001</v>
      </c>
      <c r="FK365">
        <v>39515</v>
      </c>
      <c r="FL365">
        <v>35580.43210392214</v>
      </c>
      <c r="FM365">
        <v>34073.245000000003</v>
      </c>
      <c r="FO365" t="s">
        <v>950</v>
      </c>
      <c r="FP365" t="s">
        <v>951</v>
      </c>
      <c r="FQ365" t="s">
        <v>403</v>
      </c>
      <c r="FR365" t="s">
        <v>952</v>
      </c>
    </row>
    <row r="366" spans="1:174" x14ac:dyDescent="0.35">
      <c r="A366">
        <v>198360</v>
      </c>
      <c r="B366" t="s">
        <v>953</v>
      </c>
      <c r="C366" t="s">
        <v>954</v>
      </c>
      <c r="D366" t="s">
        <v>955</v>
      </c>
      <c r="E366" s="43" t="s">
        <v>956</v>
      </c>
      <c r="F366">
        <v>1</v>
      </c>
      <c r="G366">
        <v>43780</v>
      </c>
      <c r="H366">
        <v>43782</v>
      </c>
      <c r="I366">
        <v>43782</v>
      </c>
      <c r="J366" t="s">
        <v>3582</v>
      </c>
      <c r="L366" s="43" t="s">
        <v>3204</v>
      </c>
      <c r="M366" t="s">
        <v>957</v>
      </c>
      <c r="N366" s="43"/>
      <c r="O366" s="43"/>
      <c r="P366" s="43"/>
      <c r="Q366" s="43"/>
      <c r="R366">
        <v>4</v>
      </c>
      <c r="S366">
        <v>44109</v>
      </c>
      <c r="T366" t="s">
        <v>311</v>
      </c>
      <c r="U366" t="s">
        <v>266</v>
      </c>
      <c r="V366" t="s">
        <v>267</v>
      </c>
      <c r="W366" t="s">
        <v>268</v>
      </c>
      <c r="X366" t="s">
        <v>269</v>
      </c>
      <c r="Y366">
        <v>8883022894</v>
      </c>
      <c r="Z366" t="s">
        <v>270</v>
      </c>
      <c r="AA366" t="s">
        <v>271</v>
      </c>
      <c r="AB366">
        <v>0</v>
      </c>
      <c r="AC366" t="s">
        <v>737</v>
      </c>
      <c r="AD366" t="s">
        <v>708</v>
      </c>
      <c r="AE366" t="s">
        <v>301</v>
      </c>
      <c r="AF366">
        <v>1</v>
      </c>
      <c r="AG366" t="s">
        <v>275</v>
      </c>
      <c r="AH366" t="s">
        <v>3243</v>
      </c>
      <c r="AI366" t="s">
        <v>3244</v>
      </c>
      <c r="AJ366" t="s">
        <v>3207</v>
      </c>
      <c r="AK366" s="43" t="s">
        <v>3208</v>
      </c>
      <c r="AL366" s="43" t="s">
        <v>3209</v>
      </c>
      <c r="AM366">
        <v>43782</v>
      </c>
      <c r="AN366">
        <v>43782</v>
      </c>
      <c r="AO366" s="23">
        <v>43780</v>
      </c>
      <c r="AP366" s="23">
        <v>43780</v>
      </c>
      <c r="AQ366" s="23">
        <v>43780</v>
      </c>
      <c r="BD366" s="43" t="s">
        <v>2018</v>
      </c>
      <c r="BE366" s="43" t="s">
        <v>2018</v>
      </c>
      <c r="BF366" s="43" t="s">
        <v>2018</v>
      </c>
      <c r="BG366" s="43" t="s">
        <v>2018</v>
      </c>
      <c r="BH366" t="s">
        <v>2018</v>
      </c>
      <c r="BI366" s="43" t="s">
        <v>2018</v>
      </c>
      <c r="BJ366">
        <v>0.29411764705882348</v>
      </c>
      <c r="BK366">
        <v>44109</v>
      </c>
      <c r="BL366">
        <v>44356</v>
      </c>
      <c r="BM366">
        <v>8505</v>
      </c>
      <c r="BN366">
        <v>8505</v>
      </c>
      <c r="BO366">
        <v>8505</v>
      </c>
      <c r="BP366">
        <v>25515</v>
      </c>
      <c r="BQ366">
        <v>3300</v>
      </c>
      <c r="BR366">
        <v>400</v>
      </c>
      <c r="BS366">
        <v>400</v>
      </c>
      <c r="BT366">
        <v>4100</v>
      </c>
      <c r="BU366">
        <v>2100</v>
      </c>
      <c r="BV366">
        <v>2100</v>
      </c>
      <c r="BW366">
        <v>2100</v>
      </c>
      <c r="BX366">
        <v>6300</v>
      </c>
      <c r="BY366">
        <v>1200</v>
      </c>
      <c r="BZ366">
        <v>1200</v>
      </c>
      <c r="CA366">
        <v>1200</v>
      </c>
      <c r="CB366">
        <v>3600</v>
      </c>
      <c r="CC366">
        <v>0</v>
      </c>
      <c r="CD366">
        <v>0</v>
      </c>
      <c r="CE366">
        <v>0</v>
      </c>
      <c r="CF366">
        <v>0</v>
      </c>
      <c r="CG366">
        <v>39515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>
        <v>0</v>
      </c>
      <c r="CS366">
        <v>0</v>
      </c>
      <c r="CT366">
        <v>1700</v>
      </c>
      <c r="CU366">
        <v>1700</v>
      </c>
      <c r="CV366">
        <v>1700</v>
      </c>
      <c r="CW366">
        <v>5100</v>
      </c>
      <c r="CX366">
        <v>0</v>
      </c>
      <c r="CY366">
        <v>0</v>
      </c>
      <c r="CZ366">
        <v>0</v>
      </c>
      <c r="DA366">
        <v>0</v>
      </c>
      <c r="DB366">
        <v>0</v>
      </c>
      <c r="DC366">
        <v>0</v>
      </c>
      <c r="DD366">
        <v>0</v>
      </c>
      <c r="DE366">
        <v>0</v>
      </c>
      <c r="DF366">
        <v>0</v>
      </c>
      <c r="DG366">
        <v>0</v>
      </c>
      <c r="DH366">
        <v>0</v>
      </c>
      <c r="DN366">
        <v>0</v>
      </c>
      <c r="DO366">
        <v>0</v>
      </c>
      <c r="DP366">
        <v>0</v>
      </c>
      <c r="DQ366">
        <v>0</v>
      </c>
      <c r="DR366">
        <v>0</v>
      </c>
      <c r="DS366">
        <v>0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5100</v>
      </c>
      <c r="EE366">
        <v>0</v>
      </c>
      <c r="EF366">
        <v>0</v>
      </c>
      <c r="EG366">
        <v>0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1814</v>
      </c>
      <c r="EO366">
        <v>1814</v>
      </c>
      <c r="EP366">
        <v>1814</v>
      </c>
      <c r="EQ366">
        <v>5500</v>
      </c>
      <c r="ER366">
        <v>58.245000000000005</v>
      </c>
      <c r="ES366">
        <v>9676</v>
      </c>
      <c r="ET366">
        <v>9676</v>
      </c>
      <c r="EU366">
        <v>9676</v>
      </c>
      <c r="EV366">
        <v>30259</v>
      </c>
      <c r="EW366">
        <v>1285</v>
      </c>
      <c r="FA366">
        <v>0</v>
      </c>
      <c r="FE366">
        <v>0</v>
      </c>
      <c r="FI366">
        <v>0</v>
      </c>
      <c r="FJ366">
        <v>34415.352679999996</v>
      </c>
      <c r="FK366">
        <v>34415</v>
      </c>
      <c r="FL366">
        <v>-0.36832651015118623</v>
      </c>
      <c r="FM366">
        <v>-0.35267999999996391</v>
      </c>
      <c r="FO366" t="s">
        <v>958</v>
      </c>
      <c r="FP366" t="s">
        <v>959</v>
      </c>
      <c r="FQ366" t="s">
        <v>342</v>
      </c>
      <c r="FR366" t="s">
        <v>960</v>
      </c>
    </row>
    <row r="367" spans="1:174" x14ac:dyDescent="0.35">
      <c r="A367">
        <v>199501</v>
      </c>
      <c r="B367" t="s">
        <v>953</v>
      </c>
      <c r="C367" t="s">
        <v>3910</v>
      </c>
      <c r="D367" t="s">
        <v>3911</v>
      </c>
      <c r="E367" s="43" t="s">
        <v>4211</v>
      </c>
      <c r="J367" t="s">
        <v>3830</v>
      </c>
      <c r="L367" s="43" t="s">
        <v>259</v>
      </c>
      <c r="M367" t="s">
        <v>3912</v>
      </c>
      <c r="N367" s="43"/>
      <c r="O367" s="43"/>
      <c r="P367" s="43"/>
      <c r="Q367" s="43"/>
      <c r="R367">
        <v>2.0070000000000001</v>
      </c>
      <c r="S367">
        <v>44109</v>
      </c>
      <c r="T367" t="s">
        <v>265</v>
      </c>
      <c r="U367" t="s">
        <v>266</v>
      </c>
      <c r="V367" t="s">
        <v>3816</v>
      </c>
      <c r="W367" t="s">
        <v>268</v>
      </c>
      <c r="X367" t="s">
        <v>269</v>
      </c>
      <c r="Y367">
        <v>8883022894</v>
      </c>
      <c r="Z367" t="s">
        <v>270</v>
      </c>
      <c r="AA367" t="s">
        <v>271</v>
      </c>
      <c r="AB367" t="s">
        <v>287</v>
      </c>
      <c r="AC367">
        <v>0</v>
      </c>
      <c r="AD367" t="s">
        <v>3915</v>
      </c>
      <c r="AE367" t="s">
        <v>274</v>
      </c>
      <c r="AF367">
        <v>9</v>
      </c>
      <c r="AG367" t="s">
        <v>3345</v>
      </c>
      <c r="AH367" t="s">
        <v>259</v>
      </c>
      <c r="AI367" t="s">
        <v>259</v>
      </c>
      <c r="AJ367" t="s">
        <v>259</v>
      </c>
      <c r="AK367" s="43" t="s">
        <v>259</v>
      </c>
      <c r="AL367" s="43" t="s">
        <v>259</v>
      </c>
      <c r="AO367" s="23"/>
      <c r="AP367" s="23"/>
      <c r="AQ367" s="23"/>
      <c r="BD367" s="43" t="s">
        <v>259</v>
      </c>
      <c r="BE367" s="43" t="s">
        <v>259</v>
      </c>
      <c r="BF367" s="43" t="s">
        <v>259</v>
      </c>
      <c r="BG367" s="43" t="s">
        <v>259</v>
      </c>
      <c r="BH367" t="s">
        <v>259</v>
      </c>
      <c r="BI367" s="43" t="s">
        <v>259</v>
      </c>
      <c r="BJ367">
        <v>0</v>
      </c>
      <c r="BK367">
        <v>44109</v>
      </c>
      <c r="BL367">
        <v>44356</v>
      </c>
      <c r="BP367">
        <v>0</v>
      </c>
      <c r="BT367">
        <v>0</v>
      </c>
      <c r="BX367">
        <v>0</v>
      </c>
      <c r="CB367">
        <v>0</v>
      </c>
      <c r="CF367">
        <v>0</v>
      </c>
      <c r="CG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0</v>
      </c>
      <c r="CW367">
        <v>0</v>
      </c>
      <c r="CX367">
        <v>3000</v>
      </c>
      <c r="CY367">
        <v>3000</v>
      </c>
      <c r="CZ367">
        <v>3000</v>
      </c>
      <c r="DA367">
        <v>9000</v>
      </c>
      <c r="DB367">
        <v>0</v>
      </c>
      <c r="DC367">
        <v>0</v>
      </c>
      <c r="DD367">
        <v>0</v>
      </c>
      <c r="DE367">
        <v>0</v>
      </c>
      <c r="DF367">
        <v>0</v>
      </c>
      <c r="DG367">
        <v>0</v>
      </c>
      <c r="DH367">
        <v>0</v>
      </c>
      <c r="DN367">
        <v>0</v>
      </c>
      <c r="DO367">
        <v>0</v>
      </c>
      <c r="DP367">
        <v>0</v>
      </c>
      <c r="DR367">
        <v>0</v>
      </c>
      <c r="DS367">
        <v>0</v>
      </c>
      <c r="DT367">
        <v>0</v>
      </c>
      <c r="DY367">
        <v>0</v>
      </c>
      <c r="EC367">
        <v>0</v>
      </c>
      <c r="ED367">
        <v>9000</v>
      </c>
      <c r="EH367">
        <v>0</v>
      </c>
      <c r="EI367">
        <v>0</v>
      </c>
      <c r="EJ367">
        <v>0</v>
      </c>
      <c r="EK367">
        <v>0</v>
      </c>
      <c r="EM367">
        <v>0</v>
      </c>
      <c r="EN367">
        <v>660</v>
      </c>
      <c r="EO367">
        <v>660</v>
      </c>
      <c r="EP367">
        <v>659</v>
      </c>
      <c r="EQ367">
        <v>2000</v>
      </c>
      <c r="ER367">
        <v>21.24</v>
      </c>
      <c r="ES367">
        <v>0</v>
      </c>
      <c r="ET367">
        <v>0</v>
      </c>
      <c r="EU367">
        <v>0</v>
      </c>
      <c r="EW367">
        <v>0</v>
      </c>
      <c r="FA367">
        <v>0</v>
      </c>
      <c r="FE367">
        <v>0</v>
      </c>
      <c r="FI367">
        <v>0</v>
      </c>
      <c r="FJ367">
        <v>1978.76</v>
      </c>
      <c r="FK367">
        <v>-9000</v>
      </c>
      <c r="FL367">
        <v>-11465.828390007518</v>
      </c>
      <c r="FM367">
        <v>-10978.76</v>
      </c>
      <c r="FO367" t="s">
        <v>3913</v>
      </c>
      <c r="FP367" t="s">
        <v>1477</v>
      </c>
      <c r="FQ367" t="s">
        <v>542</v>
      </c>
      <c r="FR367" t="s">
        <v>3914</v>
      </c>
    </row>
    <row r="368" spans="1:174" x14ac:dyDescent="0.35">
      <c r="A368">
        <v>193001</v>
      </c>
      <c r="B368" t="s">
        <v>3916</v>
      </c>
      <c r="C368" t="s">
        <v>3917</v>
      </c>
      <c r="D368" t="s">
        <v>3918</v>
      </c>
      <c r="E368" s="43" t="s">
        <v>4212</v>
      </c>
      <c r="J368" t="s">
        <v>3830</v>
      </c>
      <c r="L368" s="43" t="s">
        <v>259</v>
      </c>
      <c r="M368" t="s">
        <v>3919</v>
      </c>
      <c r="N368" s="43"/>
      <c r="O368" s="43"/>
      <c r="P368" s="43"/>
      <c r="Q368" s="43"/>
      <c r="R368">
        <v>2.3477999999999999</v>
      </c>
      <c r="S368">
        <v>44109</v>
      </c>
      <c r="T368" t="s">
        <v>311</v>
      </c>
      <c r="U368" t="s">
        <v>266</v>
      </c>
      <c r="V368" t="s">
        <v>267</v>
      </c>
      <c r="W368" t="s">
        <v>268</v>
      </c>
      <c r="X368" t="s">
        <v>269</v>
      </c>
      <c r="Y368">
        <v>8883022894</v>
      </c>
      <c r="Z368" t="s">
        <v>270</v>
      </c>
      <c r="AA368" t="s">
        <v>271</v>
      </c>
      <c r="AB368" t="s">
        <v>374</v>
      </c>
      <c r="AC368">
        <v>0</v>
      </c>
      <c r="AD368" t="s">
        <v>1573</v>
      </c>
      <c r="AE368" t="s">
        <v>344</v>
      </c>
      <c r="AF368">
        <v>10</v>
      </c>
      <c r="AG368" t="s">
        <v>3345</v>
      </c>
      <c r="AH368" t="s">
        <v>259</v>
      </c>
      <c r="AI368" t="s">
        <v>259</v>
      </c>
      <c r="AJ368" t="s">
        <v>259</v>
      </c>
      <c r="AK368" s="43" t="s">
        <v>259</v>
      </c>
      <c r="AL368" s="43" t="s">
        <v>259</v>
      </c>
      <c r="AO368" s="23"/>
      <c r="AP368" s="23"/>
      <c r="AQ368" s="23"/>
      <c r="BD368" s="43" t="s">
        <v>259</v>
      </c>
      <c r="BE368" s="43" t="s">
        <v>259</v>
      </c>
      <c r="BF368" s="43" t="s">
        <v>259</v>
      </c>
      <c r="BG368" s="43" t="s">
        <v>259</v>
      </c>
      <c r="BH368" t="s">
        <v>259</v>
      </c>
      <c r="BI368" s="43" t="s">
        <v>259</v>
      </c>
      <c r="BJ368">
        <v>0</v>
      </c>
      <c r="BK368">
        <v>44109</v>
      </c>
      <c r="BL368">
        <v>44356</v>
      </c>
      <c r="BP368">
        <v>0</v>
      </c>
      <c r="BT368">
        <v>0</v>
      </c>
      <c r="BX368">
        <v>0</v>
      </c>
      <c r="CB368">
        <v>0</v>
      </c>
      <c r="CF368">
        <v>0</v>
      </c>
      <c r="CG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0</v>
      </c>
      <c r="DB368">
        <v>0</v>
      </c>
      <c r="DC368">
        <v>0</v>
      </c>
      <c r="DD368">
        <v>0</v>
      </c>
      <c r="DE368">
        <v>0</v>
      </c>
      <c r="DF368">
        <v>0</v>
      </c>
      <c r="DG368">
        <v>0</v>
      </c>
      <c r="DH368">
        <v>0</v>
      </c>
      <c r="DN368">
        <v>0</v>
      </c>
      <c r="DO368">
        <v>0</v>
      </c>
      <c r="DP368">
        <v>0</v>
      </c>
      <c r="DR368">
        <v>0</v>
      </c>
      <c r="DS368">
        <v>0</v>
      </c>
      <c r="DT368">
        <v>0</v>
      </c>
      <c r="DY368">
        <v>0</v>
      </c>
      <c r="EC368">
        <v>0</v>
      </c>
      <c r="ED368">
        <v>0</v>
      </c>
      <c r="EH368">
        <v>0</v>
      </c>
      <c r="EI368">
        <v>0</v>
      </c>
      <c r="EJ368">
        <v>0</v>
      </c>
      <c r="EK368">
        <v>0</v>
      </c>
      <c r="EM368">
        <v>0</v>
      </c>
      <c r="EN368">
        <v>660</v>
      </c>
      <c r="EO368">
        <v>660</v>
      </c>
      <c r="EP368">
        <v>659</v>
      </c>
      <c r="EQ368">
        <v>2000</v>
      </c>
      <c r="ER368">
        <v>21.24</v>
      </c>
      <c r="ES368">
        <v>0</v>
      </c>
      <c r="ET368">
        <v>0</v>
      </c>
      <c r="EU368">
        <v>0</v>
      </c>
      <c r="EW368">
        <v>0</v>
      </c>
      <c r="FA368">
        <v>0</v>
      </c>
      <c r="FE368">
        <v>0</v>
      </c>
      <c r="FI368">
        <v>0</v>
      </c>
      <c r="FJ368">
        <v>1978.76</v>
      </c>
      <c r="FK368">
        <v>0</v>
      </c>
      <c r="FL368">
        <v>-2066.5469128582172</v>
      </c>
      <c r="FM368">
        <v>-1978.76</v>
      </c>
      <c r="FO368" t="s">
        <v>3920</v>
      </c>
      <c r="FP368" t="s">
        <v>3921</v>
      </c>
      <c r="FQ368" t="s">
        <v>608</v>
      </c>
      <c r="FR368" t="s">
        <v>3922</v>
      </c>
    </row>
    <row r="369" spans="1:174" x14ac:dyDescent="0.35">
      <c r="A369">
        <v>197097</v>
      </c>
      <c r="B369" t="s">
        <v>961</v>
      </c>
      <c r="C369" t="s">
        <v>962</v>
      </c>
      <c r="D369" t="s">
        <v>963</v>
      </c>
      <c r="E369" s="43" t="s">
        <v>964</v>
      </c>
      <c r="L369" s="43" t="s">
        <v>259</v>
      </c>
      <c r="M369" t="s">
        <v>965</v>
      </c>
      <c r="N369" s="43"/>
      <c r="O369" s="43"/>
      <c r="P369" s="43"/>
      <c r="Q369" s="43"/>
      <c r="R369">
        <v>3.6</v>
      </c>
      <c r="S369">
        <v>44109</v>
      </c>
      <c r="T369" t="s">
        <v>285</v>
      </c>
      <c r="U369" t="s">
        <v>286</v>
      </c>
      <c r="V369" t="s">
        <v>267</v>
      </c>
      <c r="W369" t="s">
        <v>268</v>
      </c>
      <c r="X369" t="s">
        <v>269</v>
      </c>
      <c r="Y369">
        <v>8883022894</v>
      </c>
      <c r="Z369" t="s">
        <v>270</v>
      </c>
      <c r="AA369" t="s">
        <v>271</v>
      </c>
      <c r="AB369" t="s">
        <v>969</v>
      </c>
      <c r="AC369">
        <v>0</v>
      </c>
      <c r="AD369" t="s">
        <v>387</v>
      </c>
      <c r="AE369" t="s">
        <v>364</v>
      </c>
      <c r="AF369">
        <v>3</v>
      </c>
      <c r="AG369" t="s">
        <v>275</v>
      </c>
      <c r="AH369" t="s">
        <v>259</v>
      </c>
      <c r="AI369" t="s">
        <v>259</v>
      </c>
      <c r="AJ369" t="s">
        <v>259</v>
      </c>
      <c r="AK369" s="43" t="s">
        <v>259</v>
      </c>
      <c r="AL369" s="43" t="s">
        <v>259</v>
      </c>
      <c r="AO369" s="23"/>
      <c r="AP369" s="23"/>
      <c r="AQ369" s="23"/>
      <c r="BD369" s="43" t="s">
        <v>259</v>
      </c>
      <c r="BE369" s="43" t="s">
        <v>259</v>
      </c>
      <c r="BF369" s="43" t="s">
        <v>259</v>
      </c>
      <c r="BG369" s="43" t="s">
        <v>259</v>
      </c>
      <c r="BH369" t="s">
        <v>259</v>
      </c>
      <c r="BI369" s="43" t="s">
        <v>259</v>
      </c>
      <c r="BJ369">
        <v>0</v>
      </c>
      <c r="BK369">
        <v>44109</v>
      </c>
      <c r="BL369">
        <v>44356</v>
      </c>
      <c r="BM369">
        <v>8505</v>
      </c>
      <c r="BN369">
        <v>8505</v>
      </c>
      <c r="BO369">
        <v>8505</v>
      </c>
      <c r="BP369">
        <v>25515</v>
      </c>
      <c r="BQ369">
        <v>3300</v>
      </c>
      <c r="BR369">
        <v>400</v>
      </c>
      <c r="BS369">
        <v>400</v>
      </c>
      <c r="BT369">
        <v>4100</v>
      </c>
      <c r="BU369">
        <v>2100</v>
      </c>
      <c r="BV369">
        <v>2100</v>
      </c>
      <c r="BW369">
        <v>2100</v>
      </c>
      <c r="BX369">
        <v>6300</v>
      </c>
      <c r="BY369">
        <v>1200</v>
      </c>
      <c r="BZ369">
        <v>1200</v>
      </c>
      <c r="CA369">
        <v>1200</v>
      </c>
      <c r="CB369">
        <v>3600</v>
      </c>
      <c r="CC369">
        <v>0</v>
      </c>
      <c r="CD369">
        <v>0</v>
      </c>
      <c r="CE369">
        <v>0</v>
      </c>
      <c r="CF369">
        <v>0</v>
      </c>
      <c r="CG369">
        <v>39515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1300</v>
      </c>
      <c r="CU369">
        <v>1300</v>
      </c>
      <c r="CV369">
        <v>1300</v>
      </c>
      <c r="CW369">
        <v>3900</v>
      </c>
      <c r="CX369">
        <v>0</v>
      </c>
      <c r="CY369">
        <v>0</v>
      </c>
      <c r="CZ369">
        <v>0</v>
      </c>
      <c r="DA369">
        <v>0</v>
      </c>
      <c r="DB369">
        <v>1000</v>
      </c>
      <c r="DC369">
        <v>1000</v>
      </c>
      <c r="DD369">
        <v>1000</v>
      </c>
      <c r="DE369">
        <v>3000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0</v>
      </c>
      <c r="DS369">
        <v>0</v>
      </c>
      <c r="DT369">
        <v>0</v>
      </c>
      <c r="DU369">
        <v>0</v>
      </c>
      <c r="DV369">
        <v>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6900</v>
      </c>
      <c r="EE369">
        <v>0</v>
      </c>
      <c r="EF369">
        <v>0</v>
      </c>
      <c r="EG369">
        <v>0</v>
      </c>
      <c r="EH369">
        <v>0</v>
      </c>
      <c r="EI369">
        <v>1154</v>
      </c>
      <c r="EJ369">
        <v>1154</v>
      </c>
      <c r="EK369">
        <v>1155</v>
      </c>
      <c r="EL369">
        <v>3500</v>
      </c>
      <c r="EM369">
        <v>37.065000000000005</v>
      </c>
      <c r="EN369">
        <v>660</v>
      </c>
      <c r="EO369">
        <v>660</v>
      </c>
      <c r="EP369">
        <v>659</v>
      </c>
      <c r="EQ369">
        <v>2000</v>
      </c>
      <c r="ER369">
        <v>21.18</v>
      </c>
      <c r="ES369">
        <v>0</v>
      </c>
      <c r="ET369">
        <v>0</v>
      </c>
      <c r="EU369">
        <v>0</v>
      </c>
      <c r="EV369">
        <v>0</v>
      </c>
      <c r="EW369">
        <v>0</v>
      </c>
      <c r="FA369">
        <v>0</v>
      </c>
      <c r="FE369">
        <v>0</v>
      </c>
      <c r="FI369">
        <v>0</v>
      </c>
      <c r="FJ369">
        <v>5441.7550000000001</v>
      </c>
      <c r="FK369">
        <v>32615</v>
      </c>
      <c r="FL369">
        <v>28375.219289085668</v>
      </c>
      <c r="FM369">
        <v>27173.244999999999</v>
      </c>
      <c r="FO369" t="s">
        <v>966</v>
      </c>
      <c r="FP369" t="s">
        <v>967</v>
      </c>
      <c r="FQ369" t="s">
        <v>263</v>
      </c>
      <c r="FR369" t="s">
        <v>968</v>
      </c>
    </row>
    <row r="370" spans="1:174" x14ac:dyDescent="0.35">
      <c r="A370">
        <v>195816</v>
      </c>
      <c r="B370" t="s">
        <v>970</v>
      </c>
      <c r="C370" t="s">
        <v>971</v>
      </c>
      <c r="D370" t="s">
        <v>972</v>
      </c>
      <c r="E370" s="43" t="s">
        <v>973</v>
      </c>
      <c r="F370">
        <v>1</v>
      </c>
      <c r="G370">
        <v>43780</v>
      </c>
      <c r="H370">
        <v>43787</v>
      </c>
      <c r="I370">
        <v>43787</v>
      </c>
      <c r="J370" t="s">
        <v>3606</v>
      </c>
      <c r="L370" s="43" t="s">
        <v>3204</v>
      </c>
      <c r="M370" t="s">
        <v>974</v>
      </c>
      <c r="N370" s="43"/>
      <c r="O370" s="43"/>
      <c r="P370" s="43"/>
      <c r="Q370" s="43"/>
      <c r="R370">
        <v>3.2</v>
      </c>
      <c r="S370">
        <v>44109</v>
      </c>
      <c r="T370" t="s">
        <v>311</v>
      </c>
      <c r="U370" t="s">
        <v>266</v>
      </c>
      <c r="V370" t="s">
        <v>267</v>
      </c>
      <c r="W370" t="s">
        <v>268</v>
      </c>
      <c r="X370" t="s">
        <v>269</v>
      </c>
      <c r="Y370">
        <v>8883022894</v>
      </c>
      <c r="Z370" t="s">
        <v>270</v>
      </c>
      <c r="AA370" t="s">
        <v>271</v>
      </c>
      <c r="AB370">
        <v>0</v>
      </c>
      <c r="AC370" t="s">
        <v>414</v>
      </c>
      <c r="AD370" t="s">
        <v>288</v>
      </c>
      <c r="AE370" t="s">
        <v>301</v>
      </c>
      <c r="AF370">
        <v>1</v>
      </c>
      <c r="AG370" t="s">
        <v>275</v>
      </c>
      <c r="AH370" t="s">
        <v>3318</v>
      </c>
      <c r="AI370" t="s">
        <v>3319</v>
      </c>
      <c r="AJ370" t="s">
        <v>3309</v>
      </c>
      <c r="AK370" s="43" t="s">
        <v>3208</v>
      </c>
      <c r="AL370" s="43" t="s">
        <v>3209</v>
      </c>
      <c r="AM370">
        <v>43787</v>
      </c>
      <c r="AN370">
        <v>43787</v>
      </c>
      <c r="AO370" s="23">
        <v>43779</v>
      </c>
      <c r="AP370" s="23">
        <v>43779</v>
      </c>
      <c r="AQ370" s="23">
        <v>43779</v>
      </c>
      <c r="BD370" s="43" t="s">
        <v>2018</v>
      </c>
      <c r="BE370" s="43" t="s">
        <v>2018</v>
      </c>
      <c r="BF370" s="43" t="s">
        <v>2018</v>
      </c>
      <c r="BG370" s="43" t="s">
        <v>2018</v>
      </c>
      <c r="BH370" t="s">
        <v>2018</v>
      </c>
      <c r="BI370" s="43" t="s">
        <v>2018</v>
      </c>
      <c r="BJ370">
        <v>0.29411764705882348</v>
      </c>
      <c r="BK370">
        <v>44109</v>
      </c>
      <c r="BL370">
        <v>44356</v>
      </c>
      <c r="BM370">
        <v>8505</v>
      </c>
      <c r="BN370">
        <v>8505</v>
      </c>
      <c r="BO370">
        <v>8505</v>
      </c>
      <c r="BP370">
        <v>25515</v>
      </c>
      <c r="BQ370">
        <v>3300</v>
      </c>
      <c r="BR370">
        <v>400</v>
      </c>
      <c r="BS370">
        <v>400</v>
      </c>
      <c r="BT370">
        <v>4100</v>
      </c>
      <c r="BU370">
        <v>2100</v>
      </c>
      <c r="BV370">
        <v>2100</v>
      </c>
      <c r="BW370">
        <v>2100</v>
      </c>
      <c r="BX370">
        <v>6300</v>
      </c>
      <c r="BY370">
        <v>1200</v>
      </c>
      <c r="BZ370">
        <v>1200</v>
      </c>
      <c r="CA370">
        <v>1200</v>
      </c>
      <c r="CB370">
        <v>3600</v>
      </c>
      <c r="CC370">
        <v>0</v>
      </c>
      <c r="CD370">
        <v>0</v>
      </c>
      <c r="CE370">
        <v>0</v>
      </c>
      <c r="CF370">
        <v>0</v>
      </c>
      <c r="CG370">
        <v>39515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</v>
      </c>
      <c r="CR370">
        <v>0</v>
      </c>
      <c r="CS370">
        <v>0</v>
      </c>
      <c r="CT370">
        <v>1700</v>
      </c>
      <c r="CU370">
        <v>1700</v>
      </c>
      <c r="CV370">
        <v>1700</v>
      </c>
      <c r="CW370">
        <v>5100</v>
      </c>
      <c r="CX370">
        <v>0</v>
      </c>
      <c r="CY370">
        <v>0</v>
      </c>
      <c r="CZ370">
        <v>0</v>
      </c>
      <c r="DA370">
        <v>0</v>
      </c>
      <c r="DB370">
        <v>0</v>
      </c>
      <c r="DC370">
        <v>0</v>
      </c>
      <c r="DD370">
        <v>0</v>
      </c>
      <c r="DE370">
        <v>0</v>
      </c>
      <c r="DF370">
        <v>0</v>
      </c>
      <c r="DG370">
        <v>0</v>
      </c>
      <c r="DH370">
        <v>0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0</v>
      </c>
      <c r="DP370">
        <v>0</v>
      </c>
      <c r="DQ370">
        <v>0</v>
      </c>
      <c r="DR370">
        <v>0</v>
      </c>
      <c r="DS370">
        <v>0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0</v>
      </c>
      <c r="ED370">
        <v>5100</v>
      </c>
      <c r="EE370">
        <v>0</v>
      </c>
      <c r="EF370">
        <v>0</v>
      </c>
      <c r="EG370">
        <v>0</v>
      </c>
      <c r="EH370">
        <v>0</v>
      </c>
      <c r="EI370">
        <v>1154</v>
      </c>
      <c r="EJ370">
        <v>1154</v>
      </c>
      <c r="EK370">
        <v>1155</v>
      </c>
      <c r="EL370">
        <v>3500</v>
      </c>
      <c r="EM370">
        <v>37.065000000000005</v>
      </c>
      <c r="EN370">
        <v>660</v>
      </c>
      <c r="EO370">
        <v>660</v>
      </c>
      <c r="EP370">
        <v>659</v>
      </c>
      <c r="EQ370">
        <v>2000</v>
      </c>
      <c r="ER370">
        <v>21.18</v>
      </c>
      <c r="ES370">
        <v>9675</v>
      </c>
      <c r="ET370">
        <v>9675</v>
      </c>
      <c r="EU370">
        <v>9675</v>
      </c>
      <c r="EV370">
        <v>30255</v>
      </c>
      <c r="EW370">
        <v>1282</v>
      </c>
      <c r="FA370">
        <v>0</v>
      </c>
      <c r="FI370">
        <v>0</v>
      </c>
      <c r="FJ370">
        <v>34415.153200000001</v>
      </c>
      <c r="FK370">
        <v>34415</v>
      </c>
      <c r="FL370">
        <v>-0.15997660916487608</v>
      </c>
      <c r="FM370">
        <v>-0.15320000000065193</v>
      </c>
      <c r="FO370" t="s">
        <v>975</v>
      </c>
      <c r="FP370" t="s">
        <v>976</v>
      </c>
      <c r="FQ370" t="s">
        <v>454</v>
      </c>
      <c r="FR370" t="s">
        <v>977</v>
      </c>
    </row>
    <row r="371" spans="1:174" x14ac:dyDescent="0.35">
      <c r="A371">
        <v>194179</v>
      </c>
      <c r="B371" t="s">
        <v>978</v>
      </c>
      <c r="C371" t="s">
        <v>979</v>
      </c>
      <c r="D371" t="s">
        <v>980</v>
      </c>
      <c r="E371" s="43" t="s">
        <v>981</v>
      </c>
      <c r="L371" s="43" t="s">
        <v>259</v>
      </c>
      <c r="M371" t="s">
        <v>982</v>
      </c>
      <c r="N371" s="43"/>
      <c r="O371" s="43"/>
      <c r="P371" s="43"/>
      <c r="Q371" s="43"/>
      <c r="R371">
        <v>3.2</v>
      </c>
      <c r="S371">
        <v>44109</v>
      </c>
      <c r="T371" t="s">
        <v>311</v>
      </c>
      <c r="U371" t="s">
        <v>286</v>
      </c>
      <c r="V371" t="s">
        <v>267</v>
      </c>
      <c r="W371" t="s">
        <v>268</v>
      </c>
      <c r="X371" t="s">
        <v>269</v>
      </c>
      <c r="Y371">
        <v>8883022894</v>
      </c>
      <c r="Z371" t="s">
        <v>270</v>
      </c>
      <c r="AA371" t="s">
        <v>271</v>
      </c>
      <c r="AB371">
        <v>0</v>
      </c>
      <c r="AC371">
        <v>0</v>
      </c>
      <c r="AD371" t="s">
        <v>313</v>
      </c>
      <c r="AE371" t="s">
        <v>324</v>
      </c>
      <c r="AF371">
        <v>8</v>
      </c>
      <c r="AG371" t="s">
        <v>275</v>
      </c>
      <c r="AH371" t="s">
        <v>259</v>
      </c>
      <c r="AI371" t="s">
        <v>259</v>
      </c>
      <c r="AJ371" t="s">
        <v>259</v>
      </c>
      <c r="AK371" s="43" t="s">
        <v>259</v>
      </c>
      <c r="AL371" s="43" t="s">
        <v>259</v>
      </c>
      <c r="AO371" s="23"/>
      <c r="AP371" s="23"/>
      <c r="AQ371" s="23"/>
      <c r="BD371" s="43" t="s">
        <v>259</v>
      </c>
      <c r="BE371" s="43" t="s">
        <v>259</v>
      </c>
      <c r="BF371" s="43" t="s">
        <v>259</v>
      </c>
      <c r="BG371" s="43" t="s">
        <v>259</v>
      </c>
      <c r="BH371" t="s">
        <v>259</v>
      </c>
      <c r="BI371" s="43" t="s">
        <v>259</v>
      </c>
      <c r="BJ371">
        <v>0</v>
      </c>
      <c r="BK371">
        <v>44109</v>
      </c>
      <c r="BL371">
        <v>44356</v>
      </c>
      <c r="BM371">
        <v>8505</v>
      </c>
      <c r="BN371">
        <v>8505</v>
      </c>
      <c r="BO371">
        <v>8505</v>
      </c>
      <c r="BP371">
        <v>25515</v>
      </c>
      <c r="BQ371">
        <v>3300</v>
      </c>
      <c r="BR371">
        <v>400</v>
      </c>
      <c r="BS371">
        <v>400</v>
      </c>
      <c r="BT371">
        <v>4100</v>
      </c>
      <c r="BU371">
        <v>2100</v>
      </c>
      <c r="BV371">
        <v>2100</v>
      </c>
      <c r="BW371">
        <v>2100</v>
      </c>
      <c r="BX371">
        <v>6300</v>
      </c>
      <c r="BY371">
        <v>1200</v>
      </c>
      <c r="BZ371">
        <v>1200</v>
      </c>
      <c r="CA371">
        <v>1200</v>
      </c>
      <c r="CB371">
        <v>3600</v>
      </c>
      <c r="CC371">
        <v>0</v>
      </c>
      <c r="CD371">
        <v>0</v>
      </c>
      <c r="CE371">
        <v>0</v>
      </c>
      <c r="CF371">
        <v>0</v>
      </c>
      <c r="CG371">
        <v>39515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0</v>
      </c>
      <c r="DA371">
        <v>0</v>
      </c>
      <c r="DB371">
        <v>1000</v>
      </c>
      <c r="DC371">
        <v>1000</v>
      </c>
      <c r="DD371">
        <v>1000</v>
      </c>
      <c r="DE371">
        <v>3000</v>
      </c>
      <c r="DF371">
        <v>0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0</v>
      </c>
      <c r="DP371">
        <v>0</v>
      </c>
      <c r="DQ371">
        <v>0</v>
      </c>
      <c r="DR371">
        <v>0</v>
      </c>
      <c r="DS371">
        <v>0</v>
      </c>
      <c r="DT371">
        <v>0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3000</v>
      </c>
      <c r="EE371">
        <v>0</v>
      </c>
      <c r="EF371">
        <v>0</v>
      </c>
      <c r="EG371">
        <v>0</v>
      </c>
      <c r="EH371">
        <v>0</v>
      </c>
      <c r="EI371">
        <v>1154</v>
      </c>
      <c r="EJ371">
        <v>1154</v>
      </c>
      <c r="EK371">
        <v>1155</v>
      </c>
      <c r="EL371">
        <v>3500</v>
      </c>
      <c r="EM371">
        <v>37.065000000000005</v>
      </c>
      <c r="EN371">
        <v>660</v>
      </c>
      <c r="EO371">
        <v>660</v>
      </c>
      <c r="EP371">
        <v>659</v>
      </c>
      <c r="EQ371">
        <v>2000</v>
      </c>
      <c r="ER371">
        <v>21.18</v>
      </c>
      <c r="ES371">
        <v>0</v>
      </c>
      <c r="ET371">
        <v>0</v>
      </c>
      <c r="EU371">
        <v>0</v>
      </c>
      <c r="EV371">
        <v>0</v>
      </c>
      <c r="EW371">
        <v>0</v>
      </c>
      <c r="FA371">
        <v>0</v>
      </c>
      <c r="FE371">
        <v>0</v>
      </c>
      <c r="FI371">
        <v>0</v>
      </c>
      <c r="FJ371">
        <v>5441.7550000000001</v>
      </c>
      <c r="FK371">
        <v>36515</v>
      </c>
      <c r="FL371">
        <v>32447.730880080198</v>
      </c>
      <c r="FM371">
        <v>31073.245000000003</v>
      </c>
      <c r="FO371" t="s">
        <v>983</v>
      </c>
      <c r="FP371" t="s">
        <v>984</v>
      </c>
      <c r="FQ371" t="s">
        <v>297</v>
      </c>
      <c r="FR371" t="s">
        <v>985</v>
      </c>
    </row>
    <row r="372" spans="1:174" x14ac:dyDescent="0.35">
      <c r="A372">
        <v>198197</v>
      </c>
      <c r="B372" t="s">
        <v>986</v>
      </c>
      <c r="C372" t="s">
        <v>987</v>
      </c>
      <c r="D372" t="s">
        <v>988</v>
      </c>
      <c r="E372" s="43" t="s">
        <v>989</v>
      </c>
      <c r="F372">
        <v>1</v>
      </c>
      <c r="I372">
        <v>43803</v>
      </c>
      <c r="L372" s="43" t="s">
        <v>3204</v>
      </c>
      <c r="M372" t="s">
        <v>990</v>
      </c>
      <c r="N372" s="43"/>
      <c r="O372" s="43"/>
      <c r="P372" s="43"/>
      <c r="Q372" s="43"/>
      <c r="R372">
        <v>3.85</v>
      </c>
      <c r="S372">
        <v>44109</v>
      </c>
      <c r="T372" t="s">
        <v>311</v>
      </c>
      <c r="U372" t="s">
        <v>266</v>
      </c>
      <c r="V372" t="s">
        <v>267</v>
      </c>
      <c r="W372" t="s">
        <v>268</v>
      </c>
      <c r="X372" t="s">
        <v>269</v>
      </c>
      <c r="Y372">
        <v>8883022894</v>
      </c>
      <c r="Z372" t="s">
        <v>270</v>
      </c>
      <c r="AA372" t="s">
        <v>271</v>
      </c>
      <c r="AB372">
        <v>0</v>
      </c>
      <c r="AC372" t="s">
        <v>993</v>
      </c>
      <c r="AD372" t="s">
        <v>434</v>
      </c>
      <c r="AE372" t="s">
        <v>301</v>
      </c>
      <c r="AF372">
        <v>1</v>
      </c>
      <c r="AG372" t="s">
        <v>275</v>
      </c>
      <c r="AH372" t="s">
        <v>3595</v>
      </c>
      <c r="AI372" t="s">
        <v>3596</v>
      </c>
      <c r="AJ372" t="s">
        <v>3590</v>
      </c>
      <c r="AK372" s="43" t="s">
        <v>1715</v>
      </c>
      <c r="AL372" s="43" t="s">
        <v>259</v>
      </c>
      <c r="AO372" s="23"/>
      <c r="AP372" s="23"/>
      <c r="AQ372" s="23"/>
      <c r="BD372" s="43" t="s">
        <v>259</v>
      </c>
      <c r="BE372" s="43" t="s">
        <v>259</v>
      </c>
      <c r="BF372" s="43" t="s">
        <v>259</v>
      </c>
      <c r="BG372" s="43" t="s">
        <v>259</v>
      </c>
      <c r="BH372" t="s">
        <v>259</v>
      </c>
      <c r="BI372" s="43" t="s">
        <v>259</v>
      </c>
      <c r="BJ372">
        <v>0</v>
      </c>
      <c r="BK372">
        <v>44109</v>
      </c>
      <c r="BL372">
        <v>44356</v>
      </c>
      <c r="BM372">
        <v>8505</v>
      </c>
      <c r="BN372">
        <v>8505</v>
      </c>
      <c r="BO372">
        <v>8505</v>
      </c>
      <c r="BP372">
        <v>25515</v>
      </c>
      <c r="BQ372">
        <v>3300</v>
      </c>
      <c r="BR372">
        <v>400</v>
      </c>
      <c r="BS372">
        <v>400</v>
      </c>
      <c r="BT372">
        <v>4100</v>
      </c>
      <c r="BU372">
        <v>2100</v>
      </c>
      <c r="BV372">
        <v>2100</v>
      </c>
      <c r="BW372">
        <v>2100</v>
      </c>
      <c r="BX372">
        <v>6300</v>
      </c>
      <c r="BY372">
        <v>1200</v>
      </c>
      <c r="BZ372">
        <v>1200</v>
      </c>
      <c r="CA372">
        <v>1200</v>
      </c>
      <c r="CB372">
        <v>3600</v>
      </c>
      <c r="CC372">
        <v>0</v>
      </c>
      <c r="CD372">
        <v>0</v>
      </c>
      <c r="CE372">
        <v>0</v>
      </c>
      <c r="CF372">
        <v>0</v>
      </c>
      <c r="CG372">
        <v>39515</v>
      </c>
      <c r="CH372">
        <v>0</v>
      </c>
      <c r="CI372">
        <v>0</v>
      </c>
      <c r="CJ372">
        <v>0</v>
      </c>
      <c r="CK372">
        <v>0</v>
      </c>
      <c r="CL372">
        <v>1949</v>
      </c>
      <c r="CM372">
        <v>1948</v>
      </c>
      <c r="CN372">
        <v>1948</v>
      </c>
      <c r="CO372">
        <v>5845</v>
      </c>
      <c r="CP372">
        <v>500</v>
      </c>
      <c r="CQ372">
        <v>500</v>
      </c>
      <c r="CR372">
        <v>500</v>
      </c>
      <c r="CS372">
        <v>1500</v>
      </c>
      <c r="CT372">
        <v>1700</v>
      </c>
      <c r="CU372">
        <v>1700</v>
      </c>
      <c r="CV372">
        <v>1700</v>
      </c>
      <c r="CW372">
        <v>5100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0</v>
      </c>
      <c r="DD372">
        <v>0</v>
      </c>
      <c r="DE372">
        <v>0</v>
      </c>
      <c r="DF372">
        <v>0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0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12445</v>
      </c>
      <c r="EE372">
        <v>0</v>
      </c>
      <c r="EF372">
        <v>0</v>
      </c>
      <c r="EG372">
        <v>0</v>
      </c>
      <c r="EH372">
        <v>0</v>
      </c>
      <c r="EI372">
        <v>1154</v>
      </c>
      <c r="EJ372">
        <v>1154</v>
      </c>
      <c r="EK372">
        <v>1155</v>
      </c>
      <c r="EL372">
        <v>3500</v>
      </c>
      <c r="EM372">
        <v>37.065000000000005</v>
      </c>
      <c r="EN372">
        <v>660</v>
      </c>
      <c r="EO372">
        <v>660</v>
      </c>
      <c r="EP372">
        <v>659</v>
      </c>
      <c r="EQ372">
        <v>2000</v>
      </c>
      <c r="ER372">
        <v>21.18</v>
      </c>
      <c r="ES372">
        <v>0</v>
      </c>
      <c r="ET372">
        <v>0</v>
      </c>
      <c r="EU372">
        <v>0</v>
      </c>
      <c r="EV372">
        <v>0</v>
      </c>
      <c r="EW372">
        <v>0</v>
      </c>
      <c r="FA372">
        <v>0</v>
      </c>
      <c r="FE372">
        <v>0</v>
      </c>
      <c r="FI372">
        <v>0</v>
      </c>
      <c r="FJ372">
        <v>5441.7550000000001</v>
      </c>
      <c r="FK372">
        <v>27070</v>
      </c>
      <c r="FL372">
        <v>22584.94319368447</v>
      </c>
      <c r="FM372">
        <v>21628.244999999999</v>
      </c>
      <c r="FO372" t="s">
        <v>991</v>
      </c>
      <c r="FP372" t="s">
        <v>462</v>
      </c>
      <c r="FQ372" t="s">
        <v>342</v>
      </c>
      <c r="FR372" t="s">
        <v>992</v>
      </c>
    </row>
    <row r="373" spans="1:174" x14ac:dyDescent="0.35">
      <c r="A373">
        <v>196812</v>
      </c>
      <c r="B373" t="s">
        <v>994</v>
      </c>
      <c r="C373" t="s">
        <v>995</v>
      </c>
      <c r="D373" t="s">
        <v>996</v>
      </c>
      <c r="E373" s="43" t="s">
        <v>997</v>
      </c>
      <c r="L373" s="43" t="s">
        <v>259</v>
      </c>
      <c r="M373" t="s">
        <v>998</v>
      </c>
      <c r="N373" s="43"/>
      <c r="O373" s="43"/>
      <c r="P373" s="43"/>
      <c r="Q373" s="43"/>
      <c r="R373">
        <v>3.3</v>
      </c>
      <c r="S373">
        <v>44109</v>
      </c>
      <c r="T373" t="s">
        <v>285</v>
      </c>
      <c r="U373" t="s">
        <v>266</v>
      </c>
      <c r="V373" t="s">
        <v>267</v>
      </c>
      <c r="W373" t="s">
        <v>268</v>
      </c>
      <c r="X373" t="s">
        <v>269</v>
      </c>
      <c r="Y373">
        <v>8883022894</v>
      </c>
      <c r="Z373" t="s">
        <v>270</v>
      </c>
      <c r="AA373" t="s">
        <v>271</v>
      </c>
      <c r="AB373">
        <v>0</v>
      </c>
      <c r="AC373">
        <v>0</v>
      </c>
      <c r="AD373" t="s">
        <v>313</v>
      </c>
      <c r="AE373" t="s">
        <v>274</v>
      </c>
      <c r="AF373">
        <v>9</v>
      </c>
      <c r="AG373" t="s">
        <v>275</v>
      </c>
      <c r="AH373" t="s">
        <v>259</v>
      </c>
      <c r="AI373" t="s">
        <v>259</v>
      </c>
      <c r="AJ373" t="s">
        <v>259</v>
      </c>
      <c r="AK373" s="43" t="s">
        <v>259</v>
      </c>
      <c r="AL373" s="43" t="s">
        <v>259</v>
      </c>
      <c r="AO373" s="23"/>
      <c r="AP373" s="23"/>
      <c r="AQ373" s="23"/>
      <c r="BD373" s="43" t="s">
        <v>259</v>
      </c>
      <c r="BE373" s="43" t="s">
        <v>259</v>
      </c>
      <c r="BF373" s="43" t="s">
        <v>259</v>
      </c>
      <c r="BG373" s="43" t="s">
        <v>259</v>
      </c>
      <c r="BH373" t="s">
        <v>259</v>
      </c>
      <c r="BI373" s="43" t="s">
        <v>259</v>
      </c>
      <c r="BJ373">
        <v>0</v>
      </c>
      <c r="BK373">
        <v>44109</v>
      </c>
      <c r="BL373">
        <v>44356</v>
      </c>
      <c r="BM373">
        <v>8505</v>
      </c>
      <c r="BN373">
        <v>8505</v>
      </c>
      <c r="BO373">
        <v>8505</v>
      </c>
      <c r="BP373">
        <v>25515</v>
      </c>
      <c r="BQ373">
        <v>3300</v>
      </c>
      <c r="BR373">
        <v>400</v>
      </c>
      <c r="BS373">
        <v>400</v>
      </c>
      <c r="BT373">
        <v>4100</v>
      </c>
      <c r="BU373">
        <v>2100</v>
      </c>
      <c r="BV373">
        <v>2100</v>
      </c>
      <c r="BW373">
        <v>2100</v>
      </c>
      <c r="BX373">
        <v>6300</v>
      </c>
      <c r="BY373">
        <v>1200</v>
      </c>
      <c r="BZ373">
        <v>1200</v>
      </c>
      <c r="CA373">
        <v>1200</v>
      </c>
      <c r="CB373">
        <v>3600</v>
      </c>
      <c r="CC373">
        <v>0</v>
      </c>
      <c r="CD373">
        <v>0</v>
      </c>
      <c r="CE373">
        <v>0</v>
      </c>
      <c r="CF373">
        <v>0</v>
      </c>
      <c r="CG373">
        <v>39515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0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  <c r="EI373">
        <v>1154</v>
      </c>
      <c r="EJ373">
        <v>1154</v>
      </c>
      <c r="EK373">
        <v>1155</v>
      </c>
      <c r="EL373">
        <v>3500</v>
      </c>
      <c r="EM373">
        <v>37.065000000000005</v>
      </c>
      <c r="EN373">
        <v>660</v>
      </c>
      <c r="EO373">
        <v>660</v>
      </c>
      <c r="EP373">
        <v>659</v>
      </c>
      <c r="EQ373">
        <v>2000</v>
      </c>
      <c r="ER373">
        <v>21.18</v>
      </c>
      <c r="ES373">
        <v>0</v>
      </c>
      <c r="ET373">
        <v>0</v>
      </c>
      <c r="EU373">
        <v>0</v>
      </c>
      <c r="EV373">
        <v>0</v>
      </c>
      <c r="EW373">
        <v>0</v>
      </c>
      <c r="FA373">
        <v>0</v>
      </c>
      <c r="FE373">
        <v>0</v>
      </c>
      <c r="FI373">
        <v>0</v>
      </c>
      <c r="FJ373">
        <v>5441.7550000000001</v>
      </c>
      <c r="FK373">
        <v>39515</v>
      </c>
      <c r="FL373">
        <v>35580.43210392214</v>
      </c>
      <c r="FM373">
        <v>34073.245000000003</v>
      </c>
      <c r="FO373" t="s">
        <v>999</v>
      </c>
      <c r="FP373" t="s">
        <v>1000</v>
      </c>
      <c r="FQ373" t="s">
        <v>735</v>
      </c>
      <c r="FR373" t="s">
        <v>1001</v>
      </c>
    </row>
    <row r="374" spans="1:174" x14ac:dyDescent="0.35">
      <c r="A374">
        <v>197704</v>
      </c>
      <c r="B374" t="s">
        <v>1002</v>
      </c>
      <c r="C374" t="s">
        <v>1003</v>
      </c>
      <c r="D374" t="s">
        <v>1004</v>
      </c>
      <c r="E374" s="43" t="s">
        <v>1005</v>
      </c>
      <c r="F374">
        <v>1</v>
      </c>
      <c r="G374">
        <v>43767</v>
      </c>
      <c r="H374">
        <v>43776</v>
      </c>
      <c r="I374">
        <v>43776</v>
      </c>
      <c r="K374" t="s">
        <v>1715</v>
      </c>
      <c r="L374" s="43" t="s">
        <v>3204</v>
      </c>
      <c r="M374" t="s">
        <v>1006</v>
      </c>
      <c r="N374" s="43"/>
      <c r="O374" s="43"/>
      <c r="P374" s="43"/>
      <c r="Q374" s="43"/>
      <c r="R374">
        <v>2.89</v>
      </c>
      <c r="S374">
        <v>44109</v>
      </c>
      <c r="T374" t="s">
        <v>311</v>
      </c>
      <c r="U374" t="s">
        <v>266</v>
      </c>
      <c r="V374" t="s">
        <v>267</v>
      </c>
      <c r="W374" t="s">
        <v>268</v>
      </c>
      <c r="X374" t="s">
        <v>269</v>
      </c>
      <c r="Y374">
        <v>8883022894</v>
      </c>
      <c r="Z374" t="s">
        <v>508</v>
      </c>
      <c r="AA374" t="s">
        <v>271</v>
      </c>
      <c r="AB374">
        <v>0</v>
      </c>
      <c r="AC374" t="s">
        <v>1010</v>
      </c>
      <c r="AD374" t="s">
        <v>1011</v>
      </c>
      <c r="AE374" t="s">
        <v>289</v>
      </c>
      <c r="AF374">
        <v>2</v>
      </c>
      <c r="AG374" t="s">
        <v>275</v>
      </c>
      <c r="AH374" t="s">
        <v>3226</v>
      </c>
      <c r="AI374" t="s">
        <v>313</v>
      </c>
      <c r="AJ374" t="s">
        <v>3207</v>
      </c>
      <c r="AK374" s="43" t="s">
        <v>3208</v>
      </c>
      <c r="AL374" s="43" t="s">
        <v>3209</v>
      </c>
      <c r="AO374" s="23">
        <v>43760</v>
      </c>
      <c r="AP374" s="23">
        <v>43767</v>
      </c>
      <c r="AQ374" s="23">
        <v>43767</v>
      </c>
      <c r="BD374" s="43" t="s">
        <v>2018</v>
      </c>
      <c r="BE374" s="43" t="s">
        <v>2018</v>
      </c>
      <c r="BF374" s="43" t="s">
        <v>2018</v>
      </c>
      <c r="BG374" s="43" t="s">
        <v>2018</v>
      </c>
      <c r="BH374" t="s">
        <v>2018</v>
      </c>
      <c r="BI374" s="43" t="s">
        <v>2018</v>
      </c>
      <c r="BJ374">
        <v>0.17647058823529416</v>
      </c>
      <c r="BK374">
        <v>44109</v>
      </c>
      <c r="BL374">
        <v>44356</v>
      </c>
      <c r="BM374">
        <v>8505</v>
      </c>
      <c r="BN374">
        <v>8505</v>
      </c>
      <c r="BO374">
        <v>8505</v>
      </c>
      <c r="BP374">
        <v>25515</v>
      </c>
      <c r="BQ374">
        <v>3300</v>
      </c>
      <c r="BR374">
        <v>400</v>
      </c>
      <c r="BS374">
        <v>400</v>
      </c>
      <c r="BT374">
        <v>4100</v>
      </c>
      <c r="BU374">
        <v>2100</v>
      </c>
      <c r="BV374">
        <v>2100</v>
      </c>
      <c r="BW374">
        <v>2100</v>
      </c>
      <c r="BX374">
        <v>6300</v>
      </c>
      <c r="BY374">
        <v>1200</v>
      </c>
      <c r="BZ374">
        <v>1200</v>
      </c>
      <c r="CA374">
        <v>1200</v>
      </c>
      <c r="CB374">
        <v>3600</v>
      </c>
      <c r="CC374">
        <v>0</v>
      </c>
      <c r="CD374">
        <v>0</v>
      </c>
      <c r="CE374">
        <v>0</v>
      </c>
      <c r="CF374">
        <v>0</v>
      </c>
      <c r="CG374">
        <v>39515</v>
      </c>
      <c r="CH374">
        <v>0</v>
      </c>
      <c r="CI374">
        <v>0</v>
      </c>
      <c r="CJ374">
        <v>0</v>
      </c>
      <c r="CK374">
        <v>0</v>
      </c>
      <c r="CL374">
        <v>2065</v>
      </c>
      <c r="CM374">
        <v>2065</v>
      </c>
      <c r="CN374">
        <v>2065</v>
      </c>
      <c r="CO374">
        <v>6195</v>
      </c>
      <c r="CP374">
        <v>500</v>
      </c>
      <c r="CQ374">
        <v>500</v>
      </c>
      <c r="CR374">
        <v>500</v>
      </c>
      <c r="CS374">
        <v>1500</v>
      </c>
      <c r="CT374">
        <v>1500</v>
      </c>
      <c r="CU374">
        <v>1500</v>
      </c>
      <c r="CV374">
        <v>1500</v>
      </c>
      <c r="CW374">
        <v>4500</v>
      </c>
      <c r="CX374">
        <v>0</v>
      </c>
      <c r="CY374">
        <v>0</v>
      </c>
      <c r="CZ374">
        <v>0</v>
      </c>
      <c r="DA374">
        <v>0</v>
      </c>
      <c r="DB374">
        <v>0</v>
      </c>
      <c r="DC374">
        <v>0</v>
      </c>
      <c r="DD374">
        <v>0</v>
      </c>
      <c r="DE374">
        <v>0</v>
      </c>
      <c r="DF374">
        <v>0</v>
      </c>
      <c r="DG374">
        <v>0</v>
      </c>
      <c r="DH374">
        <v>0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0</v>
      </c>
      <c r="DP374">
        <v>0</v>
      </c>
      <c r="DQ374">
        <v>0</v>
      </c>
      <c r="DR374">
        <v>0</v>
      </c>
      <c r="DS374">
        <v>0</v>
      </c>
      <c r="DT374">
        <v>0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0</v>
      </c>
      <c r="EC374">
        <v>0</v>
      </c>
      <c r="ED374">
        <v>12195</v>
      </c>
      <c r="EE374">
        <v>0</v>
      </c>
      <c r="EF374">
        <v>0</v>
      </c>
      <c r="EG374">
        <v>0</v>
      </c>
      <c r="EH374">
        <v>0</v>
      </c>
      <c r="EI374">
        <v>1154</v>
      </c>
      <c r="EJ374">
        <v>1154</v>
      </c>
      <c r="EK374">
        <v>1155</v>
      </c>
      <c r="EL374">
        <v>3500</v>
      </c>
      <c r="EM374">
        <v>37.065000000000005</v>
      </c>
      <c r="EN374">
        <v>660</v>
      </c>
      <c r="EO374">
        <v>660</v>
      </c>
      <c r="EP374">
        <v>659</v>
      </c>
      <c r="EQ374">
        <v>2000</v>
      </c>
      <c r="ER374">
        <v>21.18</v>
      </c>
      <c r="ES374">
        <v>0</v>
      </c>
      <c r="ET374">
        <v>0</v>
      </c>
      <c r="EU374">
        <v>0</v>
      </c>
      <c r="EV374">
        <v>0</v>
      </c>
      <c r="EW374">
        <v>0</v>
      </c>
      <c r="FA374">
        <v>0</v>
      </c>
      <c r="FE374">
        <v>0</v>
      </c>
      <c r="FI374">
        <v>0</v>
      </c>
      <c r="FJ374">
        <v>5441.7550000000001</v>
      </c>
      <c r="FK374">
        <v>27320</v>
      </c>
      <c r="FL374">
        <v>22846.001629004633</v>
      </c>
      <c r="FM374">
        <v>21878.244999999999</v>
      </c>
      <c r="FO374" t="s">
        <v>1007</v>
      </c>
      <c r="FP374" t="s">
        <v>1008</v>
      </c>
      <c r="FQ374" t="s">
        <v>297</v>
      </c>
      <c r="FR374" t="s">
        <v>1009</v>
      </c>
    </row>
    <row r="375" spans="1:174" x14ac:dyDescent="0.35">
      <c r="A375">
        <v>197889</v>
      </c>
      <c r="B375" t="s">
        <v>1012</v>
      </c>
      <c r="C375" t="s">
        <v>1013</v>
      </c>
      <c r="D375" t="s">
        <v>1014</v>
      </c>
      <c r="E375" s="43" t="s">
        <v>3287</v>
      </c>
      <c r="F375">
        <v>2</v>
      </c>
      <c r="G375">
        <v>43787</v>
      </c>
      <c r="H375">
        <v>43787</v>
      </c>
      <c r="I375">
        <v>43787</v>
      </c>
      <c r="J375" t="s">
        <v>3607</v>
      </c>
      <c r="L375" s="43" t="s">
        <v>3204</v>
      </c>
      <c r="M375" t="s">
        <v>1015</v>
      </c>
      <c r="N375" s="43"/>
      <c r="O375" s="43"/>
      <c r="P375" s="43"/>
      <c r="Q375" s="43"/>
      <c r="R375">
        <v>3.39</v>
      </c>
      <c r="S375">
        <v>44109</v>
      </c>
      <c r="T375" t="s">
        <v>265</v>
      </c>
      <c r="U375" t="s">
        <v>266</v>
      </c>
      <c r="V375" t="s">
        <v>267</v>
      </c>
      <c r="W375" t="s">
        <v>268</v>
      </c>
      <c r="X375" t="s">
        <v>269</v>
      </c>
      <c r="Y375">
        <v>8883022894</v>
      </c>
      <c r="Z375" t="s">
        <v>270</v>
      </c>
      <c r="AA375" t="s">
        <v>271</v>
      </c>
      <c r="AB375">
        <v>0</v>
      </c>
      <c r="AC375" t="s">
        <v>414</v>
      </c>
      <c r="AD375" t="s">
        <v>1020</v>
      </c>
      <c r="AE375" t="s">
        <v>289</v>
      </c>
      <c r="AF375">
        <v>2</v>
      </c>
      <c r="AG375" t="s">
        <v>446</v>
      </c>
      <c r="AH375" t="s">
        <v>3226</v>
      </c>
      <c r="AI375" t="s">
        <v>313</v>
      </c>
      <c r="AJ375" t="s">
        <v>3207</v>
      </c>
      <c r="AK375" s="43" t="s">
        <v>3208</v>
      </c>
      <c r="AL375" s="43" t="s">
        <v>3209</v>
      </c>
      <c r="AO375" s="23"/>
      <c r="AP375" s="23"/>
      <c r="AQ375" s="23"/>
      <c r="BD375" s="43" t="s">
        <v>2018</v>
      </c>
      <c r="BE375" s="43" t="s">
        <v>2018</v>
      </c>
      <c r="BF375" s="43" t="s">
        <v>2018</v>
      </c>
      <c r="BG375" s="43" t="s">
        <v>2018</v>
      </c>
      <c r="BH375" t="s">
        <v>2018</v>
      </c>
      <c r="BI375" s="43" t="s">
        <v>2018</v>
      </c>
      <c r="BJ375">
        <v>0</v>
      </c>
      <c r="BK375">
        <v>44109</v>
      </c>
      <c r="BL375">
        <v>44356</v>
      </c>
      <c r="BM375">
        <v>8505</v>
      </c>
      <c r="BN375">
        <v>8505</v>
      </c>
      <c r="BO375">
        <v>8505</v>
      </c>
      <c r="BP375">
        <v>25515</v>
      </c>
      <c r="BQ375">
        <v>3300</v>
      </c>
      <c r="BR375">
        <v>400</v>
      </c>
      <c r="BS375">
        <v>400</v>
      </c>
      <c r="BT375">
        <v>4100</v>
      </c>
      <c r="BU375">
        <v>2100</v>
      </c>
      <c r="BV375">
        <v>2100</v>
      </c>
      <c r="BW375">
        <v>2100</v>
      </c>
      <c r="BX375">
        <v>6300</v>
      </c>
      <c r="BY375">
        <v>1200</v>
      </c>
      <c r="BZ375">
        <v>1200</v>
      </c>
      <c r="CA375">
        <v>1200</v>
      </c>
      <c r="CB375">
        <v>3600</v>
      </c>
      <c r="CF375">
        <v>0</v>
      </c>
      <c r="CG375">
        <v>39515</v>
      </c>
      <c r="CK375">
        <v>0</v>
      </c>
      <c r="CL375">
        <v>2065</v>
      </c>
      <c r="CM375">
        <v>2065</v>
      </c>
      <c r="CN375">
        <v>2065</v>
      </c>
      <c r="CO375">
        <v>6195</v>
      </c>
      <c r="CP375">
        <v>500</v>
      </c>
      <c r="CQ375">
        <v>500</v>
      </c>
      <c r="CR375">
        <v>500</v>
      </c>
      <c r="CS375">
        <v>1500</v>
      </c>
      <c r="CT375">
        <v>1500</v>
      </c>
      <c r="CU375">
        <v>1500</v>
      </c>
      <c r="CV375">
        <v>1500</v>
      </c>
      <c r="CW375">
        <v>4500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0</v>
      </c>
      <c r="DE375">
        <v>0</v>
      </c>
      <c r="DF375">
        <v>0</v>
      </c>
      <c r="DG375">
        <v>0</v>
      </c>
      <c r="DH375">
        <v>0</v>
      </c>
      <c r="DN375">
        <v>0</v>
      </c>
      <c r="DO375">
        <v>0</v>
      </c>
      <c r="DP375">
        <v>0</v>
      </c>
      <c r="DR375">
        <v>0</v>
      </c>
      <c r="DS375">
        <v>0</v>
      </c>
      <c r="DT375">
        <v>0</v>
      </c>
      <c r="DY375">
        <v>0</v>
      </c>
      <c r="EC375">
        <v>0</v>
      </c>
      <c r="ED375">
        <v>12195</v>
      </c>
      <c r="EH375">
        <v>0</v>
      </c>
      <c r="EI375">
        <v>0</v>
      </c>
      <c r="EJ375">
        <v>0</v>
      </c>
      <c r="EK375">
        <v>0</v>
      </c>
      <c r="EM375">
        <v>0</v>
      </c>
      <c r="EN375">
        <v>660</v>
      </c>
      <c r="EO375">
        <v>660</v>
      </c>
      <c r="EP375">
        <v>659</v>
      </c>
      <c r="EQ375">
        <v>2000</v>
      </c>
      <c r="ER375">
        <v>21.24</v>
      </c>
      <c r="ES375">
        <v>0</v>
      </c>
      <c r="ET375">
        <v>0</v>
      </c>
      <c r="EU375">
        <v>0</v>
      </c>
      <c r="EW375">
        <v>0</v>
      </c>
      <c r="FA375">
        <v>0</v>
      </c>
      <c r="FE375">
        <v>0</v>
      </c>
      <c r="FI375">
        <v>0</v>
      </c>
      <c r="FJ375">
        <v>1978.76</v>
      </c>
      <c r="FK375">
        <v>27320</v>
      </c>
      <c r="FL375">
        <v>26465.494193332775</v>
      </c>
      <c r="FM375">
        <v>25341.24</v>
      </c>
      <c r="FO375" t="s">
        <v>1016</v>
      </c>
      <c r="FP375" t="s">
        <v>1017</v>
      </c>
      <c r="FQ375" t="s">
        <v>1018</v>
      </c>
      <c r="FR375" t="s">
        <v>1019</v>
      </c>
    </row>
    <row r="376" spans="1:174" x14ac:dyDescent="0.35">
      <c r="A376">
        <v>197876</v>
      </c>
      <c r="B376" t="s">
        <v>1021</v>
      </c>
      <c r="C376" t="s">
        <v>1022</v>
      </c>
      <c r="D376" t="s">
        <v>1023</v>
      </c>
      <c r="E376" s="43" t="s">
        <v>3288</v>
      </c>
      <c r="L376" s="43" t="s">
        <v>259</v>
      </c>
      <c r="M376" t="s">
        <v>1024</v>
      </c>
      <c r="N376" s="43"/>
      <c r="O376" s="43"/>
      <c r="P376" s="43"/>
      <c r="Q376" s="43"/>
      <c r="R376">
        <v>3.1</v>
      </c>
      <c r="S376">
        <v>44109</v>
      </c>
      <c r="T376" t="s">
        <v>285</v>
      </c>
      <c r="U376" t="s">
        <v>266</v>
      </c>
      <c r="V376" t="s">
        <v>1028</v>
      </c>
      <c r="W376" t="s">
        <v>268</v>
      </c>
      <c r="X376" t="s">
        <v>269</v>
      </c>
      <c r="Y376">
        <v>8883022894</v>
      </c>
      <c r="Z376" t="s">
        <v>270</v>
      </c>
      <c r="AA376" t="s">
        <v>271</v>
      </c>
      <c r="AB376">
        <v>0</v>
      </c>
      <c r="AC376" t="s">
        <v>1029</v>
      </c>
      <c r="AD376" t="s">
        <v>1030</v>
      </c>
      <c r="AE376" t="s">
        <v>324</v>
      </c>
      <c r="AF376">
        <v>8</v>
      </c>
      <c r="AG376" t="s">
        <v>446</v>
      </c>
      <c r="AH376" t="s">
        <v>259</v>
      </c>
      <c r="AI376" t="s">
        <v>259</v>
      </c>
      <c r="AJ376" t="s">
        <v>259</v>
      </c>
      <c r="AK376" s="43" t="s">
        <v>259</v>
      </c>
      <c r="AL376" s="43" t="s">
        <v>259</v>
      </c>
      <c r="AO376" s="23"/>
      <c r="AP376" s="23"/>
      <c r="AQ376" s="23"/>
      <c r="BD376" s="43" t="s">
        <v>259</v>
      </c>
      <c r="BE376" s="43" t="s">
        <v>259</v>
      </c>
      <c r="BF376" s="43" t="s">
        <v>259</v>
      </c>
      <c r="BG376" s="43" t="s">
        <v>259</v>
      </c>
      <c r="BH376" t="s">
        <v>259</v>
      </c>
      <c r="BI376" s="43" t="s">
        <v>259</v>
      </c>
      <c r="BJ376">
        <v>0</v>
      </c>
      <c r="BK376">
        <v>44109</v>
      </c>
      <c r="BL376">
        <v>44356</v>
      </c>
      <c r="BM376">
        <v>8505</v>
      </c>
      <c r="BN376">
        <v>8505</v>
      </c>
      <c r="BO376">
        <v>8505</v>
      </c>
      <c r="BP376">
        <v>25515</v>
      </c>
      <c r="BQ376">
        <v>3300</v>
      </c>
      <c r="BR376">
        <v>400</v>
      </c>
      <c r="BS376">
        <v>400</v>
      </c>
      <c r="BT376">
        <v>4100</v>
      </c>
      <c r="BU376">
        <v>2100</v>
      </c>
      <c r="BV376">
        <v>2100</v>
      </c>
      <c r="BW376">
        <v>2100</v>
      </c>
      <c r="BX376">
        <v>6300</v>
      </c>
      <c r="BY376">
        <v>1200</v>
      </c>
      <c r="BZ376">
        <v>1200</v>
      </c>
      <c r="CA376">
        <v>1200</v>
      </c>
      <c r="CB376">
        <v>3600</v>
      </c>
      <c r="CF376">
        <v>0</v>
      </c>
      <c r="CG376">
        <v>39515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0</v>
      </c>
      <c r="DD376">
        <v>0</v>
      </c>
      <c r="DE376">
        <v>0</v>
      </c>
      <c r="DF376">
        <v>0</v>
      </c>
      <c r="DG376">
        <v>0</v>
      </c>
      <c r="DH376">
        <v>0</v>
      </c>
      <c r="DN376">
        <v>0</v>
      </c>
      <c r="DO376">
        <v>0</v>
      </c>
      <c r="DP376">
        <v>0</v>
      </c>
      <c r="DR376">
        <v>0</v>
      </c>
      <c r="DS376">
        <v>0</v>
      </c>
      <c r="DT376">
        <v>0</v>
      </c>
      <c r="DY376">
        <v>0</v>
      </c>
      <c r="EC376">
        <v>0</v>
      </c>
      <c r="ED376">
        <v>0</v>
      </c>
      <c r="EH376">
        <v>0</v>
      </c>
      <c r="EI376">
        <v>0</v>
      </c>
      <c r="EJ376">
        <v>0</v>
      </c>
      <c r="EK376">
        <v>0</v>
      </c>
      <c r="EM376">
        <v>0</v>
      </c>
      <c r="EN376">
        <v>660</v>
      </c>
      <c r="EO376">
        <v>660</v>
      </c>
      <c r="EP376">
        <v>659</v>
      </c>
      <c r="EQ376">
        <v>2000</v>
      </c>
      <c r="ER376">
        <v>21.24</v>
      </c>
      <c r="ES376">
        <v>0</v>
      </c>
      <c r="ET376">
        <v>0</v>
      </c>
      <c r="EU376">
        <v>0</v>
      </c>
      <c r="EW376">
        <v>0</v>
      </c>
      <c r="FA376">
        <v>0</v>
      </c>
      <c r="FE376">
        <v>0</v>
      </c>
      <c r="FI376">
        <v>0</v>
      </c>
      <c r="FJ376">
        <v>1978.76</v>
      </c>
      <c r="FK376">
        <v>39515</v>
      </c>
      <c r="FL376">
        <v>39201.520594870075</v>
      </c>
      <c r="FM376">
        <v>37536.239999999998</v>
      </c>
      <c r="FO376" t="s">
        <v>1025</v>
      </c>
      <c r="FP376" t="s">
        <v>1026</v>
      </c>
      <c r="FQ376" t="s">
        <v>372</v>
      </c>
      <c r="FR376" t="s">
        <v>1027</v>
      </c>
    </row>
    <row r="377" spans="1:174" x14ac:dyDescent="0.35">
      <c r="A377">
        <v>197807</v>
      </c>
      <c r="B377" t="s">
        <v>1031</v>
      </c>
      <c r="C377" t="s">
        <v>1032</v>
      </c>
      <c r="D377" t="s">
        <v>1033</v>
      </c>
      <c r="E377" s="43" t="s">
        <v>1034</v>
      </c>
      <c r="L377" s="43" t="s">
        <v>259</v>
      </c>
      <c r="M377" t="s">
        <v>1035</v>
      </c>
      <c r="N377" s="43"/>
      <c r="O377" s="43"/>
      <c r="P377" s="43"/>
      <c r="Q377" s="43"/>
      <c r="R377">
        <v>3.6778</v>
      </c>
      <c r="S377">
        <v>44109</v>
      </c>
      <c r="T377" t="s">
        <v>544</v>
      </c>
      <c r="U377" t="s">
        <v>266</v>
      </c>
      <c r="V377" t="s">
        <v>1039</v>
      </c>
      <c r="W377" t="s">
        <v>268</v>
      </c>
      <c r="X377" t="s">
        <v>269</v>
      </c>
      <c r="Y377">
        <v>8883022894</v>
      </c>
      <c r="Z377" t="s">
        <v>270</v>
      </c>
      <c r="AA377" t="s">
        <v>271</v>
      </c>
      <c r="AB377" t="s">
        <v>272</v>
      </c>
      <c r="AC377">
        <v>0</v>
      </c>
      <c r="AD377" t="s">
        <v>1011</v>
      </c>
      <c r="AE377" t="s">
        <v>416</v>
      </c>
      <c r="AF377">
        <v>5</v>
      </c>
      <c r="AG377" t="s">
        <v>275</v>
      </c>
      <c r="AH377" t="s">
        <v>259</v>
      </c>
      <c r="AI377" t="s">
        <v>259</v>
      </c>
      <c r="AJ377" t="s">
        <v>259</v>
      </c>
      <c r="AK377" s="43" t="s">
        <v>259</v>
      </c>
      <c r="AL377" s="43" t="s">
        <v>259</v>
      </c>
      <c r="AO377" s="23"/>
      <c r="AP377" s="23"/>
      <c r="AQ377" s="23"/>
      <c r="BD377" s="43" t="s">
        <v>259</v>
      </c>
      <c r="BE377" s="43" t="s">
        <v>259</v>
      </c>
      <c r="BF377" s="43" t="s">
        <v>259</v>
      </c>
      <c r="BG377" s="43" t="s">
        <v>259</v>
      </c>
      <c r="BH377" t="s">
        <v>259</v>
      </c>
      <c r="BI377" s="43" t="s">
        <v>259</v>
      </c>
      <c r="BJ377">
        <v>0</v>
      </c>
      <c r="BK377">
        <v>44109</v>
      </c>
      <c r="BL377">
        <v>44356</v>
      </c>
      <c r="BM377">
        <v>8505</v>
      </c>
      <c r="BN377">
        <v>8505</v>
      </c>
      <c r="BO377">
        <v>8505</v>
      </c>
      <c r="BP377">
        <v>25515</v>
      </c>
      <c r="BQ377">
        <v>3300</v>
      </c>
      <c r="BR377">
        <v>400</v>
      </c>
      <c r="BS377">
        <v>400</v>
      </c>
      <c r="BT377">
        <v>4100</v>
      </c>
      <c r="BU377">
        <v>2100</v>
      </c>
      <c r="BV377">
        <v>2100</v>
      </c>
      <c r="BW377">
        <v>2100</v>
      </c>
      <c r="BX377">
        <v>6300</v>
      </c>
      <c r="BY377">
        <v>1200</v>
      </c>
      <c r="BZ377">
        <v>1200</v>
      </c>
      <c r="CA377">
        <v>1200</v>
      </c>
      <c r="CB377">
        <v>3600</v>
      </c>
      <c r="CC377">
        <v>0</v>
      </c>
      <c r="CD377">
        <v>0</v>
      </c>
      <c r="CE377">
        <v>0</v>
      </c>
      <c r="CF377">
        <v>0</v>
      </c>
      <c r="CG377">
        <v>39515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1000</v>
      </c>
      <c r="CU377">
        <v>1000</v>
      </c>
      <c r="CV377">
        <v>1000</v>
      </c>
      <c r="CW377">
        <v>3000</v>
      </c>
      <c r="CX377">
        <v>3000</v>
      </c>
      <c r="CY377">
        <v>3000</v>
      </c>
      <c r="CZ377">
        <v>3000</v>
      </c>
      <c r="DA377">
        <v>9000</v>
      </c>
      <c r="DB377">
        <v>0</v>
      </c>
      <c r="DC377">
        <v>0</v>
      </c>
      <c r="DD377">
        <v>0</v>
      </c>
      <c r="DE377">
        <v>0</v>
      </c>
      <c r="DF377">
        <v>0</v>
      </c>
      <c r="DG377">
        <v>0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0</v>
      </c>
      <c r="DN377">
        <v>0</v>
      </c>
      <c r="DO377">
        <v>0</v>
      </c>
      <c r="DP377">
        <v>0</v>
      </c>
      <c r="DQ377">
        <v>0</v>
      </c>
      <c r="DR377">
        <v>0</v>
      </c>
      <c r="DS377">
        <v>0</v>
      </c>
      <c r="DT377">
        <v>0</v>
      </c>
      <c r="DU377">
        <v>0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0</v>
      </c>
      <c r="EC377">
        <v>0</v>
      </c>
      <c r="ED377">
        <v>12000</v>
      </c>
      <c r="EE377">
        <v>0</v>
      </c>
      <c r="EF377">
        <v>0</v>
      </c>
      <c r="EG377">
        <v>0</v>
      </c>
      <c r="EH377">
        <v>0</v>
      </c>
      <c r="EI377">
        <v>1154</v>
      </c>
      <c r="EJ377">
        <v>1154</v>
      </c>
      <c r="EK377">
        <v>1155</v>
      </c>
      <c r="EL377">
        <v>3500</v>
      </c>
      <c r="EM377">
        <v>37.065000000000005</v>
      </c>
      <c r="EN377">
        <v>660</v>
      </c>
      <c r="EO377">
        <v>660</v>
      </c>
      <c r="EP377">
        <v>659</v>
      </c>
      <c r="EQ377">
        <v>2000</v>
      </c>
      <c r="ER377">
        <v>21.18</v>
      </c>
      <c r="ES377">
        <v>0</v>
      </c>
      <c r="ET377">
        <v>0</v>
      </c>
      <c r="EU377">
        <v>0</v>
      </c>
      <c r="EV377">
        <v>0</v>
      </c>
      <c r="EW377">
        <v>0</v>
      </c>
      <c r="FA377">
        <v>0</v>
      </c>
      <c r="FE377">
        <v>0</v>
      </c>
      <c r="FI377">
        <v>0</v>
      </c>
      <c r="FJ377">
        <v>5441.7550000000001</v>
      </c>
      <c r="FK377">
        <v>27515</v>
      </c>
      <c r="FL377">
        <v>23049.627208554361</v>
      </c>
      <c r="FM377">
        <v>22073.244999999999</v>
      </c>
      <c r="FO377" t="s">
        <v>1036</v>
      </c>
      <c r="FP377" t="s">
        <v>1037</v>
      </c>
      <c r="FQ377" t="s">
        <v>542</v>
      </c>
      <c r="FR377" t="s">
        <v>1038</v>
      </c>
    </row>
    <row r="378" spans="1:174" x14ac:dyDescent="0.35">
      <c r="A378">
        <v>194968</v>
      </c>
      <c r="B378" t="s">
        <v>1040</v>
      </c>
      <c r="C378" t="s">
        <v>1041</v>
      </c>
      <c r="D378" t="s">
        <v>1042</v>
      </c>
      <c r="E378" s="43" t="s">
        <v>3289</v>
      </c>
      <c r="F378">
        <v>2</v>
      </c>
      <c r="G378">
        <v>43780</v>
      </c>
      <c r="H378">
        <v>43780</v>
      </c>
      <c r="I378">
        <v>43780</v>
      </c>
      <c r="J378" t="s">
        <v>3519</v>
      </c>
      <c r="K378" t="s">
        <v>3520</v>
      </c>
      <c r="L378" s="43" t="s">
        <v>3204</v>
      </c>
      <c r="M378" t="s">
        <v>1043</v>
      </c>
      <c r="N378" s="43"/>
      <c r="O378" s="43"/>
      <c r="P378" s="43"/>
      <c r="Q378" s="43"/>
      <c r="R378">
        <v>2.8035999999999999</v>
      </c>
      <c r="S378">
        <v>44109</v>
      </c>
      <c r="T378" t="s">
        <v>265</v>
      </c>
      <c r="U378" t="s">
        <v>266</v>
      </c>
      <c r="V378" t="s">
        <v>267</v>
      </c>
      <c r="W378" t="s">
        <v>268</v>
      </c>
      <c r="X378" t="s">
        <v>269</v>
      </c>
      <c r="Y378">
        <v>8883022894</v>
      </c>
      <c r="Z378" t="s">
        <v>270</v>
      </c>
      <c r="AA378" t="s">
        <v>271</v>
      </c>
      <c r="AB378" t="s">
        <v>571</v>
      </c>
      <c r="AC378">
        <v>0</v>
      </c>
      <c r="AD378" t="s">
        <v>415</v>
      </c>
      <c r="AE378" t="s">
        <v>445</v>
      </c>
      <c r="AF378">
        <v>4</v>
      </c>
      <c r="AG378" t="s">
        <v>446</v>
      </c>
      <c r="AH378" t="s">
        <v>3226</v>
      </c>
      <c r="AI378" t="s">
        <v>313</v>
      </c>
      <c r="AJ378" t="s">
        <v>4237</v>
      </c>
      <c r="AK378" s="43" t="s">
        <v>3208</v>
      </c>
      <c r="AL378" s="43" t="s">
        <v>3209</v>
      </c>
      <c r="AO378" s="23">
        <v>43773</v>
      </c>
      <c r="AP378" s="23"/>
      <c r="AQ378" s="23"/>
      <c r="BD378" s="43" t="s">
        <v>2018</v>
      </c>
      <c r="BE378" s="43" t="s">
        <v>2018</v>
      </c>
      <c r="BF378" s="43" t="s">
        <v>2018</v>
      </c>
      <c r="BG378" s="43" t="s">
        <v>2018</v>
      </c>
      <c r="BH378" t="s">
        <v>2018</v>
      </c>
      <c r="BI378" s="43" t="s">
        <v>2018</v>
      </c>
      <c r="BJ378">
        <v>5.8823529411764719E-2</v>
      </c>
      <c r="BK378">
        <v>44109</v>
      </c>
      <c r="BL378">
        <v>44356</v>
      </c>
      <c r="BM378">
        <v>8505</v>
      </c>
      <c r="BN378">
        <v>8505</v>
      </c>
      <c r="BO378">
        <v>8505</v>
      </c>
      <c r="BP378">
        <v>25515</v>
      </c>
      <c r="BQ378">
        <v>3300</v>
      </c>
      <c r="BR378">
        <v>400</v>
      </c>
      <c r="BS378">
        <v>400</v>
      </c>
      <c r="BT378">
        <v>4100</v>
      </c>
      <c r="BU378">
        <v>2100</v>
      </c>
      <c r="BV378">
        <v>2100</v>
      </c>
      <c r="BW378">
        <v>2100</v>
      </c>
      <c r="BX378">
        <v>6300</v>
      </c>
      <c r="BY378">
        <v>1200</v>
      </c>
      <c r="BZ378">
        <v>1200</v>
      </c>
      <c r="CA378">
        <v>1200</v>
      </c>
      <c r="CB378">
        <v>3600</v>
      </c>
      <c r="CF378">
        <v>0</v>
      </c>
      <c r="CG378">
        <v>39515</v>
      </c>
      <c r="CK378">
        <v>0</v>
      </c>
      <c r="CL378">
        <v>2065</v>
      </c>
      <c r="CM378">
        <v>2065</v>
      </c>
      <c r="CN378">
        <v>2065</v>
      </c>
      <c r="CO378">
        <v>6195</v>
      </c>
      <c r="CP378">
        <v>500</v>
      </c>
      <c r="CQ378">
        <v>500</v>
      </c>
      <c r="CR378">
        <v>500</v>
      </c>
      <c r="CS378">
        <v>1500</v>
      </c>
      <c r="CT378">
        <v>1250</v>
      </c>
      <c r="CU378">
        <v>1250</v>
      </c>
      <c r="CV378">
        <v>1250</v>
      </c>
      <c r="CW378">
        <v>3750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0</v>
      </c>
      <c r="DD378">
        <v>0</v>
      </c>
      <c r="DE378">
        <v>0</v>
      </c>
      <c r="DF378">
        <v>0</v>
      </c>
      <c r="DG378">
        <v>0</v>
      </c>
      <c r="DH378">
        <v>0</v>
      </c>
      <c r="DN378">
        <v>0</v>
      </c>
      <c r="DO378">
        <v>0</v>
      </c>
      <c r="DP378">
        <v>0</v>
      </c>
      <c r="DR378">
        <v>0</v>
      </c>
      <c r="DS378">
        <v>0</v>
      </c>
      <c r="DT378">
        <v>0</v>
      </c>
      <c r="DY378">
        <v>0</v>
      </c>
      <c r="EC378">
        <v>0</v>
      </c>
      <c r="ED378">
        <v>11445</v>
      </c>
      <c r="EH378">
        <v>0</v>
      </c>
      <c r="EI378">
        <v>0</v>
      </c>
      <c r="EJ378">
        <v>0</v>
      </c>
      <c r="EK378">
        <v>0</v>
      </c>
      <c r="EM378">
        <v>0</v>
      </c>
      <c r="EN378">
        <v>660</v>
      </c>
      <c r="EO378">
        <v>660</v>
      </c>
      <c r="EP378">
        <v>659</v>
      </c>
      <c r="EQ378">
        <v>2000</v>
      </c>
      <c r="ER378">
        <v>21.24</v>
      </c>
      <c r="ES378">
        <v>0</v>
      </c>
      <c r="ET378">
        <v>0</v>
      </c>
      <c r="EU378">
        <v>0</v>
      </c>
      <c r="EW378">
        <v>0</v>
      </c>
      <c r="FA378">
        <v>0</v>
      </c>
      <c r="FE378">
        <v>0</v>
      </c>
      <c r="FI378">
        <v>0</v>
      </c>
      <c r="FJ378">
        <v>1978.76</v>
      </c>
      <c r="FK378">
        <v>28070</v>
      </c>
      <c r="FL378">
        <v>27248.767649761885</v>
      </c>
      <c r="FM378">
        <v>26091.24</v>
      </c>
      <c r="FO378" t="s">
        <v>1044</v>
      </c>
      <c r="FP378" t="s">
        <v>1045</v>
      </c>
      <c r="FQ378" t="s">
        <v>1046</v>
      </c>
      <c r="FR378" t="s">
        <v>1047</v>
      </c>
    </row>
    <row r="379" spans="1:174" x14ac:dyDescent="0.35">
      <c r="A379">
        <v>196992</v>
      </c>
      <c r="B379" t="s">
        <v>1048</v>
      </c>
      <c r="C379" t="s">
        <v>1049</v>
      </c>
      <c r="D379" t="s">
        <v>1050</v>
      </c>
      <c r="E379" s="43" t="s">
        <v>1051</v>
      </c>
      <c r="F379">
        <v>1</v>
      </c>
      <c r="G379">
        <v>43794</v>
      </c>
      <c r="H379">
        <v>43794</v>
      </c>
      <c r="I379">
        <v>43794</v>
      </c>
      <c r="J379" t="s">
        <v>3827</v>
      </c>
      <c r="L379" s="43" t="s">
        <v>3204</v>
      </c>
      <c r="M379" t="s">
        <v>1052</v>
      </c>
      <c r="N379" s="43"/>
      <c r="O379" s="43"/>
      <c r="P379" s="43"/>
      <c r="Q379" s="43"/>
      <c r="R379">
        <v>4</v>
      </c>
      <c r="S379">
        <v>44109</v>
      </c>
      <c r="T379" t="s">
        <v>311</v>
      </c>
      <c r="U379" t="s">
        <v>266</v>
      </c>
      <c r="V379" t="s">
        <v>267</v>
      </c>
      <c r="W379" t="s">
        <v>268</v>
      </c>
      <c r="X379" t="s">
        <v>269</v>
      </c>
      <c r="Y379">
        <v>8883022894</v>
      </c>
      <c r="Z379" t="s">
        <v>270</v>
      </c>
      <c r="AA379" t="s">
        <v>271</v>
      </c>
      <c r="AB379">
        <v>0</v>
      </c>
      <c r="AC379" t="s">
        <v>1056</v>
      </c>
      <c r="AD379" t="s">
        <v>1057</v>
      </c>
      <c r="AE379" t="s">
        <v>301</v>
      </c>
      <c r="AF379">
        <v>1</v>
      </c>
      <c r="AG379" t="s">
        <v>275</v>
      </c>
      <c r="AH379" t="s">
        <v>3245</v>
      </c>
      <c r="AI379" t="s">
        <v>3246</v>
      </c>
      <c r="AJ379" t="s">
        <v>3207</v>
      </c>
      <c r="AK379" s="43" t="s">
        <v>3208</v>
      </c>
      <c r="AL379" s="43" t="s">
        <v>3209</v>
      </c>
      <c r="AO379" s="23">
        <v>43795</v>
      </c>
      <c r="AP379" s="23"/>
      <c r="AQ379" s="23"/>
      <c r="BD379" s="43" t="s">
        <v>2018</v>
      </c>
      <c r="BE379" s="43" t="s">
        <v>2018</v>
      </c>
      <c r="BF379" s="43" t="s">
        <v>2018</v>
      </c>
      <c r="BG379" s="43" t="s">
        <v>2018</v>
      </c>
      <c r="BH379" t="s">
        <v>2018</v>
      </c>
      <c r="BI379" s="43" t="s">
        <v>2018</v>
      </c>
      <c r="BJ379">
        <v>5.8823529411764719E-2</v>
      </c>
      <c r="BK379">
        <v>44109</v>
      </c>
      <c r="BL379">
        <v>44356</v>
      </c>
      <c r="BM379">
        <v>8505</v>
      </c>
      <c r="BN379">
        <v>8505</v>
      </c>
      <c r="BO379">
        <v>8505</v>
      </c>
      <c r="BP379">
        <v>25515</v>
      </c>
      <c r="BQ379">
        <v>3300</v>
      </c>
      <c r="BR379">
        <v>400</v>
      </c>
      <c r="BS379">
        <v>400</v>
      </c>
      <c r="BT379">
        <v>4100</v>
      </c>
      <c r="BU379">
        <v>2100</v>
      </c>
      <c r="BV379">
        <v>2100</v>
      </c>
      <c r="BW379">
        <v>2100</v>
      </c>
      <c r="BX379">
        <v>6300</v>
      </c>
      <c r="BY379">
        <v>1200</v>
      </c>
      <c r="BZ379">
        <v>1200</v>
      </c>
      <c r="CA379">
        <v>1200</v>
      </c>
      <c r="CB379">
        <v>3600</v>
      </c>
      <c r="CC379">
        <v>0</v>
      </c>
      <c r="CD379">
        <v>0</v>
      </c>
      <c r="CE379">
        <v>0</v>
      </c>
      <c r="CF379">
        <v>0</v>
      </c>
      <c r="CG379">
        <v>39515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>
        <v>0</v>
      </c>
      <c r="CS379">
        <v>0</v>
      </c>
      <c r="CT379">
        <v>1700</v>
      </c>
      <c r="CU379">
        <v>1700</v>
      </c>
      <c r="CV379">
        <v>1700</v>
      </c>
      <c r="CW379">
        <v>5100</v>
      </c>
      <c r="CX379">
        <v>0</v>
      </c>
      <c r="CY379">
        <v>0</v>
      </c>
      <c r="CZ379">
        <v>0</v>
      </c>
      <c r="DA379">
        <v>0</v>
      </c>
      <c r="DB379">
        <v>0</v>
      </c>
      <c r="DC379">
        <v>0</v>
      </c>
      <c r="DD379">
        <v>0</v>
      </c>
      <c r="DE379">
        <v>0</v>
      </c>
      <c r="DF379">
        <v>0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0</v>
      </c>
      <c r="DR379">
        <v>0</v>
      </c>
      <c r="DS379">
        <v>0</v>
      </c>
      <c r="DT379">
        <v>0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5100</v>
      </c>
      <c r="EE379">
        <v>0</v>
      </c>
      <c r="EF379">
        <v>0</v>
      </c>
      <c r="EG379">
        <v>0</v>
      </c>
      <c r="EH379">
        <v>0</v>
      </c>
      <c r="EI379">
        <v>1154</v>
      </c>
      <c r="EJ379">
        <v>1154</v>
      </c>
      <c r="EK379">
        <v>1155</v>
      </c>
      <c r="EL379">
        <v>3500</v>
      </c>
      <c r="EM379">
        <v>37.065000000000005</v>
      </c>
      <c r="EN379">
        <v>660</v>
      </c>
      <c r="EO379">
        <v>660</v>
      </c>
      <c r="EP379">
        <v>659</v>
      </c>
      <c r="EQ379">
        <v>2000</v>
      </c>
      <c r="ER379">
        <v>21.18</v>
      </c>
      <c r="ES379">
        <v>0</v>
      </c>
      <c r="ET379">
        <v>0</v>
      </c>
      <c r="EU379">
        <v>0</v>
      </c>
      <c r="EV379">
        <v>0</v>
      </c>
      <c r="EW379">
        <v>0</v>
      </c>
      <c r="FA379">
        <v>0</v>
      </c>
      <c r="FE379">
        <v>0</v>
      </c>
      <c r="FI379">
        <v>0</v>
      </c>
      <c r="FJ379">
        <v>5441.7550000000001</v>
      </c>
      <c r="FK379">
        <v>34415</v>
      </c>
      <c r="FL379">
        <v>30254.840023390832</v>
      </c>
      <c r="FM379">
        <v>28973.244999999999</v>
      </c>
      <c r="FO379" t="s">
        <v>1053</v>
      </c>
      <c r="FP379" t="s">
        <v>1054</v>
      </c>
      <c r="FQ379" t="s">
        <v>297</v>
      </c>
      <c r="FR379" t="s">
        <v>1055</v>
      </c>
    </row>
    <row r="380" spans="1:174" x14ac:dyDescent="0.35">
      <c r="A380">
        <v>196075</v>
      </c>
      <c r="B380" t="s">
        <v>1058</v>
      </c>
      <c r="C380" t="s">
        <v>1059</v>
      </c>
      <c r="D380" t="s">
        <v>1060</v>
      </c>
      <c r="E380" s="43" t="s">
        <v>1061</v>
      </c>
      <c r="F380">
        <v>1</v>
      </c>
      <c r="G380">
        <v>43776</v>
      </c>
      <c r="H380">
        <v>43776</v>
      </c>
      <c r="I380">
        <v>43776</v>
      </c>
      <c r="L380" s="43" t="s">
        <v>3204</v>
      </c>
      <c r="M380" t="s">
        <v>3521</v>
      </c>
      <c r="N380" s="43"/>
      <c r="O380" s="43"/>
      <c r="P380" s="43"/>
      <c r="Q380" s="43"/>
      <c r="R380">
        <v>3.9</v>
      </c>
      <c r="S380">
        <v>44109</v>
      </c>
      <c r="T380" t="s">
        <v>311</v>
      </c>
      <c r="U380" t="s">
        <v>266</v>
      </c>
      <c r="V380" t="s">
        <v>267</v>
      </c>
      <c r="W380" t="s">
        <v>268</v>
      </c>
      <c r="X380" t="s">
        <v>269</v>
      </c>
      <c r="Y380">
        <v>8883022894</v>
      </c>
      <c r="Z380" t="s">
        <v>270</v>
      </c>
      <c r="AA380" t="s">
        <v>271</v>
      </c>
      <c r="AB380">
        <v>0</v>
      </c>
      <c r="AC380">
        <v>0</v>
      </c>
      <c r="AD380" t="s">
        <v>313</v>
      </c>
      <c r="AE380" t="s">
        <v>364</v>
      </c>
      <c r="AF380">
        <v>3</v>
      </c>
      <c r="AG380" t="s">
        <v>275</v>
      </c>
      <c r="AH380" t="s">
        <v>3226</v>
      </c>
      <c r="AI380" t="s">
        <v>313</v>
      </c>
      <c r="AJ380" t="s">
        <v>4169</v>
      </c>
      <c r="AK380" s="43" t="s">
        <v>3208</v>
      </c>
      <c r="AL380" s="43" t="s">
        <v>3209</v>
      </c>
      <c r="AO380" s="23">
        <v>43775</v>
      </c>
      <c r="AP380" s="23"/>
      <c r="AQ380" s="23"/>
      <c r="BD380" s="43" t="s">
        <v>2018</v>
      </c>
      <c r="BE380" s="43" t="s">
        <v>2018</v>
      </c>
      <c r="BF380" s="43" t="s">
        <v>2018</v>
      </c>
      <c r="BG380" s="43" t="s">
        <v>2018</v>
      </c>
      <c r="BH380" t="s">
        <v>2018</v>
      </c>
      <c r="BI380" s="43" t="s">
        <v>2018</v>
      </c>
      <c r="BJ380">
        <v>5.8823529411764719E-2</v>
      </c>
      <c r="BK380">
        <v>44109</v>
      </c>
      <c r="BL380">
        <v>44356</v>
      </c>
      <c r="BM380">
        <v>8505</v>
      </c>
      <c r="BN380">
        <v>8505</v>
      </c>
      <c r="BO380">
        <v>8505</v>
      </c>
      <c r="BP380">
        <v>25515</v>
      </c>
      <c r="BQ380">
        <v>3300</v>
      </c>
      <c r="BR380">
        <v>400</v>
      </c>
      <c r="BS380">
        <v>400</v>
      </c>
      <c r="BT380">
        <v>4100</v>
      </c>
      <c r="BU380">
        <v>2100</v>
      </c>
      <c r="BV380">
        <v>2100</v>
      </c>
      <c r="BW380">
        <v>2100</v>
      </c>
      <c r="BX380">
        <v>6300</v>
      </c>
      <c r="BY380">
        <v>1200</v>
      </c>
      <c r="BZ380">
        <v>1200</v>
      </c>
      <c r="CA380">
        <v>1200</v>
      </c>
      <c r="CB380">
        <v>3600</v>
      </c>
      <c r="CC380">
        <v>0</v>
      </c>
      <c r="CD380">
        <v>0</v>
      </c>
      <c r="CE380">
        <v>0</v>
      </c>
      <c r="CF380">
        <v>0</v>
      </c>
      <c r="CG380">
        <v>39515</v>
      </c>
      <c r="CH380">
        <v>0</v>
      </c>
      <c r="CI380">
        <v>0</v>
      </c>
      <c r="CJ380">
        <v>0</v>
      </c>
      <c r="CK380">
        <v>0</v>
      </c>
      <c r="CL380">
        <v>2065</v>
      </c>
      <c r="CM380">
        <v>2065</v>
      </c>
      <c r="CN380">
        <v>2065</v>
      </c>
      <c r="CO380">
        <v>6195</v>
      </c>
      <c r="CP380">
        <v>500</v>
      </c>
      <c r="CQ380">
        <v>500</v>
      </c>
      <c r="CR380">
        <v>500</v>
      </c>
      <c r="CS380">
        <v>1500</v>
      </c>
      <c r="CT380">
        <v>1300</v>
      </c>
      <c r="CU380">
        <v>1300</v>
      </c>
      <c r="CV380">
        <v>1300</v>
      </c>
      <c r="CW380">
        <v>3900</v>
      </c>
      <c r="CX380">
        <v>0</v>
      </c>
      <c r="CY380">
        <v>0</v>
      </c>
      <c r="CZ380">
        <v>0</v>
      </c>
      <c r="DA380">
        <v>0</v>
      </c>
      <c r="DB380">
        <v>0</v>
      </c>
      <c r="DC380">
        <v>0</v>
      </c>
      <c r="DD380">
        <v>0</v>
      </c>
      <c r="DE380">
        <v>0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0</v>
      </c>
      <c r="DN380">
        <v>0</v>
      </c>
      <c r="DO380">
        <v>0</v>
      </c>
      <c r="DP380">
        <v>0</v>
      </c>
      <c r="DQ380">
        <v>0</v>
      </c>
      <c r="DR380">
        <v>0</v>
      </c>
      <c r="DS380">
        <v>0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0</v>
      </c>
      <c r="ED380">
        <v>11595</v>
      </c>
      <c r="EE380">
        <v>0</v>
      </c>
      <c r="EF380">
        <v>0</v>
      </c>
      <c r="EG380">
        <v>0</v>
      </c>
      <c r="EH380">
        <v>0</v>
      </c>
      <c r="EI380">
        <v>1154</v>
      </c>
      <c r="EJ380">
        <v>1154</v>
      </c>
      <c r="EK380">
        <v>1155</v>
      </c>
      <c r="EL380">
        <v>3500</v>
      </c>
      <c r="EM380">
        <v>37.065000000000005</v>
      </c>
      <c r="EN380">
        <v>660</v>
      </c>
      <c r="EO380">
        <v>660</v>
      </c>
      <c r="EP380">
        <v>659</v>
      </c>
      <c r="EQ380">
        <v>2000</v>
      </c>
      <c r="ER380">
        <v>21.18</v>
      </c>
      <c r="ES380">
        <v>0</v>
      </c>
      <c r="ET380">
        <v>0</v>
      </c>
      <c r="EU380">
        <v>0</v>
      </c>
      <c r="EV380">
        <v>0</v>
      </c>
      <c r="EW380">
        <v>0</v>
      </c>
      <c r="FA380">
        <v>0</v>
      </c>
      <c r="FE380">
        <v>0</v>
      </c>
      <c r="FI380">
        <v>0</v>
      </c>
      <c r="FJ380">
        <v>5441.7550000000001</v>
      </c>
      <c r="FK380">
        <v>27920</v>
      </c>
      <c r="FL380">
        <v>23472.541873773025</v>
      </c>
      <c r="FM380">
        <v>22478.244999999999</v>
      </c>
      <c r="FO380" t="s">
        <v>1062</v>
      </c>
      <c r="FP380" t="s">
        <v>1063</v>
      </c>
      <c r="FQ380" t="s">
        <v>596</v>
      </c>
      <c r="FR380" t="s">
        <v>1064</v>
      </c>
    </row>
    <row r="381" spans="1:174" x14ac:dyDescent="0.35">
      <c r="A381">
        <v>198453</v>
      </c>
      <c r="B381" t="s">
        <v>1065</v>
      </c>
      <c r="C381" t="s">
        <v>1066</v>
      </c>
      <c r="D381" t="s">
        <v>1067</v>
      </c>
      <c r="E381" s="43" t="s">
        <v>3290</v>
      </c>
      <c r="L381" s="43" t="s">
        <v>259</v>
      </c>
      <c r="M381" t="s">
        <v>1068</v>
      </c>
      <c r="N381" s="43"/>
      <c r="O381" s="43"/>
      <c r="P381" s="43"/>
      <c r="Q381" s="43"/>
      <c r="R381">
        <v>3.306</v>
      </c>
      <c r="S381">
        <v>44109</v>
      </c>
      <c r="T381" t="s">
        <v>311</v>
      </c>
      <c r="U381" t="s">
        <v>286</v>
      </c>
      <c r="V381" t="s">
        <v>267</v>
      </c>
      <c r="W381" t="s">
        <v>268</v>
      </c>
      <c r="X381" t="s">
        <v>269</v>
      </c>
      <c r="Y381">
        <v>8883022894</v>
      </c>
      <c r="Z381" t="s">
        <v>270</v>
      </c>
      <c r="AA381" t="s">
        <v>271</v>
      </c>
      <c r="AB381">
        <v>0</v>
      </c>
      <c r="AC381" t="s">
        <v>752</v>
      </c>
      <c r="AD381" t="s">
        <v>1011</v>
      </c>
      <c r="AE381" t="s">
        <v>364</v>
      </c>
      <c r="AF381">
        <v>3</v>
      </c>
      <c r="AG381" t="s">
        <v>446</v>
      </c>
      <c r="AH381" t="s">
        <v>259</v>
      </c>
      <c r="AI381" t="s">
        <v>259</v>
      </c>
      <c r="AJ381" t="s">
        <v>259</v>
      </c>
      <c r="AK381" s="43" t="s">
        <v>259</v>
      </c>
      <c r="AL381" s="43" t="s">
        <v>259</v>
      </c>
      <c r="AO381" s="23"/>
      <c r="AP381" s="23"/>
      <c r="AQ381" s="23"/>
      <c r="BD381" s="43" t="s">
        <v>259</v>
      </c>
      <c r="BE381" s="43" t="s">
        <v>259</v>
      </c>
      <c r="BF381" s="43" t="s">
        <v>259</v>
      </c>
      <c r="BG381" s="43" t="s">
        <v>259</v>
      </c>
      <c r="BH381" t="s">
        <v>259</v>
      </c>
      <c r="BI381" s="43" t="s">
        <v>259</v>
      </c>
      <c r="BJ381">
        <v>0</v>
      </c>
      <c r="BK381">
        <v>44109</v>
      </c>
      <c r="BL381">
        <v>44356</v>
      </c>
      <c r="BM381">
        <v>8505</v>
      </c>
      <c r="BN381">
        <v>8505</v>
      </c>
      <c r="BO381">
        <v>8505</v>
      </c>
      <c r="BP381">
        <v>25515</v>
      </c>
      <c r="BQ381">
        <v>3300</v>
      </c>
      <c r="BR381">
        <v>400</v>
      </c>
      <c r="BS381">
        <v>400</v>
      </c>
      <c r="BT381">
        <v>4100</v>
      </c>
      <c r="BU381">
        <v>2100</v>
      </c>
      <c r="BV381">
        <v>2100</v>
      </c>
      <c r="BW381">
        <v>2100</v>
      </c>
      <c r="BX381">
        <v>6300</v>
      </c>
      <c r="BY381">
        <v>1200</v>
      </c>
      <c r="BZ381">
        <v>1200</v>
      </c>
      <c r="CA381">
        <v>1200</v>
      </c>
      <c r="CB381">
        <v>3600</v>
      </c>
      <c r="CF381">
        <v>0</v>
      </c>
      <c r="CG381">
        <v>39515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</v>
      </c>
      <c r="CR381">
        <v>0</v>
      </c>
      <c r="CS381">
        <v>0</v>
      </c>
      <c r="CT381">
        <v>1300</v>
      </c>
      <c r="CU381">
        <v>1300</v>
      </c>
      <c r="CV381">
        <v>1300</v>
      </c>
      <c r="CW381">
        <v>3900</v>
      </c>
      <c r="CX381">
        <v>0</v>
      </c>
      <c r="CY381">
        <v>0</v>
      </c>
      <c r="CZ381">
        <v>0</v>
      </c>
      <c r="DA381">
        <v>0</v>
      </c>
      <c r="DB381">
        <v>1000</v>
      </c>
      <c r="DC381">
        <v>1000</v>
      </c>
      <c r="DD381">
        <v>1000</v>
      </c>
      <c r="DE381">
        <v>3000</v>
      </c>
      <c r="DF381">
        <v>0</v>
      </c>
      <c r="DG381">
        <v>0</v>
      </c>
      <c r="DH381">
        <v>0</v>
      </c>
      <c r="DN381">
        <v>0</v>
      </c>
      <c r="DO381">
        <v>0</v>
      </c>
      <c r="DP381">
        <v>0</v>
      </c>
      <c r="DR381">
        <v>0</v>
      </c>
      <c r="DS381">
        <v>0</v>
      </c>
      <c r="DT381">
        <v>0</v>
      </c>
      <c r="DY381">
        <v>0</v>
      </c>
      <c r="EC381">
        <v>0</v>
      </c>
      <c r="ED381">
        <v>6900</v>
      </c>
      <c r="EH381">
        <v>0</v>
      </c>
      <c r="EI381">
        <v>0</v>
      </c>
      <c r="EJ381">
        <v>0</v>
      </c>
      <c r="EK381">
        <v>0</v>
      </c>
      <c r="EM381">
        <v>0</v>
      </c>
      <c r="EN381">
        <v>660</v>
      </c>
      <c r="EO381">
        <v>660</v>
      </c>
      <c r="EP381">
        <v>659</v>
      </c>
      <c r="EQ381">
        <v>2000</v>
      </c>
      <c r="ER381">
        <v>21.24</v>
      </c>
      <c r="ES381">
        <v>0</v>
      </c>
      <c r="ET381">
        <v>0</v>
      </c>
      <c r="EU381">
        <v>0</v>
      </c>
      <c r="EW381">
        <v>0</v>
      </c>
      <c r="FA381">
        <v>0</v>
      </c>
      <c r="FE381">
        <v>0</v>
      </c>
      <c r="FI381">
        <v>0</v>
      </c>
      <c r="FJ381">
        <v>1978.76</v>
      </c>
      <c r="FK381">
        <v>32615</v>
      </c>
      <c r="FL381">
        <v>31995.404795722283</v>
      </c>
      <c r="FM381">
        <v>30636.240000000002</v>
      </c>
      <c r="FO381" t="s">
        <v>1069</v>
      </c>
      <c r="FP381" t="s">
        <v>1070</v>
      </c>
      <c r="FQ381" t="s">
        <v>297</v>
      </c>
      <c r="FR381" t="s">
        <v>1071</v>
      </c>
    </row>
    <row r="382" spans="1:174" x14ac:dyDescent="0.35">
      <c r="A382">
        <v>198506</v>
      </c>
      <c r="B382" t="s">
        <v>1065</v>
      </c>
      <c r="C382" t="s">
        <v>629</v>
      </c>
      <c r="D382" t="s">
        <v>1072</v>
      </c>
      <c r="E382" s="43" t="s">
        <v>1073</v>
      </c>
      <c r="L382" s="43" t="s">
        <v>259</v>
      </c>
      <c r="M382" t="s">
        <v>1074</v>
      </c>
      <c r="N382" s="43"/>
      <c r="O382" s="43"/>
      <c r="P382" s="43"/>
      <c r="Q382" s="43"/>
      <c r="R382">
        <v>3.5</v>
      </c>
      <c r="S382">
        <v>44109</v>
      </c>
      <c r="T382" t="s">
        <v>285</v>
      </c>
      <c r="U382" t="s">
        <v>266</v>
      </c>
      <c r="V382" t="s">
        <v>267</v>
      </c>
      <c r="W382" t="s">
        <v>268</v>
      </c>
      <c r="X382" t="s">
        <v>269</v>
      </c>
      <c r="Y382">
        <v>8883022894</v>
      </c>
      <c r="Z382" t="s">
        <v>270</v>
      </c>
      <c r="AA382" t="s">
        <v>271</v>
      </c>
      <c r="AB382" t="s">
        <v>374</v>
      </c>
      <c r="AC382">
        <v>0</v>
      </c>
      <c r="AD382" t="s">
        <v>654</v>
      </c>
      <c r="AE382" t="s">
        <v>416</v>
      </c>
      <c r="AF382">
        <v>5</v>
      </c>
      <c r="AG382" t="s">
        <v>275</v>
      </c>
      <c r="AH382" t="s">
        <v>259</v>
      </c>
      <c r="AI382" t="s">
        <v>259</v>
      </c>
      <c r="AJ382" t="s">
        <v>259</v>
      </c>
      <c r="AK382" s="43" t="s">
        <v>259</v>
      </c>
      <c r="AL382" s="43" t="s">
        <v>259</v>
      </c>
      <c r="AO382" s="23"/>
      <c r="AP382" s="23"/>
      <c r="AQ382" s="23"/>
      <c r="BD382" s="43" t="s">
        <v>259</v>
      </c>
      <c r="BE382" s="43" t="s">
        <v>259</v>
      </c>
      <c r="BF382" s="43" t="s">
        <v>259</v>
      </c>
      <c r="BG382" s="43" t="s">
        <v>259</v>
      </c>
      <c r="BH382" t="s">
        <v>259</v>
      </c>
      <c r="BI382" s="43" t="s">
        <v>259</v>
      </c>
      <c r="BJ382">
        <v>0</v>
      </c>
      <c r="BK382">
        <v>44109</v>
      </c>
      <c r="BL382">
        <v>44356</v>
      </c>
      <c r="BM382">
        <v>8505</v>
      </c>
      <c r="BN382">
        <v>8505</v>
      </c>
      <c r="BO382">
        <v>8505</v>
      </c>
      <c r="BP382">
        <v>25515</v>
      </c>
      <c r="BQ382">
        <v>3300</v>
      </c>
      <c r="BR382">
        <v>400</v>
      </c>
      <c r="BS382">
        <v>400</v>
      </c>
      <c r="BT382">
        <v>4100</v>
      </c>
      <c r="BU382">
        <v>2100</v>
      </c>
      <c r="BV382">
        <v>2100</v>
      </c>
      <c r="BW382">
        <v>2100</v>
      </c>
      <c r="BX382">
        <v>6300</v>
      </c>
      <c r="BY382">
        <v>1200</v>
      </c>
      <c r="BZ382">
        <v>1200</v>
      </c>
      <c r="CA382">
        <v>1200</v>
      </c>
      <c r="CB382">
        <v>3600</v>
      </c>
      <c r="CC382">
        <v>0</v>
      </c>
      <c r="CD382">
        <v>0</v>
      </c>
      <c r="CE382">
        <v>0</v>
      </c>
      <c r="CF382">
        <v>0</v>
      </c>
      <c r="CG382">
        <v>39515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1000</v>
      </c>
      <c r="CU382">
        <v>1000</v>
      </c>
      <c r="CV382">
        <v>1000</v>
      </c>
      <c r="CW382">
        <v>3000</v>
      </c>
      <c r="CX382">
        <v>0</v>
      </c>
      <c r="CY382">
        <v>0</v>
      </c>
      <c r="CZ382">
        <v>0</v>
      </c>
      <c r="DA382">
        <v>0</v>
      </c>
      <c r="DB382">
        <v>0</v>
      </c>
      <c r="DC382">
        <v>0</v>
      </c>
      <c r="DD382">
        <v>0</v>
      </c>
      <c r="DE382">
        <v>0</v>
      </c>
      <c r="DF382">
        <v>1000</v>
      </c>
      <c r="DG382">
        <v>1000</v>
      </c>
      <c r="DH382">
        <v>1000</v>
      </c>
      <c r="DI382">
        <v>3000</v>
      </c>
      <c r="DN382">
        <v>0</v>
      </c>
      <c r="DO382">
        <v>0</v>
      </c>
      <c r="DP382">
        <v>0</v>
      </c>
      <c r="DQ382">
        <v>0</v>
      </c>
      <c r="DR382">
        <v>0</v>
      </c>
      <c r="DS382">
        <v>0</v>
      </c>
      <c r="DT382">
        <v>0</v>
      </c>
      <c r="DU382">
        <v>0</v>
      </c>
      <c r="DY382">
        <v>0</v>
      </c>
      <c r="EC382">
        <v>0</v>
      </c>
      <c r="ED382">
        <v>6000</v>
      </c>
      <c r="EE382">
        <v>0</v>
      </c>
      <c r="EF382">
        <v>0</v>
      </c>
      <c r="EG382">
        <v>0</v>
      </c>
      <c r="EH382">
        <v>0</v>
      </c>
      <c r="EI382">
        <v>1154</v>
      </c>
      <c r="EJ382">
        <v>1154</v>
      </c>
      <c r="EK382">
        <v>1155</v>
      </c>
      <c r="EL382">
        <v>3500</v>
      </c>
      <c r="EM382">
        <v>37.065000000000005</v>
      </c>
      <c r="EN382">
        <v>660</v>
      </c>
      <c r="EO382">
        <v>660</v>
      </c>
      <c r="EP382">
        <v>659</v>
      </c>
      <c r="EQ382">
        <v>2000</v>
      </c>
      <c r="ER382">
        <v>21.18</v>
      </c>
      <c r="ES382">
        <v>0</v>
      </c>
      <c r="ET382">
        <v>0</v>
      </c>
      <c r="EU382">
        <v>0</v>
      </c>
      <c r="EV382">
        <v>0</v>
      </c>
      <c r="EW382">
        <v>0</v>
      </c>
      <c r="FA382">
        <v>0</v>
      </c>
      <c r="FE382">
        <v>0</v>
      </c>
      <c r="FI382">
        <v>0</v>
      </c>
      <c r="FJ382">
        <v>5441.7550000000001</v>
      </c>
      <c r="FK382">
        <v>33515</v>
      </c>
      <c r="FL382">
        <v>29318.703525774916</v>
      </c>
      <c r="FM382">
        <v>28073.244999999999</v>
      </c>
      <c r="FO382" t="s">
        <v>1075</v>
      </c>
      <c r="FP382" t="s">
        <v>1076</v>
      </c>
      <c r="FQ382" t="s">
        <v>608</v>
      </c>
      <c r="FR382" t="s">
        <v>1077</v>
      </c>
    </row>
    <row r="383" spans="1:174" x14ac:dyDescent="0.35">
      <c r="A383">
        <v>196237</v>
      </c>
      <c r="B383" t="s">
        <v>1078</v>
      </c>
      <c r="C383" t="s">
        <v>1079</v>
      </c>
      <c r="D383" t="s">
        <v>1080</v>
      </c>
      <c r="E383" s="43" t="s">
        <v>1081</v>
      </c>
      <c r="L383" s="43" t="s">
        <v>259</v>
      </c>
      <c r="M383" t="s">
        <v>1082</v>
      </c>
      <c r="N383" s="43"/>
      <c r="O383" s="43"/>
      <c r="P383" s="43"/>
      <c r="Q383" s="43"/>
      <c r="R383">
        <v>3.4523799999999998</v>
      </c>
      <c r="S383">
        <v>44109</v>
      </c>
      <c r="T383" t="s">
        <v>311</v>
      </c>
      <c r="U383" t="s">
        <v>266</v>
      </c>
      <c r="V383" t="s">
        <v>267</v>
      </c>
      <c r="W383" t="s">
        <v>268</v>
      </c>
      <c r="X383" t="s">
        <v>269</v>
      </c>
      <c r="Y383">
        <v>8883022894</v>
      </c>
      <c r="Z383" t="s">
        <v>270</v>
      </c>
      <c r="AA383" t="s">
        <v>271</v>
      </c>
      <c r="AB383" t="s">
        <v>842</v>
      </c>
      <c r="AC383">
        <v>0</v>
      </c>
      <c r="AD383" t="s">
        <v>637</v>
      </c>
      <c r="AE383" t="s">
        <v>354</v>
      </c>
      <c r="AF383">
        <v>6</v>
      </c>
      <c r="AG383" t="s">
        <v>275</v>
      </c>
      <c r="AH383" t="s">
        <v>259</v>
      </c>
      <c r="AI383" t="s">
        <v>259</v>
      </c>
      <c r="AJ383" t="s">
        <v>259</v>
      </c>
      <c r="AK383" s="43" t="s">
        <v>259</v>
      </c>
      <c r="AL383" s="43" t="s">
        <v>259</v>
      </c>
      <c r="AO383" s="23"/>
      <c r="AP383" s="23"/>
      <c r="AQ383" s="23"/>
      <c r="BD383" s="43" t="s">
        <v>259</v>
      </c>
      <c r="BE383" s="43" t="s">
        <v>259</v>
      </c>
      <c r="BF383" s="43" t="s">
        <v>259</v>
      </c>
      <c r="BG383" s="43" t="s">
        <v>259</v>
      </c>
      <c r="BH383" t="s">
        <v>259</v>
      </c>
      <c r="BI383" s="43" t="s">
        <v>259</v>
      </c>
      <c r="BJ383">
        <v>0</v>
      </c>
      <c r="BK383">
        <v>44109</v>
      </c>
      <c r="BL383">
        <v>44356</v>
      </c>
      <c r="BM383">
        <v>8505</v>
      </c>
      <c r="BN383">
        <v>8505</v>
      </c>
      <c r="BO383">
        <v>8505</v>
      </c>
      <c r="BP383">
        <v>25515</v>
      </c>
      <c r="BQ383">
        <v>3300</v>
      </c>
      <c r="BR383">
        <v>400</v>
      </c>
      <c r="BS383">
        <v>400</v>
      </c>
      <c r="BT383">
        <v>4100</v>
      </c>
      <c r="BU383">
        <v>2100</v>
      </c>
      <c r="BV383">
        <v>2100</v>
      </c>
      <c r="BW383">
        <v>2100</v>
      </c>
      <c r="BX383">
        <v>6300</v>
      </c>
      <c r="BY383">
        <v>1200</v>
      </c>
      <c r="BZ383">
        <v>1200</v>
      </c>
      <c r="CA383">
        <v>1200</v>
      </c>
      <c r="CB383">
        <v>3600</v>
      </c>
      <c r="CC383">
        <v>0</v>
      </c>
      <c r="CD383">
        <v>0</v>
      </c>
      <c r="CE383">
        <v>0</v>
      </c>
      <c r="CF383">
        <v>0</v>
      </c>
      <c r="CG383">
        <v>39515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750</v>
      </c>
      <c r="CU383">
        <v>750</v>
      </c>
      <c r="CV383">
        <v>750</v>
      </c>
      <c r="CW383">
        <v>2250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0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0</v>
      </c>
      <c r="DQ383">
        <v>0</v>
      </c>
      <c r="DR383">
        <v>0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0</v>
      </c>
      <c r="ED383">
        <v>2250</v>
      </c>
      <c r="EE383">
        <v>0</v>
      </c>
      <c r="EF383">
        <v>0</v>
      </c>
      <c r="EG383">
        <v>0</v>
      </c>
      <c r="EH383">
        <v>0</v>
      </c>
      <c r="EI383">
        <v>1154</v>
      </c>
      <c r="EJ383">
        <v>1154</v>
      </c>
      <c r="EK383">
        <v>1155</v>
      </c>
      <c r="EL383">
        <v>3500</v>
      </c>
      <c r="EM383">
        <v>37.065000000000005</v>
      </c>
      <c r="EN383">
        <v>660</v>
      </c>
      <c r="EO383">
        <v>660</v>
      </c>
      <c r="EP383">
        <v>659</v>
      </c>
      <c r="EQ383">
        <v>2000</v>
      </c>
      <c r="ER383">
        <v>21.18</v>
      </c>
      <c r="ES383">
        <v>0</v>
      </c>
      <c r="ET383">
        <v>0</v>
      </c>
      <c r="EU383">
        <v>0</v>
      </c>
      <c r="EV383">
        <v>0</v>
      </c>
      <c r="EW383">
        <v>0</v>
      </c>
      <c r="FA383">
        <v>0</v>
      </c>
      <c r="FE383">
        <v>0</v>
      </c>
      <c r="FI383">
        <v>0</v>
      </c>
      <c r="FJ383">
        <v>5441.7550000000001</v>
      </c>
      <c r="FK383">
        <v>37265</v>
      </c>
      <c r="FL383">
        <v>33230.906186040687</v>
      </c>
      <c r="FM383">
        <v>31823.245000000003</v>
      </c>
      <c r="FO383" t="s">
        <v>1083</v>
      </c>
      <c r="FP383" t="s">
        <v>1084</v>
      </c>
      <c r="FQ383" t="s">
        <v>297</v>
      </c>
      <c r="FR383" t="s">
        <v>1085</v>
      </c>
    </row>
    <row r="384" spans="1:174" x14ac:dyDescent="0.35">
      <c r="A384">
        <v>198395</v>
      </c>
      <c r="B384" t="s">
        <v>1078</v>
      </c>
      <c r="C384" t="s">
        <v>1032</v>
      </c>
      <c r="D384" t="s">
        <v>1086</v>
      </c>
      <c r="E384" s="43" t="s">
        <v>1087</v>
      </c>
      <c r="F384">
        <v>1</v>
      </c>
      <c r="I384">
        <v>43782</v>
      </c>
      <c r="L384" s="43" t="s">
        <v>3204</v>
      </c>
      <c r="M384" t="s">
        <v>1088</v>
      </c>
      <c r="N384" s="43"/>
      <c r="O384" s="43"/>
      <c r="P384" s="43"/>
      <c r="Q384" s="43"/>
      <c r="R384">
        <v>3.923</v>
      </c>
      <c r="S384">
        <v>44109</v>
      </c>
      <c r="T384" t="s">
        <v>311</v>
      </c>
      <c r="U384" t="s">
        <v>266</v>
      </c>
      <c r="V384" t="s">
        <v>267</v>
      </c>
      <c r="W384" t="s">
        <v>268</v>
      </c>
      <c r="X384" t="s">
        <v>269</v>
      </c>
      <c r="Y384">
        <v>8883022894</v>
      </c>
      <c r="Z384" t="s">
        <v>270</v>
      </c>
      <c r="AA384" t="s">
        <v>271</v>
      </c>
      <c r="AB384">
        <v>0</v>
      </c>
      <c r="AC384">
        <v>0</v>
      </c>
      <c r="AD384" t="s">
        <v>313</v>
      </c>
      <c r="AE384" t="s">
        <v>301</v>
      </c>
      <c r="AF384">
        <v>1</v>
      </c>
      <c r="AG384" t="s">
        <v>275</v>
      </c>
      <c r="AH384" t="s">
        <v>3247</v>
      </c>
      <c r="AI384" t="s">
        <v>3248</v>
      </c>
      <c r="AJ384" t="s">
        <v>3207</v>
      </c>
      <c r="AK384" s="43" t="s">
        <v>1715</v>
      </c>
      <c r="AL384" s="43" t="s">
        <v>259</v>
      </c>
      <c r="AO384" s="23"/>
      <c r="AP384" s="23"/>
      <c r="AQ384" s="23"/>
      <c r="BD384" s="43" t="s">
        <v>259</v>
      </c>
      <c r="BE384" s="43" t="s">
        <v>259</v>
      </c>
      <c r="BF384" s="43" t="s">
        <v>259</v>
      </c>
      <c r="BG384" s="43" t="s">
        <v>259</v>
      </c>
      <c r="BH384" t="s">
        <v>259</v>
      </c>
      <c r="BI384" s="43" t="s">
        <v>259</v>
      </c>
      <c r="BJ384">
        <v>0</v>
      </c>
      <c r="BK384">
        <v>44109</v>
      </c>
      <c r="BL384">
        <v>44356</v>
      </c>
      <c r="BM384">
        <v>8505</v>
      </c>
      <c r="BN384">
        <v>8505</v>
      </c>
      <c r="BO384">
        <v>8505</v>
      </c>
      <c r="BP384">
        <v>25515</v>
      </c>
      <c r="BQ384">
        <v>3300</v>
      </c>
      <c r="BR384">
        <v>400</v>
      </c>
      <c r="BS384">
        <v>400</v>
      </c>
      <c r="BT384">
        <v>4100</v>
      </c>
      <c r="BU384">
        <v>2100</v>
      </c>
      <c r="BV384">
        <v>2100</v>
      </c>
      <c r="BW384">
        <v>2100</v>
      </c>
      <c r="BX384">
        <v>6300</v>
      </c>
      <c r="BY384">
        <v>1200</v>
      </c>
      <c r="BZ384">
        <v>1200</v>
      </c>
      <c r="CA384">
        <v>1200</v>
      </c>
      <c r="CB384">
        <v>3600</v>
      </c>
      <c r="CC384">
        <v>0</v>
      </c>
      <c r="CD384">
        <v>0</v>
      </c>
      <c r="CE384">
        <v>0</v>
      </c>
      <c r="CF384">
        <v>0</v>
      </c>
      <c r="CG384">
        <v>39515</v>
      </c>
      <c r="CH384">
        <v>0</v>
      </c>
      <c r="CI384">
        <v>0</v>
      </c>
      <c r="CJ384">
        <v>0</v>
      </c>
      <c r="CK384">
        <v>0</v>
      </c>
      <c r="CL384">
        <v>1349</v>
      </c>
      <c r="CM384">
        <v>1348</v>
      </c>
      <c r="CN384">
        <v>1348</v>
      </c>
      <c r="CO384">
        <v>4045</v>
      </c>
      <c r="CP384">
        <v>500</v>
      </c>
      <c r="CQ384">
        <v>500</v>
      </c>
      <c r="CR384">
        <v>500</v>
      </c>
      <c r="CS384">
        <v>1500</v>
      </c>
      <c r="CT384">
        <v>1700</v>
      </c>
      <c r="CU384">
        <v>1700</v>
      </c>
      <c r="CV384">
        <v>1700</v>
      </c>
      <c r="CW384">
        <v>5100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0</v>
      </c>
      <c r="DD384">
        <v>0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0</v>
      </c>
      <c r="DR384">
        <v>0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0</v>
      </c>
      <c r="ED384">
        <v>10645</v>
      </c>
      <c r="EE384">
        <v>0</v>
      </c>
      <c r="EF384">
        <v>0</v>
      </c>
      <c r="EG384">
        <v>0</v>
      </c>
      <c r="EH384">
        <v>0</v>
      </c>
      <c r="EI384">
        <v>1154</v>
      </c>
      <c r="EJ384">
        <v>1154</v>
      </c>
      <c r="EK384">
        <v>1155</v>
      </c>
      <c r="EL384">
        <v>3500</v>
      </c>
      <c r="EM384">
        <v>37.065000000000005</v>
      </c>
      <c r="EN384">
        <v>660</v>
      </c>
      <c r="EO384">
        <v>660</v>
      </c>
      <c r="EP384">
        <v>659</v>
      </c>
      <c r="EQ384">
        <v>2000</v>
      </c>
      <c r="ER384">
        <v>21.18</v>
      </c>
      <c r="ES384">
        <v>0</v>
      </c>
      <c r="ET384">
        <v>0</v>
      </c>
      <c r="EU384">
        <v>0</v>
      </c>
      <c r="EV384">
        <v>0</v>
      </c>
      <c r="EW384">
        <v>0</v>
      </c>
      <c r="FA384">
        <v>0</v>
      </c>
      <c r="FE384">
        <v>0</v>
      </c>
      <c r="FI384">
        <v>0</v>
      </c>
      <c r="FJ384">
        <v>5441.7550000000001</v>
      </c>
      <c r="FK384">
        <v>28870</v>
      </c>
      <c r="FL384">
        <v>24464.563927989639</v>
      </c>
      <c r="FM384">
        <v>23428.244999999999</v>
      </c>
      <c r="FO384" t="s">
        <v>1089</v>
      </c>
      <c r="FP384" t="s">
        <v>1090</v>
      </c>
      <c r="FQ384" t="s">
        <v>1091</v>
      </c>
      <c r="FR384" t="s">
        <v>1092</v>
      </c>
    </row>
    <row r="385" spans="1:174" x14ac:dyDescent="0.35">
      <c r="A385">
        <v>196070</v>
      </c>
      <c r="B385" t="s">
        <v>1093</v>
      </c>
      <c r="C385" t="s">
        <v>1094</v>
      </c>
      <c r="D385" t="s">
        <v>1095</v>
      </c>
      <c r="E385" s="43" t="s">
        <v>1096</v>
      </c>
      <c r="F385">
        <v>1</v>
      </c>
      <c r="G385">
        <v>43790</v>
      </c>
      <c r="H385">
        <v>43790</v>
      </c>
      <c r="I385">
        <v>43790</v>
      </c>
      <c r="J385" t="s">
        <v>3923</v>
      </c>
      <c r="L385" s="43" t="s">
        <v>259</v>
      </c>
      <c r="M385" t="s">
        <v>1097</v>
      </c>
      <c r="N385" s="43"/>
      <c r="O385" s="43"/>
      <c r="P385" s="43"/>
      <c r="Q385" s="43"/>
      <c r="R385">
        <v>3.1040000000000001</v>
      </c>
      <c r="S385">
        <v>44109</v>
      </c>
      <c r="T385" t="s">
        <v>311</v>
      </c>
      <c r="U385" t="s">
        <v>266</v>
      </c>
      <c r="V385" t="s">
        <v>267</v>
      </c>
      <c r="W385" t="s">
        <v>268</v>
      </c>
      <c r="X385" t="s">
        <v>269</v>
      </c>
      <c r="Y385">
        <v>8883022894</v>
      </c>
      <c r="Z385" t="s">
        <v>270</v>
      </c>
      <c r="AA385" t="s">
        <v>271</v>
      </c>
      <c r="AB385">
        <v>0</v>
      </c>
      <c r="AC385">
        <v>0</v>
      </c>
      <c r="AD385" t="s">
        <v>313</v>
      </c>
      <c r="AE385" t="s">
        <v>274</v>
      </c>
      <c r="AF385">
        <v>9</v>
      </c>
      <c r="AG385" t="s">
        <v>275</v>
      </c>
      <c r="AH385" t="s">
        <v>259</v>
      </c>
      <c r="AI385" t="s">
        <v>259</v>
      </c>
      <c r="AJ385" t="s">
        <v>259</v>
      </c>
      <c r="AK385" s="43" t="s">
        <v>259</v>
      </c>
      <c r="AL385" s="43" t="s">
        <v>259</v>
      </c>
      <c r="AO385" s="23"/>
      <c r="AP385" s="23"/>
      <c r="AQ385" s="23"/>
      <c r="BD385" s="43" t="s">
        <v>259</v>
      </c>
      <c r="BE385" s="43" t="s">
        <v>259</v>
      </c>
      <c r="BF385" s="43" t="s">
        <v>259</v>
      </c>
      <c r="BG385" s="43" t="s">
        <v>259</v>
      </c>
      <c r="BH385" t="s">
        <v>259</v>
      </c>
      <c r="BI385" s="43" t="s">
        <v>259</v>
      </c>
      <c r="BJ385">
        <v>0</v>
      </c>
      <c r="BK385">
        <v>44109</v>
      </c>
      <c r="BL385">
        <v>44356</v>
      </c>
      <c r="BM385">
        <v>8505</v>
      </c>
      <c r="BN385">
        <v>8505</v>
      </c>
      <c r="BO385">
        <v>8505</v>
      </c>
      <c r="BP385">
        <v>25515</v>
      </c>
      <c r="BQ385">
        <v>3300</v>
      </c>
      <c r="BR385">
        <v>400</v>
      </c>
      <c r="BS385">
        <v>400</v>
      </c>
      <c r="BT385">
        <v>4100</v>
      </c>
      <c r="BU385">
        <v>2100</v>
      </c>
      <c r="BV385">
        <v>2100</v>
      </c>
      <c r="BW385">
        <v>2100</v>
      </c>
      <c r="BX385">
        <v>6300</v>
      </c>
      <c r="BY385">
        <v>1200</v>
      </c>
      <c r="BZ385">
        <v>1200</v>
      </c>
      <c r="CA385">
        <v>1200</v>
      </c>
      <c r="CB385">
        <v>3600</v>
      </c>
      <c r="CC385">
        <v>0</v>
      </c>
      <c r="CD385">
        <v>0</v>
      </c>
      <c r="CE385">
        <v>0</v>
      </c>
      <c r="CF385">
        <v>0</v>
      </c>
      <c r="CG385">
        <v>39515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0</v>
      </c>
      <c r="DA385">
        <v>0</v>
      </c>
      <c r="DB385">
        <v>0</v>
      </c>
      <c r="DC385">
        <v>0</v>
      </c>
      <c r="DD385">
        <v>0</v>
      </c>
      <c r="DE385">
        <v>0</v>
      </c>
      <c r="DF385">
        <v>0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0</v>
      </c>
      <c r="DP385">
        <v>0</v>
      </c>
      <c r="DQ385">
        <v>0</v>
      </c>
      <c r="DR385">
        <v>0</v>
      </c>
      <c r="DS385">
        <v>0</v>
      </c>
      <c r="DT385">
        <v>0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0</v>
      </c>
      <c r="EF385">
        <v>0</v>
      </c>
      <c r="EG385">
        <v>0</v>
      </c>
      <c r="EH385">
        <v>0</v>
      </c>
      <c r="EI385">
        <v>1154</v>
      </c>
      <c r="EJ385">
        <v>1154</v>
      </c>
      <c r="EK385">
        <v>1155</v>
      </c>
      <c r="EL385">
        <v>3500</v>
      </c>
      <c r="EM385">
        <v>37.065000000000005</v>
      </c>
      <c r="EN385">
        <v>660</v>
      </c>
      <c r="EO385">
        <v>660</v>
      </c>
      <c r="EP385">
        <v>659</v>
      </c>
      <c r="EQ385">
        <v>2000</v>
      </c>
      <c r="ER385">
        <v>21.18</v>
      </c>
      <c r="ES385">
        <v>0</v>
      </c>
      <c r="ET385">
        <v>0</v>
      </c>
      <c r="EU385">
        <v>0</v>
      </c>
      <c r="EV385">
        <v>0</v>
      </c>
      <c r="EW385">
        <v>0</v>
      </c>
      <c r="FA385">
        <v>0</v>
      </c>
      <c r="FE385">
        <v>0</v>
      </c>
      <c r="FI385">
        <v>0</v>
      </c>
      <c r="FJ385">
        <v>5441.7550000000001</v>
      </c>
      <c r="FK385">
        <v>39515</v>
      </c>
      <c r="FL385">
        <v>35580.43210392214</v>
      </c>
      <c r="FM385">
        <v>34073.245000000003</v>
      </c>
      <c r="FO385" t="s">
        <v>1098</v>
      </c>
      <c r="FP385" t="s">
        <v>1099</v>
      </c>
      <c r="FQ385" t="s">
        <v>735</v>
      </c>
      <c r="FR385" t="s">
        <v>1100</v>
      </c>
    </row>
    <row r="386" spans="1:174" x14ac:dyDescent="0.35">
      <c r="A386">
        <v>193881</v>
      </c>
      <c r="B386" t="s">
        <v>1101</v>
      </c>
      <c r="C386" t="s">
        <v>1102</v>
      </c>
      <c r="D386" t="s">
        <v>1103</v>
      </c>
      <c r="E386" s="43" t="s">
        <v>1104</v>
      </c>
      <c r="L386" s="43" t="s">
        <v>259</v>
      </c>
      <c r="M386" t="s">
        <v>1105</v>
      </c>
      <c r="N386" s="43"/>
      <c r="O386" s="43"/>
      <c r="P386" s="43"/>
      <c r="Q386" s="43"/>
      <c r="R386">
        <v>3.98</v>
      </c>
      <c r="S386">
        <v>44109</v>
      </c>
      <c r="T386" t="s">
        <v>311</v>
      </c>
      <c r="U386" t="s">
        <v>286</v>
      </c>
      <c r="V386" t="s">
        <v>1110</v>
      </c>
      <c r="W386" t="s">
        <v>268</v>
      </c>
      <c r="X386" t="s">
        <v>269</v>
      </c>
      <c r="Y386">
        <v>8883022894</v>
      </c>
      <c r="Z386" t="s">
        <v>270</v>
      </c>
      <c r="AA386" t="s">
        <v>271</v>
      </c>
      <c r="AB386" t="s">
        <v>969</v>
      </c>
      <c r="AC386">
        <v>0</v>
      </c>
      <c r="AD386" t="s">
        <v>1111</v>
      </c>
      <c r="AE386" t="s">
        <v>301</v>
      </c>
      <c r="AF386">
        <v>1</v>
      </c>
      <c r="AG386" t="s">
        <v>275</v>
      </c>
      <c r="AH386" t="s">
        <v>259</v>
      </c>
      <c r="AI386" t="s">
        <v>259</v>
      </c>
      <c r="AJ386" t="s">
        <v>259</v>
      </c>
      <c r="AK386" s="43" t="s">
        <v>259</v>
      </c>
      <c r="AL386" s="43" t="s">
        <v>259</v>
      </c>
      <c r="AO386" s="23"/>
      <c r="AP386" s="23"/>
      <c r="AQ386" s="23"/>
      <c r="BD386" s="43" t="s">
        <v>259</v>
      </c>
      <c r="BE386" s="43" t="s">
        <v>259</v>
      </c>
      <c r="BF386" s="43" t="s">
        <v>259</v>
      </c>
      <c r="BG386" s="43" t="s">
        <v>259</v>
      </c>
      <c r="BH386" t="s">
        <v>259</v>
      </c>
      <c r="BI386" s="43" t="s">
        <v>259</v>
      </c>
      <c r="BJ386">
        <v>0</v>
      </c>
      <c r="BK386">
        <v>44109</v>
      </c>
      <c r="BL386">
        <v>44356</v>
      </c>
      <c r="BM386">
        <v>8505</v>
      </c>
      <c r="BN386">
        <v>8505</v>
      </c>
      <c r="BO386">
        <v>8505</v>
      </c>
      <c r="BP386">
        <v>25515</v>
      </c>
      <c r="BQ386">
        <v>3300</v>
      </c>
      <c r="BR386">
        <v>400</v>
      </c>
      <c r="BS386">
        <v>400</v>
      </c>
      <c r="BT386">
        <v>4100</v>
      </c>
      <c r="BU386">
        <v>2100</v>
      </c>
      <c r="BV386">
        <v>2100</v>
      </c>
      <c r="BW386">
        <v>2100</v>
      </c>
      <c r="BX386">
        <v>6300</v>
      </c>
      <c r="BY386">
        <v>1200</v>
      </c>
      <c r="BZ386">
        <v>1200</v>
      </c>
      <c r="CA386">
        <v>1200</v>
      </c>
      <c r="CB386">
        <v>3600</v>
      </c>
      <c r="CC386">
        <v>0</v>
      </c>
      <c r="CD386">
        <v>0</v>
      </c>
      <c r="CE386">
        <v>0</v>
      </c>
      <c r="CF386">
        <v>0</v>
      </c>
      <c r="CG386">
        <v>39515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0</v>
      </c>
      <c r="CS386">
        <v>0</v>
      </c>
      <c r="CT386">
        <v>1700</v>
      </c>
      <c r="CU386">
        <v>1700</v>
      </c>
      <c r="CV386">
        <v>1700</v>
      </c>
      <c r="CW386">
        <v>5100</v>
      </c>
      <c r="CX386">
        <v>0</v>
      </c>
      <c r="CY386">
        <v>0</v>
      </c>
      <c r="CZ386">
        <v>0</v>
      </c>
      <c r="DA386">
        <v>0</v>
      </c>
      <c r="DB386">
        <v>1000</v>
      </c>
      <c r="DC386">
        <v>1000</v>
      </c>
      <c r="DD386">
        <v>1000</v>
      </c>
      <c r="DE386">
        <v>3000</v>
      </c>
      <c r="DF386">
        <v>0</v>
      </c>
      <c r="DG386">
        <v>0</v>
      </c>
      <c r="DH386">
        <v>0</v>
      </c>
      <c r="DN386">
        <v>0</v>
      </c>
      <c r="DO386">
        <v>0</v>
      </c>
      <c r="DP386">
        <v>0</v>
      </c>
      <c r="DQ386">
        <v>0</v>
      </c>
      <c r="DR386">
        <v>0</v>
      </c>
      <c r="DS386">
        <v>0</v>
      </c>
      <c r="DT386">
        <v>0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8100</v>
      </c>
      <c r="EE386">
        <v>0</v>
      </c>
      <c r="EF386">
        <v>0</v>
      </c>
      <c r="EG386">
        <v>0</v>
      </c>
      <c r="EH386">
        <v>0</v>
      </c>
      <c r="EI386">
        <v>1154</v>
      </c>
      <c r="EJ386">
        <v>1154</v>
      </c>
      <c r="EK386">
        <v>1155</v>
      </c>
      <c r="EL386">
        <v>3500</v>
      </c>
      <c r="EM386">
        <v>37.065000000000005</v>
      </c>
      <c r="EN386">
        <v>660</v>
      </c>
      <c r="EO386">
        <v>660</v>
      </c>
      <c r="EP386">
        <v>659</v>
      </c>
      <c r="EQ386">
        <v>2000</v>
      </c>
      <c r="ER386">
        <v>21.18</v>
      </c>
      <c r="ES386">
        <v>0</v>
      </c>
      <c r="ET386">
        <v>0</v>
      </c>
      <c r="EU386">
        <v>0</v>
      </c>
      <c r="EV386">
        <v>0</v>
      </c>
      <c r="EW386">
        <v>0</v>
      </c>
      <c r="FA386">
        <v>0</v>
      </c>
      <c r="FE386">
        <v>0</v>
      </c>
      <c r="FI386">
        <v>0</v>
      </c>
      <c r="FJ386">
        <v>5441.7550000000001</v>
      </c>
      <c r="FK386">
        <v>31415</v>
      </c>
      <c r="FL386">
        <v>27125.537847773412</v>
      </c>
      <c r="FM386">
        <v>25973.244999999999</v>
      </c>
      <c r="FO386" t="s">
        <v>1106</v>
      </c>
      <c r="FP386" t="s">
        <v>1107</v>
      </c>
      <c r="FQ386" t="s">
        <v>1108</v>
      </c>
      <c r="FR386" t="s">
        <v>1109</v>
      </c>
    </row>
    <row r="387" spans="1:174" x14ac:dyDescent="0.35">
      <c r="A387">
        <v>198356</v>
      </c>
      <c r="B387" t="s">
        <v>3766</v>
      </c>
      <c r="C387" t="s">
        <v>3767</v>
      </c>
      <c r="D387" t="s">
        <v>3768</v>
      </c>
      <c r="E387" s="43" t="s">
        <v>4171</v>
      </c>
      <c r="F387">
        <v>2</v>
      </c>
      <c r="G387">
        <v>43803</v>
      </c>
      <c r="H387">
        <v>43803</v>
      </c>
      <c r="I387">
        <v>43803</v>
      </c>
      <c r="K387" t="s">
        <v>1715</v>
      </c>
      <c r="L387" s="43" t="s">
        <v>3204</v>
      </c>
      <c r="M387" t="s">
        <v>3769</v>
      </c>
      <c r="N387" s="43"/>
      <c r="O387" s="43"/>
      <c r="P387" s="43"/>
      <c r="Q387" s="43"/>
      <c r="R387">
        <v>3.4</v>
      </c>
      <c r="S387">
        <v>44109</v>
      </c>
      <c r="T387" t="s">
        <v>285</v>
      </c>
      <c r="U387" t="s">
        <v>266</v>
      </c>
      <c r="V387" t="s">
        <v>267</v>
      </c>
      <c r="W387" t="s">
        <v>268</v>
      </c>
      <c r="X387" t="s">
        <v>269</v>
      </c>
      <c r="Y387">
        <v>8883022894</v>
      </c>
      <c r="Z387" t="s">
        <v>270</v>
      </c>
      <c r="AA387" t="s">
        <v>271</v>
      </c>
      <c r="AB387" t="s">
        <v>526</v>
      </c>
      <c r="AC387" t="s">
        <v>653</v>
      </c>
      <c r="AD387" t="s">
        <v>3773</v>
      </c>
      <c r="AE387" t="s">
        <v>289</v>
      </c>
      <c r="AF387">
        <v>2</v>
      </c>
      <c r="AG387" t="s">
        <v>3345</v>
      </c>
      <c r="AH387" t="s">
        <v>3824</v>
      </c>
      <c r="AI387" t="s">
        <v>3825</v>
      </c>
      <c r="AJ387" t="s">
        <v>3821</v>
      </c>
      <c r="AK387" s="43" t="s">
        <v>3208</v>
      </c>
      <c r="AL387" s="43" t="s">
        <v>3209</v>
      </c>
      <c r="AO387" s="23">
        <v>43786</v>
      </c>
      <c r="AP387" s="23">
        <v>43785</v>
      </c>
      <c r="AQ387" s="23">
        <v>43785</v>
      </c>
      <c r="BD387" s="43" t="s">
        <v>2018</v>
      </c>
      <c r="BE387" s="43" t="s">
        <v>2018</v>
      </c>
      <c r="BF387" s="43" t="s">
        <v>2018</v>
      </c>
      <c r="BG387" s="43" t="s">
        <v>2018</v>
      </c>
      <c r="BH387" t="s">
        <v>2018</v>
      </c>
      <c r="BI387" s="43" t="s">
        <v>2018</v>
      </c>
      <c r="BJ387">
        <v>0.17647058823529416</v>
      </c>
      <c r="BK387">
        <v>44109</v>
      </c>
      <c r="BL387">
        <v>44356</v>
      </c>
      <c r="BM387">
        <v>8505</v>
      </c>
      <c r="BN387">
        <v>8505</v>
      </c>
      <c r="BO387">
        <v>8505</v>
      </c>
      <c r="BP387">
        <v>25515</v>
      </c>
      <c r="BQ387">
        <v>3300</v>
      </c>
      <c r="BR387">
        <v>400</v>
      </c>
      <c r="BS387">
        <v>400</v>
      </c>
      <c r="BT387">
        <v>4100</v>
      </c>
      <c r="BU387">
        <v>2100</v>
      </c>
      <c r="BV387">
        <v>2100</v>
      </c>
      <c r="BW387">
        <v>2100</v>
      </c>
      <c r="BX387">
        <v>6300</v>
      </c>
      <c r="BY387">
        <v>1200</v>
      </c>
      <c r="BZ387">
        <v>1200</v>
      </c>
      <c r="CA387">
        <v>1200</v>
      </c>
      <c r="CB387">
        <v>3600</v>
      </c>
      <c r="CF387">
        <v>0</v>
      </c>
      <c r="CG387">
        <v>39515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1500</v>
      </c>
      <c r="CU387">
        <v>1500</v>
      </c>
      <c r="CV387">
        <v>1500</v>
      </c>
      <c r="CW387">
        <v>4500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0</v>
      </c>
      <c r="DD387">
        <v>0</v>
      </c>
      <c r="DE387">
        <v>0</v>
      </c>
      <c r="DF387">
        <v>0</v>
      </c>
      <c r="DG387">
        <v>0</v>
      </c>
      <c r="DH387">
        <v>0</v>
      </c>
      <c r="DN387">
        <v>0</v>
      </c>
      <c r="DO387">
        <v>0</v>
      </c>
      <c r="DP387">
        <v>0</v>
      </c>
      <c r="DR387">
        <v>0</v>
      </c>
      <c r="DS387">
        <v>0</v>
      </c>
      <c r="DT387">
        <v>0</v>
      </c>
      <c r="DY387">
        <v>0</v>
      </c>
      <c r="EC387">
        <v>0</v>
      </c>
      <c r="ED387">
        <v>4500</v>
      </c>
      <c r="EH387">
        <v>0</v>
      </c>
      <c r="EI387">
        <v>0</v>
      </c>
      <c r="EJ387">
        <v>0</v>
      </c>
      <c r="EK387">
        <v>0</v>
      </c>
      <c r="EM387">
        <v>0</v>
      </c>
      <c r="EN387">
        <v>660</v>
      </c>
      <c r="EO387">
        <v>660</v>
      </c>
      <c r="EP387">
        <v>659</v>
      </c>
      <c r="EQ387">
        <v>2000</v>
      </c>
      <c r="ER387">
        <v>21.24</v>
      </c>
      <c r="ES387">
        <v>0</v>
      </c>
      <c r="ET387">
        <v>0</v>
      </c>
      <c r="EU387">
        <v>0</v>
      </c>
      <c r="EW387">
        <v>0</v>
      </c>
      <c r="FA387">
        <v>0</v>
      </c>
      <c r="FE387">
        <v>0</v>
      </c>
      <c r="FI387">
        <v>0</v>
      </c>
      <c r="FJ387">
        <v>1978.76</v>
      </c>
      <c r="FK387">
        <v>35015</v>
      </c>
      <c r="FL387">
        <v>34501.879856295425</v>
      </c>
      <c r="FM387">
        <v>33036.239999999998</v>
      </c>
      <c r="FO387" t="s">
        <v>3770</v>
      </c>
      <c r="FP387" t="s">
        <v>3771</v>
      </c>
      <c r="FQ387" t="s">
        <v>454</v>
      </c>
      <c r="FR387" t="s">
        <v>3772</v>
      </c>
    </row>
    <row r="388" spans="1:174" x14ac:dyDescent="0.35">
      <c r="A388">
        <v>197371</v>
      </c>
      <c r="B388" t="s">
        <v>3522</v>
      </c>
      <c r="C388" t="s">
        <v>3523</v>
      </c>
      <c r="D388" t="s">
        <v>3524</v>
      </c>
      <c r="E388" s="43" t="s">
        <v>4182</v>
      </c>
      <c r="F388">
        <v>1</v>
      </c>
      <c r="I388">
        <v>43794</v>
      </c>
      <c r="L388" s="43" t="s">
        <v>3204</v>
      </c>
      <c r="M388" t="s">
        <v>3525</v>
      </c>
      <c r="N388" s="43"/>
      <c r="O388" s="43"/>
      <c r="P388" s="43"/>
      <c r="Q388" s="43"/>
      <c r="R388">
        <v>2.9</v>
      </c>
      <c r="S388">
        <v>44109</v>
      </c>
      <c r="T388" t="s">
        <v>285</v>
      </c>
      <c r="U388" t="s">
        <v>266</v>
      </c>
      <c r="V388" t="s">
        <v>267</v>
      </c>
      <c r="W388" t="s">
        <v>268</v>
      </c>
      <c r="X388" t="s">
        <v>269</v>
      </c>
      <c r="Y388">
        <v>8883022894</v>
      </c>
      <c r="Z388" t="s">
        <v>270</v>
      </c>
      <c r="AA388" t="s">
        <v>271</v>
      </c>
      <c r="AB388">
        <v>0</v>
      </c>
      <c r="AC388">
        <v>0</v>
      </c>
      <c r="AD388" t="s">
        <v>313</v>
      </c>
      <c r="AE388" t="s">
        <v>324</v>
      </c>
      <c r="AF388">
        <v>8</v>
      </c>
      <c r="AG388" t="s">
        <v>3345</v>
      </c>
      <c r="AH388" t="s">
        <v>3597</v>
      </c>
      <c r="AI388" t="s">
        <v>3598</v>
      </c>
      <c r="AJ388" t="s">
        <v>3207</v>
      </c>
      <c r="AK388" s="43" t="s">
        <v>1715</v>
      </c>
      <c r="AL388" s="43" t="s">
        <v>259</v>
      </c>
      <c r="AO388" s="23"/>
      <c r="AP388" s="23"/>
      <c r="AQ388" s="23"/>
      <c r="BD388" s="43" t="s">
        <v>259</v>
      </c>
      <c r="BE388" s="43" t="s">
        <v>259</v>
      </c>
      <c r="BF388" s="43" t="s">
        <v>259</v>
      </c>
      <c r="BG388" s="43" t="s">
        <v>259</v>
      </c>
      <c r="BH388" t="s">
        <v>259</v>
      </c>
      <c r="BI388" s="43" t="s">
        <v>259</v>
      </c>
      <c r="BJ388">
        <v>0</v>
      </c>
      <c r="BK388">
        <v>44109</v>
      </c>
      <c r="BL388">
        <v>44356</v>
      </c>
      <c r="BM388">
        <v>8505</v>
      </c>
      <c r="BN388">
        <v>8505</v>
      </c>
      <c r="BO388">
        <v>8505</v>
      </c>
      <c r="BP388">
        <v>25515</v>
      </c>
      <c r="BQ388">
        <v>3300</v>
      </c>
      <c r="BR388">
        <v>400</v>
      </c>
      <c r="BS388">
        <v>400</v>
      </c>
      <c r="BT388">
        <v>4100</v>
      </c>
      <c r="BU388">
        <v>2100</v>
      </c>
      <c r="BV388">
        <v>2100</v>
      </c>
      <c r="BW388">
        <v>2100</v>
      </c>
      <c r="BX388">
        <v>6300</v>
      </c>
      <c r="BY388">
        <v>1200</v>
      </c>
      <c r="BZ388">
        <v>1200</v>
      </c>
      <c r="CA388">
        <v>1200</v>
      </c>
      <c r="CB388">
        <v>3600</v>
      </c>
      <c r="CF388">
        <v>0</v>
      </c>
      <c r="CG388">
        <v>39515</v>
      </c>
      <c r="CK388">
        <v>0</v>
      </c>
      <c r="CL388">
        <v>1315</v>
      </c>
      <c r="CM388">
        <v>1315</v>
      </c>
      <c r="CN388">
        <v>1315</v>
      </c>
      <c r="CO388">
        <v>3945</v>
      </c>
      <c r="CP388">
        <v>500</v>
      </c>
      <c r="CQ388">
        <v>500</v>
      </c>
      <c r="CR388">
        <v>500</v>
      </c>
      <c r="CS388">
        <v>1500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F388">
        <v>0</v>
      </c>
      <c r="DG388">
        <v>0</v>
      </c>
      <c r="DH388">
        <v>0</v>
      </c>
      <c r="DN388">
        <v>0</v>
      </c>
      <c r="DO388">
        <v>0</v>
      </c>
      <c r="DP388">
        <v>0</v>
      </c>
      <c r="DR388">
        <v>0</v>
      </c>
      <c r="DS388">
        <v>0</v>
      </c>
      <c r="DT388">
        <v>0</v>
      </c>
      <c r="DY388">
        <v>0</v>
      </c>
      <c r="EC388">
        <v>0</v>
      </c>
      <c r="ED388">
        <v>5445</v>
      </c>
      <c r="EH388">
        <v>0</v>
      </c>
      <c r="EI388">
        <v>0</v>
      </c>
      <c r="EJ388">
        <v>0</v>
      </c>
      <c r="EK388">
        <v>0</v>
      </c>
      <c r="EM388">
        <v>0</v>
      </c>
      <c r="EN388">
        <v>660</v>
      </c>
      <c r="EO388">
        <v>660</v>
      </c>
      <c r="EP388">
        <v>659</v>
      </c>
      <c r="EQ388">
        <v>2000</v>
      </c>
      <c r="ER388">
        <v>21.24</v>
      </c>
      <c r="ES388">
        <v>0</v>
      </c>
      <c r="ET388">
        <v>0</v>
      </c>
      <c r="EU388">
        <v>0</v>
      </c>
      <c r="EW388">
        <v>0</v>
      </c>
      <c r="FA388">
        <v>0</v>
      </c>
      <c r="FE388">
        <v>0</v>
      </c>
      <c r="FI388">
        <v>0</v>
      </c>
      <c r="FJ388">
        <v>1978.76</v>
      </c>
      <c r="FK388">
        <v>34070</v>
      </c>
      <c r="FL388">
        <v>33514.95530119475</v>
      </c>
      <c r="FM388">
        <v>32091.24</v>
      </c>
      <c r="FO388" t="s">
        <v>3526</v>
      </c>
      <c r="FP388" t="s">
        <v>3527</v>
      </c>
      <c r="FQ388" t="s">
        <v>342</v>
      </c>
      <c r="FR388" t="s">
        <v>3528</v>
      </c>
    </row>
    <row r="389" spans="1:174" x14ac:dyDescent="0.35">
      <c r="A389">
        <v>198874</v>
      </c>
      <c r="B389" t="s">
        <v>3529</v>
      </c>
      <c r="C389" t="s">
        <v>3530</v>
      </c>
      <c r="D389" t="s">
        <v>3531</v>
      </c>
      <c r="E389" s="43" t="s">
        <v>4213</v>
      </c>
      <c r="J389" t="s">
        <v>3425</v>
      </c>
      <c r="L389" s="43" t="s">
        <v>259</v>
      </c>
      <c r="M389" t="s">
        <v>3532</v>
      </c>
      <c r="N389" s="43"/>
      <c r="O389" s="43"/>
      <c r="P389" s="43"/>
      <c r="Q389" s="43"/>
      <c r="R389">
        <v>3.2921999999999998</v>
      </c>
      <c r="S389">
        <v>44109</v>
      </c>
      <c r="T389" t="s">
        <v>311</v>
      </c>
      <c r="U389" t="s">
        <v>266</v>
      </c>
      <c r="V389" t="s">
        <v>267</v>
      </c>
      <c r="W389" t="s">
        <v>268</v>
      </c>
      <c r="X389" t="s">
        <v>269</v>
      </c>
      <c r="Y389">
        <v>8883022894</v>
      </c>
      <c r="Z389" t="s">
        <v>270</v>
      </c>
      <c r="AA389" t="s">
        <v>271</v>
      </c>
      <c r="AB389">
        <v>0</v>
      </c>
      <c r="AC389" t="s">
        <v>697</v>
      </c>
      <c r="AD389" t="s">
        <v>288</v>
      </c>
      <c r="AE389" t="s">
        <v>364</v>
      </c>
      <c r="AF389">
        <v>3</v>
      </c>
      <c r="AG389" t="s">
        <v>3345</v>
      </c>
      <c r="AH389" t="s">
        <v>259</v>
      </c>
      <c r="AI389" t="s">
        <v>259</v>
      </c>
      <c r="AJ389" t="s">
        <v>259</v>
      </c>
      <c r="AK389" s="43" t="s">
        <v>259</v>
      </c>
      <c r="AL389" s="43" t="s">
        <v>259</v>
      </c>
      <c r="AO389" s="23"/>
      <c r="AP389" s="23"/>
      <c r="AQ389" s="23"/>
      <c r="BD389" s="43" t="s">
        <v>259</v>
      </c>
      <c r="BE389" s="43" t="s">
        <v>259</v>
      </c>
      <c r="BF389" s="43" t="s">
        <v>259</v>
      </c>
      <c r="BG389" s="43" t="s">
        <v>259</v>
      </c>
      <c r="BH389" t="s">
        <v>259</v>
      </c>
      <c r="BI389" s="43" t="s">
        <v>259</v>
      </c>
      <c r="BJ389">
        <v>0</v>
      </c>
      <c r="BK389">
        <v>44109</v>
      </c>
      <c r="BL389">
        <v>44356</v>
      </c>
      <c r="BM389">
        <v>8505</v>
      </c>
      <c r="BN389">
        <v>8505</v>
      </c>
      <c r="BO389">
        <v>8505</v>
      </c>
      <c r="BP389">
        <v>25515</v>
      </c>
      <c r="BQ389">
        <v>3300</v>
      </c>
      <c r="BR389">
        <v>400</v>
      </c>
      <c r="BS389">
        <v>400</v>
      </c>
      <c r="BT389">
        <v>4100</v>
      </c>
      <c r="BU389">
        <v>2100</v>
      </c>
      <c r="BV389">
        <v>2100</v>
      </c>
      <c r="BW389">
        <v>2100</v>
      </c>
      <c r="BX389">
        <v>6300</v>
      </c>
      <c r="BY389">
        <v>1200</v>
      </c>
      <c r="BZ389">
        <v>1200</v>
      </c>
      <c r="CA389">
        <v>1200</v>
      </c>
      <c r="CB389">
        <v>3600</v>
      </c>
      <c r="CF389">
        <v>0</v>
      </c>
      <c r="CG389">
        <v>39515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1300</v>
      </c>
      <c r="CU389">
        <v>1300</v>
      </c>
      <c r="CV389">
        <v>1300</v>
      </c>
      <c r="CW389">
        <v>3900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0</v>
      </c>
      <c r="DE389">
        <v>0</v>
      </c>
      <c r="DF389">
        <v>0</v>
      </c>
      <c r="DG389">
        <v>0</v>
      </c>
      <c r="DH389">
        <v>0</v>
      </c>
      <c r="DN389">
        <v>0</v>
      </c>
      <c r="DO389">
        <v>0</v>
      </c>
      <c r="DP389">
        <v>0</v>
      </c>
      <c r="DR389">
        <v>0</v>
      </c>
      <c r="DS389">
        <v>0</v>
      </c>
      <c r="DT389">
        <v>0</v>
      </c>
      <c r="DY389">
        <v>0</v>
      </c>
      <c r="EC389">
        <v>0</v>
      </c>
      <c r="ED389">
        <v>3900</v>
      </c>
      <c r="EH389">
        <v>0</v>
      </c>
      <c r="EI389">
        <v>0</v>
      </c>
      <c r="EJ389">
        <v>0</v>
      </c>
      <c r="EK389">
        <v>0</v>
      </c>
      <c r="EM389">
        <v>0</v>
      </c>
      <c r="EN389">
        <v>660</v>
      </c>
      <c r="EO389">
        <v>660</v>
      </c>
      <c r="EP389">
        <v>659</v>
      </c>
      <c r="EQ389">
        <v>2000</v>
      </c>
      <c r="ER389">
        <v>21.24</v>
      </c>
      <c r="ES389">
        <v>0</v>
      </c>
      <c r="ET389">
        <v>0</v>
      </c>
      <c r="EU389">
        <v>0</v>
      </c>
      <c r="EW389">
        <v>0</v>
      </c>
      <c r="FA389">
        <v>0</v>
      </c>
      <c r="FE389">
        <v>0</v>
      </c>
      <c r="FI389">
        <v>0</v>
      </c>
      <c r="FJ389">
        <v>1978.76</v>
      </c>
      <c r="FK389">
        <v>35615</v>
      </c>
      <c r="FL389">
        <v>35128.49862143871</v>
      </c>
      <c r="FM389">
        <v>33636.239999999998</v>
      </c>
      <c r="FO389" t="s">
        <v>3533</v>
      </c>
      <c r="FP389" t="s">
        <v>3534</v>
      </c>
      <c r="FQ389" t="s">
        <v>705</v>
      </c>
      <c r="FR389" t="s">
        <v>3535</v>
      </c>
    </row>
    <row r="390" spans="1:174" x14ac:dyDescent="0.35">
      <c r="A390">
        <v>196939</v>
      </c>
      <c r="B390" t="s">
        <v>1112</v>
      </c>
      <c r="C390" t="s">
        <v>1113</v>
      </c>
      <c r="D390" t="s">
        <v>1114</v>
      </c>
      <c r="E390" s="43" t="s">
        <v>1115</v>
      </c>
      <c r="F390">
        <v>1</v>
      </c>
      <c r="I390">
        <v>43782</v>
      </c>
      <c r="L390" s="43" t="s">
        <v>301</v>
      </c>
      <c r="M390" t="s">
        <v>1116</v>
      </c>
      <c r="N390" s="43"/>
      <c r="O390" s="43"/>
      <c r="P390" s="43"/>
      <c r="Q390" s="43"/>
      <c r="R390">
        <v>3.8</v>
      </c>
      <c r="S390">
        <v>44109</v>
      </c>
      <c r="T390" t="s">
        <v>285</v>
      </c>
      <c r="U390" t="s">
        <v>266</v>
      </c>
      <c r="V390" t="s">
        <v>267</v>
      </c>
      <c r="W390" t="s">
        <v>268</v>
      </c>
      <c r="X390" t="s">
        <v>269</v>
      </c>
      <c r="Y390">
        <v>8883022894</v>
      </c>
      <c r="Z390" t="s">
        <v>270</v>
      </c>
      <c r="AA390" t="s">
        <v>271</v>
      </c>
      <c r="AB390" t="s">
        <v>679</v>
      </c>
      <c r="AC390">
        <v>0</v>
      </c>
      <c r="AD390" t="s">
        <v>387</v>
      </c>
      <c r="AE390" t="s">
        <v>364</v>
      </c>
      <c r="AF390">
        <v>3</v>
      </c>
      <c r="AG390" t="s">
        <v>275</v>
      </c>
      <c r="AH390" t="s">
        <v>3226</v>
      </c>
      <c r="AI390" t="s">
        <v>313</v>
      </c>
      <c r="AJ390" t="s">
        <v>4237</v>
      </c>
      <c r="AK390" s="43" t="s">
        <v>1715</v>
      </c>
      <c r="AL390" s="43" t="s">
        <v>259</v>
      </c>
      <c r="AO390" s="23"/>
      <c r="AP390" s="23"/>
      <c r="AQ390" s="23"/>
      <c r="BD390" s="43" t="s">
        <v>259</v>
      </c>
      <c r="BE390" s="43" t="s">
        <v>259</v>
      </c>
      <c r="BF390" s="43" t="s">
        <v>259</v>
      </c>
      <c r="BG390" s="43" t="s">
        <v>259</v>
      </c>
      <c r="BH390" t="s">
        <v>259</v>
      </c>
      <c r="BI390" s="43" t="s">
        <v>259</v>
      </c>
      <c r="BJ390">
        <v>0</v>
      </c>
      <c r="BK390">
        <v>44109</v>
      </c>
      <c r="BL390">
        <v>44356</v>
      </c>
      <c r="BM390">
        <v>8505</v>
      </c>
      <c r="BN390">
        <v>8505</v>
      </c>
      <c r="BO390">
        <v>8505</v>
      </c>
      <c r="BP390">
        <v>25515</v>
      </c>
      <c r="BQ390">
        <v>3300</v>
      </c>
      <c r="BR390">
        <v>400</v>
      </c>
      <c r="BS390">
        <v>400</v>
      </c>
      <c r="BT390">
        <v>4100</v>
      </c>
      <c r="BU390">
        <v>2100</v>
      </c>
      <c r="BV390">
        <v>2100</v>
      </c>
      <c r="BW390">
        <v>2100</v>
      </c>
      <c r="BX390">
        <v>6300</v>
      </c>
      <c r="BY390">
        <v>1200</v>
      </c>
      <c r="BZ390">
        <v>1200</v>
      </c>
      <c r="CA390">
        <v>1200</v>
      </c>
      <c r="CB390">
        <v>3600</v>
      </c>
      <c r="CC390">
        <v>0</v>
      </c>
      <c r="CD390">
        <v>0</v>
      </c>
      <c r="CE390">
        <v>0</v>
      </c>
      <c r="CF390">
        <v>0</v>
      </c>
      <c r="CG390">
        <v>39515</v>
      </c>
      <c r="CH390">
        <v>0</v>
      </c>
      <c r="CI390">
        <v>0</v>
      </c>
      <c r="CJ390">
        <v>0</v>
      </c>
      <c r="CK390">
        <v>0</v>
      </c>
      <c r="CL390">
        <v>2065</v>
      </c>
      <c r="CM390">
        <v>2065</v>
      </c>
      <c r="CN390">
        <v>2065</v>
      </c>
      <c r="CO390">
        <v>6195</v>
      </c>
      <c r="CP390">
        <v>500</v>
      </c>
      <c r="CQ390">
        <v>500</v>
      </c>
      <c r="CR390">
        <v>500</v>
      </c>
      <c r="CS390">
        <v>1500</v>
      </c>
      <c r="CT390">
        <v>1300</v>
      </c>
      <c r="CU390">
        <v>1300</v>
      </c>
      <c r="CV390">
        <v>1300</v>
      </c>
      <c r="CW390">
        <v>3900</v>
      </c>
      <c r="CX390">
        <v>0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Q390">
        <v>0</v>
      </c>
      <c r="DR390">
        <v>0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11595</v>
      </c>
      <c r="EE390">
        <v>0</v>
      </c>
      <c r="EF390">
        <v>0</v>
      </c>
      <c r="EG390">
        <v>0</v>
      </c>
      <c r="EH390">
        <v>0</v>
      </c>
      <c r="EI390">
        <v>1154</v>
      </c>
      <c r="EJ390">
        <v>1154</v>
      </c>
      <c r="EK390">
        <v>1155</v>
      </c>
      <c r="EL390">
        <v>3500</v>
      </c>
      <c r="EM390">
        <v>37.065000000000005</v>
      </c>
      <c r="EN390">
        <v>1979</v>
      </c>
      <c r="EO390">
        <v>1979</v>
      </c>
      <c r="EP390">
        <v>1978</v>
      </c>
      <c r="EQ390">
        <v>6000</v>
      </c>
      <c r="ER390">
        <v>63.540000000000006</v>
      </c>
      <c r="ES390">
        <v>0</v>
      </c>
      <c r="ET390">
        <v>0</v>
      </c>
      <c r="EU390">
        <v>0</v>
      </c>
      <c r="EV390">
        <v>0</v>
      </c>
      <c r="EW390">
        <v>0</v>
      </c>
      <c r="FA390">
        <v>0</v>
      </c>
      <c r="FE390">
        <v>0</v>
      </c>
      <c r="FI390">
        <v>0</v>
      </c>
      <c r="FJ390">
        <v>9399.3950000000004</v>
      </c>
      <c r="FK390">
        <v>27920</v>
      </c>
      <c r="FL390">
        <v>19339.84064993108</v>
      </c>
      <c r="FM390">
        <v>18520.605</v>
      </c>
      <c r="FO390" t="s">
        <v>1117</v>
      </c>
      <c r="FP390" t="s">
        <v>506</v>
      </c>
      <c r="FQ390" t="s">
        <v>342</v>
      </c>
      <c r="FR390" t="s">
        <v>507</v>
      </c>
    </row>
    <row r="391" spans="1:174" x14ac:dyDescent="0.35">
      <c r="A391">
        <v>196500</v>
      </c>
      <c r="B391" t="s">
        <v>1118</v>
      </c>
      <c r="C391" t="s">
        <v>1119</v>
      </c>
      <c r="D391" t="s">
        <v>1120</v>
      </c>
      <c r="E391" s="43" t="s">
        <v>1121</v>
      </c>
      <c r="L391" s="43" t="s">
        <v>259</v>
      </c>
      <c r="M391" t="s">
        <v>1122</v>
      </c>
      <c r="N391" s="43"/>
      <c r="O391" s="43"/>
      <c r="P391" s="43"/>
      <c r="Q391" s="43"/>
      <c r="R391">
        <v>3.077</v>
      </c>
      <c r="S391">
        <v>44109</v>
      </c>
      <c r="T391" t="s">
        <v>311</v>
      </c>
      <c r="U391" t="s">
        <v>266</v>
      </c>
      <c r="V391" t="s">
        <v>267</v>
      </c>
      <c r="W391" t="s">
        <v>268</v>
      </c>
      <c r="X391" t="s">
        <v>269</v>
      </c>
      <c r="Y391">
        <v>8883022894</v>
      </c>
      <c r="Z391" t="s">
        <v>270</v>
      </c>
      <c r="AA391" t="s">
        <v>271</v>
      </c>
      <c r="AB391" t="s">
        <v>545</v>
      </c>
      <c r="AC391">
        <v>0</v>
      </c>
      <c r="AD391" t="s">
        <v>654</v>
      </c>
      <c r="AE391" t="s">
        <v>364</v>
      </c>
      <c r="AF391">
        <v>3</v>
      </c>
      <c r="AG391" t="s">
        <v>275</v>
      </c>
      <c r="AH391" t="s">
        <v>259</v>
      </c>
      <c r="AI391" t="s">
        <v>259</v>
      </c>
      <c r="AJ391" t="s">
        <v>259</v>
      </c>
      <c r="AK391" s="43" t="s">
        <v>259</v>
      </c>
      <c r="AL391" s="43" t="s">
        <v>259</v>
      </c>
      <c r="AO391" s="23"/>
      <c r="AP391" s="23"/>
      <c r="AQ391" s="23"/>
      <c r="BD391" s="43" t="s">
        <v>259</v>
      </c>
      <c r="BE391" s="43" t="s">
        <v>259</v>
      </c>
      <c r="BF391" s="43" t="s">
        <v>259</v>
      </c>
      <c r="BG391" s="43" t="s">
        <v>259</v>
      </c>
      <c r="BH391" t="s">
        <v>259</v>
      </c>
      <c r="BI391" s="43" t="s">
        <v>259</v>
      </c>
      <c r="BJ391">
        <v>0</v>
      </c>
      <c r="BK391">
        <v>44109</v>
      </c>
      <c r="BL391">
        <v>44356</v>
      </c>
      <c r="BM391">
        <v>8505</v>
      </c>
      <c r="BN391">
        <v>8505</v>
      </c>
      <c r="BO391">
        <v>8505</v>
      </c>
      <c r="BP391">
        <v>25515</v>
      </c>
      <c r="BQ391">
        <v>3300</v>
      </c>
      <c r="BR391">
        <v>400</v>
      </c>
      <c r="BS391">
        <v>400</v>
      </c>
      <c r="BT391">
        <v>4100</v>
      </c>
      <c r="BU391">
        <v>2100</v>
      </c>
      <c r="BV391">
        <v>2100</v>
      </c>
      <c r="BW391">
        <v>2100</v>
      </c>
      <c r="BX391">
        <v>6300</v>
      </c>
      <c r="BY391">
        <v>1200</v>
      </c>
      <c r="BZ391">
        <v>1200</v>
      </c>
      <c r="CA391">
        <v>1200</v>
      </c>
      <c r="CB391">
        <v>3600</v>
      </c>
      <c r="CC391">
        <v>0</v>
      </c>
      <c r="CD391">
        <v>0</v>
      </c>
      <c r="CE391">
        <v>0</v>
      </c>
      <c r="CF391">
        <v>0</v>
      </c>
      <c r="CG391">
        <v>39515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1300</v>
      </c>
      <c r="CU391">
        <v>1300</v>
      </c>
      <c r="CV391">
        <v>1300</v>
      </c>
      <c r="CW391">
        <v>3900</v>
      </c>
      <c r="CX391">
        <v>0</v>
      </c>
      <c r="CY391">
        <v>0</v>
      </c>
      <c r="CZ391">
        <v>0</v>
      </c>
      <c r="DA391">
        <v>0</v>
      </c>
      <c r="DB391">
        <v>0</v>
      </c>
      <c r="DC391">
        <v>0</v>
      </c>
      <c r="DD391">
        <v>0</v>
      </c>
      <c r="DE391">
        <v>0</v>
      </c>
      <c r="DF391">
        <v>0</v>
      </c>
      <c r="DG391">
        <v>0</v>
      </c>
      <c r="DH391">
        <v>0</v>
      </c>
      <c r="DN391">
        <v>0</v>
      </c>
      <c r="DO391">
        <v>0</v>
      </c>
      <c r="DP391">
        <v>0</v>
      </c>
      <c r="DQ391">
        <v>0</v>
      </c>
      <c r="DR391">
        <v>0</v>
      </c>
      <c r="DS391">
        <v>0</v>
      </c>
      <c r="DT391">
        <v>0</v>
      </c>
      <c r="DU391">
        <v>0</v>
      </c>
      <c r="DV391">
        <v>0</v>
      </c>
      <c r="DW391">
        <v>0</v>
      </c>
      <c r="DX391">
        <v>0</v>
      </c>
      <c r="DY391">
        <v>0</v>
      </c>
      <c r="EC391">
        <v>0</v>
      </c>
      <c r="ED391">
        <v>3900</v>
      </c>
      <c r="EE391">
        <v>0</v>
      </c>
      <c r="EF391">
        <v>0</v>
      </c>
      <c r="EG391">
        <v>0</v>
      </c>
      <c r="EH391">
        <v>0</v>
      </c>
      <c r="EI391">
        <v>1154</v>
      </c>
      <c r="EJ391">
        <v>1154</v>
      </c>
      <c r="EK391">
        <v>1155</v>
      </c>
      <c r="EL391">
        <v>3500</v>
      </c>
      <c r="EM391">
        <v>37.065000000000005</v>
      </c>
      <c r="EN391">
        <v>660</v>
      </c>
      <c r="EO391">
        <v>660</v>
      </c>
      <c r="EP391">
        <v>659</v>
      </c>
      <c r="EQ391">
        <v>2000</v>
      </c>
      <c r="ER391">
        <v>21.18</v>
      </c>
      <c r="ES391">
        <v>0</v>
      </c>
      <c r="ET391">
        <v>0</v>
      </c>
      <c r="EU391">
        <v>0</v>
      </c>
      <c r="EV391">
        <v>0</v>
      </c>
      <c r="EW391">
        <v>0</v>
      </c>
      <c r="FA391">
        <v>0</v>
      </c>
      <c r="FE391">
        <v>0</v>
      </c>
      <c r="FI391">
        <v>0</v>
      </c>
      <c r="FJ391">
        <v>5441.7550000000001</v>
      </c>
      <c r="FK391">
        <v>35615</v>
      </c>
      <c r="FL391">
        <v>31511.869203776419</v>
      </c>
      <c r="FM391">
        <v>30173.244999999999</v>
      </c>
      <c r="FO391" t="s">
        <v>1123</v>
      </c>
      <c r="FP391" t="s">
        <v>1124</v>
      </c>
      <c r="FQ391" t="s">
        <v>265</v>
      </c>
      <c r="FR391" t="s">
        <v>1125</v>
      </c>
    </row>
    <row r="392" spans="1:174" x14ac:dyDescent="0.35">
      <c r="A392">
        <v>197961</v>
      </c>
      <c r="B392" t="s">
        <v>1126</v>
      </c>
      <c r="C392" t="s">
        <v>529</v>
      </c>
      <c r="D392" t="s">
        <v>1127</v>
      </c>
      <c r="E392" s="43" t="s">
        <v>1128</v>
      </c>
      <c r="F392">
        <v>1</v>
      </c>
      <c r="I392">
        <v>43783</v>
      </c>
      <c r="L392" s="43" t="s">
        <v>3204</v>
      </c>
      <c r="M392" t="s">
        <v>1129</v>
      </c>
      <c r="N392" s="43"/>
      <c r="O392" s="43"/>
      <c r="P392" s="43"/>
      <c r="Q392" s="43"/>
      <c r="R392">
        <v>3.81</v>
      </c>
      <c r="S392">
        <v>44109</v>
      </c>
      <c r="T392" t="s">
        <v>311</v>
      </c>
      <c r="U392" t="s">
        <v>266</v>
      </c>
      <c r="V392" t="s">
        <v>267</v>
      </c>
      <c r="W392" t="s">
        <v>268</v>
      </c>
      <c r="X392" t="s">
        <v>269</v>
      </c>
      <c r="Y392">
        <v>8883022894</v>
      </c>
      <c r="Z392" t="s">
        <v>270</v>
      </c>
      <c r="AA392" t="s">
        <v>271</v>
      </c>
      <c r="AB392" t="s">
        <v>374</v>
      </c>
      <c r="AC392" t="s">
        <v>1190</v>
      </c>
      <c r="AD392" t="s">
        <v>387</v>
      </c>
      <c r="AE392" t="s">
        <v>301</v>
      </c>
      <c r="AF392">
        <v>1</v>
      </c>
      <c r="AG392" t="s">
        <v>275</v>
      </c>
      <c r="AH392" t="s">
        <v>3249</v>
      </c>
      <c r="AI392" t="s">
        <v>3250</v>
      </c>
      <c r="AJ392" t="s">
        <v>3207</v>
      </c>
      <c r="AK392" s="43" t="s">
        <v>1715</v>
      </c>
      <c r="AL392" s="43" t="s">
        <v>259</v>
      </c>
      <c r="AO392" s="23"/>
      <c r="AP392" s="23"/>
      <c r="AQ392" s="23">
        <v>43782</v>
      </c>
      <c r="BD392" s="43" t="s">
        <v>259</v>
      </c>
      <c r="BE392" s="43" t="s">
        <v>259</v>
      </c>
      <c r="BF392" s="43" t="s">
        <v>259</v>
      </c>
      <c r="BG392" s="43" t="s">
        <v>259</v>
      </c>
      <c r="BH392" t="s">
        <v>259</v>
      </c>
      <c r="BI392" s="43" t="s">
        <v>259</v>
      </c>
      <c r="BJ392">
        <v>4.3478260869565188E-2</v>
      </c>
      <c r="BK392">
        <v>44109</v>
      </c>
      <c r="BL392">
        <v>44356</v>
      </c>
      <c r="BM392">
        <v>8505</v>
      </c>
      <c r="BN392">
        <v>8505</v>
      </c>
      <c r="BO392">
        <v>8505</v>
      </c>
      <c r="BP392">
        <v>25515</v>
      </c>
      <c r="BQ392">
        <v>3300</v>
      </c>
      <c r="BR392">
        <v>400</v>
      </c>
      <c r="BS392">
        <v>400</v>
      </c>
      <c r="BT392">
        <v>4100</v>
      </c>
      <c r="BU392">
        <v>2100</v>
      </c>
      <c r="BV392">
        <v>2100</v>
      </c>
      <c r="BW392">
        <v>2100</v>
      </c>
      <c r="BX392">
        <v>6300</v>
      </c>
      <c r="BY392">
        <v>1200</v>
      </c>
      <c r="BZ392">
        <v>1200</v>
      </c>
      <c r="CA392">
        <v>1200</v>
      </c>
      <c r="CB392">
        <v>3600</v>
      </c>
      <c r="CC392">
        <v>0</v>
      </c>
      <c r="CD392">
        <v>0</v>
      </c>
      <c r="CE392">
        <v>0</v>
      </c>
      <c r="CF392">
        <v>0</v>
      </c>
      <c r="CG392">
        <v>39515</v>
      </c>
      <c r="CH392">
        <v>0</v>
      </c>
      <c r="CI392">
        <v>0</v>
      </c>
      <c r="CJ392">
        <v>0</v>
      </c>
      <c r="CK392">
        <v>0</v>
      </c>
      <c r="CL392">
        <v>1749</v>
      </c>
      <c r="CM392">
        <v>1748</v>
      </c>
      <c r="CN392">
        <v>1748</v>
      </c>
      <c r="CO392">
        <v>5245</v>
      </c>
      <c r="CP392">
        <v>500</v>
      </c>
      <c r="CQ392">
        <v>500</v>
      </c>
      <c r="CR392">
        <v>500</v>
      </c>
      <c r="CS392">
        <v>1500</v>
      </c>
      <c r="CT392">
        <v>1700</v>
      </c>
      <c r="CU392">
        <v>1700</v>
      </c>
      <c r="CV392">
        <v>1700</v>
      </c>
      <c r="CW392">
        <v>5100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0</v>
      </c>
      <c r="DD392">
        <v>0</v>
      </c>
      <c r="DE392">
        <v>0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0</v>
      </c>
      <c r="DQ392">
        <v>0</v>
      </c>
      <c r="DR392">
        <v>0</v>
      </c>
      <c r="DS392">
        <v>0</v>
      </c>
      <c r="DT392">
        <v>0</v>
      </c>
      <c r="DU392">
        <v>0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0</v>
      </c>
      <c r="ED392">
        <v>11845</v>
      </c>
      <c r="EE392">
        <v>0</v>
      </c>
      <c r="EF392">
        <v>0</v>
      </c>
      <c r="EG392">
        <v>0</v>
      </c>
      <c r="EH392">
        <v>0</v>
      </c>
      <c r="EI392">
        <v>1154</v>
      </c>
      <c r="EJ392">
        <v>1154</v>
      </c>
      <c r="EK392">
        <v>1155</v>
      </c>
      <c r="EL392">
        <v>3500</v>
      </c>
      <c r="EM392">
        <v>37.065000000000005</v>
      </c>
      <c r="EN392">
        <v>660</v>
      </c>
      <c r="EO392">
        <v>660</v>
      </c>
      <c r="EP392">
        <v>659</v>
      </c>
      <c r="EQ392">
        <v>2000</v>
      </c>
      <c r="ER392">
        <v>21.18</v>
      </c>
      <c r="ES392">
        <v>0</v>
      </c>
      <c r="ET392">
        <v>0</v>
      </c>
      <c r="EU392">
        <v>0</v>
      </c>
      <c r="EV392">
        <v>0</v>
      </c>
      <c r="EW392">
        <v>0</v>
      </c>
      <c r="FA392">
        <v>0</v>
      </c>
      <c r="FE392">
        <v>0</v>
      </c>
      <c r="FI392">
        <v>0</v>
      </c>
      <c r="FJ392">
        <v>5441.7550000000001</v>
      </c>
      <c r="FK392">
        <v>27670</v>
      </c>
      <c r="FL392">
        <v>23211.483438452866</v>
      </c>
      <c r="FM392">
        <v>22228.244999999999</v>
      </c>
      <c r="FO392" t="s">
        <v>1130</v>
      </c>
      <c r="FP392" t="s">
        <v>1131</v>
      </c>
      <c r="FQ392" t="s">
        <v>283</v>
      </c>
      <c r="FR392" t="s">
        <v>1132</v>
      </c>
    </row>
    <row r="393" spans="1:174" x14ac:dyDescent="0.35">
      <c r="A393">
        <v>195856</v>
      </c>
      <c r="B393" t="s">
        <v>1133</v>
      </c>
      <c r="C393" t="s">
        <v>1134</v>
      </c>
      <c r="D393" t="s">
        <v>1135</v>
      </c>
      <c r="E393" s="43" t="s">
        <v>1136</v>
      </c>
      <c r="L393" s="43" t="s">
        <v>344</v>
      </c>
      <c r="M393" t="s">
        <v>1137</v>
      </c>
      <c r="N393" s="43"/>
      <c r="O393" s="43"/>
      <c r="P393" s="43"/>
      <c r="Q393" s="43"/>
      <c r="R393">
        <v>3.38</v>
      </c>
      <c r="S393">
        <v>44109</v>
      </c>
      <c r="T393" t="s">
        <v>265</v>
      </c>
      <c r="U393" t="s">
        <v>266</v>
      </c>
      <c r="V393" t="s">
        <v>267</v>
      </c>
      <c r="W393" t="s">
        <v>268</v>
      </c>
      <c r="X393" t="s">
        <v>269</v>
      </c>
      <c r="Y393">
        <v>8883022894</v>
      </c>
      <c r="Z393" t="s">
        <v>270</v>
      </c>
      <c r="AA393" t="s">
        <v>271</v>
      </c>
      <c r="AB393">
        <v>0</v>
      </c>
      <c r="AC393" t="s">
        <v>697</v>
      </c>
      <c r="AD393" t="s">
        <v>1141</v>
      </c>
      <c r="AE393" t="s">
        <v>301</v>
      </c>
      <c r="AF393">
        <v>1</v>
      </c>
      <c r="AG393" t="s">
        <v>275</v>
      </c>
      <c r="AH393" t="s">
        <v>313</v>
      </c>
      <c r="AI393" t="s">
        <v>313</v>
      </c>
      <c r="AJ393" t="s">
        <v>4237</v>
      </c>
      <c r="AK393" s="43" t="s">
        <v>3208</v>
      </c>
      <c r="AL393" s="43" t="s">
        <v>3209</v>
      </c>
      <c r="AO393" s="23"/>
      <c r="AP393" s="23"/>
      <c r="AQ393" s="23"/>
      <c r="BD393" s="43" t="s">
        <v>2018</v>
      </c>
      <c r="BE393" s="43" t="s">
        <v>2018</v>
      </c>
      <c r="BF393" s="43" t="s">
        <v>2018</v>
      </c>
      <c r="BG393" s="43" t="s">
        <v>2018</v>
      </c>
      <c r="BH393" t="s">
        <v>2018</v>
      </c>
      <c r="BI393" s="43" t="s">
        <v>2018</v>
      </c>
      <c r="BJ393">
        <v>0</v>
      </c>
      <c r="BK393">
        <v>44109</v>
      </c>
      <c r="BL393">
        <v>44356</v>
      </c>
      <c r="BM393">
        <v>8505</v>
      </c>
      <c r="BN393">
        <v>8505</v>
      </c>
      <c r="BO393">
        <v>8505</v>
      </c>
      <c r="BP393">
        <v>25515</v>
      </c>
      <c r="BQ393">
        <v>3300</v>
      </c>
      <c r="BR393">
        <v>400</v>
      </c>
      <c r="BS393">
        <v>400</v>
      </c>
      <c r="BT393">
        <v>4100</v>
      </c>
      <c r="BU393">
        <v>2100</v>
      </c>
      <c r="BV393">
        <v>2100</v>
      </c>
      <c r="BW393">
        <v>2100</v>
      </c>
      <c r="BX393">
        <v>6300</v>
      </c>
      <c r="BY393">
        <v>1200</v>
      </c>
      <c r="BZ393">
        <v>1200</v>
      </c>
      <c r="CA393">
        <v>1200</v>
      </c>
      <c r="CB393">
        <v>3600</v>
      </c>
      <c r="CC393">
        <v>0</v>
      </c>
      <c r="CD393">
        <v>0</v>
      </c>
      <c r="CE393">
        <v>0</v>
      </c>
      <c r="CF393">
        <v>0</v>
      </c>
      <c r="CG393">
        <v>39515</v>
      </c>
      <c r="CH393">
        <v>0</v>
      </c>
      <c r="CI393">
        <v>0</v>
      </c>
      <c r="CJ393">
        <v>0</v>
      </c>
      <c r="CK393">
        <v>0</v>
      </c>
      <c r="CL393">
        <v>2065</v>
      </c>
      <c r="CM393">
        <v>2065</v>
      </c>
      <c r="CN393">
        <v>2065</v>
      </c>
      <c r="CO393">
        <v>6195</v>
      </c>
      <c r="CP393">
        <v>500</v>
      </c>
      <c r="CQ393">
        <v>500</v>
      </c>
      <c r="CR393">
        <v>500</v>
      </c>
      <c r="CS393">
        <v>1500</v>
      </c>
      <c r="CT393">
        <v>1700</v>
      </c>
      <c r="CU393">
        <v>1700</v>
      </c>
      <c r="CV393">
        <v>1700</v>
      </c>
      <c r="CW393">
        <v>5100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0</v>
      </c>
      <c r="DD393">
        <v>0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0</v>
      </c>
      <c r="DR393">
        <v>0</v>
      </c>
      <c r="DS393">
        <v>0</v>
      </c>
      <c r="DT393">
        <v>0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12795</v>
      </c>
      <c r="EE393">
        <v>0</v>
      </c>
      <c r="EF393">
        <v>0</v>
      </c>
      <c r="EG393">
        <v>0</v>
      </c>
      <c r="EH393">
        <v>0</v>
      </c>
      <c r="EI393">
        <v>1154</v>
      </c>
      <c r="EJ393">
        <v>1154</v>
      </c>
      <c r="EK393">
        <v>1155</v>
      </c>
      <c r="EL393">
        <v>3500</v>
      </c>
      <c r="EM393">
        <v>37.065000000000005</v>
      </c>
      <c r="EN393">
        <v>660</v>
      </c>
      <c r="EO393">
        <v>660</v>
      </c>
      <c r="EP393">
        <v>659</v>
      </c>
      <c r="EQ393">
        <v>2000</v>
      </c>
      <c r="ER393">
        <v>21.18</v>
      </c>
      <c r="ES393">
        <v>0</v>
      </c>
      <c r="ET393">
        <v>0</v>
      </c>
      <c r="EU393">
        <v>0</v>
      </c>
      <c r="EV393">
        <v>0</v>
      </c>
      <c r="EW393">
        <v>0</v>
      </c>
      <c r="FA393">
        <v>0</v>
      </c>
      <c r="FE393">
        <v>0</v>
      </c>
      <c r="FI393">
        <v>0</v>
      </c>
      <c r="FJ393">
        <v>5441.7550000000001</v>
      </c>
      <c r="FK393">
        <v>26720</v>
      </c>
      <c r="FL393">
        <v>22219.461384236245</v>
      </c>
      <c r="FM393">
        <v>21278.244999999999</v>
      </c>
      <c r="FO393" t="s">
        <v>1138</v>
      </c>
      <c r="FP393" t="s">
        <v>1139</v>
      </c>
      <c r="FQ393" t="s">
        <v>454</v>
      </c>
      <c r="FR393" t="s">
        <v>1140</v>
      </c>
    </row>
    <row r="394" spans="1:174" x14ac:dyDescent="0.35">
      <c r="A394">
        <v>196572</v>
      </c>
      <c r="B394" t="s">
        <v>1142</v>
      </c>
      <c r="C394" t="s">
        <v>1143</v>
      </c>
      <c r="D394" t="s">
        <v>1144</v>
      </c>
      <c r="E394" s="43" t="s">
        <v>1145</v>
      </c>
      <c r="L394" s="43" t="s">
        <v>3204</v>
      </c>
      <c r="M394" t="s">
        <v>1146</v>
      </c>
      <c r="N394" s="43"/>
      <c r="O394" s="43"/>
      <c r="P394" s="43"/>
      <c r="Q394" s="43"/>
      <c r="R394">
        <v>3.6269999999999998</v>
      </c>
      <c r="S394">
        <v>44109</v>
      </c>
      <c r="T394" t="s">
        <v>311</v>
      </c>
      <c r="U394" t="s">
        <v>286</v>
      </c>
      <c r="V394" t="s">
        <v>267</v>
      </c>
      <c r="W394" t="s">
        <v>268</v>
      </c>
      <c r="X394" t="s">
        <v>269</v>
      </c>
      <c r="Y394">
        <v>8883022894</v>
      </c>
      <c r="Z394" t="s">
        <v>270</v>
      </c>
      <c r="AA394" t="s">
        <v>271</v>
      </c>
      <c r="AB394">
        <v>0</v>
      </c>
      <c r="AC394">
        <v>0</v>
      </c>
      <c r="AD394" t="s">
        <v>313</v>
      </c>
      <c r="AE394" t="s">
        <v>354</v>
      </c>
      <c r="AF394">
        <v>6</v>
      </c>
      <c r="AG394" t="s">
        <v>275</v>
      </c>
      <c r="AH394" t="s">
        <v>3226</v>
      </c>
      <c r="AI394" t="s">
        <v>313</v>
      </c>
      <c r="AJ394" t="s">
        <v>3309</v>
      </c>
      <c r="AK394" s="43" t="s">
        <v>3208</v>
      </c>
      <c r="AL394" s="43" t="s">
        <v>3209</v>
      </c>
      <c r="AO394" s="23"/>
      <c r="AP394" s="23"/>
      <c r="AQ394" s="23"/>
      <c r="BD394" s="43" t="s">
        <v>2018</v>
      </c>
      <c r="BE394" s="43" t="s">
        <v>2018</v>
      </c>
      <c r="BF394" s="43" t="s">
        <v>2018</v>
      </c>
      <c r="BG394" s="43" t="s">
        <v>2018</v>
      </c>
      <c r="BH394" t="s">
        <v>2018</v>
      </c>
      <c r="BI394" s="43" t="s">
        <v>2018</v>
      </c>
      <c r="BJ394">
        <v>0</v>
      </c>
      <c r="BK394">
        <v>44109</v>
      </c>
      <c r="BL394">
        <v>44356</v>
      </c>
      <c r="BM394">
        <v>8505</v>
      </c>
      <c r="BN394">
        <v>8505</v>
      </c>
      <c r="BO394">
        <v>8505</v>
      </c>
      <c r="BP394">
        <v>25515</v>
      </c>
      <c r="BQ394">
        <v>3300</v>
      </c>
      <c r="BR394">
        <v>400</v>
      </c>
      <c r="BS394">
        <v>400</v>
      </c>
      <c r="BT394">
        <v>4100</v>
      </c>
      <c r="BU394">
        <v>2100</v>
      </c>
      <c r="BV394">
        <v>2100</v>
      </c>
      <c r="BW394">
        <v>2100</v>
      </c>
      <c r="BX394">
        <v>6300</v>
      </c>
      <c r="BY394">
        <v>1200</v>
      </c>
      <c r="BZ394">
        <v>1200</v>
      </c>
      <c r="CA394">
        <v>1200</v>
      </c>
      <c r="CB394">
        <v>3600</v>
      </c>
      <c r="CC394">
        <v>0</v>
      </c>
      <c r="CD394">
        <v>0</v>
      </c>
      <c r="CE394">
        <v>0</v>
      </c>
      <c r="CF394">
        <v>0</v>
      </c>
      <c r="CG394">
        <v>39515</v>
      </c>
      <c r="CH394">
        <v>0</v>
      </c>
      <c r="CI394">
        <v>0</v>
      </c>
      <c r="CJ394">
        <v>0</v>
      </c>
      <c r="CK394">
        <v>0</v>
      </c>
      <c r="CL394">
        <v>2065</v>
      </c>
      <c r="CM394">
        <v>2065</v>
      </c>
      <c r="CN394">
        <v>2065</v>
      </c>
      <c r="CO394">
        <v>6195</v>
      </c>
      <c r="CP394">
        <v>500</v>
      </c>
      <c r="CQ394">
        <v>500</v>
      </c>
      <c r="CR394">
        <v>500</v>
      </c>
      <c r="CS394">
        <v>1500</v>
      </c>
      <c r="CT394">
        <v>750</v>
      </c>
      <c r="CU394">
        <v>750</v>
      </c>
      <c r="CV394">
        <v>750</v>
      </c>
      <c r="CW394">
        <v>2250</v>
      </c>
      <c r="CX394">
        <v>0</v>
      </c>
      <c r="CY394">
        <v>0</v>
      </c>
      <c r="CZ394">
        <v>0</v>
      </c>
      <c r="DA394">
        <v>0</v>
      </c>
      <c r="DB394">
        <v>1000</v>
      </c>
      <c r="DC394">
        <v>1000</v>
      </c>
      <c r="DD394">
        <v>1000</v>
      </c>
      <c r="DE394">
        <v>3000</v>
      </c>
      <c r="DF394">
        <v>0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0</v>
      </c>
      <c r="DQ394">
        <v>0</v>
      </c>
      <c r="DR394">
        <v>0</v>
      </c>
      <c r="DS394">
        <v>0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12945</v>
      </c>
      <c r="EE394">
        <v>0</v>
      </c>
      <c r="EF394">
        <v>0</v>
      </c>
      <c r="EG394">
        <v>0</v>
      </c>
      <c r="EH394">
        <v>0</v>
      </c>
      <c r="EI394">
        <v>1154</v>
      </c>
      <c r="EJ394">
        <v>1154</v>
      </c>
      <c r="EK394">
        <v>1155</v>
      </c>
      <c r="EL394">
        <v>3500</v>
      </c>
      <c r="EM394">
        <v>37.065000000000005</v>
      </c>
      <c r="EN394">
        <v>660</v>
      </c>
      <c r="EO394">
        <v>660</v>
      </c>
      <c r="EP394">
        <v>659</v>
      </c>
      <c r="EQ394">
        <v>2000</v>
      </c>
      <c r="ER394">
        <v>21.18</v>
      </c>
      <c r="ES394">
        <v>0</v>
      </c>
      <c r="ET394">
        <v>0</v>
      </c>
      <c r="EU394">
        <v>0</v>
      </c>
      <c r="EV394">
        <v>0</v>
      </c>
      <c r="EW394">
        <v>0</v>
      </c>
      <c r="FA394">
        <v>0</v>
      </c>
      <c r="FE394">
        <v>0</v>
      </c>
      <c r="FI394">
        <v>0</v>
      </c>
      <c r="FJ394">
        <v>5441.7550000000001</v>
      </c>
      <c r="FK394">
        <v>26570</v>
      </c>
      <c r="FL394">
        <v>22062.826323044148</v>
      </c>
      <c r="FM394">
        <v>21128.244999999999</v>
      </c>
      <c r="FO394" t="s">
        <v>1147</v>
      </c>
      <c r="FP394" t="s">
        <v>1148</v>
      </c>
      <c r="FQ394" t="s">
        <v>263</v>
      </c>
      <c r="FR394" t="s">
        <v>1149</v>
      </c>
    </row>
    <row r="395" spans="1:174" x14ac:dyDescent="0.35">
      <c r="A395">
        <v>198251</v>
      </c>
      <c r="B395" t="s">
        <v>1150</v>
      </c>
      <c r="C395" t="s">
        <v>529</v>
      </c>
      <c r="D395" t="s">
        <v>1151</v>
      </c>
      <c r="E395" s="43" t="s">
        <v>1152</v>
      </c>
      <c r="F395">
        <v>1</v>
      </c>
      <c r="I395">
        <v>43801</v>
      </c>
      <c r="J395" t="s">
        <v>4172</v>
      </c>
      <c r="L395" s="43" t="s">
        <v>3204</v>
      </c>
      <c r="M395" t="s">
        <v>3774</v>
      </c>
      <c r="N395" s="43"/>
      <c r="O395" s="43"/>
      <c r="P395" s="43"/>
      <c r="Q395" s="43"/>
      <c r="R395">
        <v>2.919</v>
      </c>
      <c r="S395">
        <v>44109</v>
      </c>
      <c r="T395" t="s">
        <v>311</v>
      </c>
      <c r="U395" t="s">
        <v>266</v>
      </c>
      <c r="V395" t="s">
        <v>267</v>
      </c>
      <c r="W395" t="s">
        <v>268</v>
      </c>
      <c r="X395" t="s">
        <v>269</v>
      </c>
      <c r="Y395">
        <v>8883022894</v>
      </c>
      <c r="Z395" t="s">
        <v>270</v>
      </c>
      <c r="AA395" t="s">
        <v>271</v>
      </c>
      <c r="AB395">
        <v>0</v>
      </c>
      <c r="AC395" t="s">
        <v>464</v>
      </c>
      <c r="AD395" t="s">
        <v>1155</v>
      </c>
      <c r="AE395" t="s">
        <v>416</v>
      </c>
      <c r="AF395">
        <v>5</v>
      </c>
      <c r="AG395" t="s">
        <v>275</v>
      </c>
      <c r="AH395" t="s">
        <v>3251</v>
      </c>
      <c r="AI395" t="s">
        <v>3252</v>
      </c>
      <c r="AJ395" t="s">
        <v>3207</v>
      </c>
      <c r="AK395" s="43" t="s">
        <v>1715</v>
      </c>
      <c r="AL395" s="43" t="s">
        <v>259</v>
      </c>
      <c r="AO395" s="23">
        <v>43789</v>
      </c>
      <c r="AP395" s="23">
        <v>43789</v>
      </c>
      <c r="AQ395" s="23"/>
      <c r="BD395" s="43" t="s">
        <v>259</v>
      </c>
      <c r="BE395" s="43" t="s">
        <v>259</v>
      </c>
      <c r="BF395" s="43" t="s">
        <v>259</v>
      </c>
      <c r="BG395" s="43" t="s">
        <v>259</v>
      </c>
      <c r="BH395" t="s">
        <v>259</v>
      </c>
      <c r="BI395" s="43" t="s">
        <v>259</v>
      </c>
      <c r="BJ395">
        <v>8.6956521739130488E-2</v>
      </c>
      <c r="BK395">
        <v>44109</v>
      </c>
      <c r="BL395">
        <v>44356</v>
      </c>
      <c r="BM395">
        <v>8505</v>
      </c>
      <c r="BN395">
        <v>8505</v>
      </c>
      <c r="BO395">
        <v>8505</v>
      </c>
      <c r="BP395">
        <v>25515</v>
      </c>
      <c r="BQ395">
        <v>3300</v>
      </c>
      <c r="BR395">
        <v>400</v>
      </c>
      <c r="BS395">
        <v>400</v>
      </c>
      <c r="BT395">
        <v>4100</v>
      </c>
      <c r="BU395">
        <v>2100</v>
      </c>
      <c r="BV395">
        <v>2100</v>
      </c>
      <c r="BW395">
        <v>2100</v>
      </c>
      <c r="BX395">
        <v>6300</v>
      </c>
      <c r="BY395">
        <v>1200</v>
      </c>
      <c r="BZ395">
        <v>1200</v>
      </c>
      <c r="CA395">
        <v>1200</v>
      </c>
      <c r="CB395">
        <v>3600</v>
      </c>
      <c r="CC395">
        <v>0</v>
      </c>
      <c r="CD395">
        <v>0</v>
      </c>
      <c r="CE395">
        <v>0</v>
      </c>
      <c r="CF395">
        <v>0</v>
      </c>
      <c r="CG395">
        <v>39515</v>
      </c>
      <c r="CH395">
        <v>0</v>
      </c>
      <c r="CI395">
        <v>0</v>
      </c>
      <c r="CJ395">
        <v>0</v>
      </c>
      <c r="CK395">
        <v>0</v>
      </c>
      <c r="CL395">
        <v>849</v>
      </c>
      <c r="CM395">
        <v>848</v>
      </c>
      <c r="CN395">
        <v>848</v>
      </c>
      <c r="CO395">
        <v>2545</v>
      </c>
      <c r="CP395">
        <v>500</v>
      </c>
      <c r="CQ395">
        <v>500</v>
      </c>
      <c r="CR395">
        <v>500</v>
      </c>
      <c r="CS395">
        <v>1500</v>
      </c>
      <c r="CT395">
        <v>1000</v>
      </c>
      <c r="CU395">
        <v>1000</v>
      </c>
      <c r="CV395">
        <v>1000</v>
      </c>
      <c r="CW395">
        <v>3000</v>
      </c>
      <c r="CX395">
        <v>0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0</v>
      </c>
      <c r="DP395">
        <v>0</v>
      </c>
      <c r="DQ395">
        <v>0</v>
      </c>
      <c r="DR395">
        <v>0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0</v>
      </c>
      <c r="EC395">
        <v>0</v>
      </c>
      <c r="ED395">
        <v>7045</v>
      </c>
      <c r="EE395">
        <v>0</v>
      </c>
      <c r="EF395">
        <v>0</v>
      </c>
      <c r="EG395">
        <v>0</v>
      </c>
      <c r="EH395">
        <v>0</v>
      </c>
      <c r="EI395">
        <v>1154</v>
      </c>
      <c r="EJ395">
        <v>1154</v>
      </c>
      <c r="EK395">
        <v>1155</v>
      </c>
      <c r="EL395">
        <v>3500</v>
      </c>
      <c r="EM395">
        <v>37.065000000000005</v>
      </c>
      <c r="EN395">
        <v>660</v>
      </c>
      <c r="EO395">
        <v>660</v>
      </c>
      <c r="EP395">
        <v>659</v>
      </c>
      <c r="EQ395">
        <v>2000</v>
      </c>
      <c r="ER395">
        <v>21.18</v>
      </c>
      <c r="ES395">
        <v>0</v>
      </c>
      <c r="ET395">
        <v>0</v>
      </c>
      <c r="EU395">
        <v>0</v>
      </c>
      <c r="EV395">
        <v>0</v>
      </c>
      <c r="EW395">
        <v>0</v>
      </c>
      <c r="FA395">
        <v>0</v>
      </c>
      <c r="FE395">
        <v>0</v>
      </c>
      <c r="FI395">
        <v>0</v>
      </c>
      <c r="FJ395">
        <v>5441.7550000000001</v>
      </c>
      <c r="FK395">
        <v>32470</v>
      </c>
      <c r="FL395">
        <v>28223.805396599972</v>
      </c>
      <c r="FM395">
        <v>27028.244999999999</v>
      </c>
      <c r="FO395" t="s">
        <v>3775</v>
      </c>
      <c r="FP395" t="s">
        <v>1153</v>
      </c>
      <c r="FQ395" t="s">
        <v>372</v>
      </c>
      <c r="FR395" t="s">
        <v>1154</v>
      </c>
    </row>
    <row r="396" spans="1:174" x14ac:dyDescent="0.35">
      <c r="A396">
        <v>194399</v>
      </c>
      <c r="B396" t="s">
        <v>1156</v>
      </c>
      <c r="C396" t="s">
        <v>1157</v>
      </c>
      <c r="D396" t="s">
        <v>1158</v>
      </c>
      <c r="E396" s="43" t="s">
        <v>1159</v>
      </c>
      <c r="L396" s="43" t="s">
        <v>344</v>
      </c>
      <c r="M396" t="s">
        <v>1160</v>
      </c>
      <c r="N396" s="43"/>
      <c r="O396" s="43"/>
      <c r="P396" s="43"/>
      <c r="Q396" s="43"/>
      <c r="R396">
        <v>3.3130000000000002</v>
      </c>
      <c r="S396">
        <v>44109</v>
      </c>
      <c r="T396" t="s">
        <v>265</v>
      </c>
      <c r="U396" t="s">
        <v>286</v>
      </c>
      <c r="V396" t="s">
        <v>267</v>
      </c>
      <c r="W396" t="s">
        <v>268</v>
      </c>
      <c r="X396" t="s">
        <v>269</v>
      </c>
      <c r="Y396">
        <v>8883022894</v>
      </c>
      <c r="Z396" t="s">
        <v>508</v>
      </c>
      <c r="AA396" t="s">
        <v>271</v>
      </c>
      <c r="AB396">
        <v>0</v>
      </c>
      <c r="AC396" t="s">
        <v>1164</v>
      </c>
      <c r="AD396" t="s">
        <v>797</v>
      </c>
      <c r="AE396" t="s">
        <v>364</v>
      </c>
      <c r="AF396">
        <v>3</v>
      </c>
      <c r="AG396" t="s">
        <v>275</v>
      </c>
      <c r="AH396" t="s">
        <v>313</v>
      </c>
      <c r="AI396" t="s">
        <v>313</v>
      </c>
      <c r="AJ396" t="s">
        <v>3590</v>
      </c>
      <c r="AK396" s="43" t="s">
        <v>3208</v>
      </c>
      <c r="AL396" s="43" t="s">
        <v>3209</v>
      </c>
      <c r="AO396" s="23"/>
      <c r="AP396" s="23"/>
      <c r="AQ396" s="23"/>
      <c r="BD396" s="43" t="s">
        <v>2018</v>
      </c>
      <c r="BE396" s="43" t="s">
        <v>2018</v>
      </c>
      <c r="BF396" s="43" t="s">
        <v>2018</v>
      </c>
      <c r="BG396" s="43" t="s">
        <v>2018</v>
      </c>
      <c r="BH396" t="s">
        <v>2018</v>
      </c>
      <c r="BI396" s="43" t="s">
        <v>2018</v>
      </c>
      <c r="BJ396">
        <v>0</v>
      </c>
      <c r="BK396">
        <v>44109</v>
      </c>
      <c r="BL396">
        <v>44356</v>
      </c>
      <c r="BM396">
        <v>8505</v>
      </c>
      <c r="BN396">
        <v>8505</v>
      </c>
      <c r="BO396">
        <v>8505</v>
      </c>
      <c r="BP396">
        <v>25515</v>
      </c>
      <c r="BQ396">
        <v>3300</v>
      </c>
      <c r="BR396">
        <v>400</v>
      </c>
      <c r="BS396">
        <v>400</v>
      </c>
      <c r="BT396">
        <v>4100</v>
      </c>
      <c r="BU396">
        <v>2100</v>
      </c>
      <c r="BV396">
        <v>2100</v>
      </c>
      <c r="BW396">
        <v>2100</v>
      </c>
      <c r="BX396">
        <v>6300</v>
      </c>
      <c r="BY396">
        <v>1200</v>
      </c>
      <c r="BZ396">
        <v>1200</v>
      </c>
      <c r="CA396">
        <v>1200</v>
      </c>
      <c r="CB396">
        <v>3600</v>
      </c>
      <c r="CC396">
        <v>0</v>
      </c>
      <c r="CD396">
        <v>0</v>
      </c>
      <c r="CE396">
        <v>0</v>
      </c>
      <c r="CF396">
        <v>0</v>
      </c>
      <c r="CG396">
        <v>39515</v>
      </c>
      <c r="CH396">
        <v>0</v>
      </c>
      <c r="CI396">
        <v>0</v>
      </c>
      <c r="CJ396">
        <v>0</v>
      </c>
      <c r="CK396">
        <v>0</v>
      </c>
      <c r="CL396">
        <v>2065</v>
      </c>
      <c r="CM396">
        <v>2065</v>
      </c>
      <c r="CN396">
        <v>2065</v>
      </c>
      <c r="CO396">
        <v>6195</v>
      </c>
      <c r="CP396">
        <v>500</v>
      </c>
      <c r="CQ396">
        <v>500</v>
      </c>
      <c r="CR396">
        <v>500</v>
      </c>
      <c r="CS396">
        <v>1500</v>
      </c>
      <c r="CT396">
        <v>1300</v>
      </c>
      <c r="CU396">
        <v>1300</v>
      </c>
      <c r="CV396">
        <v>1300</v>
      </c>
      <c r="CW396">
        <v>3900</v>
      </c>
      <c r="CX396">
        <v>0</v>
      </c>
      <c r="CY396">
        <v>0</v>
      </c>
      <c r="CZ396">
        <v>0</v>
      </c>
      <c r="DA396">
        <v>0</v>
      </c>
      <c r="DB396">
        <v>1000</v>
      </c>
      <c r="DC396">
        <v>1000</v>
      </c>
      <c r="DD396">
        <v>1000</v>
      </c>
      <c r="DE396">
        <v>3000</v>
      </c>
      <c r="DF396">
        <v>1000</v>
      </c>
      <c r="DG396">
        <v>1000</v>
      </c>
      <c r="DH396">
        <v>1000</v>
      </c>
      <c r="DI396">
        <v>3000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17595</v>
      </c>
      <c r="EE396">
        <v>0</v>
      </c>
      <c r="EF396">
        <v>0</v>
      </c>
      <c r="EG396">
        <v>0</v>
      </c>
      <c r="EH396">
        <v>0</v>
      </c>
      <c r="EI396">
        <v>1154</v>
      </c>
      <c r="EJ396">
        <v>1154</v>
      </c>
      <c r="EK396">
        <v>1155</v>
      </c>
      <c r="EL396">
        <v>3500</v>
      </c>
      <c r="EM396">
        <v>37.065000000000005</v>
      </c>
      <c r="EN396">
        <v>660</v>
      </c>
      <c r="EO396">
        <v>660</v>
      </c>
      <c r="EP396">
        <v>659</v>
      </c>
      <c r="EQ396">
        <v>2000</v>
      </c>
      <c r="ER396">
        <v>21.18</v>
      </c>
      <c r="ES396">
        <v>0</v>
      </c>
      <c r="ET396">
        <v>0</v>
      </c>
      <c r="EU396">
        <v>0</v>
      </c>
      <c r="EV396">
        <v>0</v>
      </c>
      <c r="EW396">
        <v>0</v>
      </c>
      <c r="FA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5441.7550000000001</v>
      </c>
      <c r="FK396">
        <v>21920</v>
      </c>
      <c r="FL396">
        <v>17207.139426089136</v>
      </c>
      <c r="FM396">
        <v>16478.244999999999</v>
      </c>
      <c r="FO396" t="s">
        <v>1161</v>
      </c>
      <c r="FP396" t="s">
        <v>1162</v>
      </c>
      <c r="FQ396" t="s">
        <v>309</v>
      </c>
      <c r="FR396" t="s">
        <v>1163</v>
      </c>
    </row>
    <row r="397" spans="1:174" x14ac:dyDescent="0.35">
      <c r="A397">
        <v>197509</v>
      </c>
      <c r="B397" t="s">
        <v>1165</v>
      </c>
      <c r="C397" t="s">
        <v>1166</v>
      </c>
      <c r="D397" t="s">
        <v>1167</v>
      </c>
      <c r="E397" s="43" t="s">
        <v>1168</v>
      </c>
      <c r="L397" s="43" t="s">
        <v>259</v>
      </c>
      <c r="M397" t="s">
        <v>1169</v>
      </c>
      <c r="N397" s="43"/>
      <c r="O397" s="43"/>
      <c r="P397" s="43"/>
      <c r="Q397" s="43"/>
      <c r="R397">
        <v>3.992</v>
      </c>
      <c r="S397">
        <v>44109</v>
      </c>
      <c r="T397" t="s">
        <v>311</v>
      </c>
      <c r="U397" t="s">
        <v>312</v>
      </c>
      <c r="V397" t="s">
        <v>267</v>
      </c>
      <c r="W397" t="s">
        <v>268</v>
      </c>
      <c r="X397" t="s">
        <v>269</v>
      </c>
      <c r="Y397">
        <v>8883022894</v>
      </c>
      <c r="Z397" t="s">
        <v>270</v>
      </c>
      <c r="AA397" t="s">
        <v>271</v>
      </c>
      <c r="AB397" t="s">
        <v>1174</v>
      </c>
      <c r="AC397">
        <v>0</v>
      </c>
      <c r="AD397" t="s">
        <v>1057</v>
      </c>
      <c r="AE397" t="s">
        <v>301</v>
      </c>
      <c r="AF397">
        <v>1</v>
      </c>
      <c r="AG397" t="s">
        <v>275</v>
      </c>
      <c r="AH397" t="s">
        <v>259</v>
      </c>
      <c r="AI397" t="s">
        <v>259</v>
      </c>
      <c r="AJ397" t="s">
        <v>259</v>
      </c>
      <c r="AK397" s="43" t="s">
        <v>259</v>
      </c>
      <c r="AL397" s="43" t="s">
        <v>259</v>
      </c>
      <c r="AO397" s="23"/>
      <c r="AP397" s="23"/>
      <c r="AQ397" s="23"/>
      <c r="BD397" s="43" t="s">
        <v>259</v>
      </c>
      <c r="BE397" s="43" t="s">
        <v>259</v>
      </c>
      <c r="BF397" s="43" t="s">
        <v>259</v>
      </c>
      <c r="BG397" s="43" t="s">
        <v>259</v>
      </c>
      <c r="BH397" t="s">
        <v>259</v>
      </c>
      <c r="BI397" s="43" t="s">
        <v>259</v>
      </c>
      <c r="BJ397">
        <v>0</v>
      </c>
      <c r="BK397">
        <v>44109</v>
      </c>
      <c r="BL397">
        <v>44356</v>
      </c>
      <c r="BM397">
        <v>8505</v>
      </c>
      <c r="BN397">
        <v>8505</v>
      </c>
      <c r="BO397">
        <v>8505</v>
      </c>
      <c r="BP397">
        <v>25515</v>
      </c>
      <c r="BQ397">
        <v>3300</v>
      </c>
      <c r="BR397">
        <v>400</v>
      </c>
      <c r="BS397">
        <v>400</v>
      </c>
      <c r="BT397">
        <v>4100</v>
      </c>
      <c r="BU397">
        <v>2100</v>
      </c>
      <c r="BV397">
        <v>2100</v>
      </c>
      <c r="BW397">
        <v>2100</v>
      </c>
      <c r="BX397">
        <v>6300</v>
      </c>
      <c r="BY397">
        <v>1200</v>
      </c>
      <c r="BZ397">
        <v>1200</v>
      </c>
      <c r="CA397">
        <v>1200</v>
      </c>
      <c r="CB397">
        <v>3600</v>
      </c>
      <c r="CC397">
        <v>0</v>
      </c>
      <c r="CD397">
        <v>0</v>
      </c>
      <c r="CE397">
        <v>0</v>
      </c>
      <c r="CF397">
        <v>0</v>
      </c>
      <c r="CG397">
        <v>39515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1700</v>
      </c>
      <c r="CU397">
        <v>1700</v>
      </c>
      <c r="CV397">
        <v>1700</v>
      </c>
      <c r="CW397">
        <v>5100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5100</v>
      </c>
      <c r="EE397">
        <v>0</v>
      </c>
      <c r="EF397">
        <v>0</v>
      </c>
      <c r="EG397">
        <v>0</v>
      </c>
      <c r="EH397">
        <v>0</v>
      </c>
      <c r="EI397">
        <v>1154</v>
      </c>
      <c r="EJ397">
        <v>1154</v>
      </c>
      <c r="EK397">
        <v>1155</v>
      </c>
      <c r="EL397">
        <v>3500</v>
      </c>
      <c r="EM397">
        <v>37.065000000000005</v>
      </c>
      <c r="EN397">
        <v>660</v>
      </c>
      <c r="EO397">
        <v>660</v>
      </c>
      <c r="EP397">
        <v>659</v>
      </c>
      <c r="EQ397">
        <v>2000</v>
      </c>
      <c r="ER397">
        <v>21.18</v>
      </c>
      <c r="ES397">
        <v>0</v>
      </c>
      <c r="ET397">
        <v>0</v>
      </c>
      <c r="EU397">
        <v>0</v>
      </c>
      <c r="EV397">
        <v>0</v>
      </c>
      <c r="EW397">
        <v>0</v>
      </c>
      <c r="FA397">
        <v>0</v>
      </c>
      <c r="FE397">
        <v>0</v>
      </c>
      <c r="FI397">
        <v>0</v>
      </c>
      <c r="FJ397">
        <v>5441.7550000000001</v>
      </c>
      <c r="FK397">
        <v>34415</v>
      </c>
      <c r="FL397">
        <v>30254.840023390832</v>
      </c>
      <c r="FM397">
        <v>28973.244999999999</v>
      </c>
      <c r="FO397" t="s">
        <v>1170</v>
      </c>
      <c r="FP397" t="s">
        <v>1171</v>
      </c>
      <c r="FQ397" t="s">
        <v>1172</v>
      </c>
      <c r="FR397" t="s">
        <v>1173</v>
      </c>
    </row>
    <row r="398" spans="1:174" x14ac:dyDescent="0.35">
      <c r="A398">
        <v>198728</v>
      </c>
      <c r="B398" t="s">
        <v>1175</v>
      </c>
      <c r="C398" t="s">
        <v>1176</v>
      </c>
      <c r="D398" t="s">
        <v>1177</v>
      </c>
      <c r="E398" s="43" t="s">
        <v>3291</v>
      </c>
      <c r="L398" s="43" t="s">
        <v>3204</v>
      </c>
      <c r="M398" t="s">
        <v>1178</v>
      </c>
      <c r="N398" s="43"/>
      <c r="O398" s="43"/>
      <c r="P398" s="43"/>
      <c r="Q398" s="43"/>
      <c r="R398">
        <v>4</v>
      </c>
      <c r="S398">
        <v>44109</v>
      </c>
      <c r="T398" t="s">
        <v>265</v>
      </c>
      <c r="U398" t="s">
        <v>266</v>
      </c>
      <c r="V398" t="s">
        <v>267</v>
      </c>
      <c r="W398" t="s">
        <v>268</v>
      </c>
      <c r="X398" t="s">
        <v>269</v>
      </c>
      <c r="Y398">
        <v>8883022894</v>
      </c>
      <c r="Z398" t="s">
        <v>270</v>
      </c>
      <c r="AA398" t="s">
        <v>271</v>
      </c>
      <c r="AB398" t="s">
        <v>386</v>
      </c>
      <c r="AC398">
        <v>0</v>
      </c>
      <c r="AD398" t="s">
        <v>335</v>
      </c>
      <c r="AE398" t="s">
        <v>301</v>
      </c>
      <c r="AF398">
        <v>1</v>
      </c>
      <c r="AG398" t="s">
        <v>446</v>
      </c>
      <c r="AH398" t="s">
        <v>3599</v>
      </c>
      <c r="AI398" t="s">
        <v>3600</v>
      </c>
      <c r="AJ398" t="s">
        <v>3590</v>
      </c>
      <c r="AK398" s="43" t="s">
        <v>1715</v>
      </c>
      <c r="AL398" s="43" t="s">
        <v>259</v>
      </c>
      <c r="AO398" s="23"/>
      <c r="AP398" s="23"/>
      <c r="AQ398" s="23"/>
      <c r="BD398" s="43" t="s">
        <v>259</v>
      </c>
      <c r="BE398" s="43" t="s">
        <v>259</v>
      </c>
      <c r="BF398" s="43" t="s">
        <v>259</v>
      </c>
      <c r="BG398" s="43" t="s">
        <v>259</v>
      </c>
      <c r="BH398" t="s">
        <v>259</v>
      </c>
      <c r="BI398" s="43" t="s">
        <v>259</v>
      </c>
      <c r="BJ398">
        <v>0</v>
      </c>
      <c r="BK398">
        <v>44109</v>
      </c>
      <c r="BL398">
        <v>44356</v>
      </c>
      <c r="BM398">
        <v>8505</v>
      </c>
      <c r="BN398">
        <v>8505</v>
      </c>
      <c r="BO398">
        <v>8505</v>
      </c>
      <c r="BP398">
        <v>25515</v>
      </c>
      <c r="BQ398">
        <v>3300</v>
      </c>
      <c r="BR398">
        <v>400</v>
      </c>
      <c r="BS398">
        <v>400</v>
      </c>
      <c r="BT398">
        <v>4100</v>
      </c>
      <c r="BU398">
        <v>2100</v>
      </c>
      <c r="BV398">
        <v>2100</v>
      </c>
      <c r="BW398">
        <v>2100</v>
      </c>
      <c r="BX398">
        <v>6300</v>
      </c>
      <c r="BY398">
        <v>1200</v>
      </c>
      <c r="BZ398">
        <v>1200</v>
      </c>
      <c r="CA398">
        <v>1200</v>
      </c>
      <c r="CB398">
        <v>3600</v>
      </c>
      <c r="CF398">
        <v>0</v>
      </c>
      <c r="CG398">
        <v>39515</v>
      </c>
      <c r="CK398">
        <v>0</v>
      </c>
      <c r="CL398">
        <v>2015</v>
      </c>
      <c r="CM398">
        <v>2015</v>
      </c>
      <c r="CN398">
        <v>2015</v>
      </c>
      <c r="CO398">
        <v>6045</v>
      </c>
      <c r="CP398">
        <v>500</v>
      </c>
      <c r="CQ398">
        <v>500</v>
      </c>
      <c r="CR398">
        <v>500</v>
      </c>
      <c r="CS398">
        <v>1500</v>
      </c>
      <c r="CT398">
        <v>1700</v>
      </c>
      <c r="CU398">
        <v>1700</v>
      </c>
      <c r="CV398">
        <v>1700</v>
      </c>
      <c r="CW398">
        <v>5100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N398">
        <v>0</v>
      </c>
      <c r="DO398">
        <v>0</v>
      </c>
      <c r="DP398">
        <v>0</v>
      </c>
      <c r="DR398">
        <v>0</v>
      </c>
      <c r="DS398">
        <v>0</v>
      </c>
      <c r="DT398">
        <v>0</v>
      </c>
      <c r="DY398">
        <v>0</v>
      </c>
      <c r="EC398">
        <v>0</v>
      </c>
      <c r="ED398">
        <v>12645</v>
      </c>
      <c r="EH398">
        <v>0</v>
      </c>
      <c r="EI398">
        <v>0</v>
      </c>
      <c r="EJ398">
        <v>0</v>
      </c>
      <c r="EK398">
        <v>0</v>
      </c>
      <c r="EM398">
        <v>0</v>
      </c>
      <c r="EN398">
        <v>660</v>
      </c>
      <c r="EO398">
        <v>660</v>
      </c>
      <c r="EP398">
        <v>659</v>
      </c>
      <c r="EQ398">
        <v>2000</v>
      </c>
      <c r="ER398">
        <v>21.24</v>
      </c>
      <c r="ES398">
        <v>0</v>
      </c>
      <c r="ET398">
        <v>0</v>
      </c>
      <c r="EU398">
        <v>0</v>
      </c>
      <c r="EW398">
        <v>0</v>
      </c>
      <c r="FA398">
        <v>0</v>
      </c>
      <c r="FE398">
        <v>0</v>
      </c>
      <c r="FI398">
        <v>0</v>
      </c>
      <c r="FJ398">
        <v>1978.76</v>
      </c>
      <c r="FK398">
        <v>26870</v>
      </c>
      <c r="FL398">
        <v>25995.530119475312</v>
      </c>
      <c r="FM398">
        <v>24891.24</v>
      </c>
      <c r="FO398" t="s">
        <v>1179</v>
      </c>
      <c r="FP398" t="s">
        <v>1180</v>
      </c>
      <c r="FQ398" t="s">
        <v>1181</v>
      </c>
      <c r="FR398" t="s">
        <v>1182</v>
      </c>
    </row>
    <row r="399" spans="1:174" x14ac:dyDescent="0.35">
      <c r="A399">
        <v>198543</v>
      </c>
      <c r="B399" t="s">
        <v>1183</v>
      </c>
      <c r="C399" t="s">
        <v>1184</v>
      </c>
      <c r="D399" t="s">
        <v>1185</v>
      </c>
      <c r="E399" s="43" t="s">
        <v>3292</v>
      </c>
      <c r="F399">
        <v>1</v>
      </c>
      <c r="G399">
        <v>43802</v>
      </c>
      <c r="H399">
        <v>43802</v>
      </c>
      <c r="I399">
        <v>43802</v>
      </c>
      <c r="J399" t="s">
        <v>4227</v>
      </c>
      <c r="L399" s="43" t="s">
        <v>259</v>
      </c>
      <c r="M399" t="s">
        <v>1186</v>
      </c>
      <c r="N399" s="43"/>
      <c r="O399" s="43"/>
      <c r="P399" s="43"/>
      <c r="Q399" s="43"/>
      <c r="R399">
        <v>2.14</v>
      </c>
      <c r="S399">
        <v>44109</v>
      </c>
      <c r="T399" t="s">
        <v>311</v>
      </c>
      <c r="U399" t="s">
        <v>266</v>
      </c>
      <c r="V399" t="s">
        <v>267</v>
      </c>
      <c r="W399" t="s">
        <v>268</v>
      </c>
      <c r="X399" t="s">
        <v>269</v>
      </c>
      <c r="Y399">
        <v>8883022894</v>
      </c>
      <c r="Z399" t="s">
        <v>508</v>
      </c>
      <c r="AA399" t="s">
        <v>271</v>
      </c>
      <c r="AB399">
        <v>0</v>
      </c>
      <c r="AC399" t="s">
        <v>1190</v>
      </c>
      <c r="AD399" t="s">
        <v>1191</v>
      </c>
      <c r="AE399" t="s">
        <v>344</v>
      </c>
      <c r="AF399">
        <v>10</v>
      </c>
      <c r="AG399" t="s">
        <v>446</v>
      </c>
      <c r="AH399" t="s">
        <v>259</v>
      </c>
      <c r="AI399" t="s">
        <v>259</v>
      </c>
      <c r="AJ399" t="s">
        <v>259</v>
      </c>
      <c r="AK399" s="43" t="s">
        <v>259</v>
      </c>
      <c r="AL399" s="43" t="s">
        <v>259</v>
      </c>
      <c r="AO399" s="23"/>
      <c r="AP399" s="23"/>
      <c r="AQ399" s="23"/>
      <c r="BD399" s="43" t="s">
        <v>259</v>
      </c>
      <c r="BE399" s="43" t="s">
        <v>259</v>
      </c>
      <c r="BF399" s="43" t="s">
        <v>259</v>
      </c>
      <c r="BG399" s="43" t="s">
        <v>259</v>
      </c>
      <c r="BH399" t="s">
        <v>259</v>
      </c>
      <c r="BI399" s="43" t="s">
        <v>259</v>
      </c>
      <c r="BJ399">
        <v>0</v>
      </c>
      <c r="BK399">
        <v>44109</v>
      </c>
      <c r="BL399">
        <v>44356</v>
      </c>
      <c r="BM399">
        <v>8505</v>
      </c>
      <c r="BN399">
        <v>8505</v>
      </c>
      <c r="BO399">
        <v>8505</v>
      </c>
      <c r="BP399">
        <v>25515</v>
      </c>
      <c r="BQ399">
        <v>3300</v>
      </c>
      <c r="BR399">
        <v>400</v>
      </c>
      <c r="BS399">
        <v>400</v>
      </c>
      <c r="BT399">
        <v>4100</v>
      </c>
      <c r="BU399">
        <v>2100</v>
      </c>
      <c r="BV399">
        <v>2100</v>
      </c>
      <c r="BW399">
        <v>2100</v>
      </c>
      <c r="BX399">
        <v>6300</v>
      </c>
      <c r="BY399">
        <v>1200</v>
      </c>
      <c r="BZ399">
        <v>1200</v>
      </c>
      <c r="CA399">
        <v>1200</v>
      </c>
      <c r="CB399">
        <v>3600</v>
      </c>
      <c r="CF399">
        <v>0</v>
      </c>
      <c r="CG399">
        <v>39515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N399">
        <v>0</v>
      </c>
      <c r="DO399">
        <v>0</v>
      </c>
      <c r="DP399">
        <v>0</v>
      </c>
      <c r="DR399">
        <v>0</v>
      </c>
      <c r="DS399">
        <v>0</v>
      </c>
      <c r="DT399">
        <v>0</v>
      </c>
      <c r="DY399">
        <v>0</v>
      </c>
      <c r="EC399">
        <v>0</v>
      </c>
      <c r="ED399">
        <v>0</v>
      </c>
      <c r="EH399">
        <v>0</v>
      </c>
      <c r="EI399">
        <v>0</v>
      </c>
      <c r="EJ399">
        <v>0</v>
      </c>
      <c r="EK399">
        <v>0</v>
      </c>
      <c r="EM399">
        <v>0</v>
      </c>
      <c r="EN399">
        <v>660</v>
      </c>
      <c r="EO399">
        <v>660</v>
      </c>
      <c r="EP399">
        <v>659</v>
      </c>
      <c r="EQ399">
        <v>2000</v>
      </c>
      <c r="ER399">
        <v>21.24</v>
      </c>
      <c r="ES399">
        <v>0</v>
      </c>
      <c r="ET399">
        <v>0</v>
      </c>
      <c r="EU399">
        <v>0</v>
      </c>
      <c r="EW399">
        <v>0</v>
      </c>
      <c r="FA399">
        <v>0</v>
      </c>
      <c r="FE399">
        <v>0</v>
      </c>
      <c r="FI399">
        <v>0</v>
      </c>
      <c r="FJ399">
        <v>1978.76</v>
      </c>
      <c r="FK399">
        <v>39515</v>
      </c>
      <c r="FL399">
        <v>39201.520594870075</v>
      </c>
      <c r="FM399">
        <v>37536.239999999998</v>
      </c>
      <c r="FO399" t="s">
        <v>1187</v>
      </c>
      <c r="FP399" t="s">
        <v>1188</v>
      </c>
      <c r="FQ399" t="s">
        <v>309</v>
      </c>
      <c r="FR399" t="s">
        <v>1189</v>
      </c>
    </row>
    <row r="400" spans="1:174" x14ac:dyDescent="0.35">
      <c r="A400">
        <v>195357</v>
      </c>
      <c r="B400" t="s">
        <v>1192</v>
      </c>
      <c r="C400" t="s">
        <v>1193</v>
      </c>
      <c r="D400" t="s">
        <v>1194</v>
      </c>
      <c r="E400" s="43" t="s">
        <v>3293</v>
      </c>
      <c r="L400" s="43" t="s">
        <v>259</v>
      </c>
      <c r="M400" t="s">
        <v>1195</v>
      </c>
      <c r="N400" s="43"/>
      <c r="O400" s="43"/>
      <c r="P400" s="43"/>
      <c r="Q400" s="43"/>
      <c r="R400">
        <v>3</v>
      </c>
      <c r="S400">
        <v>44109</v>
      </c>
      <c r="T400" t="s">
        <v>285</v>
      </c>
      <c r="U400" t="s">
        <v>266</v>
      </c>
      <c r="V400" t="s">
        <v>267</v>
      </c>
      <c r="W400" t="s">
        <v>268</v>
      </c>
      <c r="X400" t="s">
        <v>269</v>
      </c>
      <c r="Y400">
        <v>8883022894</v>
      </c>
      <c r="Z400" t="s">
        <v>270</v>
      </c>
      <c r="AA400" t="s">
        <v>271</v>
      </c>
      <c r="AB400">
        <v>0</v>
      </c>
      <c r="AC400">
        <v>0</v>
      </c>
      <c r="AD400" t="s">
        <v>313</v>
      </c>
      <c r="AE400" t="s">
        <v>274</v>
      </c>
      <c r="AF400">
        <v>9</v>
      </c>
      <c r="AG400" t="s">
        <v>446</v>
      </c>
      <c r="AH400" t="s">
        <v>259</v>
      </c>
      <c r="AI400" t="s">
        <v>259</v>
      </c>
      <c r="AJ400" t="s">
        <v>259</v>
      </c>
      <c r="AK400" s="43" t="s">
        <v>259</v>
      </c>
      <c r="AL400" s="43" t="s">
        <v>259</v>
      </c>
      <c r="AO400" s="23"/>
      <c r="AP400" s="23"/>
      <c r="AQ400" s="23"/>
      <c r="BD400" s="43" t="s">
        <v>259</v>
      </c>
      <c r="BE400" s="43" t="s">
        <v>259</v>
      </c>
      <c r="BF400" s="43" t="s">
        <v>259</v>
      </c>
      <c r="BG400" s="43" t="s">
        <v>259</v>
      </c>
      <c r="BH400" t="s">
        <v>259</v>
      </c>
      <c r="BI400" s="43" t="s">
        <v>259</v>
      </c>
      <c r="BJ400">
        <v>0</v>
      </c>
      <c r="BK400">
        <v>44109</v>
      </c>
      <c r="BL400">
        <v>44356</v>
      </c>
      <c r="BM400">
        <v>8505</v>
      </c>
      <c r="BN400">
        <v>8505</v>
      </c>
      <c r="BO400">
        <v>8505</v>
      </c>
      <c r="BP400">
        <v>25515</v>
      </c>
      <c r="BQ400">
        <v>3300</v>
      </c>
      <c r="BR400">
        <v>400</v>
      </c>
      <c r="BS400">
        <v>400</v>
      </c>
      <c r="BT400">
        <v>4100</v>
      </c>
      <c r="BU400">
        <v>2100</v>
      </c>
      <c r="BV400">
        <v>2100</v>
      </c>
      <c r="BW400">
        <v>2100</v>
      </c>
      <c r="BX400">
        <v>6300</v>
      </c>
      <c r="BY400">
        <v>1200</v>
      </c>
      <c r="BZ400">
        <v>1200</v>
      </c>
      <c r="CA400">
        <v>1200</v>
      </c>
      <c r="CB400">
        <v>3600</v>
      </c>
      <c r="CF400">
        <v>0</v>
      </c>
      <c r="CG400">
        <v>39515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N400">
        <v>0</v>
      </c>
      <c r="DO400">
        <v>0</v>
      </c>
      <c r="DP400">
        <v>0</v>
      </c>
      <c r="DR400">
        <v>0</v>
      </c>
      <c r="DS400">
        <v>0</v>
      </c>
      <c r="DT400">
        <v>0</v>
      </c>
      <c r="DY400">
        <v>0</v>
      </c>
      <c r="EC400">
        <v>0</v>
      </c>
      <c r="ED400">
        <v>0</v>
      </c>
      <c r="EH400">
        <v>0</v>
      </c>
      <c r="EI400">
        <v>0</v>
      </c>
      <c r="EJ400">
        <v>0</v>
      </c>
      <c r="EK400">
        <v>0</v>
      </c>
      <c r="EM400">
        <v>0</v>
      </c>
      <c r="EN400">
        <v>660</v>
      </c>
      <c r="EO400">
        <v>660</v>
      </c>
      <c r="EP400">
        <v>659</v>
      </c>
      <c r="EQ400">
        <v>2000</v>
      </c>
      <c r="ER400">
        <v>21.24</v>
      </c>
      <c r="ES400">
        <v>0</v>
      </c>
      <c r="ET400">
        <v>0</v>
      </c>
      <c r="EU400">
        <v>0</v>
      </c>
      <c r="EW400">
        <v>0</v>
      </c>
      <c r="FA400">
        <v>0</v>
      </c>
      <c r="FE400">
        <v>0</v>
      </c>
      <c r="FI400">
        <v>0</v>
      </c>
      <c r="FJ400">
        <v>1978.76</v>
      </c>
      <c r="FK400">
        <v>39515</v>
      </c>
      <c r="FL400">
        <v>39201.520594870075</v>
      </c>
      <c r="FM400">
        <v>37536.239999999998</v>
      </c>
      <c r="FO400" t="s">
        <v>1196</v>
      </c>
      <c r="FP400" t="s">
        <v>1197</v>
      </c>
      <c r="FQ400" t="s">
        <v>342</v>
      </c>
      <c r="FR400" t="s">
        <v>1198</v>
      </c>
    </row>
    <row r="401" spans="1:174" x14ac:dyDescent="0.35">
      <c r="A401">
        <v>197252</v>
      </c>
      <c r="B401" t="s">
        <v>1199</v>
      </c>
      <c r="C401" t="s">
        <v>1200</v>
      </c>
      <c r="D401" t="s">
        <v>1201</v>
      </c>
      <c r="E401" s="43" t="s">
        <v>1202</v>
      </c>
      <c r="F401">
        <v>1</v>
      </c>
      <c r="G401">
        <v>43776</v>
      </c>
      <c r="H401">
        <v>43781</v>
      </c>
      <c r="I401">
        <v>43781</v>
      </c>
      <c r="J401" t="s">
        <v>3582</v>
      </c>
      <c r="K401" t="s">
        <v>1715</v>
      </c>
      <c r="L401" s="43" t="s">
        <v>3204</v>
      </c>
      <c r="M401" t="s">
        <v>1203</v>
      </c>
      <c r="N401" s="43"/>
      <c r="O401" s="43"/>
      <c r="P401" s="43"/>
      <c r="Q401" s="43"/>
      <c r="R401">
        <v>2.97</v>
      </c>
      <c r="S401">
        <v>44109</v>
      </c>
      <c r="T401" t="s">
        <v>285</v>
      </c>
      <c r="U401" t="s">
        <v>266</v>
      </c>
      <c r="V401" t="s">
        <v>267</v>
      </c>
      <c r="W401" t="s">
        <v>268</v>
      </c>
      <c r="X401" t="s">
        <v>269</v>
      </c>
      <c r="Y401">
        <v>8883022894</v>
      </c>
      <c r="Z401" t="s">
        <v>270</v>
      </c>
      <c r="AA401" t="s">
        <v>271</v>
      </c>
      <c r="AB401" t="s">
        <v>526</v>
      </c>
      <c r="AC401">
        <v>0</v>
      </c>
      <c r="AD401" t="s">
        <v>415</v>
      </c>
      <c r="AE401" t="s">
        <v>445</v>
      </c>
      <c r="AF401">
        <v>4</v>
      </c>
      <c r="AG401" t="s">
        <v>275</v>
      </c>
      <c r="AH401" t="s">
        <v>3253</v>
      </c>
      <c r="AI401" t="s">
        <v>3254</v>
      </c>
      <c r="AJ401" t="s">
        <v>3207</v>
      </c>
      <c r="AK401" s="43" t="s">
        <v>3208</v>
      </c>
      <c r="AL401" s="43" t="s">
        <v>3209</v>
      </c>
      <c r="AM401">
        <v>43781</v>
      </c>
      <c r="AN401">
        <v>43781</v>
      </c>
      <c r="AO401" s="23">
        <v>43765</v>
      </c>
      <c r="AP401" s="23">
        <v>43767</v>
      </c>
      <c r="AQ401" s="23">
        <v>43767</v>
      </c>
      <c r="BD401" s="43" t="s">
        <v>2018</v>
      </c>
      <c r="BE401" s="43" t="s">
        <v>2018</v>
      </c>
      <c r="BF401" s="43" t="s">
        <v>2018</v>
      </c>
      <c r="BG401" s="43" t="s">
        <v>2018</v>
      </c>
      <c r="BH401" t="s">
        <v>2018</v>
      </c>
      <c r="BI401" s="43" t="s">
        <v>2018</v>
      </c>
      <c r="BJ401">
        <v>0.29411764705882348</v>
      </c>
      <c r="BK401">
        <v>44109</v>
      </c>
      <c r="BL401">
        <v>44356</v>
      </c>
      <c r="BM401">
        <v>8505</v>
      </c>
      <c r="BN401">
        <v>8505</v>
      </c>
      <c r="BO401">
        <v>8505</v>
      </c>
      <c r="BP401">
        <v>25515</v>
      </c>
      <c r="BQ401">
        <v>3300</v>
      </c>
      <c r="BR401">
        <v>400</v>
      </c>
      <c r="BS401">
        <v>400</v>
      </c>
      <c r="BT401">
        <v>4100</v>
      </c>
      <c r="BU401">
        <v>2100</v>
      </c>
      <c r="BV401">
        <v>2100</v>
      </c>
      <c r="BW401">
        <v>2100</v>
      </c>
      <c r="BX401">
        <v>6300</v>
      </c>
      <c r="BY401">
        <v>1200</v>
      </c>
      <c r="BZ401">
        <v>1200</v>
      </c>
      <c r="CA401">
        <v>1200</v>
      </c>
      <c r="CB401">
        <v>3600</v>
      </c>
      <c r="CC401">
        <v>0</v>
      </c>
      <c r="CD401">
        <v>0</v>
      </c>
      <c r="CE401">
        <v>0</v>
      </c>
      <c r="CF401">
        <v>0</v>
      </c>
      <c r="CG401">
        <v>39515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1250</v>
      </c>
      <c r="CU401">
        <v>1250</v>
      </c>
      <c r="CV401">
        <v>1250</v>
      </c>
      <c r="CW401">
        <v>3750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3750</v>
      </c>
      <c r="EE401">
        <v>3334</v>
      </c>
      <c r="EF401">
        <v>3333</v>
      </c>
      <c r="EG401">
        <v>3333</v>
      </c>
      <c r="EH401">
        <v>10000</v>
      </c>
      <c r="EI401">
        <v>1154</v>
      </c>
      <c r="EJ401">
        <v>1154</v>
      </c>
      <c r="EK401">
        <v>1155</v>
      </c>
      <c r="EL401">
        <v>3500</v>
      </c>
      <c r="EM401">
        <v>37.065000000000005</v>
      </c>
      <c r="EN401">
        <v>660</v>
      </c>
      <c r="EO401">
        <v>660</v>
      </c>
      <c r="EP401">
        <v>659</v>
      </c>
      <c r="EQ401">
        <v>2000</v>
      </c>
      <c r="ER401">
        <v>21.18</v>
      </c>
      <c r="ES401">
        <v>6787</v>
      </c>
      <c r="ET401">
        <v>6787</v>
      </c>
      <c r="EU401">
        <v>6787</v>
      </c>
      <c r="EV401">
        <v>21222</v>
      </c>
      <c r="EW401">
        <v>899</v>
      </c>
      <c r="FA401">
        <v>0</v>
      </c>
      <c r="FE401">
        <v>0</v>
      </c>
      <c r="FI401">
        <v>0</v>
      </c>
      <c r="FJ401">
        <v>25764.791080000003</v>
      </c>
      <c r="FK401">
        <v>35765</v>
      </c>
      <c r="FL401">
        <v>0.21816131322554003</v>
      </c>
      <c r="FM401">
        <v>0.20891999999730615</v>
      </c>
      <c r="FO401" t="s">
        <v>1204</v>
      </c>
      <c r="FP401" t="s">
        <v>1205</v>
      </c>
      <c r="FQ401" t="s">
        <v>403</v>
      </c>
      <c r="FR401" t="s">
        <v>1206</v>
      </c>
    </row>
    <row r="402" spans="1:174" x14ac:dyDescent="0.35">
      <c r="A402">
        <v>198988</v>
      </c>
      <c r="B402" t="s">
        <v>1207</v>
      </c>
      <c r="C402" t="s">
        <v>1208</v>
      </c>
      <c r="D402" t="s">
        <v>1209</v>
      </c>
      <c r="E402" s="43" t="s">
        <v>3294</v>
      </c>
      <c r="L402" s="43" t="s">
        <v>259</v>
      </c>
      <c r="M402" t="s">
        <v>1210</v>
      </c>
      <c r="N402" s="43"/>
      <c r="O402" s="43"/>
      <c r="P402" s="43"/>
      <c r="Q402" s="43"/>
      <c r="R402">
        <v>3.8</v>
      </c>
      <c r="S402">
        <v>44109</v>
      </c>
      <c r="T402" t="s">
        <v>285</v>
      </c>
      <c r="U402" t="s">
        <v>266</v>
      </c>
      <c r="V402" t="s">
        <v>267</v>
      </c>
      <c r="W402" t="s">
        <v>268</v>
      </c>
      <c r="X402" t="s">
        <v>269</v>
      </c>
      <c r="Y402">
        <v>8883022894</v>
      </c>
      <c r="Z402" t="s">
        <v>270</v>
      </c>
      <c r="AA402" t="s">
        <v>271</v>
      </c>
      <c r="AB402" t="s">
        <v>526</v>
      </c>
      <c r="AC402" t="s">
        <v>1010</v>
      </c>
      <c r="AD402" t="s">
        <v>581</v>
      </c>
      <c r="AE402" t="s">
        <v>301</v>
      </c>
      <c r="AF402">
        <v>1</v>
      </c>
      <c r="AG402" t="s">
        <v>446</v>
      </c>
      <c r="AH402" t="s">
        <v>259</v>
      </c>
      <c r="AI402" t="s">
        <v>259</v>
      </c>
      <c r="AJ402" t="s">
        <v>259</v>
      </c>
      <c r="AK402" s="43" t="s">
        <v>259</v>
      </c>
      <c r="AL402" s="43" t="s">
        <v>259</v>
      </c>
      <c r="AO402" s="23"/>
      <c r="AP402" s="23"/>
      <c r="AQ402" s="23"/>
      <c r="BD402" s="43" t="s">
        <v>259</v>
      </c>
      <c r="BE402" s="43" t="s">
        <v>259</v>
      </c>
      <c r="BF402" s="43" t="s">
        <v>259</v>
      </c>
      <c r="BG402" s="43" t="s">
        <v>259</v>
      </c>
      <c r="BH402" t="s">
        <v>259</v>
      </c>
      <c r="BI402" s="43" t="s">
        <v>259</v>
      </c>
      <c r="BJ402">
        <v>0</v>
      </c>
      <c r="BK402">
        <v>44109</v>
      </c>
      <c r="BL402">
        <v>44356</v>
      </c>
      <c r="BM402">
        <v>8505</v>
      </c>
      <c r="BN402">
        <v>8505</v>
      </c>
      <c r="BO402">
        <v>8505</v>
      </c>
      <c r="BP402">
        <v>25515</v>
      </c>
      <c r="BQ402">
        <v>3300</v>
      </c>
      <c r="BR402">
        <v>400</v>
      </c>
      <c r="BS402">
        <v>400</v>
      </c>
      <c r="BT402">
        <v>4100</v>
      </c>
      <c r="BU402">
        <v>2100</v>
      </c>
      <c r="BV402">
        <v>2100</v>
      </c>
      <c r="BW402">
        <v>2100</v>
      </c>
      <c r="BX402">
        <v>6300</v>
      </c>
      <c r="BY402">
        <v>1200</v>
      </c>
      <c r="BZ402">
        <v>1200</v>
      </c>
      <c r="CA402">
        <v>1200</v>
      </c>
      <c r="CB402">
        <v>3600</v>
      </c>
      <c r="CF402">
        <v>0</v>
      </c>
      <c r="CG402">
        <v>39515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1700</v>
      </c>
      <c r="CU402">
        <v>1700</v>
      </c>
      <c r="CV402">
        <v>1700</v>
      </c>
      <c r="CW402">
        <v>5100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N402">
        <v>0</v>
      </c>
      <c r="DO402">
        <v>0</v>
      </c>
      <c r="DP402">
        <v>0</v>
      </c>
      <c r="DR402">
        <v>0</v>
      </c>
      <c r="DS402">
        <v>0</v>
      </c>
      <c r="DT402">
        <v>0</v>
      </c>
      <c r="DY402">
        <v>0</v>
      </c>
      <c r="EC402">
        <v>0</v>
      </c>
      <c r="ED402">
        <v>5100</v>
      </c>
      <c r="EH402">
        <v>0</v>
      </c>
      <c r="EI402">
        <v>0</v>
      </c>
      <c r="EJ402">
        <v>0</v>
      </c>
      <c r="EK402">
        <v>0</v>
      </c>
      <c r="EM402">
        <v>0</v>
      </c>
      <c r="EN402">
        <v>660</v>
      </c>
      <c r="EO402">
        <v>660</v>
      </c>
      <c r="EP402">
        <v>659</v>
      </c>
      <c r="EQ402">
        <v>2000</v>
      </c>
      <c r="ER402">
        <v>21.24</v>
      </c>
      <c r="ES402">
        <v>0</v>
      </c>
      <c r="ET402">
        <v>0</v>
      </c>
      <c r="EU402">
        <v>0</v>
      </c>
      <c r="EW402">
        <v>0</v>
      </c>
      <c r="FA402">
        <v>0</v>
      </c>
      <c r="FE402">
        <v>0</v>
      </c>
      <c r="FI402">
        <v>0</v>
      </c>
      <c r="FJ402">
        <v>1978.76</v>
      </c>
      <c r="FK402">
        <v>34415</v>
      </c>
      <c r="FL402">
        <v>33875.261091152141</v>
      </c>
      <c r="FM402">
        <v>32436.240000000002</v>
      </c>
      <c r="FO402" t="s">
        <v>1211</v>
      </c>
      <c r="FP402" t="s">
        <v>1212</v>
      </c>
      <c r="FQ402" t="s">
        <v>911</v>
      </c>
      <c r="FR402" t="s">
        <v>1213</v>
      </c>
    </row>
    <row r="403" spans="1:174" x14ac:dyDescent="0.35">
      <c r="A403">
        <v>198300</v>
      </c>
      <c r="B403" t="s">
        <v>1207</v>
      </c>
      <c r="C403" t="s">
        <v>1214</v>
      </c>
      <c r="D403" t="s">
        <v>1215</v>
      </c>
      <c r="E403" s="43" t="s">
        <v>1216</v>
      </c>
      <c r="L403" s="43" t="s">
        <v>259</v>
      </c>
      <c r="M403" t="s">
        <v>1217</v>
      </c>
      <c r="N403" s="43"/>
      <c r="O403" s="43"/>
      <c r="P403" s="43"/>
      <c r="Q403" s="43"/>
      <c r="R403">
        <v>3.95</v>
      </c>
      <c r="S403">
        <v>44109</v>
      </c>
      <c r="T403" t="s">
        <v>265</v>
      </c>
      <c r="U403" t="s">
        <v>266</v>
      </c>
      <c r="V403" t="s">
        <v>267</v>
      </c>
      <c r="W403" t="s">
        <v>268</v>
      </c>
      <c r="X403" t="s">
        <v>269</v>
      </c>
      <c r="Y403">
        <v>8883022894</v>
      </c>
      <c r="Z403" t="s">
        <v>270</v>
      </c>
      <c r="AA403" t="s">
        <v>271</v>
      </c>
      <c r="AB403" t="s">
        <v>679</v>
      </c>
      <c r="AC403">
        <v>0</v>
      </c>
      <c r="AD403" t="s">
        <v>434</v>
      </c>
      <c r="AE403" t="s">
        <v>301</v>
      </c>
      <c r="AF403">
        <v>1</v>
      </c>
      <c r="AG403" t="s">
        <v>275</v>
      </c>
      <c r="AH403" t="s">
        <v>259</v>
      </c>
      <c r="AI403" t="s">
        <v>259</v>
      </c>
      <c r="AJ403" t="s">
        <v>259</v>
      </c>
      <c r="AK403" s="43" t="s">
        <v>259</v>
      </c>
      <c r="AL403" s="43" t="s">
        <v>259</v>
      </c>
      <c r="AO403" s="23"/>
      <c r="AP403" s="23"/>
      <c r="AQ403" s="23"/>
      <c r="BD403" s="43" t="s">
        <v>259</v>
      </c>
      <c r="BE403" s="43" t="s">
        <v>259</v>
      </c>
      <c r="BF403" s="43" t="s">
        <v>259</v>
      </c>
      <c r="BG403" s="43" t="s">
        <v>259</v>
      </c>
      <c r="BH403" t="s">
        <v>259</v>
      </c>
      <c r="BI403" s="43" t="s">
        <v>259</v>
      </c>
      <c r="BJ403">
        <v>0</v>
      </c>
      <c r="BK403">
        <v>44109</v>
      </c>
      <c r="BL403">
        <v>44356</v>
      </c>
      <c r="BM403">
        <v>8505</v>
      </c>
      <c r="BN403">
        <v>8505</v>
      </c>
      <c r="BO403">
        <v>8505</v>
      </c>
      <c r="BP403">
        <v>25515</v>
      </c>
      <c r="BQ403">
        <v>3300</v>
      </c>
      <c r="BR403">
        <v>400</v>
      </c>
      <c r="BS403">
        <v>400</v>
      </c>
      <c r="BT403">
        <v>4100</v>
      </c>
      <c r="BU403">
        <v>2100</v>
      </c>
      <c r="BV403">
        <v>2100</v>
      </c>
      <c r="BW403">
        <v>2100</v>
      </c>
      <c r="BX403">
        <v>6300</v>
      </c>
      <c r="BY403">
        <v>1200</v>
      </c>
      <c r="BZ403">
        <v>1200</v>
      </c>
      <c r="CA403">
        <v>1200</v>
      </c>
      <c r="CB403">
        <v>3600</v>
      </c>
      <c r="CC403">
        <v>0</v>
      </c>
      <c r="CD403">
        <v>0</v>
      </c>
      <c r="CE403">
        <v>0</v>
      </c>
      <c r="CF403">
        <v>0</v>
      </c>
      <c r="CG403">
        <v>39515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1700</v>
      </c>
      <c r="CU403">
        <v>1700</v>
      </c>
      <c r="CV403">
        <v>1700</v>
      </c>
      <c r="CW403">
        <v>5100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5100</v>
      </c>
      <c r="EE403">
        <v>0</v>
      </c>
      <c r="EF403">
        <v>0</v>
      </c>
      <c r="EG403">
        <v>0</v>
      </c>
      <c r="EH403">
        <v>0</v>
      </c>
      <c r="EI403">
        <v>1154</v>
      </c>
      <c r="EJ403">
        <v>1154</v>
      </c>
      <c r="EK403">
        <v>1155</v>
      </c>
      <c r="EL403">
        <v>3500</v>
      </c>
      <c r="EM403">
        <v>37.065000000000005</v>
      </c>
      <c r="EN403">
        <v>660</v>
      </c>
      <c r="EO403">
        <v>660</v>
      </c>
      <c r="EP403">
        <v>659</v>
      </c>
      <c r="EQ403">
        <v>2000</v>
      </c>
      <c r="ER403">
        <v>21.18</v>
      </c>
      <c r="ES403">
        <v>0</v>
      </c>
      <c r="ET403">
        <v>0</v>
      </c>
      <c r="EU403">
        <v>0</v>
      </c>
      <c r="EV403">
        <v>0</v>
      </c>
      <c r="EW403">
        <v>0</v>
      </c>
      <c r="FA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5441.7550000000001</v>
      </c>
      <c r="FK403">
        <v>34415</v>
      </c>
      <c r="FL403">
        <v>30254.840023390832</v>
      </c>
      <c r="FM403">
        <v>28973.244999999999</v>
      </c>
      <c r="FO403" t="s">
        <v>1218</v>
      </c>
      <c r="FP403" t="s">
        <v>1219</v>
      </c>
      <c r="FQ403" t="s">
        <v>608</v>
      </c>
      <c r="FR403" t="s">
        <v>1220</v>
      </c>
    </row>
    <row r="404" spans="1:174" x14ac:dyDescent="0.35">
      <c r="A404">
        <v>196267</v>
      </c>
      <c r="B404" t="s">
        <v>1207</v>
      </c>
      <c r="C404" t="s">
        <v>1221</v>
      </c>
      <c r="D404" t="s">
        <v>1222</v>
      </c>
      <c r="E404" s="43" t="s">
        <v>1223</v>
      </c>
      <c r="F404">
        <v>1</v>
      </c>
      <c r="G404">
        <v>43794</v>
      </c>
      <c r="H404">
        <v>43794</v>
      </c>
      <c r="I404">
        <v>43794</v>
      </c>
      <c r="J404" t="s">
        <v>3827</v>
      </c>
      <c r="L404" s="43" t="s">
        <v>3204</v>
      </c>
      <c r="M404" t="s">
        <v>1224</v>
      </c>
      <c r="N404" s="43"/>
      <c r="O404" s="43"/>
      <c r="P404" s="43"/>
      <c r="Q404" s="43"/>
      <c r="R404">
        <v>3.1110000000000002</v>
      </c>
      <c r="S404">
        <v>44109</v>
      </c>
      <c r="T404" t="s">
        <v>311</v>
      </c>
      <c r="U404" t="s">
        <v>266</v>
      </c>
      <c r="V404" t="s">
        <v>267</v>
      </c>
      <c r="W404" t="s">
        <v>268</v>
      </c>
      <c r="X404" t="s">
        <v>269</v>
      </c>
      <c r="Y404">
        <v>8883022894</v>
      </c>
      <c r="Z404" t="s">
        <v>270</v>
      </c>
      <c r="AA404" t="s">
        <v>271</v>
      </c>
      <c r="AB404" t="s">
        <v>1228</v>
      </c>
      <c r="AC404">
        <v>0</v>
      </c>
      <c r="AD404" t="s">
        <v>1111</v>
      </c>
      <c r="AE404" t="s">
        <v>301</v>
      </c>
      <c r="AF404">
        <v>1</v>
      </c>
      <c r="AG404" t="s">
        <v>275</v>
      </c>
      <c r="AH404" t="s">
        <v>3255</v>
      </c>
      <c r="AI404" t="s">
        <v>3256</v>
      </c>
      <c r="AJ404" t="s">
        <v>3207</v>
      </c>
      <c r="AK404" s="43" t="s">
        <v>3208</v>
      </c>
      <c r="AL404" s="43" t="s">
        <v>3209</v>
      </c>
      <c r="AO404" s="23">
        <v>43798</v>
      </c>
      <c r="AP404" s="23">
        <v>43777</v>
      </c>
      <c r="AQ404" s="23"/>
      <c r="BD404" s="43" t="s">
        <v>2018</v>
      </c>
      <c r="BE404" s="43" t="s">
        <v>2018</v>
      </c>
      <c r="BF404" s="43" t="s">
        <v>2018</v>
      </c>
      <c r="BG404" s="43" t="s">
        <v>2018</v>
      </c>
      <c r="BH404" t="s">
        <v>2018</v>
      </c>
      <c r="BI404" s="43" t="s">
        <v>2018</v>
      </c>
      <c r="BJ404">
        <v>0.11764705882352944</v>
      </c>
      <c r="BK404">
        <v>44109</v>
      </c>
      <c r="BL404">
        <v>44356</v>
      </c>
      <c r="BM404">
        <v>8505</v>
      </c>
      <c r="BN404">
        <v>8505</v>
      </c>
      <c r="BO404">
        <v>8505</v>
      </c>
      <c r="BP404">
        <v>25515</v>
      </c>
      <c r="BQ404">
        <v>3300</v>
      </c>
      <c r="BR404">
        <v>400</v>
      </c>
      <c r="BS404">
        <v>400</v>
      </c>
      <c r="BT404">
        <v>4100</v>
      </c>
      <c r="BU404">
        <v>2100</v>
      </c>
      <c r="BV404">
        <v>2100</v>
      </c>
      <c r="BW404">
        <v>2100</v>
      </c>
      <c r="BX404">
        <v>6300</v>
      </c>
      <c r="BY404">
        <v>1200</v>
      </c>
      <c r="BZ404">
        <v>1200</v>
      </c>
      <c r="CA404">
        <v>1200</v>
      </c>
      <c r="CB404">
        <v>3600</v>
      </c>
      <c r="CC404">
        <v>0</v>
      </c>
      <c r="CD404">
        <v>0</v>
      </c>
      <c r="CE404">
        <v>0</v>
      </c>
      <c r="CF404">
        <v>0</v>
      </c>
      <c r="CG404">
        <v>39515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1700</v>
      </c>
      <c r="CU404">
        <v>1700</v>
      </c>
      <c r="CV404">
        <v>1700</v>
      </c>
      <c r="CW404">
        <v>5100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5100</v>
      </c>
      <c r="EE404">
        <v>0</v>
      </c>
      <c r="EF404">
        <v>0</v>
      </c>
      <c r="EG404">
        <v>0</v>
      </c>
      <c r="EH404">
        <v>0</v>
      </c>
      <c r="EI404">
        <v>1154</v>
      </c>
      <c r="EJ404">
        <v>1154</v>
      </c>
      <c r="EK404">
        <v>1155</v>
      </c>
      <c r="EL404">
        <v>3500</v>
      </c>
      <c r="EM404">
        <v>37.065000000000005</v>
      </c>
      <c r="EN404">
        <v>660</v>
      </c>
      <c r="EO404">
        <v>660</v>
      </c>
      <c r="EP404">
        <v>659</v>
      </c>
      <c r="EQ404">
        <v>2000</v>
      </c>
      <c r="ER404">
        <v>21.18</v>
      </c>
      <c r="ES404">
        <v>0</v>
      </c>
      <c r="ET404">
        <v>0</v>
      </c>
      <c r="EU404">
        <v>0</v>
      </c>
      <c r="EV404">
        <v>0</v>
      </c>
      <c r="EW404">
        <v>0</v>
      </c>
      <c r="FA404">
        <v>0</v>
      </c>
      <c r="FE404">
        <v>0</v>
      </c>
      <c r="FI404">
        <v>0</v>
      </c>
      <c r="FJ404">
        <v>5441.7550000000001</v>
      </c>
      <c r="FK404">
        <v>34415</v>
      </c>
      <c r="FL404">
        <v>30254.840023390832</v>
      </c>
      <c r="FM404">
        <v>28973.244999999999</v>
      </c>
      <c r="FO404" t="s">
        <v>1225</v>
      </c>
      <c r="FP404" t="s">
        <v>1226</v>
      </c>
      <c r="FQ404" t="s">
        <v>579</v>
      </c>
      <c r="FR404" t="s">
        <v>1227</v>
      </c>
    </row>
    <row r="405" spans="1:174" x14ac:dyDescent="0.35">
      <c r="A405">
        <v>192827</v>
      </c>
      <c r="B405" t="s">
        <v>3924</v>
      </c>
      <c r="C405" t="s">
        <v>3530</v>
      </c>
      <c r="D405" t="s">
        <v>3925</v>
      </c>
      <c r="E405" s="43" t="s">
        <v>4214</v>
      </c>
      <c r="J405" t="s">
        <v>3830</v>
      </c>
      <c r="L405" s="43" t="s">
        <v>259</v>
      </c>
      <c r="M405" t="s">
        <v>3926</v>
      </c>
      <c r="N405" s="43"/>
      <c r="O405" s="43"/>
      <c r="P405" s="43"/>
      <c r="Q405" s="43"/>
      <c r="R405">
        <v>3.254</v>
      </c>
      <c r="S405">
        <v>44109</v>
      </c>
      <c r="T405" t="s">
        <v>311</v>
      </c>
      <c r="U405" t="s">
        <v>266</v>
      </c>
      <c r="V405" t="s">
        <v>267</v>
      </c>
      <c r="W405" t="s">
        <v>268</v>
      </c>
      <c r="X405" t="s">
        <v>269</v>
      </c>
      <c r="Y405">
        <v>8883022894</v>
      </c>
      <c r="Z405" t="s">
        <v>270</v>
      </c>
      <c r="AA405" t="s">
        <v>271</v>
      </c>
      <c r="AB405">
        <v>0</v>
      </c>
      <c r="AC405" t="s">
        <v>1190</v>
      </c>
      <c r="AD405" t="s">
        <v>363</v>
      </c>
      <c r="AE405" t="s">
        <v>301</v>
      </c>
      <c r="AF405">
        <v>1</v>
      </c>
      <c r="AG405" t="s">
        <v>3345</v>
      </c>
      <c r="AH405" t="s">
        <v>259</v>
      </c>
      <c r="AI405" t="s">
        <v>259</v>
      </c>
      <c r="AJ405" t="s">
        <v>259</v>
      </c>
      <c r="AK405" s="43" t="s">
        <v>259</v>
      </c>
      <c r="AL405" s="43" t="s">
        <v>259</v>
      </c>
      <c r="AO405" s="23"/>
      <c r="AP405" s="23"/>
      <c r="AQ405" s="23"/>
      <c r="BD405" s="43" t="s">
        <v>259</v>
      </c>
      <c r="BE405" s="43" t="s">
        <v>259</v>
      </c>
      <c r="BF405" s="43" t="s">
        <v>259</v>
      </c>
      <c r="BG405" s="43" t="s">
        <v>259</v>
      </c>
      <c r="BH405" t="s">
        <v>259</v>
      </c>
      <c r="BI405" s="43" t="s">
        <v>259</v>
      </c>
      <c r="BJ405">
        <v>0</v>
      </c>
      <c r="BK405">
        <v>44109</v>
      </c>
      <c r="BL405">
        <v>44356</v>
      </c>
      <c r="BP405">
        <v>0</v>
      </c>
      <c r="BT405">
        <v>0</v>
      </c>
      <c r="BX405">
        <v>0</v>
      </c>
      <c r="CB405">
        <v>0</v>
      </c>
      <c r="CF405">
        <v>0</v>
      </c>
      <c r="CG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1700</v>
      </c>
      <c r="CU405">
        <v>1700</v>
      </c>
      <c r="CV405">
        <v>1700</v>
      </c>
      <c r="CW405">
        <v>5100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N405">
        <v>0</v>
      </c>
      <c r="DO405">
        <v>0</v>
      </c>
      <c r="DP405">
        <v>0</v>
      </c>
      <c r="DR405">
        <v>0</v>
      </c>
      <c r="DS405">
        <v>0</v>
      </c>
      <c r="DT405">
        <v>0</v>
      </c>
      <c r="DY405">
        <v>0</v>
      </c>
      <c r="EC405">
        <v>0</v>
      </c>
      <c r="ED405">
        <v>5100</v>
      </c>
      <c r="EH405">
        <v>0</v>
      </c>
      <c r="EI405">
        <v>0</v>
      </c>
      <c r="EJ405">
        <v>0</v>
      </c>
      <c r="EK405">
        <v>0</v>
      </c>
      <c r="EM405">
        <v>0</v>
      </c>
      <c r="EN405">
        <v>660</v>
      </c>
      <c r="EO405">
        <v>660</v>
      </c>
      <c r="EP405">
        <v>659</v>
      </c>
      <c r="EQ405">
        <v>2000</v>
      </c>
      <c r="ER405">
        <v>21.24</v>
      </c>
      <c r="ES405">
        <v>0</v>
      </c>
      <c r="ET405">
        <v>0</v>
      </c>
      <c r="EU405">
        <v>0</v>
      </c>
      <c r="EW405">
        <v>0</v>
      </c>
      <c r="FA405">
        <v>0</v>
      </c>
      <c r="FE405">
        <v>0</v>
      </c>
      <c r="FI405">
        <v>0</v>
      </c>
      <c r="FJ405">
        <v>1978.76</v>
      </c>
      <c r="FK405">
        <v>-5100</v>
      </c>
      <c r="FL405">
        <v>-7392.8064165761552</v>
      </c>
      <c r="FM405">
        <v>-7078.76</v>
      </c>
      <c r="FO405" t="s">
        <v>3927</v>
      </c>
      <c r="FP405" t="s">
        <v>3928</v>
      </c>
      <c r="FQ405" t="s">
        <v>342</v>
      </c>
      <c r="FR405" t="s">
        <v>696</v>
      </c>
    </row>
    <row r="406" spans="1:174" x14ac:dyDescent="0.35">
      <c r="A406">
        <v>198942</v>
      </c>
      <c r="B406" t="s">
        <v>1229</v>
      </c>
      <c r="C406" t="s">
        <v>1230</v>
      </c>
      <c r="D406" t="s">
        <v>1231</v>
      </c>
      <c r="E406" s="43" t="s">
        <v>3295</v>
      </c>
      <c r="L406" s="43" t="s">
        <v>259</v>
      </c>
      <c r="M406" t="s">
        <v>1232</v>
      </c>
      <c r="N406" s="43"/>
      <c r="O406" s="43"/>
      <c r="P406" s="43"/>
      <c r="Q406" s="43"/>
      <c r="R406">
        <v>3.3330000000000002</v>
      </c>
      <c r="S406">
        <v>44109</v>
      </c>
      <c r="T406" t="s">
        <v>265</v>
      </c>
      <c r="U406" t="s">
        <v>286</v>
      </c>
      <c r="V406" t="s">
        <v>267</v>
      </c>
      <c r="W406" t="s">
        <v>268</v>
      </c>
      <c r="X406" t="s">
        <v>269</v>
      </c>
      <c r="Y406">
        <v>8883022894</v>
      </c>
      <c r="Z406" t="s">
        <v>270</v>
      </c>
      <c r="AA406" t="s">
        <v>271</v>
      </c>
      <c r="AB406">
        <v>0</v>
      </c>
      <c r="AC406" t="s">
        <v>653</v>
      </c>
      <c r="AD406" t="s">
        <v>415</v>
      </c>
      <c r="AE406" t="s">
        <v>364</v>
      </c>
      <c r="AF406">
        <v>3</v>
      </c>
      <c r="AG406" t="s">
        <v>446</v>
      </c>
      <c r="AH406" t="s">
        <v>259</v>
      </c>
      <c r="AI406" t="s">
        <v>259</v>
      </c>
      <c r="AJ406" t="s">
        <v>259</v>
      </c>
      <c r="AK406" s="43" t="s">
        <v>259</v>
      </c>
      <c r="AL406" s="43" t="s">
        <v>259</v>
      </c>
      <c r="AO406" s="23"/>
      <c r="AP406" s="23"/>
      <c r="AQ406" s="23"/>
      <c r="BD406" s="43" t="s">
        <v>259</v>
      </c>
      <c r="BE406" s="43" t="s">
        <v>259</v>
      </c>
      <c r="BF406" s="43" t="s">
        <v>259</v>
      </c>
      <c r="BG406" s="43" t="s">
        <v>259</v>
      </c>
      <c r="BH406" t="s">
        <v>259</v>
      </c>
      <c r="BI406" s="43" t="s">
        <v>259</v>
      </c>
      <c r="BJ406">
        <v>0</v>
      </c>
      <c r="BK406">
        <v>44109</v>
      </c>
      <c r="BL406">
        <v>44356</v>
      </c>
      <c r="BM406">
        <v>8505</v>
      </c>
      <c r="BN406">
        <v>8505</v>
      </c>
      <c r="BO406">
        <v>8505</v>
      </c>
      <c r="BP406">
        <v>25515</v>
      </c>
      <c r="BQ406">
        <v>3300</v>
      </c>
      <c r="BR406">
        <v>400</v>
      </c>
      <c r="BS406">
        <v>400</v>
      </c>
      <c r="BT406">
        <v>4100</v>
      </c>
      <c r="BU406">
        <v>2100</v>
      </c>
      <c r="BV406">
        <v>2100</v>
      </c>
      <c r="BW406">
        <v>2100</v>
      </c>
      <c r="BX406">
        <v>6300</v>
      </c>
      <c r="BY406">
        <v>1200</v>
      </c>
      <c r="BZ406">
        <v>1200</v>
      </c>
      <c r="CA406">
        <v>1200</v>
      </c>
      <c r="CB406">
        <v>3600</v>
      </c>
      <c r="CF406">
        <v>0</v>
      </c>
      <c r="CG406">
        <v>39515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1300</v>
      </c>
      <c r="CU406">
        <v>1300</v>
      </c>
      <c r="CV406">
        <v>1300</v>
      </c>
      <c r="CW406">
        <v>3900</v>
      </c>
      <c r="CX406">
        <v>0</v>
      </c>
      <c r="CY406">
        <v>0</v>
      </c>
      <c r="CZ406">
        <v>0</v>
      </c>
      <c r="DA406">
        <v>0</v>
      </c>
      <c r="DB406">
        <v>1000</v>
      </c>
      <c r="DC406">
        <v>1000</v>
      </c>
      <c r="DD406">
        <v>1000</v>
      </c>
      <c r="DE406">
        <v>3000</v>
      </c>
      <c r="DF406">
        <v>0</v>
      </c>
      <c r="DG406">
        <v>0</v>
      </c>
      <c r="DH406">
        <v>0</v>
      </c>
      <c r="DN406">
        <v>0</v>
      </c>
      <c r="DO406">
        <v>0</v>
      </c>
      <c r="DP406">
        <v>0</v>
      </c>
      <c r="DR406">
        <v>0</v>
      </c>
      <c r="DS406">
        <v>0</v>
      </c>
      <c r="DT406">
        <v>0</v>
      </c>
      <c r="DY406">
        <v>0</v>
      </c>
      <c r="EC406">
        <v>0</v>
      </c>
      <c r="ED406">
        <v>6900</v>
      </c>
      <c r="EH406">
        <v>0</v>
      </c>
      <c r="EI406">
        <v>0</v>
      </c>
      <c r="EJ406">
        <v>0</v>
      </c>
      <c r="EK406">
        <v>0</v>
      </c>
      <c r="EM406">
        <v>0</v>
      </c>
      <c r="EN406">
        <v>660</v>
      </c>
      <c r="EO406">
        <v>660</v>
      </c>
      <c r="EP406">
        <v>659</v>
      </c>
      <c r="EQ406">
        <v>2000</v>
      </c>
      <c r="ER406">
        <v>21.24</v>
      </c>
      <c r="ES406">
        <v>0</v>
      </c>
      <c r="ET406">
        <v>0</v>
      </c>
      <c r="EU406">
        <v>0</v>
      </c>
      <c r="EW406">
        <v>0</v>
      </c>
      <c r="FA406">
        <v>0</v>
      </c>
      <c r="FE406">
        <v>0</v>
      </c>
      <c r="FI406">
        <v>0</v>
      </c>
      <c r="FJ406">
        <v>1978.76</v>
      </c>
      <c r="FK406">
        <v>32615</v>
      </c>
      <c r="FL406">
        <v>31995.404795722283</v>
      </c>
      <c r="FM406">
        <v>30636.240000000002</v>
      </c>
      <c r="FO406" t="s">
        <v>1233</v>
      </c>
      <c r="FP406" t="s">
        <v>1234</v>
      </c>
      <c r="FQ406" t="s">
        <v>372</v>
      </c>
      <c r="FR406" t="s">
        <v>1235</v>
      </c>
    </row>
    <row r="407" spans="1:174" x14ac:dyDescent="0.35">
      <c r="A407">
        <v>198402</v>
      </c>
      <c r="B407" t="s">
        <v>1236</v>
      </c>
      <c r="C407" t="s">
        <v>1237</v>
      </c>
      <c r="D407" t="s">
        <v>1238</v>
      </c>
      <c r="E407" s="43" t="s">
        <v>1239</v>
      </c>
      <c r="L407" s="43" t="s">
        <v>3204</v>
      </c>
      <c r="M407" t="s">
        <v>1240</v>
      </c>
      <c r="N407" s="43"/>
      <c r="O407" s="43"/>
      <c r="P407" s="43"/>
      <c r="Q407" s="43"/>
      <c r="R407">
        <v>3.7</v>
      </c>
      <c r="S407">
        <v>44109</v>
      </c>
      <c r="T407" t="s">
        <v>285</v>
      </c>
      <c r="U407" t="s">
        <v>266</v>
      </c>
      <c r="V407" t="s">
        <v>267</v>
      </c>
      <c r="W407" t="s">
        <v>268</v>
      </c>
      <c r="X407" t="s">
        <v>269</v>
      </c>
      <c r="Y407">
        <v>8883022894</v>
      </c>
      <c r="Z407" t="s">
        <v>270</v>
      </c>
      <c r="AA407" t="s">
        <v>271</v>
      </c>
      <c r="AB407" t="s">
        <v>386</v>
      </c>
      <c r="AC407">
        <v>0</v>
      </c>
      <c r="AD407" t="s">
        <v>600</v>
      </c>
      <c r="AE407" t="s">
        <v>301</v>
      </c>
      <c r="AF407">
        <v>1</v>
      </c>
      <c r="AG407" t="s">
        <v>275</v>
      </c>
      <c r="AH407" t="s">
        <v>3320</v>
      </c>
      <c r="AI407" t="s">
        <v>3321</v>
      </c>
      <c r="AJ407" t="s">
        <v>3309</v>
      </c>
      <c r="AK407" s="43" t="s">
        <v>3208</v>
      </c>
      <c r="AL407" s="43" t="s">
        <v>3209</v>
      </c>
      <c r="AO407" s="23"/>
      <c r="AP407" s="23"/>
      <c r="AQ407" s="23"/>
      <c r="BD407" s="43" t="s">
        <v>2018</v>
      </c>
      <c r="BE407" s="43" t="s">
        <v>2018</v>
      </c>
      <c r="BF407" s="43" t="s">
        <v>2018</v>
      </c>
      <c r="BG407" s="43" t="s">
        <v>2018</v>
      </c>
      <c r="BH407" t="s">
        <v>2018</v>
      </c>
      <c r="BI407" s="43" t="s">
        <v>2018</v>
      </c>
      <c r="BJ407">
        <v>0</v>
      </c>
      <c r="BK407">
        <v>44109</v>
      </c>
      <c r="BL407">
        <v>44356</v>
      </c>
      <c r="BM407">
        <v>8505</v>
      </c>
      <c r="BN407">
        <v>8505</v>
      </c>
      <c r="BO407">
        <v>8505</v>
      </c>
      <c r="BP407">
        <v>25515</v>
      </c>
      <c r="BQ407">
        <v>3300</v>
      </c>
      <c r="BR407">
        <v>400</v>
      </c>
      <c r="BS407">
        <v>400</v>
      </c>
      <c r="BT407">
        <v>4100</v>
      </c>
      <c r="BU407">
        <v>2100</v>
      </c>
      <c r="BV407">
        <v>2100</v>
      </c>
      <c r="BW407">
        <v>2100</v>
      </c>
      <c r="BX407">
        <v>6300</v>
      </c>
      <c r="BY407">
        <v>1200</v>
      </c>
      <c r="BZ407">
        <v>1200</v>
      </c>
      <c r="CA407">
        <v>1200</v>
      </c>
      <c r="CB407">
        <v>3600</v>
      </c>
      <c r="CC407">
        <v>0</v>
      </c>
      <c r="CD407">
        <v>0</v>
      </c>
      <c r="CE407">
        <v>0</v>
      </c>
      <c r="CF407">
        <v>0</v>
      </c>
      <c r="CG407">
        <v>39515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1700</v>
      </c>
      <c r="CU407">
        <v>1700</v>
      </c>
      <c r="CV407">
        <v>1700</v>
      </c>
      <c r="CW407">
        <v>5100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N407">
        <v>0</v>
      </c>
      <c r="DO407">
        <v>0</v>
      </c>
      <c r="DP407">
        <v>0</v>
      </c>
      <c r="DR407">
        <v>0</v>
      </c>
      <c r="DS407">
        <v>0</v>
      </c>
      <c r="DT407">
        <v>0</v>
      </c>
      <c r="DY407">
        <v>0</v>
      </c>
      <c r="EC407">
        <v>0</v>
      </c>
      <c r="ED407">
        <v>5100</v>
      </c>
      <c r="EE407">
        <v>0</v>
      </c>
      <c r="EF407">
        <v>0</v>
      </c>
      <c r="EG407">
        <v>0</v>
      </c>
      <c r="EH407">
        <v>0</v>
      </c>
      <c r="EI407">
        <v>1154</v>
      </c>
      <c r="EJ407">
        <v>1154</v>
      </c>
      <c r="EK407">
        <v>1155</v>
      </c>
      <c r="EL407">
        <v>3500</v>
      </c>
      <c r="EM407">
        <v>37.065000000000005</v>
      </c>
      <c r="EN407">
        <v>660</v>
      </c>
      <c r="EO407">
        <v>660</v>
      </c>
      <c r="EP407">
        <v>659</v>
      </c>
      <c r="EQ407">
        <v>2000</v>
      </c>
      <c r="ER407">
        <v>21.18</v>
      </c>
      <c r="ES407">
        <v>0</v>
      </c>
      <c r="ET407">
        <v>0</v>
      </c>
      <c r="EU407">
        <v>0</v>
      </c>
      <c r="EV407">
        <v>0</v>
      </c>
      <c r="EW407">
        <v>0</v>
      </c>
      <c r="FA407">
        <v>0</v>
      </c>
      <c r="FE407">
        <v>0</v>
      </c>
      <c r="FI407">
        <v>0</v>
      </c>
      <c r="FJ407">
        <v>5441.7550000000001</v>
      </c>
      <c r="FK407">
        <v>34415</v>
      </c>
      <c r="FL407">
        <v>30258.631673489846</v>
      </c>
      <c r="FM407">
        <v>28973.244999999999</v>
      </c>
      <c r="FO407" t="s">
        <v>3601</v>
      </c>
      <c r="FP407" t="s">
        <v>1242</v>
      </c>
      <c r="FQ407" t="s">
        <v>524</v>
      </c>
      <c r="FR407" t="s">
        <v>1243</v>
      </c>
    </row>
    <row r="408" spans="1:174" x14ac:dyDescent="0.35">
      <c r="A408">
        <v>197248</v>
      </c>
      <c r="B408" t="s">
        <v>1236</v>
      </c>
      <c r="C408" t="s">
        <v>1244</v>
      </c>
      <c r="D408" t="s">
        <v>1245</v>
      </c>
      <c r="E408" s="43" t="s">
        <v>1246</v>
      </c>
      <c r="F408">
        <v>1</v>
      </c>
      <c r="I408">
        <v>43801</v>
      </c>
      <c r="L408" s="43" t="s">
        <v>3204</v>
      </c>
      <c r="M408" t="s">
        <v>1247</v>
      </c>
      <c r="N408" s="43"/>
      <c r="O408" s="43"/>
      <c r="P408" s="43"/>
      <c r="Q408" s="43"/>
      <c r="R408">
        <v>3.2059000000000002</v>
      </c>
      <c r="S408">
        <v>44109</v>
      </c>
      <c r="T408" t="s">
        <v>311</v>
      </c>
      <c r="U408" t="s">
        <v>266</v>
      </c>
      <c r="V408" t="s">
        <v>267</v>
      </c>
      <c r="W408" t="s">
        <v>268</v>
      </c>
      <c r="X408" t="s">
        <v>269</v>
      </c>
      <c r="Y408">
        <v>8883022894</v>
      </c>
      <c r="Z408" t="s">
        <v>270</v>
      </c>
      <c r="AA408" t="s">
        <v>271</v>
      </c>
      <c r="AB408" t="s">
        <v>969</v>
      </c>
      <c r="AC408">
        <v>0</v>
      </c>
      <c r="AD408" t="s">
        <v>415</v>
      </c>
      <c r="AE408" t="s">
        <v>364</v>
      </c>
      <c r="AF408">
        <v>3</v>
      </c>
      <c r="AG408" t="s">
        <v>275</v>
      </c>
      <c r="AH408" t="s">
        <v>3322</v>
      </c>
      <c r="AI408" t="s">
        <v>3323</v>
      </c>
      <c r="AJ408" t="s">
        <v>3309</v>
      </c>
      <c r="AK408" s="43" t="s">
        <v>3208</v>
      </c>
      <c r="AL408" s="43" t="s">
        <v>3209</v>
      </c>
      <c r="AO408" s="23">
        <v>43797</v>
      </c>
      <c r="AP408" s="23"/>
      <c r="AQ408" s="23">
        <v>43797</v>
      </c>
      <c r="BD408" s="43" t="s">
        <v>2018</v>
      </c>
      <c r="BE408" s="43" t="s">
        <v>2018</v>
      </c>
      <c r="BF408" s="43" t="s">
        <v>2018</v>
      </c>
      <c r="BG408" s="43" t="s">
        <v>2018</v>
      </c>
      <c r="BH408" t="s">
        <v>2018</v>
      </c>
      <c r="BI408" s="43" t="s">
        <v>2018</v>
      </c>
      <c r="BJ408">
        <v>0.11764705882352944</v>
      </c>
      <c r="BK408">
        <v>44109</v>
      </c>
      <c r="BL408">
        <v>44356</v>
      </c>
      <c r="BM408">
        <v>8505</v>
      </c>
      <c r="BN408">
        <v>8505</v>
      </c>
      <c r="BO408">
        <v>8505</v>
      </c>
      <c r="BP408">
        <v>25515</v>
      </c>
      <c r="BQ408">
        <v>3300</v>
      </c>
      <c r="BR408">
        <v>400</v>
      </c>
      <c r="BS408">
        <v>400</v>
      </c>
      <c r="BT408">
        <v>4100</v>
      </c>
      <c r="BU408">
        <v>2100</v>
      </c>
      <c r="BV408">
        <v>2100</v>
      </c>
      <c r="BW408">
        <v>2100</v>
      </c>
      <c r="BX408">
        <v>6300</v>
      </c>
      <c r="BY408">
        <v>1200</v>
      </c>
      <c r="BZ408">
        <v>1200</v>
      </c>
      <c r="CA408">
        <v>1200</v>
      </c>
      <c r="CB408">
        <v>3600</v>
      </c>
      <c r="CC408">
        <v>0</v>
      </c>
      <c r="CD408">
        <v>0</v>
      </c>
      <c r="CE408">
        <v>0</v>
      </c>
      <c r="CF408">
        <v>0</v>
      </c>
      <c r="CG408">
        <v>39515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1300</v>
      </c>
      <c r="CU408">
        <v>1300</v>
      </c>
      <c r="CV408">
        <v>1300</v>
      </c>
      <c r="CW408">
        <v>3900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3900</v>
      </c>
      <c r="EE408">
        <v>0</v>
      </c>
      <c r="EF408">
        <v>0</v>
      </c>
      <c r="EG408">
        <v>0</v>
      </c>
      <c r="EH408">
        <v>0</v>
      </c>
      <c r="EI408">
        <v>1154</v>
      </c>
      <c r="EJ408">
        <v>1154</v>
      </c>
      <c r="EK408">
        <v>1155</v>
      </c>
      <c r="EL408">
        <v>3500</v>
      </c>
      <c r="EM408">
        <v>37.065000000000005</v>
      </c>
      <c r="EN408">
        <v>660</v>
      </c>
      <c r="EO408">
        <v>660</v>
      </c>
      <c r="EP408">
        <v>659</v>
      </c>
      <c r="EQ408">
        <v>2000</v>
      </c>
      <c r="ER408">
        <v>21.18</v>
      </c>
      <c r="ES408">
        <v>0</v>
      </c>
      <c r="ET408">
        <v>0</v>
      </c>
      <c r="EU408">
        <v>0</v>
      </c>
      <c r="EV408">
        <v>0</v>
      </c>
      <c r="EW408">
        <v>0</v>
      </c>
      <c r="FA408">
        <v>0</v>
      </c>
      <c r="FE408">
        <v>0</v>
      </c>
      <c r="FI408">
        <v>0</v>
      </c>
      <c r="FJ408">
        <v>5441.7550000000001</v>
      </c>
      <c r="FK408">
        <v>35615</v>
      </c>
      <c r="FL408">
        <v>31507.920512927612</v>
      </c>
      <c r="FM408">
        <v>30173.244999999999</v>
      </c>
      <c r="FO408" t="s">
        <v>1248</v>
      </c>
      <c r="FP408" t="s">
        <v>1249</v>
      </c>
      <c r="FQ408" t="s">
        <v>442</v>
      </c>
      <c r="FR408" t="s">
        <v>1250</v>
      </c>
    </row>
    <row r="409" spans="1:174" x14ac:dyDescent="0.35">
      <c r="A409">
        <v>191641</v>
      </c>
      <c r="B409" t="s">
        <v>1236</v>
      </c>
      <c r="C409" t="s">
        <v>1251</v>
      </c>
      <c r="D409" t="s">
        <v>1252</v>
      </c>
      <c r="E409" s="43" t="s">
        <v>1253</v>
      </c>
      <c r="L409" s="43" t="s">
        <v>259</v>
      </c>
      <c r="M409" t="s">
        <v>1254</v>
      </c>
      <c r="N409" s="43"/>
      <c r="O409" s="43"/>
      <c r="P409" s="43"/>
      <c r="Q409" s="43"/>
      <c r="R409">
        <v>3.395</v>
      </c>
      <c r="S409">
        <v>44109</v>
      </c>
      <c r="T409" t="s">
        <v>265</v>
      </c>
      <c r="U409" t="s">
        <v>266</v>
      </c>
      <c r="V409" t="s">
        <v>267</v>
      </c>
      <c r="W409" t="s">
        <v>268</v>
      </c>
      <c r="X409" t="s">
        <v>269</v>
      </c>
      <c r="Y409">
        <v>8883022894</v>
      </c>
      <c r="Z409" t="s">
        <v>270</v>
      </c>
      <c r="AA409" t="s">
        <v>271</v>
      </c>
      <c r="AB409">
        <v>0</v>
      </c>
      <c r="AC409">
        <v>0</v>
      </c>
      <c r="AD409" t="s">
        <v>313</v>
      </c>
      <c r="AE409" t="s">
        <v>416</v>
      </c>
      <c r="AF409">
        <v>5</v>
      </c>
      <c r="AG409" t="s">
        <v>275</v>
      </c>
      <c r="AH409" t="s">
        <v>259</v>
      </c>
      <c r="AI409" t="s">
        <v>259</v>
      </c>
      <c r="AJ409" t="s">
        <v>259</v>
      </c>
      <c r="AK409" s="43" t="s">
        <v>259</v>
      </c>
      <c r="AL409" s="43" t="s">
        <v>259</v>
      </c>
      <c r="AO409" s="23"/>
      <c r="AP409" s="23"/>
      <c r="AQ409" s="23"/>
      <c r="BD409" s="43" t="s">
        <v>259</v>
      </c>
      <c r="BE409" s="43" t="s">
        <v>259</v>
      </c>
      <c r="BF409" s="43" t="s">
        <v>259</v>
      </c>
      <c r="BG409" s="43" t="s">
        <v>259</v>
      </c>
      <c r="BH409" t="s">
        <v>259</v>
      </c>
      <c r="BI409" s="43" t="s">
        <v>259</v>
      </c>
      <c r="BJ409">
        <v>0</v>
      </c>
      <c r="BK409">
        <v>44109</v>
      </c>
      <c r="BL409">
        <v>44356</v>
      </c>
      <c r="BM409">
        <v>8505</v>
      </c>
      <c r="BN409">
        <v>8505</v>
      </c>
      <c r="BO409">
        <v>8505</v>
      </c>
      <c r="BP409">
        <v>25515</v>
      </c>
      <c r="BQ409">
        <v>3300</v>
      </c>
      <c r="BR409">
        <v>400</v>
      </c>
      <c r="BS409">
        <v>400</v>
      </c>
      <c r="BT409">
        <v>4100</v>
      </c>
      <c r="BU409">
        <v>2100</v>
      </c>
      <c r="BV409">
        <v>2100</v>
      </c>
      <c r="BW409">
        <v>2100</v>
      </c>
      <c r="BX409">
        <v>6300</v>
      </c>
      <c r="BY409">
        <v>1200</v>
      </c>
      <c r="BZ409">
        <v>1200</v>
      </c>
      <c r="CA409">
        <v>1200</v>
      </c>
      <c r="CB409">
        <v>3600</v>
      </c>
      <c r="CC409">
        <v>0</v>
      </c>
      <c r="CD409">
        <v>0</v>
      </c>
      <c r="CE409">
        <v>0</v>
      </c>
      <c r="CF409">
        <v>0</v>
      </c>
      <c r="CG409">
        <v>39515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1000</v>
      </c>
      <c r="CU409">
        <v>1000</v>
      </c>
      <c r="CV409">
        <v>1000</v>
      </c>
      <c r="CW409">
        <v>3000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3000</v>
      </c>
      <c r="EE409">
        <v>0</v>
      </c>
      <c r="EF409">
        <v>0</v>
      </c>
      <c r="EG409">
        <v>0</v>
      </c>
      <c r="EH409">
        <v>0</v>
      </c>
      <c r="EI409">
        <v>1154</v>
      </c>
      <c r="EJ409">
        <v>1154</v>
      </c>
      <c r="EK409">
        <v>1155</v>
      </c>
      <c r="EL409">
        <v>3500</v>
      </c>
      <c r="EM409">
        <v>37.065000000000005</v>
      </c>
      <c r="EN409">
        <v>660</v>
      </c>
      <c r="EO409">
        <v>660</v>
      </c>
      <c r="EP409">
        <v>659</v>
      </c>
      <c r="EQ409">
        <v>2000</v>
      </c>
      <c r="ER409">
        <v>21.18</v>
      </c>
      <c r="ES409">
        <v>0</v>
      </c>
      <c r="ET409">
        <v>0</v>
      </c>
      <c r="EU409">
        <v>0</v>
      </c>
      <c r="EV409">
        <v>0</v>
      </c>
      <c r="EW409">
        <v>0</v>
      </c>
      <c r="FA409">
        <v>0</v>
      </c>
      <c r="FE409">
        <v>0</v>
      </c>
      <c r="FI409">
        <v>0</v>
      </c>
      <c r="FJ409">
        <v>5441.7550000000001</v>
      </c>
      <c r="FK409">
        <v>36515</v>
      </c>
      <c r="FL409">
        <v>32447.730880080198</v>
      </c>
      <c r="FM409">
        <v>31073.245000000003</v>
      </c>
      <c r="FO409" t="s">
        <v>1255</v>
      </c>
      <c r="FP409" t="s">
        <v>1256</v>
      </c>
      <c r="FQ409" t="s">
        <v>309</v>
      </c>
      <c r="FR409" t="s">
        <v>1257</v>
      </c>
    </row>
    <row r="410" spans="1:174" x14ac:dyDescent="0.35">
      <c r="A410">
        <v>195989</v>
      </c>
      <c r="B410" t="s">
        <v>1236</v>
      </c>
      <c r="C410" t="s">
        <v>1258</v>
      </c>
      <c r="D410" t="s">
        <v>1259</v>
      </c>
      <c r="E410" s="43" t="s">
        <v>1260</v>
      </c>
      <c r="L410" s="43" t="s">
        <v>259</v>
      </c>
      <c r="M410" t="s">
        <v>1261</v>
      </c>
      <c r="N410" s="43"/>
      <c r="O410" s="43"/>
      <c r="P410" s="43"/>
      <c r="Q410" s="43"/>
      <c r="R410">
        <v>3.1469999999999998</v>
      </c>
      <c r="S410">
        <v>44109</v>
      </c>
      <c r="T410" t="s">
        <v>544</v>
      </c>
      <c r="U410" t="s">
        <v>286</v>
      </c>
      <c r="V410" t="s">
        <v>267</v>
      </c>
      <c r="W410" t="s">
        <v>268</v>
      </c>
      <c r="X410" t="s">
        <v>269</v>
      </c>
      <c r="Y410">
        <v>8883022894</v>
      </c>
      <c r="Z410" t="s">
        <v>270</v>
      </c>
      <c r="AA410" t="s">
        <v>271</v>
      </c>
      <c r="AB410" t="s">
        <v>679</v>
      </c>
      <c r="AC410">
        <v>0</v>
      </c>
      <c r="AD410" t="s">
        <v>313</v>
      </c>
      <c r="AE410" t="s">
        <v>274</v>
      </c>
      <c r="AF410">
        <v>9</v>
      </c>
      <c r="AG410" t="s">
        <v>275</v>
      </c>
      <c r="AH410" t="s">
        <v>259</v>
      </c>
      <c r="AI410" t="s">
        <v>259</v>
      </c>
      <c r="AJ410" t="s">
        <v>259</v>
      </c>
      <c r="AK410" s="43" t="s">
        <v>259</v>
      </c>
      <c r="AL410" s="43" t="s">
        <v>259</v>
      </c>
      <c r="AO410" s="23"/>
      <c r="AP410" s="23"/>
      <c r="AQ410" s="23"/>
      <c r="BD410" s="43" t="s">
        <v>259</v>
      </c>
      <c r="BE410" s="43" t="s">
        <v>259</v>
      </c>
      <c r="BF410" s="43" t="s">
        <v>259</v>
      </c>
      <c r="BG410" s="43" t="s">
        <v>259</v>
      </c>
      <c r="BH410" t="s">
        <v>259</v>
      </c>
      <c r="BI410" s="43" t="s">
        <v>259</v>
      </c>
      <c r="BJ410">
        <v>0</v>
      </c>
      <c r="BK410">
        <v>44109</v>
      </c>
      <c r="BL410">
        <v>44356</v>
      </c>
      <c r="BM410">
        <v>8505</v>
      </c>
      <c r="BN410">
        <v>8505</v>
      </c>
      <c r="BO410">
        <v>8505</v>
      </c>
      <c r="BP410">
        <v>25515</v>
      </c>
      <c r="BQ410">
        <v>3300</v>
      </c>
      <c r="BR410">
        <v>400</v>
      </c>
      <c r="BS410">
        <v>400</v>
      </c>
      <c r="BT410">
        <v>4100</v>
      </c>
      <c r="BU410">
        <v>2100</v>
      </c>
      <c r="BV410">
        <v>2100</v>
      </c>
      <c r="BW410">
        <v>2100</v>
      </c>
      <c r="BX410">
        <v>6300</v>
      </c>
      <c r="BY410">
        <v>1200</v>
      </c>
      <c r="BZ410">
        <v>1200</v>
      </c>
      <c r="CA410">
        <v>1200</v>
      </c>
      <c r="CB410">
        <v>3600</v>
      </c>
      <c r="CC410">
        <v>0</v>
      </c>
      <c r="CD410">
        <v>0</v>
      </c>
      <c r="CE410">
        <v>0</v>
      </c>
      <c r="CF410">
        <v>0</v>
      </c>
      <c r="CG410">
        <v>39515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3000</v>
      </c>
      <c r="CY410">
        <v>3000</v>
      </c>
      <c r="CZ410">
        <v>3000</v>
      </c>
      <c r="DA410">
        <v>9000</v>
      </c>
      <c r="DB410">
        <v>1000</v>
      </c>
      <c r="DC410">
        <v>1000</v>
      </c>
      <c r="DD410">
        <v>1000</v>
      </c>
      <c r="DE410">
        <v>3000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12000</v>
      </c>
      <c r="EE410">
        <v>0</v>
      </c>
      <c r="EF410">
        <v>0</v>
      </c>
      <c r="EG410">
        <v>0</v>
      </c>
      <c r="EH410">
        <v>0</v>
      </c>
      <c r="EI410">
        <v>1154</v>
      </c>
      <c r="EJ410">
        <v>1154</v>
      </c>
      <c r="EK410">
        <v>1155</v>
      </c>
      <c r="EL410">
        <v>3500</v>
      </c>
      <c r="EM410">
        <v>37.065000000000005</v>
      </c>
      <c r="EN410">
        <v>660</v>
      </c>
      <c r="EO410">
        <v>660</v>
      </c>
      <c r="EP410">
        <v>659</v>
      </c>
      <c r="EQ410">
        <v>2000</v>
      </c>
      <c r="ER410">
        <v>21.18</v>
      </c>
      <c r="ES410">
        <v>0</v>
      </c>
      <c r="ET410">
        <v>0</v>
      </c>
      <c r="EU410">
        <v>0</v>
      </c>
      <c r="EV410">
        <v>0</v>
      </c>
      <c r="EW410">
        <v>0</v>
      </c>
      <c r="FA410">
        <v>0</v>
      </c>
      <c r="FE410">
        <v>0</v>
      </c>
      <c r="FI410">
        <v>0</v>
      </c>
      <c r="FJ410">
        <v>5441.7550000000001</v>
      </c>
      <c r="FK410">
        <v>27515</v>
      </c>
      <c r="FL410">
        <v>23049.627208554361</v>
      </c>
      <c r="FM410">
        <v>22073.244999999999</v>
      </c>
      <c r="FO410" t="s">
        <v>1262</v>
      </c>
      <c r="FP410" t="s">
        <v>1263</v>
      </c>
      <c r="FQ410" t="s">
        <v>542</v>
      </c>
      <c r="FR410" t="s">
        <v>1264</v>
      </c>
    </row>
    <row r="411" spans="1:174" x14ac:dyDescent="0.35">
      <c r="A411">
        <v>196497</v>
      </c>
      <c r="B411" t="s">
        <v>1265</v>
      </c>
      <c r="C411" t="s">
        <v>1266</v>
      </c>
      <c r="D411" t="s">
        <v>1267</v>
      </c>
      <c r="E411" s="43" t="s">
        <v>3296</v>
      </c>
      <c r="L411" s="43" t="s">
        <v>259</v>
      </c>
      <c r="M411" t="s">
        <v>1268</v>
      </c>
      <c r="N411" s="43"/>
      <c r="O411" s="43"/>
      <c r="P411" s="43"/>
      <c r="Q411" s="43"/>
      <c r="R411">
        <v>3.5</v>
      </c>
      <c r="S411">
        <v>44109</v>
      </c>
      <c r="T411" t="s">
        <v>285</v>
      </c>
      <c r="U411" t="s">
        <v>266</v>
      </c>
      <c r="V411" t="s">
        <v>267</v>
      </c>
      <c r="W411" t="s">
        <v>268</v>
      </c>
      <c r="X411" t="s">
        <v>269</v>
      </c>
      <c r="Y411">
        <v>8883022894</v>
      </c>
      <c r="Z411" t="s">
        <v>270</v>
      </c>
      <c r="AA411" t="s">
        <v>271</v>
      </c>
      <c r="AB411" t="s">
        <v>562</v>
      </c>
      <c r="AC411">
        <v>0</v>
      </c>
      <c r="AD411" t="s">
        <v>387</v>
      </c>
      <c r="AE411" t="s">
        <v>289</v>
      </c>
      <c r="AF411">
        <v>2</v>
      </c>
      <c r="AG411" t="s">
        <v>446</v>
      </c>
      <c r="AH411" t="s">
        <v>259</v>
      </c>
      <c r="AI411" t="s">
        <v>259</v>
      </c>
      <c r="AJ411" t="s">
        <v>259</v>
      </c>
      <c r="AK411" s="43" t="s">
        <v>259</v>
      </c>
      <c r="AL411" s="43" t="s">
        <v>259</v>
      </c>
      <c r="AO411" s="23"/>
      <c r="AP411" s="23"/>
      <c r="AQ411" s="23"/>
      <c r="BD411" s="43" t="s">
        <v>259</v>
      </c>
      <c r="BE411" s="43" t="s">
        <v>259</v>
      </c>
      <c r="BF411" s="43" t="s">
        <v>259</v>
      </c>
      <c r="BG411" s="43" t="s">
        <v>259</v>
      </c>
      <c r="BH411" t="s">
        <v>259</v>
      </c>
      <c r="BI411" s="43" t="s">
        <v>259</v>
      </c>
      <c r="BJ411">
        <v>0</v>
      </c>
      <c r="BK411">
        <v>44109</v>
      </c>
      <c r="BL411">
        <v>44356</v>
      </c>
      <c r="BM411">
        <v>8505</v>
      </c>
      <c r="BN411">
        <v>8505</v>
      </c>
      <c r="BO411">
        <v>8505</v>
      </c>
      <c r="BP411">
        <v>25515</v>
      </c>
      <c r="BQ411">
        <v>3300</v>
      </c>
      <c r="BR411">
        <v>400</v>
      </c>
      <c r="BS411">
        <v>400</v>
      </c>
      <c r="BT411">
        <v>4100</v>
      </c>
      <c r="BU411">
        <v>2100</v>
      </c>
      <c r="BV411">
        <v>2100</v>
      </c>
      <c r="BW411">
        <v>2100</v>
      </c>
      <c r="BX411">
        <v>6300</v>
      </c>
      <c r="BY411">
        <v>1200</v>
      </c>
      <c r="BZ411">
        <v>1200</v>
      </c>
      <c r="CA411">
        <v>1200</v>
      </c>
      <c r="CB411">
        <v>3600</v>
      </c>
      <c r="CF411">
        <v>0</v>
      </c>
      <c r="CG411">
        <v>39515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1500</v>
      </c>
      <c r="CU411">
        <v>1500</v>
      </c>
      <c r="CV411">
        <v>1500</v>
      </c>
      <c r="CW411">
        <v>4500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N411">
        <v>0</v>
      </c>
      <c r="DO411">
        <v>0</v>
      </c>
      <c r="DP411">
        <v>0</v>
      </c>
      <c r="DR411">
        <v>0</v>
      </c>
      <c r="DS411">
        <v>0</v>
      </c>
      <c r="DT411">
        <v>0</v>
      </c>
      <c r="DY411">
        <v>0</v>
      </c>
      <c r="EC411">
        <v>0</v>
      </c>
      <c r="ED411">
        <v>4500</v>
      </c>
      <c r="EH411">
        <v>0</v>
      </c>
      <c r="EI411">
        <v>0</v>
      </c>
      <c r="EJ411">
        <v>0</v>
      </c>
      <c r="EK411">
        <v>0</v>
      </c>
      <c r="EM411">
        <v>0</v>
      </c>
      <c r="EN411">
        <v>660</v>
      </c>
      <c r="EO411">
        <v>660</v>
      </c>
      <c r="EP411">
        <v>659</v>
      </c>
      <c r="EQ411">
        <v>2000</v>
      </c>
      <c r="ER411">
        <v>21.24</v>
      </c>
      <c r="ES411">
        <v>0</v>
      </c>
      <c r="ET411">
        <v>0</v>
      </c>
      <c r="EU411">
        <v>0</v>
      </c>
      <c r="EW411">
        <v>0</v>
      </c>
      <c r="FA411">
        <v>0</v>
      </c>
      <c r="FE411">
        <v>0</v>
      </c>
      <c r="FI411">
        <v>0</v>
      </c>
      <c r="FJ411">
        <v>1978.76</v>
      </c>
      <c r="FK411">
        <v>35015</v>
      </c>
      <c r="FL411">
        <v>34501.879856295425</v>
      </c>
      <c r="FM411">
        <v>33036.239999999998</v>
      </c>
      <c r="FO411" t="s">
        <v>1269</v>
      </c>
      <c r="FP411" t="s">
        <v>1270</v>
      </c>
      <c r="FQ411" t="s">
        <v>384</v>
      </c>
      <c r="FR411" t="s">
        <v>1271</v>
      </c>
    </row>
    <row r="412" spans="1:174" x14ac:dyDescent="0.35">
      <c r="A412">
        <v>198034</v>
      </c>
      <c r="B412" t="s">
        <v>1272</v>
      </c>
      <c r="C412" t="s">
        <v>946</v>
      </c>
      <c r="D412" t="s">
        <v>1273</v>
      </c>
      <c r="E412" s="43" t="s">
        <v>1274</v>
      </c>
      <c r="L412" s="43" t="s">
        <v>259</v>
      </c>
      <c r="M412" t="s">
        <v>1275</v>
      </c>
      <c r="N412" s="43"/>
      <c r="O412" s="43"/>
      <c r="P412" s="43"/>
      <c r="Q412" s="43"/>
      <c r="R412">
        <v>3.9</v>
      </c>
      <c r="S412">
        <v>44109</v>
      </c>
      <c r="T412" t="s">
        <v>285</v>
      </c>
      <c r="U412" t="s">
        <v>266</v>
      </c>
      <c r="V412" t="s">
        <v>267</v>
      </c>
      <c r="W412" t="s">
        <v>268</v>
      </c>
      <c r="X412" t="s">
        <v>269</v>
      </c>
      <c r="Y412">
        <v>8883022894</v>
      </c>
      <c r="Z412" t="s">
        <v>270</v>
      </c>
      <c r="AA412" t="s">
        <v>271</v>
      </c>
      <c r="AB412" t="s">
        <v>1279</v>
      </c>
      <c r="AC412" t="s">
        <v>480</v>
      </c>
      <c r="AD412" t="s">
        <v>1280</v>
      </c>
      <c r="AE412" t="s">
        <v>301</v>
      </c>
      <c r="AF412">
        <v>1</v>
      </c>
      <c r="AG412" t="s">
        <v>275</v>
      </c>
      <c r="AH412" t="s">
        <v>259</v>
      </c>
      <c r="AI412" t="s">
        <v>259</v>
      </c>
      <c r="AJ412" t="s">
        <v>259</v>
      </c>
      <c r="AK412" s="43" t="s">
        <v>259</v>
      </c>
      <c r="AL412" s="43" t="s">
        <v>259</v>
      </c>
      <c r="AO412" s="23"/>
      <c r="AP412" s="23"/>
      <c r="AQ412" s="23"/>
      <c r="BD412" s="43" t="s">
        <v>259</v>
      </c>
      <c r="BE412" s="43" t="s">
        <v>259</v>
      </c>
      <c r="BF412" s="43" t="s">
        <v>259</v>
      </c>
      <c r="BG412" s="43" t="s">
        <v>259</v>
      </c>
      <c r="BH412" t="s">
        <v>259</v>
      </c>
      <c r="BI412" s="43" t="s">
        <v>259</v>
      </c>
      <c r="BJ412">
        <v>0</v>
      </c>
      <c r="BK412">
        <v>44109</v>
      </c>
      <c r="BL412">
        <v>44356</v>
      </c>
      <c r="BM412">
        <v>8505</v>
      </c>
      <c r="BN412">
        <v>8505</v>
      </c>
      <c r="BO412">
        <v>8505</v>
      </c>
      <c r="BP412">
        <v>25515</v>
      </c>
      <c r="BQ412">
        <v>3300</v>
      </c>
      <c r="BR412">
        <v>400</v>
      </c>
      <c r="BS412">
        <v>400</v>
      </c>
      <c r="BT412">
        <v>4100</v>
      </c>
      <c r="BU412">
        <v>2100</v>
      </c>
      <c r="BV412">
        <v>2100</v>
      </c>
      <c r="BW412">
        <v>2100</v>
      </c>
      <c r="BX412">
        <v>6300</v>
      </c>
      <c r="BY412">
        <v>1200</v>
      </c>
      <c r="BZ412">
        <v>1200</v>
      </c>
      <c r="CA412">
        <v>1200</v>
      </c>
      <c r="CB412">
        <v>3600</v>
      </c>
      <c r="CC412">
        <v>0</v>
      </c>
      <c r="CD412">
        <v>0</v>
      </c>
      <c r="CE412">
        <v>0</v>
      </c>
      <c r="CF412">
        <v>0</v>
      </c>
      <c r="CG412">
        <v>39515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1700</v>
      </c>
      <c r="CU412">
        <v>1700</v>
      </c>
      <c r="CV412">
        <v>1700</v>
      </c>
      <c r="CW412">
        <v>5100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5100</v>
      </c>
      <c r="EE412">
        <v>0</v>
      </c>
      <c r="EF412">
        <v>0</v>
      </c>
      <c r="EG412">
        <v>0</v>
      </c>
      <c r="EH412">
        <v>0</v>
      </c>
      <c r="EI412">
        <v>1154</v>
      </c>
      <c r="EJ412">
        <v>1154</v>
      </c>
      <c r="EK412">
        <v>1155</v>
      </c>
      <c r="EL412">
        <v>3500</v>
      </c>
      <c r="EM412">
        <v>37.065000000000005</v>
      </c>
      <c r="EN412">
        <v>660</v>
      </c>
      <c r="EO412">
        <v>660</v>
      </c>
      <c r="EP412">
        <v>659</v>
      </c>
      <c r="EQ412">
        <v>2000</v>
      </c>
      <c r="ER412">
        <v>21.18</v>
      </c>
      <c r="ES412">
        <v>0</v>
      </c>
      <c r="ET412">
        <v>0</v>
      </c>
      <c r="EU412">
        <v>0</v>
      </c>
      <c r="EV412">
        <v>0</v>
      </c>
      <c r="EW412">
        <v>0</v>
      </c>
      <c r="FA412">
        <v>0</v>
      </c>
      <c r="FE412">
        <v>0</v>
      </c>
      <c r="FI412">
        <v>0</v>
      </c>
      <c r="FJ412">
        <v>5441.7550000000001</v>
      </c>
      <c r="FK412">
        <v>34415</v>
      </c>
      <c r="FL412">
        <v>30254.840023390832</v>
      </c>
      <c r="FM412">
        <v>28973.244999999999</v>
      </c>
      <c r="FO412" t="s">
        <v>1276</v>
      </c>
      <c r="FP412" t="s">
        <v>1277</v>
      </c>
      <c r="FQ412" t="s">
        <v>759</v>
      </c>
      <c r="FR412" t="s">
        <v>1278</v>
      </c>
    </row>
    <row r="413" spans="1:174" x14ac:dyDescent="0.35">
      <c r="A413">
        <v>192217</v>
      </c>
      <c r="B413" t="s">
        <v>1281</v>
      </c>
      <c r="C413" t="s">
        <v>1282</v>
      </c>
      <c r="D413" t="s">
        <v>1283</v>
      </c>
      <c r="E413" s="43" t="s">
        <v>1284</v>
      </c>
      <c r="L413" s="43" t="s">
        <v>259</v>
      </c>
      <c r="M413" t="s">
        <v>1285</v>
      </c>
      <c r="N413" s="43"/>
      <c r="O413" s="43"/>
      <c r="P413" s="43"/>
      <c r="Q413" s="43"/>
      <c r="R413">
        <v>3.5</v>
      </c>
      <c r="S413">
        <v>44109</v>
      </c>
      <c r="T413" t="s">
        <v>265</v>
      </c>
      <c r="U413" t="s">
        <v>266</v>
      </c>
      <c r="V413" t="s">
        <v>267</v>
      </c>
      <c r="W413" t="s">
        <v>268</v>
      </c>
      <c r="X413" t="s">
        <v>269</v>
      </c>
      <c r="Y413">
        <v>8883022894</v>
      </c>
      <c r="Z413" t="s">
        <v>270</v>
      </c>
      <c r="AA413" t="s">
        <v>271</v>
      </c>
      <c r="AB413" t="s">
        <v>969</v>
      </c>
      <c r="AC413">
        <v>0</v>
      </c>
      <c r="AD413" t="s">
        <v>300</v>
      </c>
      <c r="AE413" t="s">
        <v>364</v>
      </c>
      <c r="AF413">
        <v>3</v>
      </c>
      <c r="AG413" t="s">
        <v>275</v>
      </c>
      <c r="AH413" t="s">
        <v>259</v>
      </c>
      <c r="AI413" t="s">
        <v>259</v>
      </c>
      <c r="AJ413" t="s">
        <v>259</v>
      </c>
      <c r="AK413" s="43" t="s">
        <v>259</v>
      </c>
      <c r="AL413" s="43" t="s">
        <v>259</v>
      </c>
      <c r="AO413" s="23"/>
      <c r="AP413" s="23"/>
      <c r="AQ413" s="23"/>
      <c r="BD413" s="43" t="s">
        <v>259</v>
      </c>
      <c r="BE413" s="43" t="s">
        <v>259</v>
      </c>
      <c r="BF413" s="43" t="s">
        <v>259</v>
      </c>
      <c r="BG413" s="43" t="s">
        <v>259</v>
      </c>
      <c r="BH413" t="s">
        <v>259</v>
      </c>
      <c r="BI413" s="43" t="s">
        <v>259</v>
      </c>
      <c r="BJ413">
        <v>0</v>
      </c>
      <c r="BK413">
        <v>44109</v>
      </c>
      <c r="BL413">
        <v>44356</v>
      </c>
      <c r="BM413">
        <v>8505</v>
      </c>
      <c r="BN413">
        <v>8505</v>
      </c>
      <c r="BO413">
        <v>8505</v>
      </c>
      <c r="BP413">
        <v>25515</v>
      </c>
      <c r="BQ413">
        <v>3300</v>
      </c>
      <c r="BR413">
        <v>400</v>
      </c>
      <c r="BS413">
        <v>400</v>
      </c>
      <c r="BT413">
        <v>4100</v>
      </c>
      <c r="BU413">
        <v>2100</v>
      </c>
      <c r="BV413">
        <v>2100</v>
      </c>
      <c r="BW413">
        <v>2100</v>
      </c>
      <c r="BX413">
        <v>6300</v>
      </c>
      <c r="BY413">
        <v>1200</v>
      </c>
      <c r="BZ413">
        <v>1200</v>
      </c>
      <c r="CA413">
        <v>1200</v>
      </c>
      <c r="CB413">
        <v>3600</v>
      </c>
      <c r="CC413">
        <v>0</v>
      </c>
      <c r="CD413">
        <v>0</v>
      </c>
      <c r="CE413">
        <v>0</v>
      </c>
      <c r="CF413">
        <v>0</v>
      </c>
      <c r="CG413">
        <v>39515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1300</v>
      </c>
      <c r="CU413">
        <v>1300</v>
      </c>
      <c r="CV413">
        <v>1300</v>
      </c>
      <c r="CW413">
        <v>3900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3900</v>
      </c>
      <c r="EE413">
        <v>0</v>
      </c>
      <c r="EF413">
        <v>0</v>
      </c>
      <c r="EG413">
        <v>0</v>
      </c>
      <c r="EH413">
        <v>0</v>
      </c>
      <c r="EI413">
        <v>1154</v>
      </c>
      <c r="EJ413">
        <v>1154</v>
      </c>
      <c r="EK413">
        <v>1155</v>
      </c>
      <c r="EL413">
        <v>3500</v>
      </c>
      <c r="EM413">
        <v>37.065000000000005</v>
      </c>
      <c r="EN413">
        <v>660</v>
      </c>
      <c r="EO413">
        <v>660</v>
      </c>
      <c r="EP413">
        <v>659</v>
      </c>
      <c r="EQ413">
        <v>2000</v>
      </c>
      <c r="ER413">
        <v>21.18</v>
      </c>
      <c r="ES413">
        <v>0</v>
      </c>
      <c r="ET413">
        <v>0</v>
      </c>
      <c r="EU413">
        <v>0</v>
      </c>
      <c r="EV413">
        <v>0</v>
      </c>
      <c r="EW413">
        <v>0</v>
      </c>
      <c r="FA413">
        <v>0</v>
      </c>
      <c r="FE413">
        <v>0</v>
      </c>
      <c r="FI413">
        <v>0</v>
      </c>
      <c r="FJ413">
        <v>5441.7550000000001</v>
      </c>
      <c r="FK413">
        <v>35615</v>
      </c>
      <c r="FL413">
        <v>31507.920512927612</v>
      </c>
      <c r="FM413">
        <v>30173.244999999999</v>
      </c>
      <c r="FO413" t="s">
        <v>1286</v>
      </c>
      <c r="FP413" t="s">
        <v>1287</v>
      </c>
      <c r="FQ413" t="s">
        <v>596</v>
      </c>
      <c r="FR413" t="s">
        <v>1288</v>
      </c>
    </row>
    <row r="414" spans="1:174" x14ac:dyDescent="0.35">
      <c r="A414">
        <v>195360</v>
      </c>
      <c r="B414" t="s">
        <v>1289</v>
      </c>
      <c r="C414" t="s">
        <v>1290</v>
      </c>
      <c r="D414" t="s">
        <v>1291</v>
      </c>
      <c r="E414" s="43" t="s">
        <v>1292</v>
      </c>
      <c r="L414" s="43" t="s">
        <v>3204</v>
      </c>
      <c r="M414" t="s">
        <v>1293</v>
      </c>
      <c r="N414" s="43"/>
      <c r="O414" s="43"/>
      <c r="P414" s="43"/>
      <c r="Q414" s="43"/>
      <c r="R414">
        <v>2.8570000000000002</v>
      </c>
      <c r="S414">
        <v>44109</v>
      </c>
      <c r="T414" t="s">
        <v>265</v>
      </c>
      <c r="U414" t="s">
        <v>266</v>
      </c>
      <c r="V414" t="s">
        <v>1110</v>
      </c>
      <c r="W414" t="s">
        <v>268</v>
      </c>
      <c r="X414" t="s">
        <v>269</v>
      </c>
      <c r="Y414">
        <v>8883022894</v>
      </c>
      <c r="Z414" t="s">
        <v>270</v>
      </c>
      <c r="AA414" t="s">
        <v>271</v>
      </c>
      <c r="AB414">
        <v>0</v>
      </c>
      <c r="AC414" t="s">
        <v>1164</v>
      </c>
      <c r="AD414" t="s">
        <v>273</v>
      </c>
      <c r="AE414" t="s">
        <v>344</v>
      </c>
      <c r="AF414">
        <v>10</v>
      </c>
      <c r="AG414" t="s">
        <v>275</v>
      </c>
      <c r="AH414" t="s">
        <v>3226</v>
      </c>
      <c r="AI414" t="s">
        <v>313</v>
      </c>
      <c r="AJ414" t="s">
        <v>3821</v>
      </c>
      <c r="AK414" s="43" t="s">
        <v>3208</v>
      </c>
      <c r="AL414" s="43" t="s">
        <v>3209</v>
      </c>
      <c r="AO414" s="23"/>
      <c r="AP414" s="23"/>
      <c r="AQ414" s="23"/>
      <c r="BD414" s="43" t="s">
        <v>2018</v>
      </c>
      <c r="BE414" s="43" t="s">
        <v>2018</v>
      </c>
      <c r="BF414" s="43" t="s">
        <v>2018</v>
      </c>
      <c r="BG414" s="43" t="s">
        <v>2018</v>
      </c>
      <c r="BH414" t="s">
        <v>2018</v>
      </c>
      <c r="BI414" s="43" t="s">
        <v>2018</v>
      </c>
      <c r="BJ414">
        <v>0</v>
      </c>
      <c r="BK414">
        <v>44109</v>
      </c>
      <c r="BL414">
        <v>44356</v>
      </c>
      <c r="BM414">
        <v>8505</v>
      </c>
      <c r="BN414">
        <v>8505</v>
      </c>
      <c r="BO414">
        <v>8505</v>
      </c>
      <c r="BP414">
        <v>25515</v>
      </c>
      <c r="BQ414">
        <v>3300</v>
      </c>
      <c r="BR414">
        <v>400</v>
      </c>
      <c r="BS414">
        <v>400</v>
      </c>
      <c r="BT414">
        <v>4100</v>
      </c>
      <c r="BU414">
        <v>2100</v>
      </c>
      <c r="BV414">
        <v>2100</v>
      </c>
      <c r="BW414">
        <v>2100</v>
      </c>
      <c r="BX414">
        <v>6300</v>
      </c>
      <c r="BY414">
        <v>1200</v>
      </c>
      <c r="BZ414">
        <v>1200</v>
      </c>
      <c r="CA414">
        <v>1200</v>
      </c>
      <c r="CB414">
        <v>3600</v>
      </c>
      <c r="CC414">
        <v>0</v>
      </c>
      <c r="CD414">
        <v>0</v>
      </c>
      <c r="CE414">
        <v>0</v>
      </c>
      <c r="CF414">
        <v>0</v>
      </c>
      <c r="CG414">
        <v>39515</v>
      </c>
      <c r="CH414">
        <v>0</v>
      </c>
      <c r="CI414">
        <v>0</v>
      </c>
      <c r="CJ414">
        <v>0</v>
      </c>
      <c r="CK414">
        <v>0</v>
      </c>
      <c r="CL414">
        <v>2065</v>
      </c>
      <c r="CM414">
        <v>2065</v>
      </c>
      <c r="CN414">
        <v>2065</v>
      </c>
      <c r="CO414">
        <v>6195</v>
      </c>
      <c r="CP414">
        <v>500</v>
      </c>
      <c r="CQ414">
        <v>500</v>
      </c>
      <c r="CR414">
        <v>500</v>
      </c>
      <c r="CS414">
        <v>1500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7695</v>
      </c>
      <c r="EE414">
        <v>0</v>
      </c>
      <c r="EF414">
        <v>0</v>
      </c>
      <c r="EG414">
        <v>0</v>
      </c>
      <c r="EH414">
        <v>0</v>
      </c>
      <c r="EI414">
        <v>1154</v>
      </c>
      <c r="EJ414">
        <v>1154</v>
      </c>
      <c r="EK414">
        <v>1155</v>
      </c>
      <c r="EL414">
        <v>3500</v>
      </c>
      <c r="EM414">
        <v>37.065000000000005</v>
      </c>
      <c r="EN414">
        <v>660</v>
      </c>
      <c r="EO414">
        <v>660</v>
      </c>
      <c r="EP414">
        <v>659</v>
      </c>
      <c r="EQ414">
        <v>2000</v>
      </c>
      <c r="ER414">
        <v>21.18</v>
      </c>
      <c r="ES414">
        <v>0</v>
      </c>
      <c r="ET414">
        <v>0</v>
      </c>
      <c r="EU414">
        <v>0</v>
      </c>
      <c r="EV414">
        <v>0</v>
      </c>
      <c r="EW414">
        <v>0</v>
      </c>
      <c r="FA414">
        <v>0</v>
      </c>
      <c r="FE414">
        <v>0</v>
      </c>
      <c r="FI414">
        <v>0</v>
      </c>
      <c r="FJ414">
        <v>5441.7550000000001</v>
      </c>
      <c r="FK414">
        <v>31820</v>
      </c>
      <c r="FL414">
        <v>27545.053464767552</v>
      </c>
      <c r="FM414">
        <v>26378.244999999999</v>
      </c>
      <c r="FO414" t="s">
        <v>1294</v>
      </c>
      <c r="FP414" t="s">
        <v>1295</v>
      </c>
      <c r="FQ414" t="s">
        <v>1296</v>
      </c>
      <c r="FR414" t="s">
        <v>1297</v>
      </c>
    </row>
    <row r="415" spans="1:174" x14ac:dyDescent="0.35">
      <c r="A415">
        <v>197627</v>
      </c>
      <c r="B415" t="s">
        <v>1298</v>
      </c>
      <c r="C415" t="s">
        <v>1299</v>
      </c>
      <c r="D415" t="s">
        <v>1300</v>
      </c>
      <c r="E415" s="43" t="s">
        <v>1301</v>
      </c>
      <c r="F415">
        <v>1</v>
      </c>
      <c r="I415">
        <v>43794</v>
      </c>
      <c r="L415" s="43" t="s">
        <v>3204</v>
      </c>
      <c r="M415" t="s">
        <v>1302</v>
      </c>
      <c r="N415" s="43"/>
      <c r="O415" s="43"/>
      <c r="P415" s="43"/>
      <c r="Q415" s="43"/>
      <c r="R415">
        <v>3.89</v>
      </c>
      <c r="S415">
        <v>44109</v>
      </c>
      <c r="T415" t="s">
        <v>311</v>
      </c>
      <c r="U415" t="s">
        <v>266</v>
      </c>
      <c r="V415" t="s">
        <v>267</v>
      </c>
      <c r="W415" t="s">
        <v>268</v>
      </c>
      <c r="X415" t="s">
        <v>269</v>
      </c>
      <c r="Y415">
        <v>8883022894</v>
      </c>
      <c r="Z415" t="s">
        <v>270</v>
      </c>
      <c r="AA415" t="s">
        <v>271</v>
      </c>
      <c r="AB415">
        <v>0</v>
      </c>
      <c r="AC415">
        <v>0</v>
      </c>
      <c r="AD415" t="s">
        <v>313</v>
      </c>
      <c r="AE415" t="s">
        <v>364</v>
      </c>
      <c r="AF415">
        <v>3</v>
      </c>
      <c r="AG415" t="s">
        <v>275</v>
      </c>
      <c r="AH415" t="s">
        <v>3257</v>
      </c>
      <c r="AI415" t="s">
        <v>3258</v>
      </c>
      <c r="AJ415" t="s">
        <v>3207</v>
      </c>
      <c r="AK415" s="43" t="s">
        <v>1715</v>
      </c>
      <c r="AL415" s="43" t="s">
        <v>259</v>
      </c>
      <c r="AO415" s="23"/>
      <c r="AP415" s="23"/>
      <c r="AQ415" s="23"/>
      <c r="BD415" s="43" t="s">
        <v>259</v>
      </c>
      <c r="BE415" s="43" t="s">
        <v>259</v>
      </c>
      <c r="BF415" s="43" t="s">
        <v>259</v>
      </c>
      <c r="BG415" s="43" t="s">
        <v>259</v>
      </c>
      <c r="BH415" t="s">
        <v>259</v>
      </c>
      <c r="BI415" s="43" t="s">
        <v>259</v>
      </c>
      <c r="BJ415">
        <v>0</v>
      </c>
      <c r="BK415">
        <v>44109</v>
      </c>
      <c r="BL415">
        <v>44356</v>
      </c>
      <c r="BM415">
        <v>8505</v>
      </c>
      <c r="BN415">
        <v>8505</v>
      </c>
      <c r="BO415">
        <v>8505</v>
      </c>
      <c r="BP415">
        <v>25515</v>
      </c>
      <c r="BQ415">
        <v>3300</v>
      </c>
      <c r="BR415">
        <v>400</v>
      </c>
      <c r="BS415">
        <v>400</v>
      </c>
      <c r="BT415">
        <v>4100</v>
      </c>
      <c r="BU415">
        <v>2100</v>
      </c>
      <c r="BV415">
        <v>2100</v>
      </c>
      <c r="BW415">
        <v>2100</v>
      </c>
      <c r="BX415">
        <v>6300</v>
      </c>
      <c r="BY415">
        <v>1200</v>
      </c>
      <c r="BZ415">
        <v>1200</v>
      </c>
      <c r="CA415">
        <v>1200</v>
      </c>
      <c r="CB415">
        <v>3600</v>
      </c>
      <c r="CC415">
        <v>0</v>
      </c>
      <c r="CD415">
        <v>0</v>
      </c>
      <c r="CE415">
        <v>0</v>
      </c>
      <c r="CF415">
        <v>0</v>
      </c>
      <c r="CG415">
        <v>39515</v>
      </c>
      <c r="CH415">
        <v>0</v>
      </c>
      <c r="CI415">
        <v>0</v>
      </c>
      <c r="CJ415">
        <v>0</v>
      </c>
      <c r="CK415">
        <v>0</v>
      </c>
      <c r="CL415">
        <v>1649</v>
      </c>
      <c r="CM415">
        <v>1648</v>
      </c>
      <c r="CN415">
        <v>1648</v>
      </c>
      <c r="CO415">
        <v>4945</v>
      </c>
      <c r="CP415">
        <v>500</v>
      </c>
      <c r="CQ415">
        <v>500</v>
      </c>
      <c r="CR415">
        <v>500</v>
      </c>
      <c r="CS415">
        <v>1500</v>
      </c>
      <c r="CT415">
        <v>1300</v>
      </c>
      <c r="CU415">
        <v>1300</v>
      </c>
      <c r="CV415">
        <v>1300</v>
      </c>
      <c r="CW415">
        <v>3900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10345</v>
      </c>
      <c r="EE415">
        <v>0</v>
      </c>
      <c r="EF415">
        <v>0</v>
      </c>
      <c r="EG415">
        <v>0</v>
      </c>
      <c r="EH415">
        <v>0</v>
      </c>
      <c r="EI415">
        <v>1154</v>
      </c>
      <c r="EJ415">
        <v>1154</v>
      </c>
      <c r="EK415">
        <v>1155</v>
      </c>
      <c r="EL415">
        <v>3500</v>
      </c>
      <c r="EM415">
        <v>37.065000000000005</v>
      </c>
      <c r="EN415">
        <v>660</v>
      </c>
      <c r="EO415">
        <v>660</v>
      </c>
      <c r="EP415">
        <v>659</v>
      </c>
      <c r="EQ415">
        <v>2000</v>
      </c>
      <c r="ER415">
        <v>21.18</v>
      </c>
      <c r="ES415">
        <v>0</v>
      </c>
      <c r="ET415">
        <v>0</v>
      </c>
      <c r="EU415">
        <v>0</v>
      </c>
      <c r="EV415">
        <v>0</v>
      </c>
      <c r="EW415">
        <v>0</v>
      </c>
      <c r="FA415">
        <v>0</v>
      </c>
      <c r="FE415">
        <v>0</v>
      </c>
      <c r="FI415">
        <v>0</v>
      </c>
      <c r="FJ415">
        <v>5441.7550000000001</v>
      </c>
      <c r="FK415">
        <v>29170</v>
      </c>
      <c r="FL415">
        <v>24777.834050373833</v>
      </c>
      <c r="FM415">
        <v>23728.244999999999</v>
      </c>
      <c r="FO415" t="s">
        <v>1303</v>
      </c>
      <c r="FP415" t="s">
        <v>1304</v>
      </c>
      <c r="FQ415" t="s">
        <v>596</v>
      </c>
      <c r="FR415" t="s">
        <v>1305</v>
      </c>
    </row>
    <row r="416" spans="1:174" x14ac:dyDescent="0.35">
      <c r="A416">
        <v>199374</v>
      </c>
      <c r="B416" t="s">
        <v>3776</v>
      </c>
      <c r="C416" t="s">
        <v>3777</v>
      </c>
      <c r="D416" t="s">
        <v>3778</v>
      </c>
      <c r="E416" s="43" t="s">
        <v>4215</v>
      </c>
      <c r="J416" t="s">
        <v>3745</v>
      </c>
      <c r="L416" s="43" t="s">
        <v>259</v>
      </c>
      <c r="M416" t="s">
        <v>3779</v>
      </c>
      <c r="N416" s="43"/>
      <c r="O416" s="43"/>
      <c r="P416" s="43"/>
      <c r="Q416" s="43"/>
      <c r="R416">
        <v>3.1395300000000002</v>
      </c>
      <c r="S416">
        <v>44109</v>
      </c>
      <c r="T416" t="s">
        <v>265</v>
      </c>
      <c r="U416" t="s">
        <v>266</v>
      </c>
      <c r="V416" t="s">
        <v>267</v>
      </c>
      <c r="W416" t="s">
        <v>268</v>
      </c>
      <c r="X416" t="s">
        <v>269</v>
      </c>
      <c r="Y416">
        <v>8883022894</v>
      </c>
      <c r="Z416" t="s">
        <v>270</v>
      </c>
      <c r="AA416" t="s">
        <v>271</v>
      </c>
      <c r="AB416">
        <v>0</v>
      </c>
      <c r="AC416">
        <v>0</v>
      </c>
      <c r="AD416" t="s">
        <v>313</v>
      </c>
      <c r="AE416" t="s">
        <v>344</v>
      </c>
      <c r="AF416">
        <v>10</v>
      </c>
      <c r="AG416" t="s">
        <v>3345</v>
      </c>
      <c r="AH416" t="s">
        <v>259</v>
      </c>
      <c r="AI416" t="s">
        <v>259</v>
      </c>
      <c r="AJ416" t="s">
        <v>259</v>
      </c>
      <c r="AK416" s="43" t="s">
        <v>259</v>
      </c>
      <c r="AL416" s="43" t="s">
        <v>259</v>
      </c>
      <c r="AO416" s="23"/>
      <c r="AP416" s="23"/>
      <c r="AQ416" s="23"/>
      <c r="BD416" s="43" t="s">
        <v>259</v>
      </c>
      <c r="BE416" s="43" t="s">
        <v>259</v>
      </c>
      <c r="BF416" s="43" t="s">
        <v>259</v>
      </c>
      <c r="BG416" s="43" t="s">
        <v>259</v>
      </c>
      <c r="BH416" t="s">
        <v>259</v>
      </c>
      <c r="BI416" s="43" t="s">
        <v>259</v>
      </c>
      <c r="BJ416">
        <v>0</v>
      </c>
      <c r="BK416">
        <v>44109</v>
      </c>
      <c r="BL416">
        <v>44356</v>
      </c>
      <c r="BM416">
        <v>8505</v>
      </c>
      <c r="BN416">
        <v>8505</v>
      </c>
      <c r="BO416">
        <v>8505</v>
      </c>
      <c r="BP416">
        <v>25515</v>
      </c>
      <c r="BQ416">
        <v>3300</v>
      </c>
      <c r="BR416">
        <v>400</v>
      </c>
      <c r="BS416">
        <v>400</v>
      </c>
      <c r="BT416">
        <v>4100</v>
      </c>
      <c r="BU416">
        <v>2100</v>
      </c>
      <c r="BV416">
        <v>2100</v>
      </c>
      <c r="BW416">
        <v>2100</v>
      </c>
      <c r="BX416">
        <v>6300</v>
      </c>
      <c r="BY416">
        <v>1200</v>
      </c>
      <c r="BZ416">
        <v>1200</v>
      </c>
      <c r="CA416">
        <v>1200</v>
      </c>
      <c r="CB416">
        <v>3600</v>
      </c>
      <c r="CF416">
        <v>0</v>
      </c>
      <c r="CG416">
        <v>39515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N416">
        <v>0</v>
      </c>
      <c r="DO416">
        <v>0</v>
      </c>
      <c r="DP416">
        <v>0</v>
      </c>
      <c r="DR416">
        <v>0</v>
      </c>
      <c r="DS416">
        <v>0</v>
      </c>
      <c r="DT416">
        <v>0</v>
      </c>
      <c r="DY416">
        <v>0</v>
      </c>
      <c r="EC416">
        <v>0</v>
      </c>
      <c r="ED416">
        <v>0</v>
      </c>
      <c r="EH416">
        <v>0</v>
      </c>
      <c r="EI416">
        <v>0</v>
      </c>
      <c r="EJ416">
        <v>0</v>
      </c>
      <c r="EK416">
        <v>0</v>
      </c>
      <c r="EM416">
        <v>0</v>
      </c>
      <c r="EN416">
        <v>660</v>
      </c>
      <c r="EO416">
        <v>660</v>
      </c>
      <c r="EP416">
        <v>659</v>
      </c>
      <c r="EQ416">
        <v>2000</v>
      </c>
      <c r="ER416">
        <v>21.24</v>
      </c>
      <c r="ES416">
        <v>0</v>
      </c>
      <c r="ET416">
        <v>0</v>
      </c>
      <c r="EU416">
        <v>0</v>
      </c>
      <c r="EW416">
        <v>0</v>
      </c>
      <c r="FA416">
        <v>0</v>
      </c>
      <c r="FE416">
        <v>0</v>
      </c>
      <c r="FI416">
        <v>0</v>
      </c>
      <c r="FJ416">
        <v>1978.76</v>
      </c>
      <c r="FK416">
        <v>39515</v>
      </c>
      <c r="FL416">
        <v>39201.520594870075</v>
      </c>
      <c r="FM416">
        <v>37536.239999999998</v>
      </c>
      <c r="FO416" t="s">
        <v>3780</v>
      </c>
      <c r="FP416" t="s">
        <v>3781</v>
      </c>
      <c r="FQ416" t="s">
        <v>297</v>
      </c>
      <c r="FR416" t="s">
        <v>3782</v>
      </c>
    </row>
    <row r="417" spans="1:174" x14ac:dyDescent="0.35">
      <c r="A417">
        <v>193430</v>
      </c>
      <c r="B417" t="s">
        <v>1306</v>
      </c>
      <c r="C417" t="s">
        <v>1307</v>
      </c>
      <c r="D417" t="s">
        <v>1308</v>
      </c>
      <c r="E417" s="43" t="s">
        <v>1309</v>
      </c>
      <c r="L417" s="43" t="s">
        <v>3204</v>
      </c>
      <c r="M417" t="s">
        <v>1310</v>
      </c>
      <c r="N417" s="43"/>
      <c r="O417" s="43"/>
      <c r="P417" s="43"/>
      <c r="Q417" s="43"/>
      <c r="R417">
        <v>3.1</v>
      </c>
      <c r="S417">
        <v>44109</v>
      </c>
      <c r="T417" t="s">
        <v>285</v>
      </c>
      <c r="U417" t="s">
        <v>266</v>
      </c>
      <c r="V417" t="s">
        <v>267</v>
      </c>
      <c r="W417" t="s">
        <v>268</v>
      </c>
      <c r="X417" t="s">
        <v>269</v>
      </c>
      <c r="Y417">
        <v>8883022894</v>
      </c>
      <c r="Z417" t="s">
        <v>270</v>
      </c>
      <c r="AA417" t="s">
        <v>271</v>
      </c>
      <c r="AB417">
        <v>0</v>
      </c>
      <c r="AC417">
        <v>0</v>
      </c>
      <c r="AD417" t="s">
        <v>313</v>
      </c>
      <c r="AE417" t="s">
        <v>324</v>
      </c>
      <c r="AF417">
        <v>8</v>
      </c>
      <c r="AG417" t="s">
        <v>275</v>
      </c>
      <c r="AH417" t="s">
        <v>3259</v>
      </c>
      <c r="AI417" t="s">
        <v>3260</v>
      </c>
      <c r="AJ417" t="s">
        <v>3590</v>
      </c>
      <c r="AK417" s="43" t="s">
        <v>1715</v>
      </c>
      <c r="AL417" s="43" t="s">
        <v>259</v>
      </c>
      <c r="AO417" s="23"/>
      <c r="AP417" s="23"/>
      <c r="AQ417" s="23"/>
      <c r="BD417" s="43" t="s">
        <v>259</v>
      </c>
      <c r="BE417" s="43" t="s">
        <v>259</v>
      </c>
      <c r="BF417" s="43" t="s">
        <v>259</v>
      </c>
      <c r="BG417" s="43" t="s">
        <v>259</v>
      </c>
      <c r="BH417" t="s">
        <v>259</v>
      </c>
      <c r="BI417" s="43" t="s">
        <v>259</v>
      </c>
      <c r="BJ417">
        <v>0</v>
      </c>
      <c r="BK417">
        <v>44109</v>
      </c>
      <c r="BL417">
        <v>44356</v>
      </c>
      <c r="BM417">
        <v>8505</v>
      </c>
      <c r="BN417">
        <v>8505</v>
      </c>
      <c r="BO417">
        <v>8505</v>
      </c>
      <c r="BP417">
        <v>25515</v>
      </c>
      <c r="BQ417">
        <v>3300</v>
      </c>
      <c r="BR417">
        <v>400</v>
      </c>
      <c r="BS417">
        <v>400</v>
      </c>
      <c r="BT417">
        <v>4100</v>
      </c>
      <c r="BU417">
        <v>2100</v>
      </c>
      <c r="BV417">
        <v>2100</v>
      </c>
      <c r="BW417">
        <v>2100</v>
      </c>
      <c r="BX417">
        <v>6300</v>
      </c>
      <c r="BY417">
        <v>1200</v>
      </c>
      <c r="BZ417">
        <v>1200</v>
      </c>
      <c r="CA417">
        <v>1200</v>
      </c>
      <c r="CB417">
        <v>3600</v>
      </c>
      <c r="CC417">
        <v>0</v>
      </c>
      <c r="CD417">
        <v>0</v>
      </c>
      <c r="CE417">
        <v>0</v>
      </c>
      <c r="CF417">
        <v>0</v>
      </c>
      <c r="CG417">
        <v>39515</v>
      </c>
      <c r="CH417">
        <v>0</v>
      </c>
      <c r="CI417">
        <v>0</v>
      </c>
      <c r="CJ417">
        <v>0</v>
      </c>
      <c r="CK417">
        <v>0</v>
      </c>
      <c r="CL417">
        <v>1449</v>
      </c>
      <c r="CM417">
        <v>1448</v>
      </c>
      <c r="CN417">
        <v>1448</v>
      </c>
      <c r="CO417">
        <v>4345</v>
      </c>
      <c r="CP417">
        <v>500</v>
      </c>
      <c r="CQ417">
        <v>500</v>
      </c>
      <c r="CR417">
        <v>500</v>
      </c>
      <c r="CS417">
        <v>1500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5845</v>
      </c>
      <c r="EE417">
        <v>0</v>
      </c>
      <c r="EF417">
        <v>0</v>
      </c>
      <c r="EG417">
        <v>0</v>
      </c>
      <c r="EH417">
        <v>0</v>
      </c>
      <c r="EI417">
        <v>1154</v>
      </c>
      <c r="EJ417">
        <v>1154</v>
      </c>
      <c r="EK417">
        <v>1155</v>
      </c>
      <c r="EL417">
        <v>3500</v>
      </c>
      <c r="EM417">
        <v>37.065000000000005</v>
      </c>
      <c r="EN417">
        <v>660</v>
      </c>
      <c r="EO417">
        <v>660</v>
      </c>
      <c r="EP417">
        <v>659</v>
      </c>
      <c r="EQ417">
        <v>2000</v>
      </c>
      <c r="ER417">
        <v>21.18</v>
      </c>
      <c r="ES417">
        <v>0</v>
      </c>
      <c r="ET417">
        <v>0</v>
      </c>
      <c r="EU417">
        <v>0</v>
      </c>
      <c r="EV417">
        <v>0</v>
      </c>
      <c r="EW417">
        <v>0</v>
      </c>
      <c r="FA417">
        <v>0</v>
      </c>
      <c r="FE417">
        <v>0</v>
      </c>
      <c r="FI417">
        <v>0</v>
      </c>
      <c r="FJ417">
        <v>5441.7550000000001</v>
      </c>
      <c r="FK417">
        <v>33670</v>
      </c>
      <c r="FL417">
        <v>29476.885886136752</v>
      </c>
      <c r="FM417">
        <v>28228.244999999999</v>
      </c>
      <c r="FO417" t="s">
        <v>1311</v>
      </c>
      <c r="FP417" t="s">
        <v>1312</v>
      </c>
      <c r="FQ417" t="s">
        <v>297</v>
      </c>
      <c r="FR417" t="s">
        <v>1313</v>
      </c>
    </row>
    <row r="418" spans="1:174" x14ac:dyDescent="0.35">
      <c r="A418">
        <v>197215</v>
      </c>
      <c r="B418" t="s">
        <v>1314</v>
      </c>
      <c r="C418" t="s">
        <v>1299</v>
      </c>
      <c r="D418" t="s">
        <v>1315</v>
      </c>
      <c r="E418" s="43" t="s">
        <v>1316</v>
      </c>
      <c r="F418">
        <v>1</v>
      </c>
      <c r="I418">
        <v>43783</v>
      </c>
      <c r="L418" s="43" t="s">
        <v>3204</v>
      </c>
      <c r="M418" t="s">
        <v>1317</v>
      </c>
      <c r="N418" s="43"/>
      <c r="O418" s="43"/>
      <c r="P418" s="43"/>
      <c r="Q418" s="43"/>
      <c r="R418">
        <v>3.11</v>
      </c>
      <c r="S418">
        <v>44109</v>
      </c>
      <c r="T418" t="s">
        <v>311</v>
      </c>
      <c r="U418" t="s">
        <v>266</v>
      </c>
      <c r="V418" t="s">
        <v>267</v>
      </c>
      <c r="W418" t="s">
        <v>268</v>
      </c>
      <c r="X418" t="s">
        <v>269</v>
      </c>
      <c r="Y418">
        <v>8883022894</v>
      </c>
      <c r="Z418" t="s">
        <v>270</v>
      </c>
      <c r="AA418" t="s">
        <v>271</v>
      </c>
      <c r="AB418">
        <v>0</v>
      </c>
      <c r="AC418" t="s">
        <v>1321</v>
      </c>
      <c r="AD418" t="s">
        <v>771</v>
      </c>
      <c r="AE418" t="s">
        <v>416</v>
      </c>
      <c r="AF418">
        <v>5</v>
      </c>
      <c r="AG418" t="s">
        <v>275</v>
      </c>
      <c r="AH418" t="s">
        <v>3261</v>
      </c>
      <c r="AI418" t="s">
        <v>3262</v>
      </c>
      <c r="AJ418" t="s">
        <v>4169</v>
      </c>
      <c r="AK418" s="43" t="s">
        <v>3208</v>
      </c>
      <c r="AL418" s="43" t="s">
        <v>3209</v>
      </c>
      <c r="AO418" s="23"/>
      <c r="AP418" s="23"/>
      <c r="AQ418" s="23"/>
      <c r="BD418" s="43" t="s">
        <v>2018</v>
      </c>
      <c r="BE418" s="43" t="s">
        <v>2018</v>
      </c>
      <c r="BF418" s="43" t="s">
        <v>2018</v>
      </c>
      <c r="BG418" s="43" t="s">
        <v>2018</v>
      </c>
      <c r="BH418" t="s">
        <v>2018</v>
      </c>
      <c r="BI418" s="43" t="s">
        <v>2018</v>
      </c>
      <c r="BJ418">
        <v>0</v>
      </c>
      <c r="BK418">
        <v>44109</v>
      </c>
      <c r="BL418">
        <v>44356</v>
      </c>
      <c r="BM418">
        <v>8505</v>
      </c>
      <c r="BN418">
        <v>8505</v>
      </c>
      <c r="BO418">
        <v>8505</v>
      </c>
      <c r="BP418">
        <v>25515</v>
      </c>
      <c r="BQ418">
        <v>3300</v>
      </c>
      <c r="BR418">
        <v>400</v>
      </c>
      <c r="BS418">
        <v>400</v>
      </c>
      <c r="BT418">
        <v>4100</v>
      </c>
      <c r="BU418">
        <v>2100</v>
      </c>
      <c r="BV418">
        <v>2100</v>
      </c>
      <c r="BW418">
        <v>2100</v>
      </c>
      <c r="BX418">
        <v>6300</v>
      </c>
      <c r="BY418">
        <v>1200</v>
      </c>
      <c r="BZ418">
        <v>1200</v>
      </c>
      <c r="CA418">
        <v>1200</v>
      </c>
      <c r="CB418">
        <v>3600</v>
      </c>
      <c r="CC418">
        <v>0</v>
      </c>
      <c r="CD418">
        <v>0</v>
      </c>
      <c r="CE418">
        <v>0</v>
      </c>
      <c r="CF418">
        <v>0</v>
      </c>
      <c r="CG418">
        <v>39515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1000</v>
      </c>
      <c r="CU418">
        <v>1000</v>
      </c>
      <c r="CV418">
        <v>1000</v>
      </c>
      <c r="CW418">
        <v>3000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3000</v>
      </c>
      <c r="EE418">
        <v>0</v>
      </c>
      <c r="EF418">
        <v>0</v>
      </c>
      <c r="EG418">
        <v>0</v>
      </c>
      <c r="EH418">
        <v>0</v>
      </c>
      <c r="EI418">
        <v>1154</v>
      </c>
      <c r="EJ418">
        <v>1154</v>
      </c>
      <c r="EK418">
        <v>1155</v>
      </c>
      <c r="EL418">
        <v>3500</v>
      </c>
      <c r="EM418">
        <v>37.065000000000005</v>
      </c>
      <c r="EN418">
        <v>660</v>
      </c>
      <c r="EO418">
        <v>660</v>
      </c>
      <c r="EP418">
        <v>659</v>
      </c>
      <c r="EQ418">
        <v>2000</v>
      </c>
      <c r="ER418">
        <v>21.18</v>
      </c>
      <c r="ES418">
        <v>0</v>
      </c>
      <c r="ET418">
        <v>0</v>
      </c>
      <c r="EU418">
        <v>0</v>
      </c>
      <c r="EV418">
        <v>0</v>
      </c>
      <c r="EW418">
        <v>0</v>
      </c>
      <c r="FA418">
        <v>0</v>
      </c>
      <c r="FE418">
        <v>0</v>
      </c>
      <c r="FI418">
        <v>0</v>
      </c>
      <c r="FJ418">
        <v>5441.7550000000001</v>
      </c>
      <c r="FK418">
        <v>36515</v>
      </c>
      <c r="FL418">
        <v>32447.730880080198</v>
      </c>
      <c r="FM418">
        <v>31073.245000000003</v>
      </c>
      <c r="FO418" t="s">
        <v>1318</v>
      </c>
      <c r="FP418" t="s">
        <v>1319</v>
      </c>
      <c r="FQ418" t="s">
        <v>454</v>
      </c>
      <c r="FR418" t="s">
        <v>1320</v>
      </c>
    </row>
    <row r="419" spans="1:174" x14ac:dyDescent="0.35">
      <c r="A419">
        <v>193530</v>
      </c>
      <c r="B419" t="s">
        <v>1322</v>
      </c>
      <c r="C419" t="s">
        <v>1323</v>
      </c>
      <c r="D419" t="s">
        <v>1324</v>
      </c>
      <c r="E419" s="43" t="s">
        <v>1325</v>
      </c>
      <c r="F419">
        <v>1</v>
      </c>
      <c r="G419">
        <v>43776</v>
      </c>
      <c r="H419">
        <v>43794</v>
      </c>
      <c r="I419">
        <v>43794</v>
      </c>
      <c r="K419" t="s">
        <v>3307</v>
      </c>
      <c r="L419" s="43" t="s">
        <v>344</v>
      </c>
      <c r="M419" t="s">
        <v>1326</v>
      </c>
      <c r="N419" s="43"/>
      <c r="O419" s="43"/>
      <c r="P419" s="43"/>
      <c r="Q419" s="43"/>
      <c r="R419">
        <v>3.0832999999999999</v>
      </c>
      <c r="S419">
        <v>44109</v>
      </c>
      <c r="T419" t="s">
        <v>311</v>
      </c>
      <c r="U419" t="s">
        <v>266</v>
      </c>
      <c r="V419" t="s">
        <v>267</v>
      </c>
      <c r="W419" t="s">
        <v>268</v>
      </c>
      <c r="X419" t="s">
        <v>269</v>
      </c>
      <c r="Y419">
        <v>8883022894</v>
      </c>
      <c r="Z419" t="s">
        <v>270</v>
      </c>
      <c r="AA419" t="s">
        <v>271</v>
      </c>
      <c r="AB419" t="s">
        <v>444</v>
      </c>
      <c r="AC419">
        <v>0</v>
      </c>
      <c r="AD419" t="s">
        <v>771</v>
      </c>
      <c r="AE419" t="s">
        <v>376</v>
      </c>
      <c r="AF419">
        <v>7</v>
      </c>
      <c r="AG419" t="s">
        <v>275</v>
      </c>
      <c r="AH419" t="s">
        <v>313</v>
      </c>
      <c r="AI419" t="s">
        <v>313</v>
      </c>
      <c r="AJ419" t="s">
        <v>3207</v>
      </c>
      <c r="AK419" s="43" t="s">
        <v>3208</v>
      </c>
      <c r="AL419" s="43" t="s">
        <v>3209</v>
      </c>
      <c r="AO419" s="23">
        <v>43764</v>
      </c>
      <c r="AP419" s="23">
        <v>43776</v>
      </c>
      <c r="AQ419" s="23">
        <v>43767</v>
      </c>
      <c r="BD419" s="43" t="s">
        <v>2018</v>
      </c>
      <c r="BE419" s="43" t="s">
        <v>2018</v>
      </c>
      <c r="BF419" s="43" t="s">
        <v>2018</v>
      </c>
      <c r="BG419" s="43" t="s">
        <v>2018</v>
      </c>
      <c r="BH419" t="s">
        <v>2018</v>
      </c>
      <c r="BI419" s="43" t="s">
        <v>2018</v>
      </c>
      <c r="BJ419">
        <v>0.17647058823529416</v>
      </c>
      <c r="BK419">
        <v>44109</v>
      </c>
      <c r="BL419">
        <v>44356</v>
      </c>
      <c r="BM419">
        <v>8505</v>
      </c>
      <c r="BN419">
        <v>8505</v>
      </c>
      <c r="BO419">
        <v>8505</v>
      </c>
      <c r="BP419">
        <v>25515</v>
      </c>
      <c r="BQ419">
        <v>3300</v>
      </c>
      <c r="BR419">
        <v>400</v>
      </c>
      <c r="BS419">
        <v>400</v>
      </c>
      <c r="BT419">
        <v>4100</v>
      </c>
      <c r="BU419">
        <v>2100</v>
      </c>
      <c r="BV419">
        <v>2100</v>
      </c>
      <c r="BW419">
        <v>2100</v>
      </c>
      <c r="BX419">
        <v>6300</v>
      </c>
      <c r="BY419">
        <v>1200</v>
      </c>
      <c r="BZ419">
        <v>1200</v>
      </c>
      <c r="CA419">
        <v>1200</v>
      </c>
      <c r="CB419">
        <v>3600</v>
      </c>
      <c r="CC419">
        <v>0</v>
      </c>
      <c r="CD419">
        <v>0</v>
      </c>
      <c r="CE419">
        <v>0</v>
      </c>
      <c r="CF419">
        <v>0</v>
      </c>
      <c r="CG419">
        <v>39515</v>
      </c>
      <c r="CH419">
        <v>0</v>
      </c>
      <c r="CI419">
        <v>0</v>
      </c>
      <c r="CJ419">
        <v>0</v>
      </c>
      <c r="CK419">
        <v>0</v>
      </c>
      <c r="CL419">
        <v>2065</v>
      </c>
      <c r="CM419">
        <v>2065</v>
      </c>
      <c r="CN419">
        <v>2065</v>
      </c>
      <c r="CO419">
        <v>6195</v>
      </c>
      <c r="CP419">
        <v>500</v>
      </c>
      <c r="CQ419">
        <v>500</v>
      </c>
      <c r="CR419">
        <v>500</v>
      </c>
      <c r="CS419">
        <v>1500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7695</v>
      </c>
      <c r="EE419">
        <v>0</v>
      </c>
      <c r="EF419">
        <v>0</v>
      </c>
      <c r="EG419">
        <v>0</v>
      </c>
      <c r="EH419">
        <v>0</v>
      </c>
      <c r="EI419">
        <v>1154</v>
      </c>
      <c r="EJ419">
        <v>1154</v>
      </c>
      <c r="EK419">
        <v>1155</v>
      </c>
      <c r="EL419">
        <v>3500</v>
      </c>
      <c r="EM419">
        <v>37.065000000000005</v>
      </c>
      <c r="EN419">
        <v>660</v>
      </c>
      <c r="EO419">
        <v>660</v>
      </c>
      <c r="EP419">
        <v>659</v>
      </c>
      <c r="EQ419">
        <v>2000</v>
      </c>
      <c r="ER419">
        <v>21.18</v>
      </c>
      <c r="ES419">
        <v>0</v>
      </c>
      <c r="ET419">
        <v>0</v>
      </c>
      <c r="EU419">
        <v>0</v>
      </c>
      <c r="EV419">
        <v>0</v>
      </c>
      <c r="EW419">
        <v>0</v>
      </c>
      <c r="FA419">
        <v>0</v>
      </c>
      <c r="FE419">
        <v>0</v>
      </c>
      <c r="FI419">
        <v>0</v>
      </c>
      <c r="FJ419">
        <v>5441.7550000000001</v>
      </c>
      <c r="FK419">
        <v>31820</v>
      </c>
      <c r="FL419">
        <v>27545.053464767552</v>
      </c>
      <c r="FM419">
        <v>26378.244999999999</v>
      </c>
      <c r="FO419" t="s">
        <v>1327</v>
      </c>
      <c r="FP419" t="s">
        <v>1328</v>
      </c>
      <c r="FQ419" t="s">
        <v>553</v>
      </c>
      <c r="FR419" t="s">
        <v>1329</v>
      </c>
    </row>
    <row r="420" spans="1:174" x14ac:dyDescent="0.35">
      <c r="A420">
        <v>191890</v>
      </c>
      <c r="B420" t="s">
        <v>3929</v>
      </c>
      <c r="C420" t="s">
        <v>3930</v>
      </c>
      <c r="D420" t="s">
        <v>3931</v>
      </c>
      <c r="E420" s="43" t="s">
        <v>4216</v>
      </c>
      <c r="J420" t="s">
        <v>3830</v>
      </c>
      <c r="L420" s="43" t="s">
        <v>259</v>
      </c>
      <c r="M420" t="s">
        <v>3932</v>
      </c>
      <c r="N420" s="43"/>
      <c r="O420" s="43"/>
      <c r="P420" s="43"/>
      <c r="Q420" s="43"/>
      <c r="R420">
        <v>3.88</v>
      </c>
      <c r="S420">
        <v>44109</v>
      </c>
      <c r="T420" t="s">
        <v>311</v>
      </c>
      <c r="U420" t="s">
        <v>286</v>
      </c>
      <c r="V420" t="s">
        <v>267</v>
      </c>
      <c r="W420" t="s">
        <v>268</v>
      </c>
      <c r="X420" t="s">
        <v>269</v>
      </c>
      <c r="Y420">
        <v>8883022894</v>
      </c>
      <c r="Z420" t="s">
        <v>270</v>
      </c>
      <c r="AA420" t="s">
        <v>271</v>
      </c>
      <c r="AB420">
        <v>0</v>
      </c>
      <c r="AC420">
        <v>0</v>
      </c>
      <c r="AD420" t="s">
        <v>313</v>
      </c>
      <c r="AE420" t="s">
        <v>289</v>
      </c>
      <c r="AF420">
        <v>2</v>
      </c>
      <c r="AG420" t="s">
        <v>3345</v>
      </c>
      <c r="AH420" t="s">
        <v>259</v>
      </c>
      <c r="AI420" t="s">
        <v>259</v>
      </c>
      <c r="AJ420" t="s">
        <v>259</v>
      </c>
      <c r="AK420" s="43" t="s">
        <v>259</v>
      </c>
      <c r="AL420" s="43" t="s">
        <v>259</v>
      </c>
      <c r="AO420" s="23"/>
      <c r="AP420" s="23"/>
      <c r="AQ420" s="23"/>
      <c r="BD420" s="43" t="s">
        <v>259</v>
      </c>
      <c r="BE420" s="43" t="s">
        <v>259</v>
      </c>
      <c r="BF420" s="43" t="s">
        <v>259</v>
      </c>
      <c r="BG420" s="43" t="s">
        <v>259</v>
      </c>
      <c r="BH420" t="s">
        <v>259</v>
      </c>
      <c r="BI420" s="43" t="s">
        <v>259</v>
      </c>
      <c r="BJ420">
        <v>0</v>
      </c>
      <c r="BK420">
        <v>44109</v>
      </c>
      <c r="BL420">
        <v>44356</v>
      </c>
      <c r="BP420">
        <v>0</v>
      </c>
      <c r="BT420">
        <v>0</v>
      </c>
      <c r="BX420">
        <v>0</v>
      </c>
      <c r="CB420">
        <v>0</v>
      </c>
      <c r="CF420">
        <v>0</v>
      </c>
      <c r="CG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1500</v>
      </c>
      <c r="CU420">
        <v>1500</v>
      </c>
      <c r="CV420">
        <v>1500</v>
      </c>
      <c r="CW420">
        <v>4500</v>
      </c>
      <c r="CX420">
        <v>0</v>
      </c>
      <c r="CY420">
        <v>0</v>
      </c>
      <c r="CZ420">
        <v>0</v>
      </c>
      <c r="DA420">
        <v>0</v>
      </c>
      <c r="DB420">
        <v>1000</v>
      </c>
      <c r="DC420">
        <v>1000</v>
      </c>
      <c r="DD420">
        <v>1000</v>
      </c>
      <c r="DE420">
        <v>3000</v>
      </c>
      <c r="DF420">
        <v>0</v>
      </c>
      <c r="DG420">
        <v>0</v>
      </c>
      <c r="DH420">
        <v>0</v>
      </c>
      <c r="DN420">
        <v>0</v>
      </c>
      <c r="DO420">
        <v>0</v>
      </c>
      <c r="DP420">
        <v>0</v>
      </c>
      <c r="DR420">
        <v>0</v>
      </c>
      <c r="DS420">
        <v>0</v>
      </c>
      <c r="DT420">
        <v>0</v>
      </c>
      <c r="DY420">
        <v>0</v>
      </c>
      <c r="EC420">
        <v>0</v>
      </c>
      <c r="ED420">
        <v>7500</v>
      </c>
      <c r="EH420">
        <v>0</v>
      </c>
      <c r="EI420">
        <v>0</v>
      </c>
      <c r="EJ420">
        <v>0</v>
      </c>
      <c r="EK420">
        <v>0</v>
      </c>
      <c r="EM420">
        <v>0</v>
      </c>
      <c r="EN420">
        <v>660</v>
      </c>
      <c r="EO420">
        <v>660</v>
      </c>
      <c r="EP420">
        <v>659</v>
      </c>
      <c r="EQ420">
        <v>2000</v>
      </c>
      <c r="ER420">
        <v>21.24</v>
      </c>
      <c r="ES420">
        <v>0</v>
      </c>
      <c r="ET420">
        <v>0</v>
      </c>
      <c r="EU420">
        <v>0</v>
      </c>
      <c r="EW420">
        <v>0</v>
      </c>
      <c r="FA420">
        <v>0</v>
      </c>
      <c r="FE420">
        <v>0</v>
      </c>
      <c r="FI420">
        <v>0</v>
      </c>
      <c r="FJ420">
        <v>1978.76</v>
      </c>
      <c r="FK420">
        <v>-7500</v>
      </c>
      <c r="FL420">
        <v>-9899.2814771493031</v>
      </c>
      <c r="FM420">
        <v>-9478.76</v>
      </c>
      <c r="FO420" t="s">
        <v>3933</v>
      </c>
      <c r="FP420" t="s">
        <v>3934</v>
      </c>
      <c r="FQ420" t="s">
        <v>596</v>
      </c>
      <c r="FR420" t="s">
        <v>3935</v>
      </c>
    </row>
    <row r="421" spans="1:174" x14ac:dyDescent="0.35">
      <c r="A421">
        <v>196516</v>
      </c>
      <c r="B421" t="s">
        <v>1330</v>
      </c>
      <c r="C421" t="s">
        <v>1331</v>
      </c>
      <c r="D421" t="s">
        <v>1332</v>
      </c>
      <c r="E421" s="43" t="s">
        <v>1333</v>
      </c>
      <c r="L421" s="43" t="s">
        <v>259</v>
      </c>
      <c r="M421" t="s">
        <v>1334</v>
      </c>
      <c r="N421" s="43"/>
      <c r="O421" s="43"/>
      <c r="P421" s="43"/>
      <c r="Q421" s="43"/>
      <c r="R421">
        <v>3.7857099999999999</v>
      </c>
      <c r="S421">
        <v>44109</v>
      </c>
      <c r="T421" t="s">
        <v>265</v>
      </c>
      <c r="U421" t="s">
        <v>266</v>
      </c>
      <c r="V421" t="s">
        <v>267</v>
      </c>
      <c r="W421" t="s">
        <v>268</v>
      </c>
      <c r="X421" t="s">
        <v>269</v>
      </c>
      <c r="Y421">
        <v>8883022894</v>
      </c>
      <c r="Z421" t="s">
        <v>270</v>
      </c>
      <c r="AA421" t="s">
        <v>271</v>
      </c>
      <c r="AB421" t="s">
        <v>374</v>
      </c>
      <c r="AC421">
        <v>0</v>
      </c>
      <c r="AD421" t="s">
        <v>288</v>
      </c>
      <c r="AE421" t="s">
        <v>445</v>
      </c>
      <c r="AF421">
        <v>4</v>
      </c>
      <c r="AG421" t="s">
        <v>275</v>
      </c>
      <c r="AH421" t="s">
        <v>259</v>
      </c>
      <c r="AI421" t="s">
        <v>259</v>
      </c>
      <c r="AJ421" t="s">
        <v>259</v>
      </c>
      <c r="AK421" s="43" t="s">
        <v>259</v>
      </c>
      <c r="AL421" s="43" t="s">
        <v>259</v>
      </c>
      <c r="AO421" s="23"/>
      <c r="AP421" s="23"/>
      <c r="AQ421" s="23"/>
      <c r="BD421" s="43" t="s">
        <v>259</v>
      </c>
      <c r="BE421" s="43" t="s">
        <v>259</v>
      </c>
      <c r="BF421" s="43" t="s">
        <v>259</v>
      </c>
      <c r="BG421" s="43" t="s">
        <v>259</v>
      </c>
      <c r="BH421" t="s">
        <v>259</v>
      </c>
      <c r="BI421" s="43" t="s">
        <v>259</v>
      </c>
      <c r="BJ421">
        <v>0</v>
      </c>
      <c r="BK421">
        <v>44109</v>
      </c>
      <c r="BL421">
        <v>44356</v>
      </c>
      <c r="BM421">
        <v>8505</v>
      </c>
      <c r="BN421">
        <v>8505</v>
      </c>
      <c r="BO421">
        <v>8505</v>
      </c>
      <c r="BP421">
        <v>25515</v>
      </c>
      <c r="BQ421">
        <v>3300</v>
      </c>
      <c r="BR421">
        <v>400</v>
      </c>
      <c r="BS421">
        <v>400</v>
      </c>
      <c r="BT421">
        <v>4100</v>
      </c>
      <c r="BU421">
        <v>2100</v>
      </c>
      <c r="BV421">
        <v>2100</v>
      </c>
      <c r="BW421">
        <v>2100</v>
      </c>
      <c r="BX421">
        <v>6300</v>
      </c>
      <c r="BY421">
        <v>1200</v>
      </c>
      <c r="BZ421">
        <v>1200</v>
      </c>
      <c r="CA421">
        <v>1200</v>
      </c>
      <c r="CB421">
        <v>3600</v>
      </c>
      <c r="CC421">
        <v>0</v>
      </c>
      <c r="CD421">
        <v>0</v>
      </c>
      <c r="CE421">
        <v>0</v>
      </c>
      <c r="CF421">
        <v>0</v>
      </c>
      <c r="CG421">
        <v>39515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1250</v>
      </c>
      <c r="CU421">
        <v>1250</v>
      </c>
      <c r="CV421">
        <v>1250</v>
      </c>
      <c r="CW421">
        <v>3750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3750</v>
      </c>
      <c r="EE421">
        <v>0</v>
      </c>
      <c r="EF421">
        <v>0</v>
      </c>
      <c r="EG421">
        <v>0</v>
      </c>
      <c r="EH421">
        <v>0</v>
      </c>
      <c r="EI421">
        <v>1154</v>
      </c>
      <c r="EJ421">
        <v>1154</v>
      </c>
      <c r="EK421">
        <v>1155</v>
      </c>
      <c r="EL421">
        <v>3500</v>
      </c>
      <c r="EM421">
        <v>37.065000000000005</v>
      </c>
      <c r="EN421">
        <v>660</v>
      </c>
      <c r="EO421">
        <v>660</v>
      </c>
      <c r="EP421">
        <v>659</v>
      </c>
      <c r="EQ421">
        <v>2000</v>
      </c>
      <c r="ER421">
        <v>21.18</v>
      </c>
      <c r="ES421">
        <v>0</v>
      </c>
      <c r="ET421">
        <v>0</v>
      </c>
      <c r="EU421">
        <v>0</v>
      </c>
      <c r="EV421">
        <v>0</v>
      </c>
      <c r="EW421">
        <v>0</v>
      </c>
      <c r="FA421">
        <v>0</v>
      </c>
      <c r="FE421">
        <v>0</v>
      </c>
      <c r="FI421">
        <v>0</v>
      </c>
      <c r="FJ421">
        <v>5441.7550000000001</v>
      </c>
      <c r="FK421">
        <v>35765</v>
      </c>
      <c r="FL421">
        <v>31664.555574119709</v>
      </c>
      <c r="FM421">
        <v>30323.244999999999</v>
      </c>
      <c r="FO421" t="s">
        <v>1335</v>
      </c>
      <c r="FP421" t="s">
        <v>1336</v>
      </c>
      <c r="FQ421" t="s">
        <v>263</v>
      </c>
      <c r="FR421" t="s">
        <v>1337</v>
      </c>
    </row>
    <row r="422" spans="1:174" x14ac:dyDescent="0.35">
      <c r="A422">
        <v>196040</v>
      </c>
      <c r="B422" t="s">
        <v>1338</v>
      </c>
      <c r="C422" t="s">
        <v>1339</v>
      </c>
      <c r="D422" t="s">
        <v>1340</v>
      </c>
      <c r="E422" s="43" t="s">
        <v>1341</v>
      </c>
      <c r="L422" s="43" t="s">
        <v>259</v>
      </c>
      <c r="M422" t="s">
        <v>1342</v>
      </c>
      <c r="N422" s="43"/>
      <c r="O422" s="43"/>
      <c r="P422" s="43"/>
      <c r="Q422" s="43"/>
      <c r="R422">
        <v>2.1</v>
      </c>
      <c r="S422">
        <v>44109</v>
      </c>
      <c r="T422" t="s">
        <v>285</v>
      </c>
      <c r="U422" t="s">
        <v>266</v>
      </c>
      <c r="V422" t="s">
        <v>267</v>
      </c>
      <c r="W422" t="s">
        <v>268</v>
      </c>
      <c r="X422" t="s">
        <v>269</v>
      </c>
      <c r="Y422">
        <v>8883022894</v>
      </c>
      <c r="Z422" t="s">
        <v>508</v>
      </c>
      <c r="AA422" t="s">
        <v>271</v>
      </c>
      <c r="AB422" t="s">
        <v>562</v>
      </c>
      <c r="AC422" t="s">
        <v>1346</v>
      </c>
      <c r="AD422" t="s">
        <v>780</v>
      </c>
      <c r="AE422" t="s">
        <v>344</v>
      </c>
      <c r="AF422">
        <v>10</v>
      </c>
      <c r="AG422" t="s">
        <v>275</v>
      </c>
      <c r="AH422" t="s">
        <v>259</v>
      </c>
      <c r="AI422" t="s">
        <v>259</v>
      </c>
      <c r="AJ422" t="s">
        <v>259</v>
      </c>
      <c r="AK422" s="43" t="s">
        <v>259</v>
      </c>
      <c r="AL422" s="43" t="s">
        <v>259</v>
      </c>
      <c r="AO422" s="23"/>
      <c r="AP422" s="23"/>
      <c r="AQ422" s="23"/>
      <c r="BD422" s="43" t="s">
        <v>259</v>
      </c>
      <c r="BE422" s="43" t="s">
        <v>259</v>
      </c>
      <c r="BF422" s="43" t="s">
        <v>259</v>
      </c>
      <c r="BG422" s="43" t="s">
        <v>259</v>
      </c>
      <c r="BH422" t="s">
        <v>259</v>
      </c>
      <c r="BI422" s="43" t="s">
        <v>259</v>
      </c>
      <c r="BJ422">
        <v>0</v>
      </c>
      <c r="BK422">
        <v>44109</v>
      </c>
      <c r="BL422">
        <v>44356</v>
      </c>
      <c r="BM422">
        <v>8505</v>
      </c>
      <c r="BN422">
        <v>8505</v>
      </c>
      <c r="BO422">
        <v>8505</v>
      </c>
      <c r="BP422">
        <v>25515</v>
      </c>
      <c r="BQ422">
        <v>3300</v>
      </c>
      <c r="BR422">
        <v>400</v>
      </c>
      <c r="BS422">
        <v>400</v>
      </c>
      <c r="BT422">
        <v>4100</v>
      </c>
      <c r="BU422">
        <v>2100</v>
      </c>
      <c r="BV422">
        <v>2100</v>
      </c>
      <c r="BW422">
        <v>2100</v>
      </c>
      <c r="BX422">
        <v>6300</v>
      </c>
      <c r="BY422">
        <v>1200</v>
      </c>
      <c r="BZ422">
        <v>1200</v>
      </c>
      <c r="CA422">
        <v>1200</v>
      </c>
      <c r="CB422">
        <v>3600</v>
      </c>
      <c r="CC422">
        <v>0</v>
      </c>
      <c r="CD422">
        <v>0</v>
      </c>
      <c r="CE422">
        <v>0</v>
      </c>
      <c r="CF422">
        <v>0</v>
      </c>
      <c r="CG422">
        <v>39515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1154</v>
      </c>
      <c r="EJ422">
        <v>1154</v>
      </c>
      <c r="EK422">
        <v>1155</v>
      </c>
      <c r="EL422">
        <v>3500</v>
      </c>
      <c r="EM422">
        <v>37.065000000000005</v>
      </c>
      <c r="EN422">
        <v>660</v>
      </c>
      <c r="EO422">
        <v>660</v>
      </c>
      <c r="EP422">
        <v>659</v>
      </c>
      <c r="EQ422">
        <v>2000</v>
      </c>
      <c r="ER422">
        <v>21.18</v>
      </c>
      <c r="ES422">
        <v>0</v>
      </c>
      <c r="ET422">
        <v>0</v>
      </c>
      <c r="EU422">
        <v>0</v>
      </c>
      <c r="EV422">
        <v>0</v>
      </c>
      <c r="EW422">
        <v>0</v>
      </c>
      <c r="FA422">
        <v>0</v>
      </c>
      <c r="FE422">
        <v>0</v>
      </c>
      <c r="FI422">
        <v>0</v>
      </c>
      <c r="FJ422">
        <v>5441.7550000000001</v>
      </c>
      <c r="FK422">
        <v>39515</v>
      </c>
      <c r="FL422">
        <v>35580.43210392214</v>
      </c>
      <c r="FM422">
        <v>34073.245000000003</v>
      </c>
      <c r="FO422" t="s">
        <v>1343</v>
      </c>
      <c r="FP422" t="s">
        <v>1344</v>
      </c>
      <c r="FQ422" t="s">
        <v>831</v>
      </c>
      <c r="FR422" t="s">
        <v>1345</v>
      </c>
    </row>
    <row r="423" spans="1:174" x14ac:dyDescent="0.35">
      <c r="A423">
        <v>198969</v>
      </c>
      <c r="B423" t="s">
        <v>3536</v>
      </c>
      <c r="C423" t="s">
        <v>3537</v>
      </c>
      <c r="D423" t="s">
        <v>3538</v>
      </c>
      <c r="E423" s="43" t="s">
        <v>4188</v>
      </c>
      <c r="J423" t="s">
        <v>3425</v>
      </c>
      <c r="L423" s="43" t="s">
        <v>3204</v>
      </c>
      <c r="M423" t="s">
        <v>4189</v>
      </c>
      <c r="N423" s="43"/>
      <c r="O423" s="43"/>
      <c r="P423" s="43"/>
      <c r="Q423" s="43"/>
      <c r="R423">
        <v>2.54</v>
      </c>
      <c r="S423">
        <v>44109</v>
      </c>
      <c r="T423" t="s">
        <v>311</v>
      </c>
      <c r="U423" t="s">
        <v>286</v>
      </c>
      <c r="V423" t="s">
        <v>267</v>
      </c>
      <c r="W423" t="s">
        <v>268</v>
      </c>
      <c r="X423" t="s">
        <v>269</v>
      </c>
      <c r="Y423">
        <v>8883022894</v>
      </c>
      <c r="Z423" t="s">
        <v>270</v>
      </c>
      <c r="AA423" t="s">
        <v>271</v>
      </c>
      <c r="AB423">
        <v>0</v>
      </c>
      <c r="AC423" t="s">
        <v>788</v>
      </c>
      <c r="AD423" t="s">
        <v>3783</v>
      </c>
      <c r="AE423" t="s">
        <v>376</v>
      </c>
      <c r="AF423">
        <v>7</v>
      </c>
      <c r="AG423" t="s">
        <v>3345</v>
      </c>
      <c r="AH423" t="s">
        <v>3226</v>
      </c>
      <c r="AI423" t="s">
        <v>313</v>
      </c>
      <c r="AJ423" t="s">
        <v>4237</v>
      </c>
      <c r="AK423" s="43" t="s">
        <v>3208</v>
      </c>
      <c r="AL423" s="43" t="s">
        <v>3209</v>
      </c>
      <c r="AO423" s="23"/>
      <c r="AP423" s="23"/>
      <c r="AQ423" s="23"/>
      <c r="BD423" s="43" t="s">
        <v>2018</v>
      </c>
      <c r="BE423" s="43" t="s">
        <v>2018</v>
      </c>
      <c r="BF423" s="43" t="s">
        <v>2018</v>
      </c>
      <c r="BG423" s="43" t="s">
        <v>2018</v>
      </c>
      <c r="BH423" t="s">
        <v>2018</v>
      </c>
      <c r="BI423" s="43" t="s">
        <v>2018</v>
      </c>
      <c r="BJ423">
        <v>0</v>
      </c>
      <c r="BK423">
        <v>44109</v>
      </c>
      <c r="BL423">
        <v>44356</v>
      </c>
      <c r="BM423">
        <v>8505</v>
      </c>
      <c r="BN423">
        <v>8505</v>
      </c>
      <c r="BO423">
        <v>8505</v>
      </c>
      <c r="BP423">
        <v>25515</v>
      </c>
      <c r="BQ423">
        <v>3300</v>
      </c>
      <c r="BR423">
        <v>400</v>
      </c>
      <c r="BS423">
        <v>400</v>
      </c>
      <c r="BT423">
        <v>4100</v>
      </c>
      <c r="BU423">
        <v>2100</v>
      </c>
      <c r="BV423">
        <v>2100</v>
      </c>
      <c r="BW423">
        <v>2100</v>
      </c>
      <c r="BX423">
        <v>6300</v>
      </c>
      <c r="BY423">
        <v>1200</v>
      </c>
      <c r="BZ423">
        <v>1200</v>
      </c>
      <c r="CA423">
        <v>1200</v>
      </c>
      <c r="CB423">
        <v>3600</v>
      </c>
      <c r="CF423">
        <v>0</v>
      </c>
      <c r="CG423">
        <v>39515</v>
      </c>
      <c r="CK423">
        <v>0</v>
      </c>
      <c r="CL423">
        <v>2065</v>
      </c>
      <c r="CM423">
        <v>2065</v>
      </c>
      <c r="CN423">
        <v>2065</v>
      </c>
      <c r="CO423">
        <v>6195</v>
      </c>
      <c r="CP423">
        <v>500</v>
      </c>
      <c r="CQ423">
        <v>500</v>
      </c>
      <c r="CR423">
        <v>500</v>
      </c>
      <c r="CS423">
        <v>1500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1000</v>
      </c>
      <c r="DC423">
        <v>1000</v>
      </c>
      <c r="DD423">
        <v>1000</v>
      </c>
      <c r="DE423">
        <v>3000</v>
      </c>
      <c r="DF423">
        <v>0</v>
      </c>
      <c r="DG423">
        <v>0</v>
      </c>
      <c r="DH423">
        <v>0</v>
      </c>
      <c r="DN423">
        <v>0</v>
      </c>
      <c r="DO423">
        <v>0</v>
      </c>
      <c r="DP423">
        <v>0</v>
      </c>
      <c r="DR423">
        <v>0</v>
      </c>
      <c r="DS423">
        <v>0</v>
      </c>
      <c r="DT423">
        <v>0</v>
      </c>
      <c r="DY423">
        <v>0</v>
      </c>
      <c r="EC423">
        <v>0</v>
      </c>
      <c r="ED423">
        <v>10695</v>
      </c>
      <c r="EH423">
        <v>0</v>
      </c>
      <c r="EI423">
        <v>0</v>
      </c>
      <c r="EJ423">
        <v>0</v>
      </c>
      <c r="EK423">
        <v>0</v>
      </c>
      <c r="EM423">
        <v>0</v>
      </c>
      <c r="EN423">
        <v>660</v>
      </c>
      <c r="EO423">
        <v>660</v>
      </c>
      <c r="EP423">
        <v>659</v>
      </c>
      <c r="EQ423">
        <v>2000</v>
      </c>
      <c r="ER423">
        <v>21.24</v>
      </c>
      <c r="ES423">
        <v>0</v>
      </c>
      <c r="ET423">
        <v>0</v>
      </c>
      <c r="EU423">
        <v>0</v>
      </c>
      <c r="EW423">
        <v>0</v>
      </c>
      <c r="FA423">
        <v>0</v>
      </c>
      <c r="FE423">
        <v>0</v>
      </c>
      <c r="FI423">
        <v>0</v>
      </c>
      <c r="FJ423">
        <v>1978.76</v>
      </c>
      <c r="FK423">
        <v>28820</v>
      </c>
      <c r="FL423">
        <v>28032.041106190991</v>
      </c>
      <c r="FM423">
        <v>26841.24</v>
      </c>
      <c r="FO423" t="s">
        <v>4190</v>
      </c>
      <c r="FP423" t="s">
        <v>4191</v>
      </c>
      <c r="FQ423" t="s">
        <v>553</v>
      </c>
      <c r="FR423" t="s">
        <v>3539</v>
      </c>
    </row>
    <row r="424" spans="1:174" x14ac:dyDescent="0.35">
      <c r="A424">
        <v>196434</v>
      </c>
      <c r="B424" t="s">
        <v>1347</v>
      </c>
      <c r="C424" t="s">
        <v>1348</v>
      </c>
      <c r="D424" t="s">
        <v>1349</v>
      </c>
      <c r="E424" s="43" t="s">
        <v>1350</v>
      </c>
      <c r="L424" s="43" t="s">
        <v>3204</v>
      </c>
      <c r="M424" t="s">
        <v>1351</v>
      </c>
      <c r="N424" s="43"/>
      <c r="O424" s="43"/>
      <c r="P424" s="43"/>
      <c r="Q424" s="43"/>
      <c r="R424">
        <v>3.5</v>
      </c>
      <c r="S424">
        <v>44109</v>
      </c>
      <c r="T424" t="s">
        <v>311</v>
      </c>
      <c r="U424" t="s">
        <v>266</v>
      </c>
      <c r="V424" t="s">
        <v>267</v>
      </c>
      <c r="W424" t="s">
        <v>268</v>
      </c>
      <c r="X424" t="s">
        <v>269</v>
      </c>
      <c r="Y424">
        <v>8883022894</v>
      </c>
      <c r="Z424" t="s">
        <v>270</v>
      </c>
      <c r="AA424" t="s">
        <v>271</v>
      </c>
      <c r="AB424" t="s">
        <v>779</v>
      </c>
      <c r="AC424">
        <v>0</v>
      </c>
      <c r="AD424" t="s">
        <v>860</v>
      </c>
      <c r="AE424" t="s">
        <v>416</v>
      </c>
      <c r="AF424">
        <v>5</v>
      </c>
      <c r="AG424" t="s">
        <v>275</v>
      </c>
      <c r="AH424" t="s">
        <v>3226</v>
      </c>
      <c r="AI424" t="s">
        <v>313</v>
      </c>
      <c r="AJ424" t="s">
        <v>3821</v>
      </c>
      <c r="AK424" s="43" t="s">
        <v>1715</v>
      </c>
      <c r="AL424" s="43" t="s">
        <v>259</v>
      </c>
      <c r="AO424" s="23"/>
      <c r="AP424" s="23"/>
      <c r="AQ424" s="23"/>
      <c r="BD424" s="43" t="s">
        <v>259</v>
      </c>
      <c r="BE424" s="43" t="s">
        <v>259</v>
      </c>
      <c r="BF424" s="43" t="s">
        <v>259</v>
      </c>
      <c r="BG424" s="43" t="s">
        <v>259</v>
      </c>
      <c r="BH424" t="s">
        <v>259</v>
      </c>
      <c r="BI424" s="43" t="s">
        <v>259</v>
      </c>
      <c r="BJ424">
        <v>0</v>
      </c>
      <c r="BK424">
        <v>44109</v>
      </c>
      <c r="BL424">
        <v>44356</v>
      </c>
      <c r="BM424">
        <v>8505</v>
      </c>
      <c r="BN424">
        <v>8505</v>
      </c>
      <c r="BO424">
        <v>8505</v>
      </c>
      <c r="BP424">
        <v>25515</v>
      </c>
      <c r="BQ424">
        <v>3300</v>
      </c>
      <c r="BR424">
        <v>400</v>
      </c>
      <c r="BS424">
        <v>400</v>
      </c>
      <c r="BT424">
        <v>4100</v>
      </c>
      <c r="BU424">
        <v>2100</v>
      </c>
      <c r="BV424">
        <v>2100</v>
      </c>
      <c r="BW424">
        <v>2100</v>
      </c>
      <c r="BX424">
        <v>6300</v>
      </c>
      <c r="BY424">
        <v>1200</v>
      </c>
      <c r="BZ424">
        <v>1200</v>
      </c>
      <c r="CA424">
        <v>1200</v>
      </c>
      <c r="CB424">
        <v>3600</v>
      </c>
      <c r="CC424">
        <v>0</v>
      </c>
      <c r="CD424">
        <v>0</v>
      </c>
      <c r="CE424">
        <v>0</v>
      </c>
      <c r="CF424">
        <v>0</v>
      </c>
      <c r="CG424">
        <v>39515</v>
      </c>
      <c r="CH424">
        <v>0</v>
      </c>
      <c r="CI424">
        <v>0</v>
      </c>
      <c r="CJ424">
        <v>0</v>
      </c>
      <c r="CK424">
        <v>0</v>
      </c>
      <c r="CL424">
        <v>2065</v>
      </c>
      <c r="CM424">
        <v>2065</v>
      </c>
      <c r="CN424">
        <v>2065</v>
      </c>
      <c r="CO424">
        <v>6195</v>
      </c>
      <c r="CP424">
        <v>500</v>
      </c>
      <c r="CQ424">
        <v>500</v>
      </c>
      <c r="CR424">
        <v>500</v>
      </c>
      <c r="CS424">
        <v>1500</v>
      </c>
      <c r="CT424">
        <v>1000</v>
      </c>
      <c r="CU424">
        <v>1000</v>
      </c>
      <c r="CV424">
        <v>1000</v>
      </c>
      <c r="CW424">
        <v>3000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10695</v>
      </c>
      <c r="EE424">
        <v>0</v>
      </c>
      <c r="EF424">
        <v>0</v>
      </c>
      <c r="EG424">
        <v>0</v>
      </c>
      <c r="EH424">
        <v>0</v>
      </c>
      <c r="EI424">
        <v>1154</v>
      </c>
      <c r="EJ424">
        <v>1154</v>
      </c>
      <c r="EK424">
        <v>1155</v>
      </c>
      <c r="EL424">
        <v>3500</v>
      </c>
      <c r="EM424">
        <v>37.065000000000005</v>
      </c>
      <c r="EN424">
        <v>660</v>
      </c>
      <c r="EO424">
        <v>660</v>
      </c>
      <c r="EP424">
        <v>659</v>
      </c>
      <c r="EQ424">
        <v>2000</v>
      </c>
      <c r="ER424">
        <v>21.18</v>
      </c>
      <c r="ES424">
        <v>0</v>
      </c>
      <c r="ET424">
        <v>0</v>
      </c>
      <c r="EU424">
        <v>0</v>
      </c>
      <c r="EV424">
        <v>0</v>
      </c>
      <c r="EW424">
        <v>0</v>
      </c>
      <c r="FA424">
        <v>0</v>
      </c>
      <c r="FE424">
        <v>0</v>
      </c>
      <c r="FI424">
        <v>0</v>
      </c>
      <c r="FJ424">
        <v>5441.7550000000001</v>
      </c>
      <c r="FK424">
        <v>28820</v>
      </c>
      <c r="FL424">
        <v>24412.352240925607</v>
      </c>
      <c r="FM424">
        <v>23378.244999999999</v>
      </c>
      <c r="FO424" t="s">
        <v>1352</v>
      </c>
      <c r="FP424" t="s">
        <v>1353</v>
      </c>
      <c r="FQ424" t="s">
        <v>524</v>
      </c>
      <c r="FR424" t="s">
        <v>1354</v>
      </c>
    </row>
    <row r="425" spans="1:174" x14ac:dyDescent="0.35">
      <c r="A425">
        <v>197102</v>
      </c>
      <c r="B425" t="s">
        <v>1355</v>
      </c>
      <c r="C425" t="s">
        <v>1356</v>
      </c>
      <c r="D425" t="s">
        <v>1357</v>
      </c>
      <c r="E425" s="43" t="s">
        <v>1358</v>
      </c>
      <c r="L425" s="43" t="s">
        <v>3204</v>
      </c>
      <c r="M425" t="s">
        <v>1359</v>
      </c>
      <c r="N425" s="43"/>
      <c r="O425" s="43"/>
      <c r="P425" s="43"/>
      <c r="Q425" s="43"/>
      <c r="R425">
        <v>4.0999999999999996</v>
      </c>
      <c r="S425">
        <v>44109</v>
      </c>
      <c r="T425" t="s">
        <v>285</v>
      </c>
      <c r="U425" t="s">
        <v>266</v>
      </c>
      <c r="V425" t="s">
        <v>267</v>
      </c>
      <c r="W425" t="s">
        <v>268</v>
      </c>
      <c r="X425" t="s">
        <v>269</v>
      </c>
      <c r="Y425">
        <v>8883022894</v>
      </c>
      <c r="Z425" t="s">
        <v>270</v>
      </c>
      <c r="AA425" t="s">
        <v>271</v>
      </c>
      <c r="AB425" t="s">
        <v>545</v>
      </c>
      <c r="AC425" t="s">
        <v>669</v>
      </c>
      <c r="AD425" t="s">
        <v>313</v>
      </c>
      <c r="AE425" t="s">
        <v>301</v>
      </c>
      <c r="AF425">
        <v>1</v>
      </c>
      <c r="AG425" t="s">
        <v>275</v>
      </c>
      <c r="AH425" t="s">
        <v>3602</v>
      </c>
      <c r="AI425" t="s">
        <v>3603</v>
      </c>
      <c r="AJ425" t="s">
        <v>3590</v>
      </c>
      <c r="AK425" s="43" t="s">
        <v>3208</v>
      </c>
      <c r="AL425" s="43" t="s">
        <v>3209</v>
      </c>
      <c r="AO425" s="23"/>
      <c r="AP425" s="23"/>
      <c r="AQ425" s="23"/>
      <c r="BD425" s="43" t="s">
        <v>2018</v>
      </c>
      <c r="BE425" s="43" t="s">
        <v>2018</v>
      </c>
      <c r="BF425" s="43" t="s">
        <v>2018</v>
      </c>
      <c r="BG425" s="43" t="s">
        <v>2018</v>
      </c>
      <c r="BH425" t="s">
        <v>2018</v>
      </c>
      <c r="BI425" s="43" t="s">
        <v>2018</v>
      </c>
      <c r="BJ425">
        <v>0</v>
      </c>
      <c r="BK425">
        <v>44109</v>
      </c>
      <c r="BL425">
        <v>44356</v>
      </c>
      <c r="BM425">
        <v>8505</v>
      </c>
      <c r="BN425">
        <v>8505</v>
      </c>
      <c r="BO425">
        <v>8505</v>
      </c>
      <c r="BP425">
        <v>25515</v>
      </c>
      <c r="BQ425">
        <v>3300</v>
      </c>
      <c r="BR425">
        <v>400</v>
      </c>
      <c r="BS425">
        <v>400</v>
      </c>
      <c r="BT425">
        <v>4100</v>
      </c>
      <c r="BU425">
        <v>2100</v>
      </c>
      <c r="BV425">
        <v>2100</v>
      </c>
      <c r="BW425">
        <v>2100</v>
      </c>
      <c r="BX425">
        <v>6300</v>
      </c>
      <c r="BY425">
        <v>1200</v>
      </c>
      <c r="BZ425">
        <v>1200</v>
      </c>
      <c r="CA425">
        <v>1200</v>
      </c>
      <c r="CB425">
        <v>3600</v>
      </c>
      <c r="CC425">
        <v>0</v>
      </c>
      <c r="CD425">
        <v>0</v>
      </c>
      <c r="CE425">
        <v>0</v>
      </c>
      <c r="CF425">
        <v>0</v>
      </c>
      <c r="CG425">
        <v>39515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1700</v>
      </c>
      <c r="CU425">
        <v>1700</v>
      </c>
      <c r="CV425">
        <v>1700</v>
      </c>
      <c r="CW425">
        <v>5100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5100</v>
      </c>
      <c r="EE425">
        <v>0</v>
      </c>
      <c r="EF425">
        <v>0</v>
      </c>
      <c r="EG425">
        <v>0</v>
      </c>
      <c r="EH425">
        <v>0</v>
      </c>
      <c r="EI425">
        <v>1154</v>
      </c>
      <c r="EJ425">
        <v>1154</v>
      </c>
      <c r="EK425">
        <v>1155</v>
      </c>
      <c r="EL425">
        <v>3500</v>
      </c>
      <c r="EM425">
        <v>37.065000000000005</v>
      </c>
      <c r="EN425">
        <v>660</v>
      </c>
      <c r="EO425">
        <v>660</v>
      </c>
      <c r="EP425">
        <v>659</v>
      </c>
      <c r="EQ425">
        <v>2000</v>
      </c>
      <c r="ER425">
        <v>21.18</v>
      </c>
      <c r="ES425">
        <v>0</v>
      </c>
      <c r="ET425">
        <v>0</v>
      </c>
      <c r="EU425">
        <v>0</v>
      </c>
      <c r="EV425">
        <v>0</v>
      </c>
      <c r="EW425">
        <v>0</v>
      </c>
      <c r="FA425">
        <v>0</v>
      </c>
      <c r="FE425">
        <v>0</v>
      </c>
      <c r="FI425">
        <v>0</v>
      </c>
      <c r="FJ425">
        <v>5441.7550000000001</v>
      </c>
      <c r="FK425">
        <v>34415</v>
      </c>
      <c r="FL425">
        <v>30254.840023390832</v>
      </c>
      <c r="FM425">
        <v>28973.244999999999</v>
      </c>
      <c r="FO425" t="s">
        <v>1360</v>
      </c>
      <c r="FP425" t="s">
        <v>1361</v>
      </c>
      <c r="FQ425" t="s">
        <v>297</v>
      </c>
      <c r="FR425" t="s">
        <v>1362</v>
      </c>
    </row>
    <row r="426" spans="1:174" x14ac:dyDescent="0.35">
      <c r="A426">
        <v>197411</v>
      </c>
      <c r="B426" t="s">
        <v>3540</v>
      </c>
      <c r="C426" t="s">
        <v>2918</v>
      </c>
      <c r="D426" t="s">
        <v>3541</v>
      </c>
      <c r="E426" s="43" t="s">
        <v>4217</v>
      </c>
      <c r="J426" t="s">
        <v>3425</v>
      </c>
      <c r="L426" s="43" t="s">
        <v>259</v>
      </c>
      <c r="M426" t="s">
        <v>3542</v>
      </c>
      <c r="N426" s="43"/>
      <c r="O426" s="43"/>
      <c r="P426" s="43"/>
      <c r="Q426" s="43"/>
      <c r="R426">
        <v>2.923</v>
      </c>
      <c r="S426">
        <v>44109</v>
      </c>
      <c r="T426" t="s">
        <v>544</v>
      </c>
      <c r="U426" t="s">
        <v>266</v>
      </c>
      <c r="V426" t="s">
        <v>267</v>
      </c>
      <c r="W426" t="s">
        <v>268</v>
      </c>
      <c r="X426" t="s">
        <v>269</v>
      </c>
      <c r="Y426">
        <v>8883022894</v>
      </c>
      <c r="Z426" t="s">
        <v>270</v>
      </c>
      <c r="AA426" t="s">
        <v>271</v>
      </c>
      <c r="AB426" t="s">
        <v>969</v>
      </c>
      <c r="AC426">
        <v>0</v>
      </c>
      <c r="AD426" t="s">
        <v>1011</v>
      </c>
      <c r="AE426" t="s">
        <v>416</v>
      </c>
      <c r="AF426">
        <v>5</v>
      </c>
      <c r="AG426" t="s">
        <v>3345</v>
      </c>
      <c r="AH426" t="s">
        <v>259</v>
      </c>
      <c r="AI426" t="s">
        <v>259</v>
      </c>
      <c r="AJ426" t="s">
        <v>259</v>
      </c>
      <c r="AK426" s="43" t="s">
        <v>259</v>
      </c>
      <c r="AL426" s="43" t="s">
        <v>259</v>
      </c>
      <c r="AO426" s="23"/>
      <c r="AP426" s="23"/>
      <c r="AQ426" s="23"/>
      <c r="BD426" s="43" t="s">
        <v>259</v>
      </c>
      <c r="BE426" s="43" t="s">
        <v>259</v>
      </c>
      <c r="BF426" s="43" t="s">
        <v>259</v>
      </c>
      <c r="BG426" s="43" t="s">
        <v>259</v>
      </c>
      <c r="BH426" t="s">
        <v>259</v>
      </c>
      <c r="BI426" s="43" t="s">
        <v>259</v>
      </c>
      <c r="BJ426">
        <v>0</v>
      </c>
      <c r="BK426">
        <v>44109</v>
      </c>
      <c r="BL426">
        <v>44356</v>
      </c>
      <c r="BM426">
        <v>8505</v>
      </c>
      <c r="BN426">
        <v>8505</v>
      </c>
      <c r="BO426">
        <v>8505</v>
      </c>
      <c r="BP426">
        <v>25515</v>
      </c>
      <c r="BQ426">
        <v>3300</v>
      </c>
      <c r="BR426">
        <v>400</v>
      </c>
      <c r="BS426">
        <v>400</v>
      </c>
      <c r="BT426">
        <v>4100</v>
      </c>
      <c r="BU426">
        <v>2100</v>
      </c>
      <c r="BV426">
        <v>2100</v>
      </c>
      <c r="BW426">
        <v>2100</v>
      </c>
      <c r="BX426">
        <v>6300</v>
      </c>
      <c r="BY426">
        <v>1200</v>
      </c>
      <c r="BZ426">
        <v>1200</v>
      </c>
      <c r="CA426">
        <v>1200</v>
      </c>
      <c r="CB426">
        <v>3600</v>
      </c>
      <c r="CF426">
        <v>0</v>
      </c>
      <c r="CG426">
        <v>39515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1000</v>
      </c>
      <c r="CU426">
        <v>1000</v>
      </c>
      <c r="CV426">
        <v>1000</v>
      </c>
      <c r="CW426">
        <v>3000</v>
      </c>
      <c r="CX426">
        <v>3000</v>
      </c>
      <c r="CY426">
        <v>3000</v>
      </c>
      <c r="CZ426">
        <v>3000</v>
      </c>
      <c r="DA426">
        <v>9000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N426">
        <v>0</v>
      </c>
      <c r="DO426">
        <v>0</v>
      </c>
      <c r="DP426">
        <v>0</v>
      </c>
      <c r="DR426">
        <v>0</v>
      </c>
      <c r="DS426">
        <v>0</v>
      </c>
      <c r="DT426">
        <v>0</v>
      </c>
      <c r="DY426">
        <v>0</v>
      </c>
      <c r="EC426">
        <v>0</v>
      </c>
      <c r="ED426">
        <v>12000</v>
      </c>
      <c r="EH426">
        <v>0</v>
      </c>
      <c r="EI426">
        <v>0</v>
      </c>
      <c r="EJ426">
        <v>0</v>
      </c>
      <c r="EK426">
        <v>0</v>
      </c>
      <c r="EM426">
        <v>0</v>
      </c>
      <c r="EN426">
        <v>660</v>
      </c>
      <c r="EO426">
        <v>660</v>
      </c>
      <c r="EP426">
        <v>659</v>
      </c>
      <c r="EQ426">
        <v>2000</v>
      </c>
      <c r="ER426">
        <v>21.24</v>
      </c>
      <c r="ES426">
        <v>0</v>
      </c>
      <c r="ET426">
        <v>0</v>
      </c>
      <c r="EU426">
        <v>0</v>
      </c>
      <c r="EW426">
        <v>0</v>
      </c>
      <c r="FA426">
        <v>0</v>
      </c>
      <c r="FE426">
        <v>0</v>
      </c>
      <c r="FI426">
        <v>0</v>
      </c>
      <c r="FJ426">
        <v>1978.76</v>
      </c>
      <c r="FK426">
        <v>27515</v>
      </c>
      <c r="FL426">
        <v>26669.145292004345</v>
      </c>
      <c r="FM426">
        <v>25536.240000000002</v>
      </c>
      <c r="FO426" t="s">
        <v>3543</v>
      </c>
      <c r="FP426" t="s">
        <v>3544</v>
      </c>
      <c r="FQ426" t="s">
        <v>542</v>
      </c>
      <c r="FR426" t="s">
        <v>3545</v>
      </c>
    </row>
    <row r="427" spans="1:174" x14ac:dyDescent="0.35">
      <c r="A427">
        <v>196270</v>
      </c>
      <c r="B427" t="s">
        <v>1363</v>
      </c>
      <c r="C427" t="s">
        <v>1364</v>
      </c>
      <c r="D427" t="s">
        <v>1365</v>
      </c>
      <c r="E427" s="43" t="s">
        <v>1366</v>
      </c>
      <c r="L427" s="43" t="s">
        <v>259</v>
      </c>
      <c r="M427" t="s">
        <v>1367</v>
      </c>
      <c r="N427" s="43"/>
      <c r="O427" s="43"/>
      <c r="P427" s="43"/>
      <c r="Q427" s="43"/>
      <c r="R427">
        <v>2.214</v>
      </c>
      <c r="S427">
        <v>44109</v>
      </c>
      <c r="T427" t="s">
        <v>311</v>
      </c>
      <c r="U427" t="s">
        <v>266</v>
      </c>
      <c r="V427" t="s">
        <v>267</v>
      </c>
      <c r="W427" t="s">
        <v>268</v>
      </c>
      <c r="X427" t="s">
        <v>269</v>
      </c>
      <c r="Y427">
        <v>8883022894</v>
      </c>
      <c r="Z427" t="s">
        <v>270</v>
      </c>
      <c r="AA427" t="s">
        <v>271</v>
      </c>
      <c r="AB427">
        <v>0</v>
      </c>
      <c r="AC427" t="s">
        <v>752</v>
      </c>
      <c r="AD427" t="s">
        <v>1372</v>
      </c>
      <c r="AE427" t="s">
        <v>344</v>
      </c>
      <c r="AF427">
        <v>10</v>
      </c>
      <c r="AG427" t="s">
        <v>275</v>
      </c>
      <c r="AH427" t="s">
        <v>259</v>
      </c>
      <c r="AI427" t="s">
        <v>259</v>
      </c>
      <c r="AJ427" t="s">
        <v>259</v>
      </c>
      <c r="AK427" s="43" t="s">
        <v>259</v>
      </c>
      <c r="AL427" s="43" t="s">
        <v>259</v>
      </c>
      <c r="AO427" s="23"/>
      <c r="AP427" s="23"/>
      <c r="AQ427" s="23"/>
      <c r="BD427" s="43" t="s">
        <v>259</v>
      </c>
      <c r="BE427" s="43" t="s">
        <v>259</v>
      </c>
      <c r="BF427" s="43" t="s">
        <v>259</v>
      </c>
      <c r="BG427" s="43" t="s">
        <v>259</v>
      </c>
      <c r="BH427" t="s">
        <v>259</v>
      </c>
      <c r="BI427" s="43" t="s">
        <v>259</v>
      </c>
      <c r="BJ427">
        <v>0</v>
      </c>
      <c r="BK427">
        <v>44109</v>
      </c>
      <c r="BL427">
        <v>44356</v>
      </c>
      <c r="BM427">
        <v>8505</v>
      </c>
      <c r="BN427">
        <v>8505</v>
      </c>
      <c r="BO427">
        <v>8505</v>
      </c>
      <c r="BP427">
        <v>25515</v>
      </c>
      <c r="BQ427">
        <v>3300</v>
      </c>
      <c r="BR427">
        <v>400</v>
      </c>
      <c r="BS427">
        <v>400</v>
      </c>
      <c r="BT427">
        <v>4100</v>
      </c>
      <c r="BU427">
        <v>2100</v>
      </c>
      <c r="BV427">
        <v>2100</v>
      </c>
      <c r="BW427">
        <v>2100</v>
      </c>
      <c r="BX427">
        <v>6300</v>
      </c>
      <c r="BY427">
        <v>1200</v>
      </c>
      <c r="BZ427">
        <v>1200</v>
      </c>
      <c r="CA427">
        <v>1200</v>
      </c>
      <c r="CB427">
        <v>3600</v>
      </c>
      <c r="CC427">
        <v>0</v>
      </c>
      <c r="CD427">
        <v>0</v>
      </c>
      <c r="CE427">
        <v>0</v>
      </c>
      <c r="CF427">
        <v>0</v>
      </c>
      <c r="CG427">
        <v>39515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N427">
        <v>0</v>
      </c>
      <c r="DO427">
        <v>0</v>
      </c>
      <c r="DP427">
        <v>0</v>
      </c>
      <c r="DR427">
        <v>0</v>
      </c>
      <c r="DS427">
        <v>0</v>
      </c>
      <c r="DT427">
        <v>0</v>
      </c>
      <c r="DU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1154</v>
      </c>
      <c r="EJ427">
        <v>1154</v>
      </c>
      <c r="EK427">
        <v>1155</v>
      </c>
      <c r="EL427">
        <v>3500</v>
      </c>
      <c r="EM427">
        <v>37.065000000000005</v>
      </c>
      <c r="EN427">
        <v>660</v>
      </c>
      <c r="EO427">
        <v>660</v>
      </c>
      <c r="EP427">
        <v>659</v>
      </c>
      <c r="EQ427">
        <v>2000</v>
      </c>
      <c r="ER427">
        <v>21.18</v>
      </c>
      <c r="ES427">
        <v>0</v>
      </c>
      <c r="ET427">
        <v>0</v>
      </c>
      <c r="EU427">
        <v>0</v>
      </c>
      <c r="EV427">
        <v>0</v>
      </c>
      <c r="EW427">
        <v>0</v>
      </c>
      <c r="FA427">
        <v>0</v>
      </c>
      <c r="FE427">
        <v>0</v>
      </c>
      <c r="FI427">
        <v>0</v>
      </c>
      <c r="FJ427">
        <v>5441.7550000000001</v>
      </c>
      <c r="FK427">
        <v>39515</v>
      </c>
      <c r="FL427">
        <v>35584.891177207784</v>
      </c>
      <c r="FM427">
        <v>34073.245000000003</v>
      </c>
      <c r="FO427" t="s">
        <v>1368</v>
      </c>
      <c r="FP427" t="s">
        <v>1369</v>
      </c>
      <c r="FQ427" t="s">
        <v>1370</v>
      </c>
      <c r="FR427" t="s">
        <v>1371</v>
      </c>
    </row>
    <row r="428" spans="1:174" x14ac:dyDescent="0.35">
      <c r="A428">
        <v>198623</v>
      </c>
      <c r="B428" t="s">
        <v>1373</v>
      </c>
      <c r="C428" t="s">
        <v>1374</v>
      </c>
      <c r="D428" t="s">
        <v>1375</v>
      </c>
      <c r="E428" s="43" t="s">
        <v>1376</v>
      </c>
      <c r="L428" s="43" t="s">
        <v>259</v>
      </c>
      <c r="M428" t="s">
        <v>1377</v>
      </c>
      <c r="N428" s="43"/>
      <c r="O428" s="43"/>
      <c r="P428" s="43"/>
      <c r="Q428" s="43"/>
      <c r="R428">
        <v>3.82</v>
      </c>
      <c r="S428">
        <v>44109</v>
      </c>
      <c r="T428" t="s">
        <v>311</v>
      </c>
      <c r="U428" t="s">
        <v>266</v>
      </c>
      <c r="V428" t="s">
        <v>267</v>
      </c>
      <c r="W428" t="s">
        <v>268</v>
      </c>
      <c r="X428" t="s">
        <v>269</v>
      </c>
      <c r="Y428">
        <v>8883022894</v>
      </c>
      <c r="Z428" t="s">
        <v>270</v>
      </c>
      <c r="AA428" t="s">
        <v>271</v>
      </c>
      <c r="AB428" t="s">
        <v>545</v>
      </c>
      <c r="AC428">
        <v>0</v>
      </c>
      <c r="AD428" t="s">
        <v>1381</v>
      </c>
      <c r="AE428" t="s">
        <v>301</v>
      </c>
      <c r="AF428">
        <v>1</v>
      </c>
      <c r="AG428" t="s">
        <v>275</v>
      </c>
      <c r="AH428" t="s">
        <v>259</v>
      </c>
      <c r="AI428" t="s">
        <v>259</v>
      </c>
      <c r="AJ428" t="s">
        <v>259</v>
      </c>
      <c r="AK428" s="43" t="s">
        <v>259</v>
      </c>
      <c r="AL428" s="43" t="s">
        <v>259</v>
      </c>
      <c r="AO428" s="23"/>
      <c r="AP428" s="23"/>
      <c r="AQ428" s="23"/>
      <c r="BD428" s="43" t="s">
        <v>259</v>
      </c>
      <c r="BE428" s="43" t="s">
        <v>259</v>
      </c>
      <c r="BF428" s="43" t="s">
        <v>259</v>
      </c>
      <c r="BG428" s="43" t="s">
        <v>259</v>
      </c>
      <c r="BH428" t="s">
        <v>259</v>
      </c>
      <c r="BI428" s="43" t="s">
        <v>259</v>
      </c>
      <c r="BJ428">
        <v>0</v>
      </c>
      <c r="BK428">
        <v>44109</v>
      </c>
      <c r="BL428">
        <v>44356</v>
      </c>
      <c r="BM428">
        <v>8505</v>
      </c>
      <c r="BN428">
        <v>8505</v>
      </c>
      <c r="BO428">
        <v>8505</v>
      </c>
      <c r="BP428">
        <v>25515</v>
      </c>
      <c r="BQ428">
        <v>3300</v>
      </c>
      <c r="BR428">
        <v>400</v>
      </c>
      <c r="BS428">
        <v>400</v>
      </c>
      <c r="BT428">
        <v>4100</v>
      </c>
      <c r="BU428">
        <v>2100</v>
      </c>
      <c r="BV428">
        <v>2100</v>
      </c>
      <c r="BW428">
        <v>2100</v>
      </c>
      <c r="BX428">
        <v>6300</v>
      </c>
      <c r="BY428">
        <v>1200</v>
      </c>
      <c r="BZ428">
        <v>1200</v>
      </c>
      <c r="CA428">
        <v>1200</v>
      </c>
      <c r="CB428">
        <v>3600</v>
      </c>
      <c r="CC428">
        <v>0</v>
      </c>
      <c r="CD428">
        <v>0</v>
      </c>
      <c r="CE428">
        <v>0</v>
      </c>
      <c r="CF428">
        <v>0</v>
      </c>
      <c r="CG428">
        <v>39515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1700</v>
      </c>
      <c r="CU428">
        <v>1700</v>
      </c>
      <c r="CV428">
        <v>1700</v>
      </c>
      <c r="CW428">
        <v>5100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N428">
        <v>0</v>
      </c>
      <c r="DO428">
        <v>0</v>
      </c>
      <c r="DP428">
        <v>0</v>
      </c>
      <c r="DR428">
        <v>0</v>
      </c>
      <c r="DS428">
        <v>0</v>
      </c>
      <c r="DT428">
        <v>0</v>
      </c>
      <c r="DU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5100</v>
      </c>
      <c r="EE428">
        <v>0</v>
      </c>
      <c r="EF428">
        <v>0</v>
      </c>
      <c r="EG428">
        <v>0</v>
      </c>
      <c r="EH428">
        <v>0</v>
      </c>
      <c r="EI428">
        <v>1154</v>
      </c>
      <c r="EJ428">
        <v>1154</v>
      </c>
      <c r="EK428">
        <v>1155</v>
      </c>
      <c r="EL428">
        <v>3500</v>
      </c>
      <c r="EM428">
        <v>37.065000000000005</v>
      </c>
      <c r="EN428">
        <v>660</v>
      </c>
      <c r="EO428">
        <v>660</v>
      </c>
      <c r="EP428">
        <v>659</v>
      </c>
      <c r="EQ428">
        <v>2000</v>
      </c>
      <c r="ER428">
        <v>21.18</v>
      </c>
      <c r="ES428">
        <v>0</v>
      </c>
      <c r="ET428">
        <v>0</v>
      </c>
      <c r="EU428">
        <v>0</v>
      </c>
      <c r="EV428">
        <v>0</v>
      </c>
      <c r="EW428">
        <v>0</v>
      </c>
      <c r="FA428">
        <v>0</v>
      </c>
      <c r="FE428">
        <v>0</v>
      </c>
      <c r="FI428">
        <v>0</v>
      </c>
      <c r="FJ428">
        <v>5441.7550000000001</v>
      </c>
      <c r="FK428">
        <v>34415</v>
      </c>
      <c r="FL428">
        <v>30258.631673489846</v>
      </c>
      <c r="FM428">
        <v>28973.244999999999</v>
      </c>
      <c r="FO428" t="s">
        <v>1378</v>
      </c>
      <c r="FP428" t="s">
        <v>1379</v>
      </c>
      <c r="FQ428" t="s">
        <v>265</v>
      </c>
      <c r="FR428" t="s">
        <v>1380</v>
      </c>
    </row>
    <row r="429" spans="1:174" x14ac:dyDescent="0.35">
      <c r="A429">
        <v>198522</v>
      </c>
      <c r="B429" t="s">
        <v>1382</v>
      </c>
      <c r="C429" t="s">
        <v>1383</v>
      </c>
      <c r="D429" t="s">
        <v>1384</v>
      </c>
      <c r="E429" s="43" t="s">
        <v>3297</v>
      </c>
      <c r="L429" s="43" t="s">
        <v>259</v>
      </c>
      <c r="M429" t="s">
        <v>1385</v>
      </c>
      <c r="N429" s="43"/>
      <c r="O429" s="43"/>
      <c r="P429" s="43"/>
      <c r="Q429" s="43"/>
      <c r="R429">
        <v>3.8</v>
      </c>
      <c r="S429">
        <v>44109</v>
      </c>
      <c r="T429" t="s">
        <v>285</v>
      </c>
      <c r="U429" t="s">
        <v>286</v>
      </c>
      <c r="V429" t="s">
        <v>267</v>
      </c>
      <c r="W429" t="s">
        <v>268</v>
      </c>
      <c r="X429" t="s">
        <v>269</v>
      </c>
      <c r="Y429">
        <v>8883022894</v>
      </c>
      <c r="Z429" t="s">
        <v>270</v>
      </c>
      <c r="AA429" t="s">
        <v>271</v>
      </c>
      <c r="AB429">
        <v>0</v>
      </c>
      <c r="AC429">
        <v>0</v>
      </c>
      <c r="AD429" t="s">
        <v>313</v>
      </c>
      <c r="AE429" t="s">
        <v>354</v>
      </c>
      <c r="AF429">
        <v>6</v>
      </c>
      <c r="AG429" t="s">
        <v>446</v>
      </c>
      <c r="AH429" t="s">
        <v>259</v>
      </c>
      <c r="AI429" t="s">
        <v>259</v>
      </c>
      <c r="AJ429" t="s">
        <v>259</v>
      </c>
      <c r="AK429" s="43" t="s">
        <v>259</v>
      </c>
      <c r="AL429" s="43" t="s">
        <v>259</v>
      </c>
      <c r="AO429" s="23"/>
      <c r="AP429" s="23"/>
      <c r="AQ429" s="23"/>
      <c r="BD429" s="43" t="s">
        <v>259</v>
      </c>
      <c r="BE429" s="43" t="s">
        <v>259</v>
      </c>
      <c r="BF429" s="43" t="s">
        <v>259</v>
      </c>
      <c r="BG429" s="43" t="s">
        <v>259</v>
      </c>
      <c r="BH429" t="s">
        <v>259</v>
      </c>
      <c r="BI429" s="43" t="s">
        <v>259</v>
      </c>
      <c r="BJ429">
        <v>0</v>
      </c>
      <c r="BK429">
        <v>44109</v>
      </c>
      <c r="BL429">
        <v>44356</v>
      </c>
      <c r="BM429">
        <v>8505</v>
      </c>
      <c r="BN429">
        <v>8505</v>
      </c>
      <c r="BO429">
        <v>8505</v>
      </c>
      <c r="BP429">
        <v>25515</v>
      </c>
      <c r="BQ429">
        <v>3300</v>
      </c>
      <c r="BR429">
        <v>400</v>
      </c>
      <c r="BS429">
        <v>400</v>
      </c>
      <c r="BT429">
        <v>4100</v>
      </c>
      <c r="BU429">
        <v>2100</v>
      </c>
      <c r="BV429">
        <v>2100</v>
      </c>
      <c r="BW429">
        <v>2100</v>
      </c>
      <c r="BX429">
        <v>6300</v>
      </c>
      <c r="BY429">
        <v>1200</v>
      </c>
      <c r="BZ429">
        <v>1200</v>
      </c>
      <c r="CA429">
        <v>1200</v>
      </c>
      <c r="CB429">
        <v>3600</v>
      </c>
      <c r="CF429">
        <v>0</v>
      </c>
      <c r="CG429">
        <v>39515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750</v>
      </c>
      <c r="CU429">
        <v>750</v>
      </c>
      <c r="CV429">
        <v>750</v>
      </c>
      <c r="CW429">
        <v>2250</v>
      </c>
      <c r="CX429">
        <v>0</v>
      </c>
      <c r="CY429">
        <v>0</v>
      </c>
      <c r="CZ429">
        <v>0</v>
      </c>
      <c r="DA429">
        <v>0</v>
      </c>
      <c r="DB429">
        <v>1000</v>
      </c>
      <c r="DC429">
        <v>1000</v>
      </c>
      <c r="DD429">
        <v>1000</v>
      </c>
      <c r="DE429">
        <v>3000</v>
      </c>
      <c r="DF429">
        <v>0</v>
      </c>
      <c r="DG429">
        <v>0</v>
      </c>
      <c r="DH429">
        <v>0</v>
      </c>
      <c r="DN429">
        <v>0</v>
      </c>
      <c r="DO429">
        <v>0</v>
      </c>
      <c r="DP429">
        <v>0</v>
      </c>
      <c r="DR429">
        <v>0</v>
      </c>
      <c r="DS429">
        <v>0</v>
      </c>
      <c r="DT429">
        <v>0</v>
      </c>
      <c r="DY429">
        <v>0</v>
      </c>
      <c r="EC429">
        <v>0</v>
      </c>
      <c r="ED429">
        <v>5250</v>
      </c>
      <c r="EH429">
        <v>0</v>
      </c>
      <c r="EI429">
        <v>0</v>
      </c>
      <c r="EJ429">
        <v>0</v>
      </c>
      <c r="EK429">
        <v>0</v>
      </c>
      <c r="EM429">
        <v>0</v>
      </c>
      <c r="EN429">
        <v>660</v>
      </c>
      <c r="EO429">
        <v>660</v>
      </c>
      <c r="EP429">
        <v>659</v>
      </c>
      <c r="EQ429">
        <v>2000</v>
      </c>
      <c r="ER429">
        <v>21.24</v>
      </c>
      <c r="ES429">
        <v>0</v>
      </c>
      <c r="ET429">
        <v>0</v>
      </c>
      <c r="EU429">
        <v>0</v>
      </c>
      <c r="EW429">
        <v>0</v>
      </c>
      <c r="FA429">
        <v>0</v>
      </c>
      <c r="FE429">
        <v>0</v>
      </c>
      <c r="FI429">
        <v>0</v>
      </c>
      <c r="FJ429">
        <v>1978.76</v>
      </c>
      <c r="FK429">
        <v>34265</v>
      </c>
      <c r="FL429">
        <v>33718.606399866323</v>
      </c>
      <c r="FM429">
        <v>32286.240000000002</v>
      </c>
      <c r="FO429" t="s">
        <v>1386</v>
      </c>
      <c r="FP429" t="s">
        <v>1387</v>
      </c>
      <c r="FQ429" t="s">
        <v>553</v>
      </c>
      <c r="FR429" t="s">
        <v>1388</v>
      </c>
    </row>
    <row r="430" spans="1:174" x14ac:dyDescent="0.35">
      <c r="A430">
        <v>199355</v>
      </c>
      <c r="B430" t="s">
        <v>1382</v>
      </c>
      <c r="C430" t="s">
        <v>3546</v>
      </c>
      <c r="D430" t="s">
        <v>3547</v>
      </c>
      <c r="E430" s="43" t="s">
        <v>4218</v>
      </c>
      <c r="J430" t="s">
        <v>3425</v>
      </c>
      <c r="L430" s="43" t="s">
        <v>259</v>
      </c>
      <c r="M430" t="s">
        <v>3548</v>
      </c>
      <c r="N430" s="43"/>
      <c r="O430" s="43"/>
      <c r="P430" s="43"/>
      <c r="Q430" s="43"/>
      <c r="R430">
        <v>3.2778</v>
      </c>
      <c r="S430">
        <v>44109</v>
      </c>
      <c r="T430" t="s">
        <v>311</v>
      </c>
      <c r="U430" t="s">
        <v>266</v>
      </c>
      <c r="V430" t="s">
        <v>267</v>
      </c>
      <c r="W430" t="s">
        <v>268</v>
      </c>
      <c r="X430" t="s">
        <v>269</v>
      </c>
      <c r="Y430">
        <v>8883022894</v>
      </c>
      <c r="Z430" t="s">
        <v>270</v>
      </c>
      <c r="AA430" t="s">
        <v>271</v>
      </c>
      <c r="AB430">
        <v>0</v>
      </c>
      <c r="AC430">
        <v>0</v>
      </c>
      <c r="AD430" t="s">
        <v>313</v>
      </c>
      <c r="AE430" t="s">
        <v>445</v>
      </c>
      <c r="AF430">
        <v>4</v>
      </c>
      <c r="AG430" t="s">
        <v>3345</v>
      </c>
      <c r="AH430" t="s">
        <v>259</v>
      </c>
      <c r="AI430" t="s">
        <v>259</v>
      </c>
      <c r="AJ430" t="s">
        <v>259</v>
      </c>
      <c r="AK430" s="43" t="s">
        <v>259</v>
      </c>
      <c r="AL430" s="43" t="s">
        <v>259</v>
      </c>
      <c r="AO430" s="23"/>
      <c r="AP430" s="23"/>
      <c r="AQ430" s="23"/>
      <c r="BD430" s="43" t="s">
        <v>259</v>
      </c>
      <c r="BE430" s="43" t="s">
        <v>259</v>
      </c>
      <c r="BF430" s="43" t="s">
        <v>259</v>
      </c>
      <c r="BG430" s="43" t="s">
        <v>259</v>
      </c>
      <c r="BH430" t="s">
        <v>259</v>
      </c>
      <c r="BI430" s="43" t="s">
        <v>259</v>
      </c>
      <c r="BJ430">
        <v>0</v>
      </c>
      <c r="BK430">
        <v>44109</v>
      </c>
      <c r="BL430">
        <v>44356</v>
      </c>
      <c r="BM430">
        <v>8505</v>
      </c>
      <c r="BN430">
        <v>8505</v>
      </c>
      <c r="BO430">
        <v>8505</v>
      </c>
      <c r="BP430">
        <v>25515</v>
      </c>
      <c r="BQ430">
        <v>3300</v>
      </c>
      <c r="BR430">
        <v>400</v>
      </c>
      <c r="BS430">
        <v>400</v>
      </c>
      <c r="BT430">
        <v>4100</v>
      </c>
      <c r="BU430">
        <v>2100</v>
      </c>
      <c r="BV430">
        <v>2100</v>
      </c>
      <c r="BW430">
        <v>2100</v>
      </c>
      <c r="BX430">
        <v>6300</v>
      </c>
      <c r="BY430">
        <v>1200</v>
      </c>
      <c r="BZ430">
        <v>1200</v>
      </c>
      <c r="CA430">
        <v>1200</v>
      </c>
      <c r="CB430">
        <v>3600</v>
      </c>
      <c r="CF430">
        <v>0</v>
      </c>
      <c r="CG430">
        <v>39515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1250</v>
      </c>
      <c r="CU430">
        <v>1250</v>
      </c>
      <c r="CV430">
        <v>1250</v>
      </c>
      <c r="CW430">
        <v>3750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N430">
        <v>0</v>
      </c>
      <c r="DO430">
        <v>0</v>
      </c>
      <c r="DP430">
        <v>0</v>
      </c>
      <c r="DR430">
        <v>0</v>
      </c>
      <c r="DS430">
        <v>0</v>
      </c>
      <c r="DT430">
        <v>0</v>
      </c>
      <c r="DY430">
        <v>0</v>
      </c>
      <c r="EC430">
        <v>0</v>
      </c>
      <c r="ED430">
        <v>3750</v>
      </c>
      <c r="EH430">
        <v>0</v>
      </c>
      <c r="EI430">
        <v>0</v>
      </c>
      <c r="EJ430">
        <v>0</v>
      </c>
      <c r="EK430">
        <v>0</v>
      </c>
      <c r="EM430">
        <v>0</v>
      </c>
      <c r="EN430">
        <v>660</v>
      </c>
      <c r="EO430">
        <v>660</v>
      </c>
      <c r="EP430">
        <v>659</v>
      </c>
      <c r="EQ430">
        <v>2000</v>
      </c>
      <c r="ER430">
        <v>21.24</v>
      </c>
      <c r="ES430">
        <v>0</v>
      </c>
      <c r="ET430">
        <v>0</v>
      </c>
      <c r="EU430">
        <v>0</v>
      </c>
      <c r="EW430">
        <v>0</v>
      </c>
      <c r="FA430">
        <v>0</v>
      </c>
      <c r="FE430">
        <v>0</v>
      </c>
      <c r="FI430">
        <v>0</v>
      </c>
      <c r="FJ430">
        <v>1978.76</v>
      </c>
      <c r="FK430">
        <v>35765</v>
      </c>
      <c r="FL430">
        <v>35285.153312724535</v>
      </c>
      <c r="FM430">
        <v>33786.239999999998</v>
      </c>
      <c r="FO430" t="s">
        <v>3549</v>
      </c>
      <c r="FP430" t="s">
        <v>3550</v>
      </c>
      <c r="FQ430" t="s">
        <v>342</v>
      </c>
      <c r="FR430" t="s">
        <v>3551</v>
      </c>
    </row>
    <row r="431" spans="1:174" x14ac:dyDescent="0.35">
      <c r="A431">
        <v>198763</v>
      </c>
      <c r="B431" t="s">
        <v>1382</v>
      </c>
      <c r="C431" t="s">
        <v>1389</v>
      </c>
      <c r="D431" t="s">
        <v>1390</v>
      </c>
      <c r="E431" s="43" t="s">
        <v>1391</v>
      </c>
      <c r="L431" s="43" t="s">
        <v>259</v>
      </c>
      <c r="M431" t="s">
        <v>1392</v>
      </c>
      <c r="N431" s="43"/>
      <c r="O431" s="43"/>
      <c r="P431" s="43"/>
      <c r="Q431" s="43"/>
      <c r="R431">
        <v>2.7</v>
      </c>
      <c r="S431">
        <v>44109</v>
      </c>
      <c r="T431" t="s">
        <v>311</v>
      </c>
      <c r="U431" t="s">
        <v>286</v>
      </c>
      <c r="V431" t="s">
        <v>267</v>
      </c>
      <c r="W431" t="s">
        <v>268</v>
      </c>
      <c r="X431" t="s">
        <v>269</v>
      </c>
      <c r="Y431">
        <v>8883022894</v>
      </c>
      <c r="Z431" t="s">
        <v>270</v>
      </c>
      <c r="AA431" t="s">
        <v>271</v>
      </c>
      <c r="AB431">
        <v>0</v>
      </c>
      <c r="AC431">
        <v>0</v>
      </c>
      <c r="AD431" t="s">
        <v>313</v>
      </c>
      <c r="AE431" t="s">
        <v>274</v>
      </c>
      <c r="AF431">
        <v>9</v>
      </c>
      <c r="AG431" t="s">
        <v>275</v>
      </c>
      <c r="AH431" t="s">
        <v>259</v>
      </c>
      <c r="AI431" t="s">
        <v>259</v>
      </c>
      <c r="AJ431" t="s">
        <v>259</v>
      </c>
      <c r="AK431" s="43" t="s">
        <v>259</v>
      </c>
      <c r="AL431" s="43" t="s">
        <v>259</v>
      </c>
      <c r="AO431" s="23"/>
      <c r="AP431" s="23"/>
      <c r="AQ431" s="23"/>
      <c r="BD431" s="43" t="s">
        <v>259</v>
      </c>
      <c r="BE431" s="43" t="s">
        <v>259</v>
      </c>
      <c r="BF431" s="43" t="s">
        <v>259</v>
      </c>
      <c r="BG431" s="43" t="s">
        <v>259</v>
      </c>
      <c r="BH431" t="s">
        <v>259</v>
      </c>
      <c r="BI431" s="43" t="s">
        <v>259</v>
      </c>
      <c r="BJ431">
        <v>0</v>
      </c>
      <c r="BK431">
        <v>44109</v>
      </c>
      <c r="BL431">
        <v>44356</v>
      </c>
      <c r="BM431">
        <v>8505</v>
      </c>
      <c r="BN431">
        <v>8505</v>
      </c>
      <c r="BO431">
        <v>8505</v>
      </c>
      <c r="BP431">
        <v>25515</v>
      </c>
      <c r="BQ431">
        <v>3300</v>
      </c>
      <c r="BR431">
        <v>400</v>
      </c>
      <c r="BS431">
        <v>400</v>
      </c>
      <c r="BT431">
        <v>4100</v>
      </c>
      <c r="BU431">
        <v>2100</v>
      </c>
      <c r="BV431">
        <v>2100</v>
      </c>
      <c r="BW431">
        <v>2100</v>
      </c>
      <c r="BX431">
        <v>6300</v>
      </c>
      <c r="BY431">
        <v>1200</v>
      </c>
      <c r="BZ431">
        <v>1200</v>
      </c>
      <c r="CA431">
        <v>1200</v>
      </c>
      <c r="CB431">
        <v>3600</v>
      </c>
      <c r="CC431">
        <v>0</v>
      </c>
      <c r="CD431">
        <v>0</v>
      </c>
      <c r="CE431">
        <v>0</v>
      </c>
      <c r="CF431">
        <v>0</v>
      </c>
      <c r="CG431">
        <v>39515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1000</v>
      </c>
      <c r="DC431">
        <v>1000</v>
      </c>
      <c r="DD431">
        <v>1000</v>
      </c>
      <c r="DE431">
        <v>3000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3000</v>
      </c>
      <c r="EE431">
        <v>0</v>
      </c>
      <c r="EF431">
        <v>0</v>
      </c>
      <c r="EG431">
        <v>0</v>
      </c>
      <c r="EH431">
        <v>0</v>
      </c>
      <c r="EI431">
        <v>1154</v>
      </c>
      <c r="EJ431">
        <v>1154</v>
      </c>
      <c r="EK431">
        <v>1155</v>
      </c>
      <c r="EL431">
        <v>3500</v>
      </c>
      <c r="EM431">
        <v>37.065000000000005</v>
      </c>
      <c r="EN431">
        <v>660</v>
      </c>
      <c r="EO431">
        <v>660</v>
      </c>
      <c r="EP431">
        <v>659</v>
      </c>
      <c r="EQ431">
        <v>2000</v>
      </c>
      <c r="ER431">
        <v>21.18</v>
      </c>
      <c r="ES431">
        <v>0</v>
      </c>
      <c r="ET431">
        <v>0</v>
      </c>
      <c r="EU431">
        <v>0</v>
      </c>
      <c r="EV431">
        <v>0</v>
      </c>
      <c r="EW431">
        <v>0</v>
      </c>
      <c r="FA431">
        <v>0</v>
      </c>
      <c r="FE431">
        <v>0</v>
      </c>
      <c r="FI431">
        <v>0</v>
      </c>
      <c r="FJ431">
        <v>5441.7550000000001</v>
      </c>
      <c r="FK431">
        <v>36515</v>
      </c>
      <c r="FL431">
        <v>32447.730880080198</v>
      </c>
      <c r="FM431">
        <v>31073.245000000003</v>
      </c>
      <c r="FO431" t="s">
        <v>1393</v>
      </c>
      <c r="FP431" t="s">
        <v>1394</v>
      </c>
      <c r="FQ431" t="s">
        <v>705</v>
      </c>
      <c r="FR431" t="s">
        <v>1395</v>
      </c>
    </row>
    <row r="432" spans="1:174" x14ac:dyDescent="0.35">
      <c r="A432">
        <v>192847</v>
      </c>
      <c r="B432" t="s">
        <v>3936</v>
      </c>
      <c r="C432" t="s">
        <v>2607</v>
      </c>
      <c r="D432" t="s">
        <v>3937</v>
      </c>
      <c r="E432" s="43" t="s">
        <v>4219</v>
      </c>
      <c r="J432" t="s">
        <v>3830</v>
      </c>
      <c r="L432" s="43" t="s">
        <v>259</v>
      </c>
      <c r="M432" t="s">
        <v>3938</v>
      </c>
      <c r="N432" s="43"/>
      <c r="O432" s="43"/>
      <c r="P432" s="43"/>
      <c r="Q432" s="43"/>
      <c r="R432">
        <v>3</v>
      </c>
      <c r="S432">
        <v>44109</v>
      </c>
      <c r="T432" t="s">
        <v>285</v>
      </c>
      <c r="U432" t="s">
        <v>266</v>
      </c>
      <c r="V432" t="s">
        <v>267</v>
      </c>
      <c r="W432" t="s">
        <v>268</v>
      </c>
      <c r="X432" t="s">
        <v>269</v>
      </c>
      <c r="Y432">
        <v>8883022894</v>
      </c>
      <c r="Z432" t="s">
        <v>270</v>
      </c>
      <c r="AA432" t="s">
        <v>271</v>
      </c>
      <c r="AB432">
        <v>0</v>
      </c>
      <c r="AC432">
        <v>0</v>
      </c>
      <c r="AD432" t="s">
        <v>313</v>
      </c>
      <c r="AE432" t="s">
        <v>324</v>
      </c>
      <c r="AF432">
        <v>8</v>
      </c>
      <c r="AG432" t="s">
        <v>3345</v>
      </c>
      <c r="AH432" t="s">
        <v>259</v>
      </c>
      <c r="AI432" t="s">
        <v>259</v>
      </c>
      <c r="AJ432" t="s">
        <v>259</v>
      </c>
      <c r="AK432" s="43" t="s">
        <v>259</v>
      </c>
      <c r="AL432" s="43" t="s">
        <v>259</v>
      </c>
      <c r="AO432" s="23"/>
      <c r="AP432" s="23"/>
      <c r="AQ432" s="23"/>
      <c r="BD432" s="43" t="s">
        <v>259</v>
      </c>
      <c r="BE432" s="43" t="s">
        <v>259</v>
      </c>
      <c r="BF432" s="43" t="s">
        <v>259</v>
      </c>
      <c r="BG432" s="43" t="s">
        <v>259</v>
      </c>
      <c r="BH432" t="s">
        <v>259</v>
      </c>
      <c r="BI432" s="43" t="s">
        <v>259</v>
      </c>
      <c r="BJ432">
        <v>0</v>
      </c>
      <c r="BK432">
        <v>44109</v>
      </c>
      <c r="BL432">
        <v>44356</v>
      </c>
      <c r="BP432">
        <v>0</v>
      </c>
      <c r="BT432">
        <v>0</v>
      </c>
      <c r="BX432">
        <v>0</v>
      </c>
      <c r="CB432">
        <v>0</v>
      </c>
      <c r="CF432">
        <v>0</v>
      </c>
      <c r="CG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N432">
        <v>0</v>
      </c>
      <c r="DO432">
        <v>0</v>
      </c>
      <c r="DP432">
        <v>0</v>
      </c>
      <c r="DR432">
        <v>0</v>
      </c>
      <c r="DS432">
        <v>0</v>
      </c>
      <c r="DT432">
        <v>0</v>
      </c>
      <c r="DY432">
        <v>0</v>
      </c>
      <c r="EC432">
        <v>0</v>
      </c>
      <c r="ED432">
        <v>0</v>
      </c>
      <c r="EH432">
        <v>0</v>
      </c>
      <c r="EI432">
        <v>0</v>
      </c>
      <c r="EJ432">
        <v>0</v>
      </c>
      <c r="EK432">
        <v>0</v>
      </c>
      <c r="EM432">
        <v>0</v>
      </c>
      <c r="EN432">
        <v>660</v>
      </c>
      <c r="EO432">
        <v>660</v>
      </c>
      <c r="EP432">
        <v>659</v>
      </c>
      <c r="EQ432">
        <v>2000</v>
      </c>
      <c r="ER432">
        <v>21.24</v>
      </c>
      <c r="ES432">
        <v>0</v>
      </c>
      <c r="ET432">
        <v>0</v>
      </c>
      <c r="EU432">
        <v>0</v>
      </c>
      <c r="EW432">
        <v>0</v>
      </c>
      <c r="FA432">
        <v>0</v>
      </c>
      <c r="FE432">
        <v>0</v>
      </c>
      <c r="FI432">
        <v>0</v>
      </c>
      <c r="FJ432">
        <v>1978.76</v>
      </c>
      <c r="FK432">
        <v>0</v>
      </c>
      <c r="FL432">
        <v>-2066.5469128582172</v>
      </c>
      <c r="FM432">
        <v>-1978.76</v>
      </c>
      <c r="FO432" t="s">
        <v>3939</v>
      </c>
      <c r="FP432" t="s">
        <v>3940</v>
      </c>
      <c r="FQ432" t="s">
        <v>1296</v>
      </c>
      <c r="FR432" t="s">
        <v>3941</v>
      </c>
    </row>
    <row r="433" spans="1:174" x14ac:dyDescent="0.35">
      <c r="A433">
        <v>198761</v>
      </c>
      <c r="B433" t="s">
        <v>1396</v>
      </c>
      <c r="C433" t="s">
        <v>896</v>
      </c>
      <c r="D433" t="s">
        <v>1397</v>
      </c>
      <c r="E433" s="43" t="s">
        <v>1398</v>
      </c>
      <c r="L433" s="43" t="s">
        <v>259</v>
      </c>
      <c r="M433" t="s">
        <v>1399</v>
      </c>
      <c r="N433" s="43"/>
      <c r="O433" s="43"/>
      <c r="P433" s="43"/>
      <c r="Q433" s="43"/>
      <c r="R433">
        <v>3.6</v>
      </c>
      <c r="S433">
        <v>44109</v>
      </c>
      <c r="T433" t="s">
        <v>311</v>
      </c>
      <c r="U433" t="s">
        <v>266</v>
      </c>
      <c r="V433" t="s">
        <v>267</v>
      </c>
      <c r="W433" t="s">
        <v>268</v>
      </c>
      <c r="X433" t="s">
        <v>269</v>
      </c>
      <c r="Y433">
        <v>8883022894</v>
      </c>
      <c r="Z433" t="s">
        <v>270</v>
      </c>
      <c r="AA433" t="s">
        <v>271</v>
      </c>
      <c r="AB433">
        <v>0</v>
      </c>
      <c r="AC433" t="s">
        <v>414</v>
      </c>
      <c r="AD433" t="s">
        <v>1381</v>
      </c>
      <c r="AE433" t="s">
        <v>364</v>
      </c>
      <c r="AF433">
        <v>3</v>
      </c>
      <c r="AG433" t="s">
        <v>275</v>
      </c>
      <c r="AH433" t="s">
        <v>259</v>
      </c>
      <c r="AI433" t="s">
        <v>259</v>
      </c>
      <c r="AJ433" t="s">
        <v>259</v>
      </c>
      <c r="AK433" s="43" t="s">
        <v>259</v>
      </c>
      <c r="AL433" s="43" t="s">
        <v>259</v>
      </c>
      <c r="AO433" s="23"/>
      <c r="AP433" s="23"/>
      <c r="AQ433" s="23"/>
      <c r="BD433" s="43" t="s">
        <v>259</v>
      </c>
      <c r="BE433" s="43" t="s">
        <v>259</v>
      </c>
      <c r="BF433" s="43" t="s">
        <v>259</v>
      </c>
      <c r="BG433" s="43" t="s">
        <v>259</v>
      </c>
      <c r="BH433" t="s">
        <v>259</v>
      </c>
      <c r="BI433" s="43" t="s">
        <v>259</v>
      </c>
      <c r="BJ433">
        <v>0</v>
      </c>
      <c r="BK433">
        <v>44109</v>
      </c>
      <c r="BL433">
        <v>44356</v>
      </c>
      <c r="BM433">
        <v>8505</v>
      </c>
      <c r="BN433">
        <v>8505</v>
      </c>
      <c r="BO433">
        <v>8505</v>
      </c>
      <c r="BP433">
        <v>25515</v>
      </c>
      <c r="BQ433">
        <v>3300</v>
      </c>
      <c r="BR433">
        <v>400</v>
      </c>
      <c r="BS433">
        <v>400</v>
      </c>
      <c r="BT433">
        <v>4100</v>
      </c>
      <c r="BU433">
        <v>2100</v>
      </c>
      <c r="BV433">
        <v>2100</v>
      </c>
      <c r="BW433">
        <v>2100</v>
      </c>
      <c r="BX433">
        <v>6300</v>
      </c>
      <c r="BY433">
        <v>1200</v>
      </c>
      <c r="BZ433">
        <v>1200</v>
      </c>
      <c r="CA433">
        <v>1200</v>
      </c>
      <c r="CB433">
        <v>3600</v>
      </c>
      <c r="CC433">
        <v>0</v>
      </c>
      <c r="CD433">
        <v>0</v>
      </c>
      <c r="CE433">
        <v>0</v>
      </c>
      <c r="CF433">
        <v>0</v>
      </c>
      <c r="CG433">
        <v>39515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3825</v>
      </c>
      <c r="CU433">
        <v>3825</v>
      </c>
      <c r="CV433">
        <v>3825</v>
      </c>
      <c r="CW433">
        <v>11475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11475</v>
      </c>
      <c r="EE433">
        <v>0</v>
      </c>
      <c r="EF433">
        <v>0</v>
      </c>
      <c r="EG433">
        <v>0</v>
      </c>
      <c r="EH433">
        <v>0</v>
      </c>
      <c r="EI433">
        <v>1154</v>
      </c>
      <c r="EJ433">
        <v>1154</v>
      </c>
      <c r="EK433">
        <v>1155</v>
      </c>
      <c r="EL433">
        <v>3500</v>
      </c>
      <c r="EM433">
        <v>37.065000000000005</v>
      </c>
      <c r="EN433">
        <v>660</v>
      </c>
      <c r="EO433">
        <v>660</v>
      </c>
      <c r="EP433">
        <v>659</v>
      </c>
      <c r="EQ433">
        <v>2000</v>
      </c>
      <c r="ER433">
        <v>21.18</v>
      </c>
      <c r="ES433">
        <v>0</v>
      </c>
      <c r="ET433">
        <v>0</v>
      </c>
      <c r="EU433">
        <v>0</v>
      </c>
      <c r="EV433">
        <v>0</v>
      </c>
      <c r="EW433">
        <v>0</v>
      </c>
      <c r="FA433">
        <v>0</v>
      </c>
      <c r="FE433">
        <v>0</v>
      </c>
      <c r="FI433">
        <v>0</v>
      </c>
      <c r="FJ433">
        <v>5441.7550000000001</v>
      </c>
      <c r="FK433">
        <v>28040</v>
      </c>
      <c r="FL433">
        <v>23597.849922726706</v>
      </c>
      <c r="FM433">
        <v>22598.244999999999</v>
      </c>
      <c r="FO433" t="s">
        <v>1400</v>
      </c>
      <c r="FP433" t="s">
        <v>1401</v>
      </c>
      <c r="FQ433" t="s">
        <v>342</v>
      </c>
      <c r="FR433" t="s">
        <v>1402</v>
      </c>
    </row>
    <row r="434" spans="1:174" x14ac:dyDescent="0.35">
      <c r="A434">
        <v>197549</v>
      </c>
      <c r="B434" t="s">
        <v>1403</v>
      </c>
      <c r="C434" t="s">
        <v>1404</v>
      </c>
      <c r="D434" t="s">
        <v>1405</v>
      </c>
      <c r="E434" s="43" t="s">
        <v>1406</v>
      </c>
      <c r="F434">
        <v>1</v>
      </c>
      <c r="I434">
        <v>43783</v>
      </c>
      <c r="L434" s="43" t="s">
        <v>344</v>
      </c>
      <c r="M434" t="s">
        <v>1407</v>
      </c>
      <c r="N434" s="43"/>
      <c r="O434" s="43"/>
      <c r="P434" s="43"/>
      <c r="Q434" s="43"/>
      <c r="R434">
        <v>3.7957999999999998</v>
      </c>
      <c r="S434">
        <v>44109</v>
      </c>
      <c r="T434" t="s">
        <v>311</v>
      </c>
      <c r="U434" t="s">
        <v>286</v>
      </c>
      <c r="V434" t="s">
        <v>267</v>
      </c>
      <c r="W434" t="s">
        <v>268</v>
      </c>
      <c r="X434" t="s">
        <v>269</v>
      </c>
      <c r="Y434">
        <v>8883022894</v>
      </c>
      <c r="Z434" t="s">
        <v>270</v>
      </c>
      <c r="AA434" t="s">
        <v>271</v>
      </c>
      <c r="AB434" t="s">
        <v>598</v>
      </c>
      <c r="AC434" t="s">
        <v>770</v>
      </c>
      <c r="AD434" t="s">
        <v>1411</v>
      </c>
      <c r="AE434" t="s">
        <v>301</v>
      </c>
      <c r="AF434">
        <v>1</v>
      </c>
      <c r="AG434" t="s">
        <v>275</v>
      </c>
      <c r="AH434" t="s">
        <v>313</v>
      </c>
      <c r="AI434" t="s">
        <v>313</v>
      </c>
      <c r="AJ434" t="s">
        <v>3207</v>
      </c>
      <c r="AK434" s="43" t="s">
        <v>3208</v>
      </c>
      <c r="AL434" s="43" t="s">
        <v>3209</v>
      </c>
      <c r="AO434" s="23"/>
      <c r="AP434" s="23"/>
      <c r="AQ434" s="23"/>
      <c r="BD434" s="43" t="s">
        <v>2018</v>
      </c>
      <c r="BE434" s="43" t="s">
        <v>2018</v>
      </c>
      <c r="BF434" s="43" t="s">
        <v>2018</v>
      </c>
      <c r="BG434" s="43" t="s">
        <v>2018</v>
      </c>
      <c r="BH434" t="s">
        <v>2018</v>
      </c>
      <c r="BI434" s="43" t="s">
        <v>2018</v>
      </c>
      <c r="BJ434">
        <v>0</v>
      </c>
      <c r="BK434">
        <v>44109</v>
      </c>
      <c r="BL434">
        <v>44356</v>
      </c>
      <c r="BM434">
        <v>8505</v>
      </c>
      <c r="BN434">
        <v>8505</v>
      </c>
      <c r="BO434">
        <v>8505</v>
      </c>
      <c r="BP434">
        <v>25515</v>
      </c>
      <c r="BQ434">
        <v>3300</v>
      </c>
      <c r="BR434">
        <v>400</v>
      </c>
      <c r="BS434">
        <v>400</v>
      </c>
      <c r="BT434">
        <v>4100</v>
      </c>
      <c r="BU434">
        <v>2100</v>
      </c>
      <c r="BV434">
        <v>2100</v>
      </c>
      <c r="BW434">
        <v>2100</v>
      </c>
      <c r="BX434">
        <v>6300</v>
      </c>
      <c r="BY434">
        <v>1200</v>
      </c>
      <c r="BZ434">
        <v>1200</v>
      </c>
      <c r="CA434">
        <v>1200</v>
      </c>
      <c r="CB434">
        <v>3600</v>
      </c>
      <c r="CC434">
        <v>0</v>
      </c>
      <c r="CD434">
        <v>0</v>
      </c>
      <c r="CE434">
        <v>0</v>
      </c>
      <c r="CF434">
        <v>0</v>
      </c>
      <c r="CG434">
        <v>39515</v>
      </c>
      <c r="CH434">
        <v>0</v>
      </c>
      <c r="CI434">
        <v>0</v>
      </c>
      <c r="CJ434">
        <v>0</v>
      </c>
      <c r="CK434">
        <v>0</v>
      </c>
      <c r="CL434">
        <v>2065</v>
      </c>
      <c r="CM434">
        <v>2065</v>
      </c>
      <c r="CN434">
        <v>2065</v>
      </c>
      <c r="CO434">
        <v>6195</v>
      </c>
      <c r="CP434">
        <v>500</v>
      </c>
      <c r="CQ434">
        <v>500</v>
      </c>
      <c r="CR434">
        <v>500</v>
      </c>
      <c r="CS434">
        <v>1500</v>
      </c>
      <c r="CT434">
        <v>1700</v>
      </c>
      <c r="CU434">
        <v>1700</v>
      </c>
      <c r="CV434">
        <v>1700</v>
      </c>
      <c r="CW434">
        <v>5100</v>
      </c>
      <c r="CX434">
        <v>0</v>
      </c>
      <c r="CY434">
        <v>0</v>
      </c>
      <c r="CZ434">
        <v>0</v>
      </c>
      <c r="DA434">
        <v>0</v>
      </c>
      <c r="DB434">
        <v>1000</v>
      </c>
      <c r="DC434">
        <v>1000</v>
      </c>
      <c r="DD434">
        <v>1000</v>
      </c>
      <c r="DE434">
        <v>3000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15795</v>
      </c>
      <c r="EE434">
        <v>0</v>
      </c>
      <c r="EF434">
        <v>0</v>
      </c>
      <c r="EG434">
        <v>0</v>
      </c>
      <c r="EH434">
        <v>0</v>
      </c>
      <c r="EI434">
        <v>1154</v>
      </c>
      <c r="EJ434">
        <v>1154</v>
      </c>
      <c r="EK434">
        <v>1155</v>
      </c>
      <c r="EL434">
        <v>3500</v>
      </c>
      <c r="EM434">
        <v>37.065000000000005</v>
      </c>
      <c r="EN434">
        <v>660</v>
      </c>
      <c r="EO434">
        <v>660</v>
      </c>
      <c r="EP434">
        <v>659</v>
      </c>
      <c r="EQ434">
        <v>2000</v>
      </c>
      <c r="ER434">
        <v>21.18</v>
      </c>
      <c r="ES434">
        <v>0</v>
      </c>
      <c r="ET434">
        <v>0</v>
      </c>
      <c r="EU434">
        <v>0</v>
      </c>
      <c r="EV434">
        <v>0</v>
      </c>
      <c r="EW434">
        <v>0</v>
      </c>
      <c r="FA434">
        <v>0</v>
      </c>
      <c r="FE434">
        <v>0</v>
      </c>
      <c r="FI434">
        <v>0</v>
      </c>
      <c r="FJ434">
        <v>5441.7550000000001</v>
      </c>
      <c r="FK434">
        <v>23720</v>
      </c>
      <c r="FL434">
        <v>19086.7601603943</v>
      </c>
      <c r="FM434">
        <v>18278.244999999999</v>
      </c>
      <c r="FO434" t="s">
        <v>1408</v>
      </c>
      <c r="FP434" t="s">
        <v>1409</v>
      </c>
      <c r="FQ434" t="s">
        <v>705</v>
      </c>
      <c r="FR434" t="s">
        <v>1410</v>
      </c>
    </row>
    <row r="435" spans="1:174" x14ac:dyDescent="0.35">
      <c r="A435">
        <v>196217</v>
      </c>
      <c r="B435" t="s">
        <v>3552</v>
      </c>
      <c r="C435" t="s">
        <v>3553</v>
      </c>
      <c r="D435" t="s">
        <v>3554</v>
      </c>
      <c r="E435" s="43" t="s">
        <v>4220</v>
      </c>
      <c r="J435" t="s">
        <v>3425</v>
      </c>
      <c r="L435" s="43" t="s">
        <v>259</v>
      </c>
      <c r="M435" t="s">
        <v>3555</v>
      </c>
      <c r="N435" s="43"/>
      <c r="O435" s="43"/>
      <c r="P435" s="43"/>
      <c r="Q435" s="43"/>
      <c r="R435">
        <v>4</v>
      </c>
      <c r="S435">
        <v>44109</v>
      </c>
      <c r="T435" t="s">
        <v>311</v>
      </c>
      <c r="U435" t="s">
        <v>266</v>
      </c>
      <c r="V435" t="s">
        <v>267</v>
      </c>
      <c r="W435" t="s">
        <v>268</v>
      </c>
      <c r="X435" t="s">
        <v>269</v>
      </c>
      <c r="Y435">
        <v>8883022894</v>
      </c>
      <c r="Z435" t="s">
        <v>270</v>
      </c>
      <c r="AA435" t="s">
        <v>271</v>
      </c>
      <c r="AB435">
        <v>0</v>
      </c>
      <c r="AC435">
        <v>0</v>
      </c>
      <c r="AD435" t="s">
        <v>313</v>
      </c>
      <c r="AE435" t="s">
        <v>364</v>
      </c>
      <c r="AF435">
        <v>3</v>
      </c>
      <c r="AG435" t="s">
        <v>3345</v>
      </c>
      <c r="AH435" t="s">
        <v>259</v>
      </c>
      <c r="AI435" t="s">
        <v>259</v>
      </c>
      <c r="AJ435" t="s">
        <v>259</v>
      </c>
      <c r="AK435" s="43" t="s">
        <v>259</v>
      </c>
      <c r="AL435" s="43" t="s">
        <v>259</v>
      </c>
      <c r="AO435" s="23"/>
      <c r="AP435" s="23"/>
      <c r="AQ435" s="23"/>
      <c r="BD435" s="43" t="s">
        <v>259</v>
      </c>
      <c r="BE435" s="43" t="s">
        <v>259</v>
      </c>
      <c r="BF435" s="43" t="s">
        <v>259</v>
      </c>
      <c r="BG435" s="43" t="s">
        <v>259</v>
      </c>
      <c r="BH435" t="s">
        <v>259</v>
      </c>
      <c r="BI435" s="43" t="s">
        <v>259</v>
      </c>
      <c r="BJ435">
        <v>0</v>
      </c>
      <c r="BK435">
        <v>44109</v>
      </c>
      <c r="BL435">
        <v>44356</v>
      </c>
      <c r="BM435">
        <v>8505</v>
      </c>
      <c r="BN435">
        <v>8505</v>
      </c>
      <c r="BO435">
        <v>8505</v>
      </c>
      <c r="BP435">
        <v>25515</v>
      </c>
      <c r="BQ435">
        <v>3300</v>
      </c>
      <c r="BR435">
        <v>400</v>
      </c>
      <c r="BS435">
        <v>400</v>
      </c>
      <c r="BT435">
        <v>4100</v>
      </c>
      <c r="BU435">
        <v>2100</v>
      </c>
      <c r="BV435">
        <v>2100</v>
      </c>
      <c r="BW435">
        <v>2100</v>
      </c>
      <c r="BX435">
        <v>6300</v>
      </c>
      <c r="BY435">
        <v>1200</v>
      </c>
      <c r="BZ435">
        <v>1200</v>
      </c>
      <c r="CA435">
        <v>1200</v>
      </c>
      <c r="CB435">
        <v>3600</v>
      </c>
      <c r="CF435">
        <v>0</v>
      </c>
      <c r="CG435">
        <v>39515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1300</v>
      </c>
      <c r="CU435">
        <v>1300</v>
      </c>
      <c r="CV435">
        <v>1300</v>
      </c>
      <c r="CW435">
        <v>3900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N435">
        <v>0</v>
      </c>
      <c r="DO435">
        <v>0</v>
      </c>
      <c r="DP435">
        <v>0</v>
      </c>
      <c r="DR435">
        <v>0</v>
      </c>
      <c r="DS435">
        <v>0</v>
      </c>
      <c r="DT435">
        <v>0</v>
      </c>
      <c r="DY435">
        <v>0</v>
      </c>
      <c r="EC435">
        <v>0</v>
      </c>
      <c r="ED435">
        <v>3900</v>
      </c>
      <c r="EH435">
        <v>0</v>
      </c>
      <c r="EI435">
        <v>0</v>
      </c>
      <c r="EJ435">
        <v>0</v>
      </c>
      <c r="EK435">
        <v>0</v>
      </c>
      <c r="EM435">
        <v>0</v>
      </c>
      <c r="EN435">
        <v>660</v>
      </c>
      <c r="EO435">
        <v>660</v>
      </c>
      <c r="EP435">
        <v>659</v>
      </c>
      <c r="EQ435">
        <v>2000</v>
      </c>
      <c r="ER435">
        <v>21.24</v>
      </c>
      <c r="ES435">
        <v>0</v>
      </c>
      <c r="ET435">
        <v>0</v>
      </c>
      <c r="EU435">
        <v>0</v>
      </c>
      <c r="EW435">
        <v>0</v>
      </c>
      <c r="FA435">
        <v>0</v>
      </c>
      <c r="FE435">
        <v>0</v>
      </c>
      <c r="FI435">
        <v>0</v>
      </c>
      <c r="FJ435">
        <v>1978.76</v>
      </c>
      <c r="FK435">
        <v>35615</v>
      </c>
      <c r="FL435">
        <v>35128.49862143871</v>
      </c>
      <c r="FM435">
        <v>33636.239999999998</v>
      </c>
      <c r="FO435" t="s">
        <v>3556</v>
      </c>
      <c r="FP435" t="s">
        <v>3557</v>
      </c>
      <c r="FQ435" t="s">
        <v>372</v>
      </c>
      <c r="FR435" t="s">
        <v>3558</v>
      </c>
    </row>
    <row r="436" spans="1:174" x14ac:dyDescent="0.35">
      <c r="A436">
        <v>195366</v>
      </c>
      <c r="B436" t="s">
        <v>3559</v>
      </c>
      <c r="C436" t="s">
        <v>1987</v>
      </c>
      <c r="D436" t="s">
        <v>3560</v>
      </c>
      <c r="E436" s="43" t="s">
        <v>4221</v>
      </c>
      <c r="J436" t="s">
        <v>3425</v>
      </c>
      <c r="L436" s="43" t="s">
        <v>259</v>
      </c>
      <c r="M436" t="s">
        <v>3561</v>
      </c>
      <c r="N436" s="43"/>
      <c r="O436" s="43"/>
      <c r="P436" s="43"/>
      <c r="Q436" s="43"/>
      <c r="R436">
        <v>2.5830000000000002</v>
      </c>
      <c r="S436">
        <v>44109</v>
      </c>
      <c r="T436" t="s">
        <v>265</v>
      </c>
      <c r="U436" t="s">
        <v>266</v>
      </c>
      <c r="V436" t="s">
        <v>267</v>
      </c>
      <c r="W436" t="s">
        <v>268</v>
      </c>
      <c r="X436" t="s">
        <v>269</v>
      </c>
      <c r="Y436">
        <v>8883022894</v>
      </c>
      <c r="Z436" t="s">
        <v>508</v>
      </c>
      <c r="AA436" t="s">
        <v>271</v>
      </c>
      <c r="AB436" t="s">
        <v>272</v>
      </c>
      <c r="AC436">
        <v>0</v>
      </c>
      <c r="AD436" t="s">
        <v>1372</v>
      </c>
      <c r="AE436" t="s">
        <v>274</v>
      </c>
      <c r="AF436">
        <v>9</v>
      </c>
      <c r="AG436" t="s">
        <v>3345</v>
      </c>
      <c r="AH436" t="s">
        <v>259</v>
      </c>
      <c r="AI436" t="s">
        <v>259</v>
      </c>
      <c r="AJ436" t="s">
        <v>259</v>
      </c>
      <c r="AK436" s="43" t="s">
        <v>259</v>
      </c>
      <c r="AL436" s="43" t="s">
        <v>259</v>
      </c>
      <c r="AO436" s="23"/>
      <c r="AP436" s="23"/>
      <c r="AQ436" s="23"/>
      <c r="BD436" s="43" t="s">
        <v>259</v>
      </c>
      <c r="BE436" s="43" t="s">
        <v>259</v>
      </c>
      <c r="BF436" s="43" t="s">
        <v>259</v>
      </c>
      <c r="BG436" s="43" t="s">
        <v>259</v>
      </c>
      <c r="BH436" t="s">
        <v>259</v>
      </c>
      <c r="BI436" s="43" t="s">
        <v>259</v>
      </c>
      <c r="BJ436">
        <v>0</v>
      </c>
      <c r="BK436">
        <v>44109</v>
      </c>
      <c r="BL436">
        <v>44356</v>
      </c>
      <c r="BM436">
        <v>8505</v>
      </c>
      <c r="BN436">
        <v>8505</v>
      </c>
      <c r="BO436">
        <v>8505</v>
      </c>
      <c r="BP436">
        <v>25515</v>
      </c>
      <c r="BQ436">
        <v>3300</v>
      </c>
      <c r="BR436">
        <v>400</v>
      </c>
      <c r="BS436">
        <v>400</v>
      </c>
      <c r="BT436">
        <v>4100</v>
      </c>
      <c r="BU436">
        <v>2100</v>
      </c>
      <c r="BV436">
        <v>2100</v>
      </c>
      <c r="BW436">
        <v>2100</v>
      </c>
      <c r="BX436">
        <v>6300</v>
      </c>
      <c r="BY436">
        <v>1200</v>
      </c>
      <c r="BZ436">
        <v>1200</v>
      </c>
      <c r="CA436">
        <v>1200</v>
      </c>
      <c r="CB436">
        <v>3600</v>
      </c>
      <c r="CF436">
        <v>0</v>
      </c>
      <c r="CG436">
        <v>39515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N436">
        <v>0</v>
      </c>
      <c r="DO436">
        <v>0</v>
      </c>
      <c r="DP436">
        <v>0</v>
      </c>
      <c r="DR436">
        <v>0</v>
      </c>
      <c r="DS436">
        <v>0</v>
      </c>
      <c r="DT436">
        <v>0</v>
      </c>
      <c r="DY436">
        <v>0</v>
      </c>
      <c r="EC436">
        <v>0</v>
      </c>
      <c r="ED436">
        <v>0</v>
      </c>
      <c r="EH436">
        <v>0</v>
      </c>
      <c r="EI436">
        <v>0</v>
      </c>
      <c r="EJ436">
        <v>0</v>
      </c>
      <c r="EK436">
        <v>0</v>
      </c>
      <c r="EM436">
        <v>0</v>
      </c>
      <c r="EN436">
        <v>660</v>
      </c>
      <c r="EO436">
        <v>660</v>
      </c>
      <c r="EP436">
        <v>659</v>
      </c>
      <c r="EQ436">
        <v>2000</v>
      </c>
      <c r="ER436">
        <v>21.24</v>
      </c>
      <c r="ES436">
        <v>0</v>
      </c>
      <c r="ET436">
        <v>0</v>
      </c>
      <c r="EU436">
        <v>0</v>
      </c>
      <c r="EW436">
        <v>0</v>
      </c>
      <c r="FA436">
        <v>0</v>
      </c>
      <c r="FE436">
        <v>0</v>
      </c>
      <c r="FI436">
        <v>0</v>
      </c>
      <c r="FJ436">
        <v>1978.76</v>
      </c>
      <c r="FK436">
        <v>39515</v>
      </c>
      <c r="FL436">
        <v>39201.520594870075</v>
      </c>
      <c r="FM436">
        <v>37536.239999999998</v>
      </c>
      <c r="FO436" t="s">
        <v>3562</v>
      </c>
      <c r="FP436" t="s">
        <v>3563</v>
      </c>
      <c r="FQ436" t="s">
        <v>596</v>
      </c>
      <c r="FR436" t="s">
        <v>3564</v>
      </c>
    </row>
    <row r="437" spans="1:174" x14ac:dyDescent="0.35">
      <c r="A437">
        <v>193206</v>
      </c>
      <c r="B437" t="s">
        <v>1412</v>
      </c>
      <c r="C437" t="s">
        <v>1413</v>
      </c>
      <c r="D437" t="s">
        <v>1414</v>
      </c>
      <c r="E437" s="43" t="s">
        <v>1415</v>
      </c>
      <c r="L437" s="43" t="s">
        <v>259</v>
      </c>
      <c r="M437" t="s">
        <v>1416</v>
      </c>
      <c r="N437" s="43"/>
      <c r="O437" s="43"/>
      <c r="P437" s="43"/>
      <c r="Q437" s="43"/>
      <c r="R437">
        <v>3.6</v>
      </c>
      <c r="S437">
        <v>44109</v>
      </c>
      <c r="T437" t="s">
        <v>311</v>
      </c>
      <c r="U437" t="s">
        <v>266</v>
      </c>
      <c r="V437" t="s">
        <v>267</v>
      </c>
      <c r="W437" t="s">
        <v>268</v>
      </c>
      <c r="X437" t="s">
        <v>269</v>
      </c>
      <c r="Y437">
        <v>8883022894</v>
      </c>
      <c r="Z437" t="s">
        <v>270</v>
      </c>
      <c r="AA437" t="s">
        <v>271</v>
      </c>
      <c r="AB437" t="s">
        <v>562</v>
      </c>
      <c r="AC437">
        <v>0</v>
      </c>
      <c r="AD437" t="s">
        <v>1381</v>
      </c>
      <c r="AE437" t="s">
        <v>301</v>
      </c>
      <c r="AF437">
        <v>1</v>
      </c>
      <c r="AG437" t="s">
        <v>275</v>
      </c>
      <c r="AH437" t="s">
        <v>259</v>
      </c>
      <c r="AI437" t="s">
        <v>259</v>
      </c>
      <c r="AJ437" t="s">
        <v>259</v>
      </c>
      <c r="AK437" s="43" t="s">
        <v>259</v>
      </c>
      <c r="AL437" s="43" t="s">
        <v>259</v>
      </c>
      <c r="AO437" s="23"/>
      <c r="AP437" s="23"/>
      <c r="AQ437" s="23"/>
      <c r="BD437" s="43" t="s">
        <v>259</v>
      </c>
      <c r="BE437" s="43" t="s">
        <v>259</v>
      </c>
      <c r="BF437" s="43" t="s">
        <v>259</v>
      </c>
      <c r="BG437" s="43" t="s">
        <v>259</v>
      </c>
      <c r="BH437" t="s">
        <v>259</v>
      </c>
      <c r="BI437" s="43" t="s">
        <v>259</v>
      </c>
      <c r="BJ437">
        <v>0</v>
      </c>
      <c r="BK437">
        <v>44109</v>
      </c>
      <c r="BL437">
        <v>44356</v>
      </c>
      <c r="BM437">
        <v>8505</v>
      </c>
      <c r="BN437">
        <v>8505</v>
      </c>
      <c r="BO437">
        <v>8505</v>
      </c>
      <c r="BP437">
        <v>25515</v>
      </c>
      <c r="BQ437">
        <v>3300</v>
      </c>
      <c r="BR437">
        <v>400</v>
      </c>
      <c r="BS437">
        <v>400</v>
      </c>
      <c r="BT437">
        <v>4100</v>
      </c>
      <c r="BU437">
        <v>2100</v>
      </c>
      <c r="BV437">
        <v>2100</v>
      </c>
      <c r="BW437">
        <v>2100</v>
      </c>
      <c r="BX437">
        <v>6300</v>
      </c>
      <c r="BY437">
        <v>1200</v>
      </c>
      <c r="BZ437">
        <v>1200</v>
      </c>
      <c r="CA437">
        <v>1200</v>
      </c>
      <c r="CB437">
        <v>3600</v>
      </c>
      <c r="CC437">
        <v>0</v>
      </c>
      <c r="CD437">
        <v>0</v>
      </c>
      <c r="CE437">
        <v>0</v>
      </c>
      <c r="CF437">
        <v>0</v>
      </c>
      <c r="CG437">
        <v>39515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1700</v>
      </c>
      <c r="CU437">
        <v>1700</v>
      </c>
      <c r="CV437">
        <v>1700</v>
      </c>
      <c r="CW437">
        <v>5100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5100</v>
      </c>
      <c r="EE437">
        <v>0</v>
      </c>
      <c r="EF437">
        <v>0</v>
      </c>
      <c r="EG437">
        <v>0</v>
      </c>
      <c r="EH437">
        <v>0</v>
      </c>
      <c r="EI437">
        <v>1154</v>
      </c>
      <c r="EJ437">
        <v>1154</v>
      </c>
      <c r="EK437">
        <v>1155</v>
      </c>
      <c r="EL437">
        <v>3500</v>
      </c>
      <c r="EM437">
        <v>37.065000000000005</v>
      </c>
      <c r="EN437">
        <v>660</v>
      </c>
      <c r="EO437">
        <v>660</v>
      </c>
      <c r="EP437">
        <v>659</v>
      </c>
      <c r="EQ437">
        <v>2000</v>
      </c>
      <c r="ER437">
        <v>21.18</v>
      </c>
      <c r="ES437">
        <v>0</v>
      </c>
      <c r="ET437">
        <v>0</v>
      </c>
      <c r="EU437">
        <v>0</v>
      </c>
      <c r="EV437">
        <v>0</v>
      </c>
      <c r="EW437">
        <v>0</v>
      </c>
      <c r="FA437">
        <v>0</v>
      </c>
      <c r="FE437">
        <v>0</v>
      </c>
      <c r="FI437">
        <v>0</v>
      </c>
      <c r="FJ437">
        <v>5441.7550000000001</v>
      </c>
      <c r="FK437">
        <v>34415</v>
      </c>
      <c r="FL437">
        <v>30254.840023390832</v>
      </c>
      <c r="FM437">
        <v>28973.244999999999</v>
      </c>
      <c r="FO437" t="s">
        <v>1417</v>
      </c>
      <c r="FP437" t="s">
        <v>1418</v>
      </c>
      <c r="FQ437" t="s">
        <v>687</v>
      </c>
      <c r="FR437" t="s">
        <v>1419</v>
      </c>
    </row>
    <row r="438" spans="1:174" x14ac:dyDescent="0.35">
      <c r="A438">
        <v>197751</v>
      </c>
      <c r="B438" t="s">
        <v>1420</v>
      </c>
      <c r="C438" t="s">
        <v>1421</v>
      </c>
      <c r="D438" t="s">
        <v>1422</v>
      </c>
      <c r="E438" s="43" t="s">
        <v>1423</v>
      </c>
      <c r="F438">
        <v>1</v>
      </c>
      <c r="G438">
        <v>43794</v>
      </c>
      <c r="H438">
        <v>43794</v>
      </c>
      <c r="I438">
        <v>43794</v>
      </c>
      <c r="J438" t="s">
        <v>3843</v>
      </c>
      <c r="L438" s="43" t="s">
        <v>3204</v>
      </c>
      <c r="M438" t="s">
        <v>1424</v>
      </c>
      <c r="N438" s="43"/>
      <c r="O438" s="43"/>
      <c r="P438" s="43"/>
      <c r="Q438" s="43"/>
      <c r="R438">
        <v>3.23</v>
      </c>
      <c r="S438">
        <v>44109</v>
      </c>
      <c r="T438" t="s">
        <v>265</v>
      </c>
      <c r="U438" t="s">
        <v>266</v>
      </c>
      <c r="V438" t="s">
        <v>267</v>
      </c>
      <c r="W438" t="s">
        <v>268</v>
      </c>
      <c r="X438" t="s">
        <v>269</v>
      </c>
      <c r="Y438">
        <v>8883022894</v>
      </c>
      <c r="Z438" t="s">
        <v>270</v>
      </c>
      <c r="AA438" t="s">
        <v>271</v>
      </c>
      <c r="AB438">
        <v>0</v>
      </c>
      <c r="AC438" t="s">
        <v>1428</v>
      </c>
      <c r="AD438" t="s">
        <v>1381</v>
      </c>
      <c r="AE438" t="s">
        <v>301</v>
      </c>
      <c r="AF438">
        <v>1</v>
      </c>
      <c r="AG438" t="s">
        <v>275</v>
      </c>
      <c r="AH438" t="s">
        <v>3226</v>
      </c>
      <c r="AI438" t="s">
        <v>313</v>
      </c>
      <c r="AJ438" t="s">
        <v>3207</v>
      </c>
      <c r="AK438" s="43" t="s">
        <v>3208</v>
      </c>
      <c r="AL438" s="43" t="s">
        <v>3209</v>
      </c>
      <c r="AO438" s="23"/>
      <c r="AP438" s="23"/>
      <c r="AQ438" s="23"/>
      <c r="BD438" s="43" t="s">
        <v>2018</v>
      </c>
      <c r="BE438" s="43" t="s">
        <v>2018</v>
      </c>
      <c r="BF438" s="43" t="s">
        <v>2018</v>
      </c>
      <c r="BG438" s="43" t="s">
        <v>2018</v>
      </c>
      <c r="BH438" t="s">
        <v>2018</v>
      </c>
      <c r="BI438" s="43" t="s">
        <v>2018</v>
      </c>
      <c r="BJ438">
        <v>0</v>
      </c>
      <c r="BK438">
        <v>44109</v>
      </c>
      <c r="BL438">
        <v>44356</v>
      </c>
      <c r="BM438">
        <v>8505</v>
      </c>
      <c r="BN438">
        <v>8505</v>
      </c>
      <c r="BO438">
        <v>8505</v>
      </c>
      <c r="BP438">
        <v>25515</v>
      </c>
      <c r="BQ438">
        <v>3300</v>
      </c>
      <c r="BR438">
        <v>400</v>
      </c>
      <c r="BS438">
        <v>400</v>
      </c>
      <c r="BT438">
        <v>4100</v>
      </c>
      <c r="BU438">
        <v>2100</v>
      </c>
      <c r="BV438">
        <v>2100</v>
      </c>
      <c r="BW438">
        <v>2100</v>
      </c>
      <c r="BX438">
        <v>6300</v>
      </c>
      <c r="BY438">
        <v>1200</v>
      </c>
      <c r="BZ438">
        <v>1200</v>
      </c>
      <c r="CA438">
        <v>1200</v>
      </c>
      <c r="CB438">
        <v>3600</v>
      </c>
      <c r="CC438">
        <v>0</v>
      </c>
      <c r="CD438">
        <v>0</v>
      </c>
      <c r="CE438">
        <v>0</v>
      </c>
      <c r="CF438">
        <v>0</v>
      </c>
      <c r="CG438">
        <v>39515</v>
      </c>
      <c r="CH438">
        <v>0</v>
      </c>
      <c r="CI438">
        <v>0</v>
      </c>
      <c r="CJ438">
        <v>0</v>
      </c>
      <c r="CK438">
        <v>0</v>
      </c>
      <c r="CL438">
        <v>2065</v>
      </c>
      <c r="CM438">
        <v>2065</v>
      </c>
      <c r="CN438">
        <v>2065</v>
      </c>
      <c r="CO438">
        <v>6195</v>
      </c>
      <c r="CP438">
        <v>500</v>
      </c>
      <c r="CQ438">
        <v>500</v>
      </c>
      <c r="CR438">
        <v>500</v>
      </c>
      <c r="CS438">
        <v>1500</v>
      </c>
      <c r="CT438">
        <v>1700</v>
      </c>
      <c r="CU438">
        <v>1700</v>
      </c>
      <c r="CV438">
        <v>1700</v>
      </c>
      <c r="CW438">
        <v>5100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12795</v>
      </c>
      <c r="EE438">
        <v>0</v>
      </c>
      <c r="EF438">
        <v>0</v>
      </c>
      <c r="EG438">
        <v>0</v>
      </c>
      <c r="EH438">
        <v>0</v>
      </c>
      <c r="EI438">
        <v>1154</v>
      </c>
      <c r="EJ438">
        <v>1154</v>
      </c>
      <c r="EK438">
        <v>1155</v>
      </c>
      <c r="EL438">
        <v>3500</v>
      </c>
      <c r="EM438">
        <v>37.065000000000005</v>
      </c>
      <c r="EN438">
        <v>660</v>
      </c>
      <c r="EO438">
        <v>660</v>
      </c>
      <c r="EP438">
        <v>659</v>
      </c>
      <c r="EQ438">
        <v>2000</v>
      </c>
      <c r="ER438">
        <v>21.18</v>
      </c>
      <c r="ES438">
        <v>0</v>
      </c>
      <c r="ET438">
        <v>0</v>
      </c>
      <c r="EU438">
        <v>0</v>
      </c>
      <c r="EV438">
        <v>0</v>
      </c>
      <c r="EW438">
        <v>0</v>
      </c>
      <c r="FA438">
        <v>0</v>
      </c>
      <c r="FE438">
        <v>0</v>
      </c>
      <c r="FI438">
        <v>0</v>
      </c>
      <c r="FJ438">
        <v>5441.7550000000001</v>
      </c>
      <c r="FK438">
        <v>26720</v>
      </c>
      <c r="FL438">
        <v>22219.461384236245</v>
      </c>
      <c r="FM438">
        <v>21278.244999999999</v>
      </c>
      <c r="FO438" t="s">
        <v>1425</v>
      </c>
      <c r="FP438" t="s">
        <v>1426</v>
      </c>
      <c r="FQ438" t="s">
        <v>297</v>
      </c>
      <c r="FR438" t="s">
        <v>1427</v>
      </c>
    </row>
    <row r="439" spans="1:174" x14ac:dyDescent="0.35">
      <c r="A439">
        <v>197955</v>
      </c>
      <c r="B439" t="s">
        <v>1420</v>
      </c>
      <c r="C439" t="s">
        <v>1429</v>
      </c>
      <c r="D439" t="s">
        <v>1430</v>
      </c>
      <c r="E439" s="43" t="s">
        <v>1431</v>
      </c>
      <c r="L439" s="43" t="s">
        <v>259</v>
      </c>
      <c r="M439" t="s">
        <v>1432</v>
      </c>
      <c r="N439" s="43"/>
      <c r="O439" s="43"/>
      <c r="P439" s="43"/>
      <c r="Q439" s="43"/>
      <c r="R439">
        <v>4</v>
      </c>
      <c r="S439">
        <v>44109</v>
      </c>
      <c r="T439" t="s">
        <v>285</v>
      </c>
      <c r="U439" t="s">
        <v>266</v>
      </c>
      <c r="V439" t="s">
        <v>267</v>
      </c>
      <c r="W439" t="s">
        <v>268</v>
      </c>
      <c r="X439" t="s">
        <v>269</v>
      </c>
      <c r="Y439">
        <v>8883022894</v>
      </c>
      <c r="Z439" t="s">
        <v>270</v>
      </c>
      <c r="AA439" t="s">
        <v>271</v>
      </c>
      <c r="AB439" t="s">
        <v>334</v>
      </c>
      <c r="AC439">
        <v>0</v>
      </c>
      <c r="AD439" t="s">
        <v>481</v>
      </c>
      <c r="AE439" t="s">
        <v>301</v>
      </c>
      <c r="AF439">
        <v>1</v>
      </c>
      <c r="AG439" t="s">
        <v>275</v>
      </c>
      <c r="AH439" t="s">
        <v>259</v>
      </c>
      <c r="AI439" t="s">
        <v>259</v>
      </c>
      <c r="AJ439" t="s">
        <v>259</v>
      </c>
      <c r="AK439" s="43" t="s">
        <v>259</v>
      </c>
      <c r="AL439" s="43" t="s">
        <v>259</v>
      </c>
      <c r="AO439" s="23"/>
      <c r="AP439" s="23"/>
      <c r="AQ439" s="23"/>
      <c r="BD439" s="43" t="s">
        <v>259</v>
      </c>
      <c r="BE439" s="43" t="s">
        <v>259</v>
      </c>
      <c r="BF439" s="43" t="s">
        <v>259</v>
      </c>
      <c r="BG439" s="43" t="s">
        <v>259</v>
      </c>
      <c r="BH439" t="s">
        <v>259</v>
      </c>
      <c r="BI439" s="43" t="s">
        <v>259</v>
      </c>
      <c r="BJ439">
        <v>0</v>
      </c>
      <c r="BK439">
        <v>44109</v>
      </c>
      <c r="BL439">
        <v>44356</v>
      </c>
      <c r="BM439">
        <v>8505</v>
      </c>
      <c r="BN439">
        <v>8505</v>
      </c>
      <c r="BO439">
        <v>8505</v>
      </c>
      <c r="BP439">
        <v>25515</v>
      </c>
      <c r="BQ439">
        <v>3300</v>
      </c>
      <c r="BR439">
        <v>400</v>
      </c>
      <c r="BS439">
        <v>400</v>
      </c>
      <c r="BT439">
        <v>4100</v>
      </c>
      <c r="BU439">
        <v>2100</v>
      </c>
      <c r="BV439">
        <v>2100</v>
      </c>
      <c r="BW439">
        <v>2100</v>
      </c>
      <c r="BX439">
        <v>6300</v>
      </c>
      <c r="BY439">
        <v>1200</v>
      </c>
      <c r="BZ439">
        <v>1200</v>
      </c>
      <c r="CA439">
        <v>1200</v>
      </c>
      <c r="CB439">
        <v>3600</v>
      </c>
      <c r="CC439">
        <v>0</v>
      </c>
      <c r="CD439">
        <v>0</v>
      </c>
      <c r="CE439">
        <v>0</v>
      </c>
      <c r="CF439">
        <v>0</v>
      </c>
      <c r="CG439">
        <v>39515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1700</v>
      </c>
      <c r="CU439">
        <v>1700</v>
      </c>
      <c r="CV439">
        <v>1700</v>
      </c>
      <c r="CW439">
        <v>5100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N439">
        <v>0</v>
      </c>
      <c r="DO439">
        <v>0</v>
      </c>
      <c r="DP439">
        <v>0</v>
      </c>
      <c r="DR439">
        <v>0</v>
      </c>
      <c r="DS439">
        <v>0</v>
      </c>
      <c r="DT439">
        <v>0</v>
      </c>
      <c r="DU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5100</v>
      </c>
      <c r="EE439">
        <v>0</v>
      </c>
      <c r="EF439">
        <v>0</v>
      </c>
      <c r="EG439">
        <v>0</v>
      </c>
      <c r="EH439">
        <v>0</v>
      </c>
      <c r="EI439">
        <v>1154</v>
      </c>
      <c r="EJ439">
        <v>1154</v>
      </c>
      <c r="EK439">
        <v>1155</v>
      </c>
      <c r="EL439">
        <v>3500</v>
      </c>
      <c r="EM439">
        <v>37.065000000000005</v>
      </c>
      <c r="EN439">
        <v>660</v>
      </c>
      <c r="EO439">
        <v>660</v>
      </c>
      <c r="EP439">
        <v>659</v>
      </c>
      <c r="EQ439">
        <v>2000</v>
      </c>
      <c r="ER439">
        <v>21.18</v>
      </c>
      <c r="ES439">
        <v>0</v>
      </c>
      <c r="ET439">
        <v>0</v>
      </c>
      <c r="EU439">
        <v>0</v>
      </c>
      <c r="EV439">
        <v>0</v>
      </c>
      <c r="EW439">
        <v>0</v>
      </c>
      <c r="FA439">
        <v>0</v>
      </c>
      <c r="FE439">
        <v>0</v>
      </c>
      <c r="FI439">
        <v>0</v>
      </c>
      <c r="FJ439">
        <v>5441.7550000000001</v>
      </c>
      <c r="FK439">
        <v>34415</v>
      </c>
      <c r="FL439">
        <v>30258.631673489846</v>
      </c>
      <c r="FM439">
        <v>28973.244999999999</v>
      </c>
      <c r="FO439" t="s">
        <v>1433</v>
      </c>
      <c r="FP439" t="s">
        <v>858</v>
      </c>
      <c r="FQ439" t="s">
        <v>596</v>
      </c>
      <c r="FR439" t="s">
        <v>859</v>
      </c>
    </row>
    <row r="440" spans="1:174" x14ac:dyDescent="0.35">
      <c r="A440">
        <v>193741</v>
      </c>
      <c r="B440" t="s">
        <v>1434</v>
      </c>
      <c r="C440" t="s">
        <v>1435</v>
      </c>
      <c r="D440" t="s">
        <v>1436</v>
      </c>
      <c r="E440" s="43" t="s">
        <v>1437</v>
      </c>
      <c r="L440" s="43" t="s">
        <v>3204</v>
      </c>
      <c r="M440" t="s">
        <v>1438</v>
      </c>
      <c r="N440" s="43"/>
      <c r="O440" s="43"/>
      <c r="P440" s="43"/>
      <c r="Q440" s="43"/>
      <c r="R440">
        <v>3.4</v>
      </c>
      <c r="S440">
        <v>44109</v>
      </c>
      <c r="T440" t="s">
        <v>285</v>
      </c>
      <c r="U440" t="s">
        <v>266</v>
      </c>
      <c r="V440" t="s">
        <v>267</v>
      </c>
      <c r="W440" t="s">
        <v>268</v>
      </c>
      <c r="X440" t="s">
        <v>269</v>
      </c>
      <c r="Y440">
        <v>8883022894</v>
      </c>
      <c r="Z440" t="s">
        <v>270</v>
      </c>
      <c r="AA440" t="s">
        <v>271</v>
      </c>
      <c r="AB440" t="s">
        <v>969</v>
      </c>
      <c r="AC440">
        <v>0</v>
      </c>
      <c r="AD440" t="s">
        <v>1141</v>
      </c>
      <c r="AE440" t="s">
        <v>301</v>
      </c>
      <c r="AF440">
        <v>1</v>
      </c>
      <c r="AG440" t="s">
        <v>275</v>
      </c>
      <c r="AH440" t="s">
        <v>3226</v>
      </c>
      <c r="AI440" t="s">
        <v>313</v>
      </c>
      <c r="AJ440" t="s">
        <v>3821</v>
      </c>
      <c r="AK440" s="43" t="s">
        <v>3208</v>
      </c>
      <c r="AL440" s="43" t="s">
        <v>3209</v>
      </c>
      <c r="AO440" s="23"/>
      <c r="AP440" s="23"/>
      <c r="AQ440" s="23"/>
      <c r="BD440" s="43" t="s">
        <v>2018</v>
      </c>
      <c r="BE440" s="43" t="s">
        <v>2018</v>
      </c>
      <c r="BF440" s="43" t="s">
        <v>2018</v>
      </c>
      <c r="BG440" s="43" t="s">
        <v>2018</v>
      </c>
      <c r="BH440" t="s">
        <v>2018</v>
      </c>
      <c r="BI440" s="43" t="s">
        <v>2018</v>
      </c>
      <c r="BJ440">
        <v>0</v>
      </c>
      <c r="BK440">
        <v>44109</v>
      </c>
      <c r="BL440">
        <v>44356</v>
      </c>
      <c r="BM440">
        <v>8505</v>
      </c>
      <c r="BN440">
        <v>8505</v>
      </c>
      <c r="BO440">
        <v>8505</v>
      </c>
      <c r="BP440">
        <v>25515</v>
      </c>
      <c r="BQ440">
        <v>3300</v>
      </c>
      <c r="BR440">
        <v>400</v>
      </c>
      <c r="BS440">
        <v>400</v>
      </c>
      <c r="BT440">
        <v>4100</v>
      </c>
      <c r="BU440">
        <v>2100</v>
      </c>
      <c r="BV440">
        <v>2100</v>
      </c>
      <c r="BW440">
        <v>2100</v>
      </c>
      <c r="BX440">
        <v>6300</v>
      </c>
      <c r="BY440">
        <v>1200</v>
      </c>
      <c r="BZ440">
        <v>1200</v>
      </c>
      <c r="CA440">
        <v>1200</v>
      </c>
      <c r="CB440">
        <v>3600</v>
      </c>
      <c r="CC440">
        <v>0</v>
      </c>
      <c r="CD440">
        <v>0</v>
      </c>
      <c r="CE440">
        <v>0</v>
      </c>
      <c r="CF440">
        <v>0</v>
      </c>
      <c r="CG440">
        <v>39515</v>
      </c>
      <c r="CH440">
        <v>0</v>
      </c>
      <c r="CI440">
        <v>0</v>
      </c>
      <c r="CJ440">
        <v>0</v>
      </c>
      <c r="CK440">
        <v>0</v>
      </c>
      <c r="CL440">
        <v>2065</v>
      </c>
      <c r="CM440">
        <v>2065</v>
      </c>
      <c r="CN440">
        <v>2065</v>
      </c>
      <c r="CO440">
        <v>6195</v>
      </c>
      <c r="CP440">
        <v>500</v>
      </c>
      <c r="CQ440">
        <v>500</v>
      </c>
      <c r="CR440">
        <v>500</v>
      </c>
      <c r="CS440">
        <v>1500</v>
      </c>
      <c r="CT440">
        <v>1700</v>
      </c>
      <c r="CU440">
        <v>1700</v>
      </c>
      <c r="CV440">
        <v>1700</v>
      </c>
      <c r="CW440">
        <v>5100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12795</v>
      </c>
      <c r="EE440">
        <v>0</v>
      </c>
      <c r="EF440">
        <v>0</v>
      </c>
      <c r="EG440">
        <v>0</v>
      </c>
      <c r="EH440">
        <v>0</v>
      </c>
      <c r="EI440">
        <v>1154</v>
      </c>
      <c r="EJ440">
        <v>1154</v>
      </c>
      <c r="EK440">
        <v>1155</v>
      </c>
      <c r="EL440">
        <v>3500</v>
      </c>
      <c r="EM440">
        <v>37.065000000000005</v>
      </c>
      <c r="EN440">
        <v>660</v>
      </c>
      <c r="EO440">
        <v>660</v>
      </c>
      <c r="EP440">
        <v>659</v>
      </c>
      <c r="EQ440">
        <v>2000</v>
      </c>
      <c r="ER440">
        <v>21.18</v>
      </c>
      <c r="ES440">
        <v>0</v>
      </c>
      <c r="ET440">
        <v>0</v>
      </c>
      <c r="EU440">
        <v>0</v>
      </c>
      <c r="EV440">
        <v>0</v>
      </c>
      <c r="EW440">
        <v>0</v>
      </c>
      <c r="FA440">
        <v>0</v>
      </c>
      <c r="FE440">
        <v>0</v>
      </c>
      <c r="FI440">
        <v>0</v>
      </c>
      <c r="FJ440">
        <v>5441.7550000000001</v>
      </c>
      <c r="FK440">
        <v>26720</v>
      </c>
      <c r="FL440">
        <v>22219.461384236245</v>
      </c>
      <c r="FM440">
        <v>21278.244999999999</v>
      </c>
      <c r="FO440" t="s">
        <v>1439</v>
      </c>
      <c r="FP440" t="s">
        <v>1440</v>
      </c>
      <c r="FQ440" t="s">
        <v>283</v>
      </c>
      <c r="FR440" t="s">
        <v>1441</v>
      </c>
    </row>
    <row r="441" spans="1:174" x14ac:dyDescent="0.35">
      <c r="A441">
        <v>199197</v>
      </c>
      <c r="B441" t="s">
        <v>3784</v>
      </c>
      <c r="C441" t="s">
        <v>3785</v>
      </c>
      <c r="D441" t="s">
        <v>3786</v>
      </c>
      <c r="E441" s="43" t="s">
        <v>4183</v>
      </c>
      <c r="F441">
        <v>1</v>
      </c>
      <c r="I441">
        <v>43794</v>
      </c>
      <c r="L441" s="43" t="s">
        <v>3204</v>
      </c>
      <c r="M441" t="s">
        <v>3787</v>
      </c>
      <c r="N441" s="43"/>
      <c r="O441" s="43"/>
      <c r="P441" s="43"/>
      <c r="Q441" s="43"/>
      <c r="R441">
        <v>3.26</v>
      </c>
      <c r="S441">
        <v>44109</v>
      </c>
      <c r="T441" t="s">
        <v>311</v>
      </c>
      <c r="U441" t="s">
        <v>266</v>
      </c>
      <c r="V441" t="s">
        <v>267</v>
      </c>
      <c r="W441" t="s">
        <v>268</v>
      </c>
      <c r="X441" t="s">
        <v>269</v>
      </c>
      <c r="Y441">
        <v>8883022894</v>
      </c>
      <c r="Z441" t="s">
        <v>270</v>
      </c>
      <c r="AA441" t="s">
        <v>271</v>
      </c>
      <c r="AB441">
        <v>0</v>
      </c>
      <c r="AC441">
        <v>0</v>
      </c>
      <c r="AD441" t="s">
        <v>313</v>
      </c>
      <c r="AE441" t="s">
        <v>376</v>
      </c>
      <c r="AF441">
        <v>7</v>
      </c>
      <c r="AG441" t="s">
        <v>3345</v>
      </c>
      <c r="AH441" t="s">
        <v>3844</v>
      </c>
      <c r="AI441" t="s">
        <v>3845</v>
      </c>
      <c r="AJ441" t="s">
        <v>3207</v>
      </c>
      <c r="AK441" s="43" t="s">
        <v>1715</v>
      </c>
      <c r="AL441" s="43" t="s">
        <v>259</v>
      </c>
      <c r="AO441" s="23"/>
      <c r="AP441" s="23"/>
      <c r="AQ441" s="23"/>
      <c r="BD441" s="43" t="s">
        <v>259</v>
      </c>
      <c r="BE441" s="43" t="s">
        <v>259</v>
      </c>
      <c r="BF441" s="43" t="s">
        <v>259</v>
      </c>
      <c r="BG441" s="43" t="s">
        <v>259</v>
      </c>
      <c r="BH441" t="s">
        <v>259</v>
      </c>
      <c r="BI441" s="43" t="s">
        <v>259</v>
      </c>
      <c r="BJ441">
        <v>0</v>
      </c>
      <c r="BK441">
        <v>44109</v>
      </c>
      <c r="BL441">
        <v>44356</v>
      </c>
      <c r="BM441">
        <v>8505</v>
      </c>
      <c r="BN441">
        <v>8505</v>
      </c>
      <c r="BO441">
        <v>8505</v>
      </c>
      <c r="BP441">
        <v>25515</v>
      </c>
      <c r="BQ441">
        <v>3300</v>
      </c>
      <c r="BR441">
        <v>400</v>
      </c>
      <c r="BS441">
        <v>400</v>
      </c>
      <c r="BT441">
        <v>4100</v>
      </c>
      <c r="BU441">
        <v>2100</v>
      </c>
      <c r="BV441">
        <v>2100</v>
      </c>
      <c r="BW441">
        <v>2100</v>
      </c>
      <c r="BX441">
        <v>6300</v>
      </c>
      <c r="BY441">
        <v>1200</v>
      </c>
      <c r="BZ441">
        <v>1200</v>
      </c>
      <c r="CA441">
        <v>1200</v>
      </c>
      <c r="CB441">
        <v>3600</v>
      </c>
      <c r="CF441">
        <v>0</v>
      </c>
      <c r="CG441">
        <v>39515</v>
      </c>
      <c r="CK441">
        <v>0</v>
      </c>
      <c r="CL441">
        <v>582</v>
      </c>
      <c r="CM441">
        <v>582</v>
      </c>
      <c r="CN441">
        <v>581</v>
      </c>
      <c r="CO441">
        <v>1745</v>
      </c>
      <c r="CP441">
        <v>500</v>
      </c>
      <c r="CQ441">
        <v>500</v>
      </c>
      <c r="CR441">
        <v>500</v>
      </c>
      <c r="CS441">
        <v>1500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N441">
        <v>0</v>
      </c>
      <c r="DO441">
        <v>0</v>
      </c>
      <c r="DP441">
        <v>0</v>
      </c>
      <c r="DR441">
        <v>0</v>
      </c>
      <c r="DS441">
        <v>0</v>
      </c>
      <c r="DT441">
        <v>0</v>
      </c>
      <c r="DY441">
        <v>0</v>
      </c>
      <c r="EC441">
        <v>0</v>
      </c>
      <c r="ED441">
        <v>3245</v>
      </c>
      <c r="EH441">
        <v>0</v>
      </c>
      <c r="EI441">
        <v>0</v>
      </c>
      <c r="EJ441">
        <v>0</v>
      </c>
      <c r="EK441">
        <v>0</v>
      </c>
      <c r="EM441">
        <v>0</v>
      </c>
      <c r="EN441">
        <v>660</v>
      </c>
      <c r="EO441">
        <v>660</v>
      </c>
      <c r="EP441">
        <v>659</v>
      </c>
      <c r="EQ441">
        <v>2000</v>
      </c>
      <c r="ER441">
        <v>21.24</v>
      </c>
      <c r="ES441">
        <v>0</v>
      </c>
      <c r="ET441">
        <v>0</v>
      </c>
      <c r="EU441">
        <v>0</v>
      </c>
      <c r="EW441">
        <v>0</v>
      </c>
      <c r="FA441">
        <v>0</v>
      </c>
      <c r="FE441">
        <v>0</v>
      </c>
      <c r="FI441">
        <v>0</v>
      </c>
      <c r="FJ441">
        <v>1978.76</v>
      </c>
      <c r="FK441">
        <v>36270</v>
      </c>
      <c r="FL441">
        <v>35812.557440053468</v>
      </c>
      <c r="FM441">
        <v>34291.24</v>
      </c>
      <c r="FO441" t="s">
        <v>3788</v>
      </c>
      <c r="FP441" t="s">
        <v>3789</v>
      </c>
      <c r="FQ441" t="s">
        <v>1018</v>
      </c>
      <c r="FR441" t="s">
        <v>3790</v>
      </c>
    </row>
    <row r="442" spans="1:174" x14ac:dyDescent="0.35">
      <c r="A442">
        <v>199075</v>
      </c>
      <c r="B442" t="s">
        <v>3942</v>
      </c>
      <c r="C442" t="s">
        <v>1970</v>
      </c>
      <c r="D442" t="s">
        <v>3943</v>
      </c>
      <c r="E442" s="43" t="s">
        <v>4222</v>
      </c>
      <c r="J442" t="s">
        <v>3830</v>
      </c>
      <c r="L442" s="43" t="s">
        <v>259</v>
      </c>
      <c r="M442" t="s">
        <v>3944</v>
      </c>
      <c r="N442" s="43"/>
      <c r="O442" s="43"/>
      <c r="P442" s="43"/>
      <c r="Q442" s="43"/>
      <c r="R442">
        <v>3.6640000000000001</v>
      </c>
      <c r="S442">
        <v>44109</v>
      </c>
      <c r="T442" t="s">
        <v>265</v>
      </c>
      <c r="U442" t="s">
        <v>266</v>
      </c>
      <c r="V442" t="s">
        <v>267</v>
      </c>
      <c r="W442" t="s">
        <v>268</v>
      </c>
      <c r="X442" t="s">
        <v>269</v>
      </c>
      <c r="Y442">
        <v>8883022894</v>
      </c>
      <c r="Z442" t="s">
        <v>270</v>
      </c>
      <c r="AA442" t="s">
        <v>271</v>
      </c>
      <c r="AB442" t="s">
        <v>679</v>
      </c>
      <c r="AC442">
        <v>0</v>
      </c>
      <c r="AD442" t="s">
        <v>300</v>
      </c>
      <c r="AE442" t="s">
        <v>364</v>
      </c>
      <c r="AF442">
        <v>3</v>
      </c>
      <c r="AG442" t="s">
        <v>3345</v>
      </c>
      <c r="AH442" t="s">
        <v>259</v>
      </c>
      <c r="AI442" t="s">
        <v>259</v>
      </c>
      <c r="AJ442" t="s">
        <v>259</v>
      </c>
      <c r="AK442" s="43" t="s">
        <v>259</v>
      </c>
      <c r="AL442" s="43" t="s">
        <v>259</v>
      </c>
      <c r="AO442" s="23"/>
      <c r="AP442" s="23"/>
      <c r="AQ442" s="23"/>
      <c r="BD442" s="43" t="s">
        <v>259</v>
      </c>
      <c r="BE442" s="43" t="s">
        <v>259</v>
      </c>
      <c r="BF442" s="43" t="s">
        <v>259</v>
      </c>
      <c r="BG442" s="43" t="s">
        <v>259</v>
      </c>
      <c r="BH442" t="s">
        <v>259</v>
      </c>
      <c r="BI442" s="43" t="s">
        <v>259</v>
      </c>
      <c r="BJ442">
        <v>0</v>
      </c>
      <c r="BK442">
        <v>44109</v>
      </c>
      <c r="BL442">
        <v>44356</v>
      </c>
      <c r="BP442">
        <v>0</v>
      </c>
      <c r="BT442">
        <v>0</v>
      </c>
      <c r="BX442">
        <v>0</v>
      </c>
      <c r="CB442">
        <v>0</v>
      </c>
      <c r="CF442">
        <v>0</v>
      </c>
      <c r="CG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1300</v>
      </c>
      <c r="CU442">
        <v>1300</v>
      </c>
      <c r="CV442">
        <v>1300</v>
      </c>
      <c r="CW442">
        <v>3900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N442">
        <v>0</v>
      </c>
      <c r="DO442">
        <v>0</v>
      </c>
      <c r="DP442">
        <v>0</v>
      </c>
      <c r="DR442">
        <v>0</v>
      </c>
      <c r="DS442">
        <v>0</v>
      </c>
      <c r="DT442">
        <v>0</v>
      </c>
      <c r="DY442">
        <v>0</v>
      </c>
      <c r="EC442">
        <v>0</v>
      </c>
      <c r="ED442">
        <v>3900</v>
      </c>
      <c r="EH442">
        <v>0</v>
      </c>
      <c r="EI442">
        <v>0</v>
      </c>
      <c r="EJ442">
        <v>0</v>
      </c>
      <c r="EK442">
        <v>0</v>
      </c>
      <c r="EM442">
        <v>0</v>
      </c>
      <c r="EN442">
        <v>660</v>
      </c>
      <c r="EO442">
        <v>660</v>
      </c>
      <c r="EP442">
        <v>659</v>
      </c>
      <c r="EQ442">
        <v>2000</v>
      </c>
      <c r="ER442">
        <v>21.24</v>
      </c>
      <c r="ES442">
        <v>0</v>
      </c>
      <c r="ET442">
        <v>0</v>
      </c>
      <c r="EU442">
        <v>0</v>
      </c>
      <c r="EW442">
        <v>0</v>
      </c>
      <c r="FA442">
        <v>0</v>
      </c>
      <c r="FE442">
        <v>0</v>
      </c>
      <c r="FI442">
        <v>0</v>
      </c>
      <c r="FJ442">
        <v>1978.76</v>
      </c>
      <c r="FK442">
        <v>-3900</v>
      </c>
      <c r="FL442">
        <v>-6139.5688862895813</v>
      </c>
      <c r="FM442">
        <v>-5878.76</v>
      </c>
      <c r="FO442" t="s">
        <v>3945</v>
      </c>
      <c r="FP442" t="s">
        <v>3946</v>
      </c>
      <c r="FQ442" t="s">
        <v>1296</v>
      </c>
      <c r="FR442" t="s">
        <v>3947</v>
      </c>
    </row>
    <row r="443" spans="1:174" x14ac:dyDescent="0.35">
      <c r="A443">
        <v>195299</v>
      </c>
      <c r="B443" t="s">
        <v>1442</v>
      </c>
      <c r="C443" t="s">
        <v>1443</v>
      </c>
      <c r="D443" t="s">
        <v>1444</v>
      </c>
      <c r="E443" s="43" t="s">
        <v>1445</v>
      </c>
      <c r="F443">
        <v>2</v>
      </c>
      <c r="G443">
        <v>43795</v>
      </c>
      <c r="H443">
        <v>43795</v>
      </c>
      <c r="I443">
        <v>43795</v>
      </c>
      <c r="J443" t="s">
        <v>4162</v>
      </c>
      <c r="L443" s="43" t="s">
        <v>3204</v>
      </c>
      <c r="M443" t="s">
        <v>1446</v>
      </c>
      <c r="N443" s="43"/>
      <c r="O443" s="43"/>
      <c r="P443" s="43"/>
      <c r="Q443" s="43"/>
      <c r="R443">
        <v>4</v>
      </c>
      <c r="S443">
        <v>44109</v>
      </c>
      <c r="T443" t="s">
        <v>311</v>
      </c>
      <c r="U443" t="s">
        <v>266</v>
      </c>
      <c r="V443" t="s">
        <v>267</v>
      </c>
      <c r="W443" t="s">
        <v>268</v>
      </c>
      <c r="X443" t="s">
        <v>269</v>
      </c>
      <c r="Y443">
        <v>8883022894</v>
      </c>
      <c r="Z443" t="s">
        <v>270</v>
      </c>
      <c r="AA443" t="s">
        <v>271</v>
      </c>
      <c r="AB443" t="s">
        <v>1228</v>
      </c>
      <c r="AC443">
        <v>0</v>
      </c>
      <c r="AD443" t="s">
        <v>3263</v>
      </c>
      <c r="AE443" t="s">
        <v>301</v>
      </c>
      <c r="AF443">
        <v>1</v>
      </c>
      <c r="AG443" t="s">
        <v>275</v>
      </c>
      <c r="AH443" t="s">
        <v>3226</v>
      </c>
      <c r="AI443" t="s">
        <v>313</v>
      </c>
      <c r="AJ443" t="s">
        <v>3821</v>
      </c>
      <c r="AK443" s="43" t="s">
        <v>3208</v>
      </c>
      <c r="AL443" s="43" t="s">
        <v>3209</v>
      </c>
      <c r="AM443">
        <v>43795</v>
      </c>
      <c r="AN443">
        <v>43795</v>
      </c>
      <c r="AO443" s="23">
        <v>43786</v>
      </c>
      <c r="AP443" s="23"/>
      <c r="AQ443" s="23"/>
      <c r="BD443" s="43" t="s">
        <v>2018</v>
      </c>
      <c r="BE443" s="43" t="s">
        <v>2018</v>
      </c>
      <c r="BF443" s="43" t="s">
        <v>2018</v>
      </c>
      <c r="BG443" s="43" t="s">
        <v>2018</v>
      </c>
      <c r="BH443" t="s">
        <v>2018</v>
      </c>
      <c r="BI443" s="43" t="s">
        <v>2018</v>
      </c>
      <c r="BJ443">
        <v>0.17647058823529416</v>
      </c>
      <c r="BK443">
        <v>44109</v>
      </c>
      <c r="BL443">
        <v>44356</v>
      </c>
      <c r="BM443">
        <v>8505</v>
      </c>
      <c r="BN443">
        <v>8505</v>
      </c>
      <c r="BO443">
        <v>8505</v>
      </c>
      <c r="BP443">
        <v>25515</v>
      </c>
      <c r="BQ443">
        <v>3300</v>
      </c>
      <c r="BR443">
        <v>400</v>
      </c>
      <c r="BS443">
        <v>400</v>
      </c>
      <c r="BT443">
        <v>4100</v>
      </c>
      <c r="BU443">
        <v>2100</v>
      </c>
      <c r="BV443">
        <v>2100</v>
      </c>
      <c r="BW443">
        <v>2100</v>
      </c>
      <c r="BX443">
        <v>6300</v>
      </c>
      <c r="BY443">
        <v>1200</v>
      </c>
      <c r="BZ443">
        <v>1200</v>
      </c>
      <c r="CA443">
        <v>1200</v>
      </c>
      <c r="CB443">
        <v>3600</v>
      </c>
      <c r="CC443">
        <v>0</v>
      </c>
      <c r="CD443">
        <v>0</v>
      </c>
      <c r="CE443">
        <v>0</v>
      </c>
      <c r="CF443">
        <v>0</v>
      </c>
      <c r="CG443">
        <v>39515</v>
      </c>
      <c r="CH443">
        <v>0</v>
      </c>
      <c r="CI443">
        <v>0</v>
      </c>
      <c r="CJ443">
        <v>0</v>
      </c>
      <c r="CK443">
        <v>0</v>
      </c>
      <c r="CL443">
        <v>2065</v>
      </c>
      <c r="CM443">
        <v>2065</v>
      </c>
      <c r="CN443">
        <v>2065</v>
      </c>
      <c r="CO443">
        <v>6195</v>
      </c>
      <c r="CP443">
        <v>500</v>
      </c>
      <c r="CQ443">
        <v>500</v>
      </c>
      <c r="CR443">
        <v>500</v>
      </c>
      <c r="CS443">
        <v>1500</v>
      </c>
      <c r="CT443">
        <v>1700</v>
      </c>
      <c r="CU443">
        <v>1700</v>
      </c>
      <c r="CV443">
        <v>1700</v>
      </c>
      <c r="CW443">
        <v>5100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12795</v>
      </c>
      <c r="EE443">
        <v>0</v>
      </c>
      <c r="EF443">
        <v>0</v>
      </c>
      <c r="EG443">
        <v>0</v>
      </c>
      <c r="EH443">
        <v>0</v>
      </c>
      <c r="EI443">
        <v>1154</v>
      </c>
      <c r="EJ443">
        <v>1154</v>
      </c>
      <c r="EK443">
        <v>1155</v>
      </c>
      <c r="EL443">
        <v>3500</v>
      </c>
      <c r="EM443">
        <v>37.065000000000005</v>
      </c>
      <c r="EN443">
        <v>660</v>
      </c>
      <c r="EO443">
        <v>660</v>
      </c>
      <c r="EP443">
        <v>659</v>
      </c>
      <c r="EQ443">
        <v>2000</v>
      </c>
      <c r="ER443">
        <v>21.18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7093</v>
      </c>
      <c r="EY443">
        <v>7093</v>
      </c>
      <c r="EZ443">
        <v>7092</v>
      </c>
      <c r="FA443">
        <v>21278</v>
      </c>
      <c r="FE443">
        <v>0</v>
      </c>
      <c r="FI443">
        <v>0</v>
      </c>
      <c r="FJ443">
        <v>26719.755000000001</v>
      </c>
      <c r="FK443">
        <v>26720</v>
      </c>
      <c r="FL443">
        <v>0.25583726661269512</v>
      </c>
      <c r="FM443">
        <v>0.24499999999898137</v>
      </c>
      <c r="FO443" t="s">
        <v>3791</v>
      </c>
      <c r="FP443" t="s">
        <v>1447</v>
      </c>
      <c r="FQ443" t="s">
        <v>442</v>
      </c>
      <c r="FR443" t="s">
        <v>1448</v>
      </c>
    </row>
    <row r="444" spans="1:174" x14ac:dyDescent="0.35">
      <c r="A444">
        <v>198855</v>
      </c>
      <c r="B444" t="s">
        <v>1449</v>
      </c>
      <c r="C444" t="s">
        <v>1450</v>
      </c>
      <c r="D444" t="s">
        <v>1451</v>
      </c>
      <c r="E444" s="43" t="s">
        <v>3298</v>
      </c>
      <c r="F444">
        <v>1</v>
      </c>
      <c r="G444">
        <v>43794</v>
      </c>
      <c r="H444">
        <v>43794</v>
      </c>
      <c r="I444">
        <v>43794</v>
      </c>
      <c r="J444" t="s">
        <v>3827</v>
      </c>
      <c r="K444" t="s">
        <v>3307</v>
      </c>
      <c r="L444" s="43" t="s">
        <v>3204</v>
      </c>
      <c r="M444" t="s">
        <v>1452</v>
      </c>
      <c r="N444" s="43"/>
      <c r="O444" s="43"/>
      <c r="P444" s="43"/>
      <c r="Q444" s="43"/>
      <c r="R444">
        <v>3.25</v>
      </c>
      <c r="S444">
        <v>44109</v>
      </c>
      <c r="T444" t="s">
        <v>311</v>
      </c>
      <c r="U444" t="s">
        <v>266</v>
      </c>
      <c r="V444" t="s">
        <v>267</v>
      </c>
      <c r="W444" t="s">
        <v>268</v>
      </c>
      <c r="X444" t="s">
        <v>269</v>
      </c>
      <c r="Y444">
        <v>8883022894</v>
      </c>
      <c r="Z444" t="s">
        <v>270</v>
      </c>
      <c r="AA444" t="s">
        <v>271</v>
      </c>
      <c r="AB444">
        <v>0</v>
      </c>
      <c r="AC444">
        <v>0</v>
      </c>
      <c r="AD444" t="s">
        <v>313</v>
      </c>
      <c r="AE444" t="s">
        <v>354</v>
      </c>
      <c r="AF444">
        <v>6</v>
      </c>
      <c r="AG444" t="s">
        <v>446</v>
      </c>
      <c r="AH444" t="s">
        <v>3604</v>
      </c>
      <c r="AI444" t="s">
        <v>3605</v>
      </c>
      <c r="AJ444" t="s">
        <v>4169</v>
      </c>
      <c r="AK444" s="43" t="s">
        <v>1715</v>
      </c>
      <c r="AL444" s="43" t="s">
        <v>259</v>
      </c>
      <c r="AO444" s="23">
        <v>43794</v>
      </c>
      <c r="AP444" s="23"/>
      <c r="AQ444" s="23"/>
      <c r="BD444" s="43" t="s">
        <v>259</v>
      </c>
      <c r="BE444" s="43" t="s">
        <v>259</v>
      </c>
      <c r="BF444" s="43" t="s">
        <v>259</v>
      </c>
      <c r="BG444" s="43" t="s">
        <v>259</v>
      </c>
      <c r="BH444" t="s">
        <v>259</v>
      </c>
      <c r="BI444" s="43" t="s">
        <v>259</v>
      </c>
      <c r="BJ444">
        <v>4.3478260869565188E-2</v>
      </c>
      <c r="BK444">
        <v>44109</v>
      </c>
      <c r="BL444">
        <v>44356</v>
      </c>
      <c r="BM444">
        <v>8505</v>
      </c>
      <c r="BN444">
        <v>8505</v>
      </c>
      <c r="BO444">
        <v>8505</v>
      </c>
      <c r="BP444">
        <v>25515</v>
      </c>
      <c r="BQ444">
        <v>3300</v>
      </c>
      <c r="BR444">
        <v>400</v>
      </c>
      <c r="BS444">
        <v>400</v>
      </c>
      <c r="BT444">
        <v>4100</v>
      </c>
      <c r="BU444">
        <v>2100</v>
      </c>
      <c r="BV444">
        <v>2100</v>
      </c>
      <c r="BW444">
        <v>2100</v>
      </c>
      <c r="BX444">
        <v>6300</v>
      </c>
      <c r="BY444">
        <v>1200</v>
      </c>
      <c r="BZ444">
        <v>1200</v>
      </c>
      <c r="CA444">
        <v>1200</v>
      </c>
      <c r="CB444">
        <v>3600</v>
      </c>
      <c r="CF444">
        <v>0</v>
      </c>
      <c r="CG444">
        <v>39515</v>
      </c>
      <c r="CK444">
        <v>0</v>
      </c>
      <c r="CL444">
        <v>1582</v>
      </c>
      <c r="CM444">
        <v>1582</v>
      </c>
      <c r="CN444">
        <v>1581</v>
      </c>
      <c r="CO444">
        <v>4745</v>
      </c>
      <c r="CP444">
        <v>500</v>
      </c>
      <c r="CQ444">
        <v>500</v>
      </c>
      <c r="CR444">
        <v>500</v>
      </c>
      <c r="CS444">
        <v>1500</v>
      </c>
      <c r="CT444">
        <v>750</v>
      </c>
      <c r="CU444">
        <v>750</v>
      </c>
      <c r="CV444">
        <v>750</v>
      </c>
      <c r="CW444">
        <v>2250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N444">
        <v>0</v>
      </c>
      <c r="DO444">
        <v>0</v>
      </c>
      <c r="DP444">
        <v>0</v>
      </c>
      <c r="DR444">
        <v>0</v>
      </c>
      <c r="DS444">
        <v>0</v>
      </c>
      <c r="DT444">
        <v>0</v>
      </c>
      <c r="DY444">
        <v>0</v>
      </c>
      <c r="EC444">
        <v>0</v>
      </c>
      <c r="ED444">
        <v>8495</v>
      </c>
      <c r="EH444">
        <v>0</v>
      </c>
      <c r="EI444">
        <v>0</v>
      </c>
      <c r="EJ444">
        <v>0</v>
      </c>
      <c r="EK444">
        <v>0</v>
      </c>
      <c r="EM444">
        <v>0</v>
      </c>
      <c r="EN444">
        <v>660</v>
      </c>
      <c r="EO444">
        <v>660</v>
      </c>
      <c r="EP444">
        <v>659</v>
      </c>
      <c r="EQ444">
        <v>2000</v>
      </c>
      <c r="ER444">
        <v>21.24</v>
      </c>
      <c r="ES444">
        <v>0</v>
      </c>
      <c r="ET444">
        <v>0</v>
      </c>
      <c r="EU444">
        <v>0</v>
      </c>
      <c r="EW444">
        <v>0</v>
      </c>
      <c r="FA444">
        <v>0</v>
      </c>
      <c r="FE444">
        <v>0</v>
      </c>
      <c r="FI444">
        <v>0</v>
      </c>
      <c r="FJ444">
        <v>1978.76</v>
      </c>
      <c r="FK444">
        <v>31020</v>
      </c>
      <c r="FL444">
        <v>30329.643245049712</v>
      </c>
      <c r="FM444">
        <v>29041.24</v>
      </c>
      <c r="FO444" t="s">
        <v>1453</v>
      </c>
      <c r="FP444" t="s">
        <v>1454</v>
      </c>
      <c r="FQ444" t="s">
        <v>1091</v>
      </c>
      <c r="FR444" t="s">
        <v>1455</v>
      </c>
    </row>
    <row r="445" spans="1:174" x14ac:dyDescent="0.35">
      <c r="A445">
        <v>198263</v>
      </c>
      <c r="B445" t="s">
        <v>1456</v>
      </c>
      <c r="C445" t="s">
        <v>1457</v>
      </c>
      <c r="D445" t="s">
        <v>1458</v>
      </c>
      <c r="E445" s="43" t="s">
        <v>1459</v>
      </c>
      <c r="L445" s="43" t="s">
        <v>3204</v>
      </c>
      <c r="M445" t="s">
        <v>1460</v>
      </c>
      <c r="N445" s="43"/>
      <c r="O445" s="43"/>
      <c r="P445" s="43"/>
      <c r="Q445" s="43"/>
      <c r="R445">
        <v>2.82</v>
      </c>
      <c r="S445">
        <v>44109</v>
      </c>
      <c r="T445" t="s">
        <v>311</v>
      </c>
      <c r="U445" t="s">
        <v>266</v>
      </c>
      <c r="V445" t="s">
        <v>267</v>
      </c>
      <c r="W445" t="s">
        <v>268</v>
      </c>
      <c r="X445" t="s">
        <v>269</v>
      </c>
      <c r="Y445">
        <v>8883022894</v>
      </c>
      <c r="Z445" t="s">
        <v>270</v>
      </c>
      <c r="AA445" t="s">
        <v>271</v>
      </c>
      <c r="AB445">
        <v>0</v>
      </c>
      <c r="AC445" t="s">
        <v>752</v>
      </c>
      <c r="AD445" t="s">
        <v>353</v>
      </c>
      <c r="AE445" t="s">
        <v>354</v>
      </c>
      <c r="AF445">
        <v>6</v>
      </c>
      <c r="AG445" t="s">
        <v>275</v>
      </c>
      <c r="AH445" t="s">
        <v>4195</v>
      </c>
      <c r="AI445" t="s">
        <v>4196</v>
      </c>
      <c r="AJ445" t="s">
        <v>4169</v>
      </c>
      <c r="AK445" s="43" t="s">
        <v>1715</v>
      </c>
      <c r="AL445" s="43" t="s">
        <v>259</v>
      </c>
      <c r="AO445" s="23"/>
      <c r="AP445" s="23"/>
      <c r="AQ445" s="23"/>
      <c r="BD445" s="43" t="s">
        <v>259</v>
      </c>
      <c r="BE445" s="43" t="s">
        <v>259</v>
      </c>
      <c r="BF445" s="43" t="s">
        <v>259</v>
      </c>
      <c r="BG445" s="43" t="s">
        <v>259</v>
      </c>
      <c r="BH445" t="s">
        <v>259</v>
      </c>
      <c r="BI445" s="43" t="s">
        <v>259</v>
      </c>
      <c r="BJ445">
        <v>0</v>
      </c>
      <c r="BK445">
        <v>44109</v>
      </c>
      <c r="BL445">
        <v>44356</v>
      </c>
      <c r="BM445">
        <v>8505</v>
      </c>
      <c r="BN445">
        <v>8505</v>
      </c>
      <c r="BO445">
        <v>8505</v>
      </c>
      <c r="BP445">
        <v>25515</v>
      </c>
      <c r="BQ445">
        <v>3300</v>
      </c>
      <c r="BR445">
        <v>400</v>
      </c>
      <c r="BS445">
        <v>400</v>
      </c>
      <c r="BT445">
        <v>4100</v>
      </c>
      <c r="BU445">
        <v>2100</v>
      </c>
      <c r="BV445">
        <v>2100</v>
      </c>
      <c r="BW445">
        <v>2100</v>
      </c>
      <c r="BX445">
        <v>6300</v>
      </c>
      <c r="BY445">
        <v>1200</v>
      </c>
      <c r="BZ445">
        <v>1200</v>
      </c>
      <c r="CA445">
        <v>1200</v>
      </c>
      <c r="CB445">
        <v>3600</v>
      </c>
      <c r="CC445">
        <v>0</v>
      </c>
      <c r="CD445">
        <v>0</v>
      </c>
      <c r="CE445">
        <v>0</v>
      </c>
      <c r="CF445">
        <v>0</v>
      </c>
      <c r="CG445">
        <v>39515</v>
      </c>
      <c r="CH445">
        <v>0</v>
      </c>
      <c r="CI445">
        <v>0</v>
      </c>
      <c r="CJ445">
        <v>0</v>
      </c>
      <c r="CK445">
        <v>0</v>
      </c>
      <c r="CL445">
        <v>782</v>
      </c>
      <c r="CM445">
        <v>782</v>
      </c>
      <c r="CN445">
        <v>781</v>
      </c>
      <c r="CO445">
        <v>2345</v>
      </c>
      <c r="CP445">
        <v>500</v>
      </c>
      <c r="CQ445">
        <v>500</v>
      </c>
      <c r="CR445">
        <v>500</v>
      </c>
      <c r="CS445">
        <v>1500</v>
      </c>
      <c r="CT445">
        <v>750</v>
      </c>
      <c r="CU445">
        <v>750</v>
      </c>
      <c r="CV445">
        <v>750</v>
      </c>
      <c r="CW445">
        <v>2250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6095</v>
      </c>
      <c r="EE445">
        <v>0</v>
      </c>
      <c r="EF445">
        <v>0</v>
      </c>
      <c r="EG445">
        <v>0</v>
      </c>
      <c r="EH445">
        <v>0</v>
      </c>
      <c r="EI445">
        <v>1154</v>
      </c>
      <c r="EJ445">
        <v>1154</v>
      </c>
      <c r="EK445">
        <v>1155</v>
      </c>
      <c r="EL445">
        <v>3500</v>
      </c>
      <c r="EM445">
        <v>37.065000000000005</v>
      </c>
      <c r="EN445">
        <v>660</v>
      </c>
      <c r="EO445">
        <v>660</v>
      </c>
      <c r="EP445">
        <v>659</v>
      </c>
      <c r="EQ445">
        <v>2000</v>
      </c>
      <c r="ER445">
        <v>21.18</v>
      </c>
      <c r="ES445">
        <v>0</v>
      </c>
      <c r="ET445">
        <v>0</v>
      </c>
      <c r="EU445">
        <v>0</v>
      </c>
      <c r="EV445">
        <v>0</v>
      </c>
      <c r="EW445">
        <v>0</v>
      </c>
      <c r="FA445">
        <v>0</v>
      </c>
      <c r="FE445">
        <v>0</v>
      </c>
      <c r="FI445">
        <v>0</v>
      </c>
      <c r="FJ445">
        <v>5441.7550000000001</v>
      </c>
      <c r="FK445">
        <v>33420</v>
      </c>
      <c r="FL445">
        <v>29215.827450816589</v>
      </c>
      <c r="FM445">
        <v>27978.244999999999</v>
      </c>
      <c r="FO445" t="s">
        <v>1461</v>
      </c>
      <c r="FP445" t="s">
        <v>1462</v>
      </c>
      <c r="FQ445" t="s">
        <v>687</v>
      </c>
      <c r="FR445" t="s">
        <v>1463</v>
      </c>
    </row>
    <row r="446" spans="1:174" x14ac:dyDescent="0.35">
      <c r="A446">
        <v>196108</v>
      </c>
      <c r="B446" t="s">
        <v>1464</v>
      </c>
      <c r="C446" t="s">
        <v>590</v>
      </c>
      <c r="D446" t="s">
        <v>1465</v>
      </c>
      <c r="E446" s="43" t="s">
        <v>1466</v>
      </c>
      <c r="F446">
        <v>1</v>
      </c>
      <c r="G446">
        <v>43795</v>
      </c>
      <c r="H446">
        <v>43795</v>
      </c>
      <c r="I446">
        <v>43795</v>
      </c>
      <c r="K446" t="s">
        <v>1715</v>
      </c>
      <c r="L446" s="43" t="s">
        <v>3204</v>
      </c>
      <c r="M446" t="s">
        <v>1467</v>
      </c>
      <c r="N446" s="43"/>
      <c r="O446" s="43"/>
      <c r="P446" s="43"/>
      <c r="Q446" s="43"/>
      <c r="R446">
        <v>3.09</v>
      </c>
      <c r="S446">
        <v>44109</v>
      </c>
      <c r="T446" t="s">
        <v>285</v>
      </c>
      <c r="U446" t="s">
        <v>266</v>
      </c>
      <c r="V446" t="s">
        <v>267</v>
      </c>
      <c r="W446" t="s">
        <v>268</v>
      </c>
      <c r="X446" t="s">
        <v>269</v>
      </c>
      <c r="Y446">
        <v>8883022894</v>
      </c>
      <c r="Z446" t="s">
        <v>270</v>
      </c>
      <c r="AA446" t="s">
        <v>271</v>
      </c>
      <c r="AB446">
        <v>0</v>
      </c>
      <c r="AC446" t="s">
        <v>636</v>
      </c>
      <c r="AD446" t="s">
        <v>637</v>
      </c>
      <c r="AE446" t="s">
        <v>376</v>
      </c>
      <c r="AF446">
        <v>7</v>
      </c>
      <c r="AG446" t="s">
        <v>275</v>
      </c>
      <c r="AH446" t="s">
        <v>3226</v>
      </c>
      <c r="AI446" t="s">
        <v>313</v>
      </c>
      <c r="AJ446" t="s">
        <v>4169</v>
      </c>
      <c r="AK446" s="43" t="s">
        <v>3208</v>
      </c>
      <c r="AL446" s="43" t="s">
        <v>3209</v>
      </c>
      <c r="AO446" s="23"/>
      <c r="AP446" s="23"/>
      <c r="AQ446" s="23"/>
      <c r="BD446" s="43" t="s">
        <v>2018</v>
      </c>
      <c r="BE446" s="43" t="s">
        <v>2018</v>
      </c>
      <c r="BF446" s="43" t="s">
        <v>2018</v>
      </c>
      <c r="BG446" s="43" t="s">
        <v>2018</v>
      </c>
      <c r="BH446" t="s">
        <v>2018</v>
      </c>
      <c r="BI446" s="43" t="s">
        <v>2018</v>
      </c>
      <c r="BJ446">
        <v>0</v>
      </c>
      <c r="BK446">
        <v>44109</v>
      </c>
      <c r="BL446">
        <v>44356</v>
      </c>
      <c r="BM446">
        <v>8505</v>
      </c>
      <c r="BN446">
        <v>8505</v>
      </c>
      <c r="BO446">
        <v>8505</v>
      </c>
      <c r="BP446">
        <v>25515</v>
      </c>
      <c r="BQ446">
        <v>3300</v>
      </c>
      <c r="BR446">
        <v>400</v>
      </c>
      <c r="BS446">
        <v>400</v>
      </c>
      <c r="BT446">
        <v>4100</v>
      </c>
      <c r="BU446">
        <v>2100</v>
      </c>
      <c r="BV446">
        <v>2100</v>
      </c>
      <c r="BW446">
        <v>2100</v>
      </c>
      <c r="BX446">
        <v>6300</v>
      </c>
      <c r="BY446">
        <v>1200</v>
      </c>
      <c r="BZ446">
        <v>1200</v>
      </c>
      <c r="CA446">
        <v>1200</v>
      </c>
      <c r="CB446">
        <v>3600</v>
      </c>
      <c r="CC446">
        <v>0</v>
      </c>
      <c r="CD446">
        <v>0</v>
      </c>
      <c r="CE446">
        <v>0</v>
      </c>
      <c r="CF446">
        <v>0</v>
      </c>
      <c r="CG446">
        <v>39515</v>
      </c>
      <c r="CK446">
        <v>0</v>
      </c>
      <c r="CL446">
        <v>2065</v>
      </c>
      <c r="CM446">
        <v>2065</v>
      </c>
      <c r="CN446">
        <v>2065</v>
      </c>
      <c r="CO446">
        <v>6195</v>
      </c>
      <c r="CP446">
        <v>500</v>
      </c>
      <c r="CQ446">
        <v>500</v>
      </c>
      <c r="CR446">
        <v>500</v>
      </c>
      <c r="CS446">
        <v>1500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N446">
        <v>0</v>
      </c>
      <c r="DO446">
        <v>0</v>
      </c>
      <c r="DP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7695</v>
      </c>
      <c r="EE446">
        <v>0</v>
      </c>
      <c r="EF446">
        <v>0</v>
      </c>
      <c r="EG446">
        <v>0</v>
      </c>
      <c r="EH446">
        <v>0</v>
      </c>
      <c r="EI446">
        <v>1154</v>
      </c>
      <c r="EJ446">
        <v>1154</v>
      </c>
      <c r="EK446">
        <v>1155</v>
      </c>
      <c r="EL446">
        <v>3500</v>
      </c>
      <c r="EM446">
        <v>37.065000000000005</v>
      </c>
      <c r="EN446">
        <v>660</v>
      </c>
      <c r="EO446">
        <v>660</v>
      </c>
      <c r="EP446">
        <v>659</v>
      </c>
      <c r="EQ446">
        <v>2000</v>
      </c>
      <c r="ER446">
        <v>21.18</v>
      </c>
      <c r="ES446">
        <v>0</v>
      </c>
      <c r="ET446">
        <v>0</v>
      </c>
      <c r="EU446">
        <v>0</v>
      </c>
      <c r="EV446">
        <v>0</v>
      </c>
      <c r="EW446">
        <v>0</v>
      </c>
      <c r="FA446">
        <v>0</v>
      </c>
      <c r="FE446">
        <v>0</v>
      </c>
      <c r="FI446">
        <v>0</v>
      </c>
      <c r="FJ446">
        <v>5441.7550000000001</v>
      </c>
      <c r="FK446">
        <v>31820</v>
      </c>
      <c r="FL446">
        <v>27548.505514245131</v>
      </c>
      <c r="FM446">
        <v>26378.244999999999</v>
      </c>
      <c r="FO446" t="s">
        <v>1468</v>
      </c>
      <c r="FP446" t="s">
        <v>1469</v>
      </c>
      <c r="FQ446" t="s">
        <v>403</v>
      </c>
      <c r="FR446" t="s">
        <v>1470</v>
      </c>
    </row>
    <row r="447" spans="1:174" x14ac:dyDescent="0.35">
      <c r="A447">
        <v>198212</v>
      </c>
      <c r="B447" t="s">
        <v>1471</v>
      </c>
      <c r="C447" t="s">
        <v>1472</v>
      </c>
      <c r="D447" t="s">
        <v>1473</v>
      </c>
      <c r="E447" s="43" t="s">
        <v>1474</v>
      </c>
      <c r="L447" s="43" t="s">
        <v>259</v>
      </c>
      <c r="M447" t="s">
        <v>1475</v>
      </c>
      <c r="N447" s="43"/>
      <c r="O447" s="43"/>
      <c r="P447" s="43"/>
      <c r="Q447" s="43"/>
      <c r="R447">
        <v>3.4</v>
      </c>
      <c r="S447">
        <v>44109</v>
      </c>
      <c r="T447" t="s">
        <v>544</v>
      </c>
      <c r="U447" t="s">
        <v>266</v>
      </c>
      <c r="V447" t="s">
        <v>267</v>
      </c>
      <c r="W447" t="s">
        <v>268</v>
      </c>
      <c r="X447" t="s">
        <v>269</v>
      </c>
      <c r="Y447">
        <v>8883022894</v>
      </c>
      <c r="Z447" t="s">
        <v>270</v>
      </c>
      <c r="AA447" t="s">
        <v>271</v>
      </c>
      <c r="AB447">
        <v>0</v>
      </c>
      <c r="AC447">
        <v>0</v>
      </c>
      <c r="AD447" t="s">
        <v>313</v>
      </c>
      <c r="AE447" t="s">
        <v>344</v>
      </c>
      <c r="AF447">
        <v>10</v>
      </c>
      <c r="AG447" t="s">
        <v>275</v>
      </c>
      <c r="AH447" t="s">
        <v>259</v>
      </c>
      <c r="AI447" t="s">
        <v>259</v>
      </c>
      <c r="AJ447" t="s">
        <v>259</v>
      </c>
      <c r="AK447" s="43" t="s">
        <v>259</v>
      </c>
      <c r="AL447" s="43" t="s">
        <v>259</v>
      </c>
      <c r="AO447" s="23"/>
      <c r="AP447" s="23"/>
      <c r="AQ447" s="23"/>
      <c r="BD447" s="43" t="s">
        <v>259</v>
      </c>
      <c r="BE447" s="43" t="s">
        <v>259</v>
      </c>
      <c r="BF447" s="43" t="s">
        <v>259</v>
      </c>
      <c r="BG447" s="43" t="s">
        <v>259</v>
      </c>
      <c r="BH447" t="s">
        <v>259</v>
      </c>
      <c r="BI447" s="43" t="s">
        <v>259</v>
      </c>
      <c r="BJ447">
        <v>0</v>
      </c>
      <c r="BK447">
        <v>44109</v>
      </c>
      <c r="BL447">
        <v>44356</v>
      </c>
      <c r="BM447">
        <v>8505</v>
      </c>
      <c r="BN447">
        <v>8505</v>
      </c>
      <c r="BO447">
        <v>8505</v>
      </c>
      <c r="BP447">
        <v>25515</v>
      </c>
      <c r="BQ447">
        <v>3300</v>
      </c>
      <c r="BR447">
        <v>400</v>
      </c>
      <c r="BS447">
        <v>400</v>
      </c>
      <c r="BT447">
        <v>4100</v>
      </c>
      <c r="BU447">
        <v>2100</v>
      </c>
      <c r="BV447">
        <v>2100</v>
      </c>
      <c r="BW447">
        <v>2100</v>
      </c>
      <c r="BX447">
        <v>6300</v>
      </c>
      <c r="BY447">
        <v>1200</v>
      </c>
      <c r="BZ447">
        <v>1200</v>
      </c>
      <c r="CA447">
        <v>1200</v>
      </c>
      <c r="CB447">
        <v>3600</v>
      </c>
      <c r="CC447">
        <v>0</v>
      </c>
      <c r="CD447">
        <v>0</v>
      </c>
      <c r="CE447">
        <v>0</v>
      </c>
      <c r="CF447">
        <v>0</v>
      </c>
      <c r="CG447">
        <v>39515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3000</v>
      </c>
      <c r="CY447">
        <v>3000</v>
      </c>
      <c r="CZ447">
        <v>3000</v>
      </c>
      <c r="DA447">
        <v>9000</v>
      </c>
      <c r="DB447">
        <v>0</v>
      </c>
      <c r="DC447">
        <v>0</v>
      </c>
      <c r="DD447">
        <v>0</v>
      </c>
      <c r="DE447">
        <v>0</v>
      </c>
      <c r="DF447">
        <v>1000</v>
      </c>
      <c r="DG447">
        <v>1000</v>
      </c>
      <c r="DH447">
        <v>1000</v>
      </c>
      <c r="DI447">
        <v>3000</v>
      </c>
      <c r="DJ447">
        <v>1000</v>
      </c>
      <c r="DK447">
        <v>1000</v>
      </c>
      <c r="DL447">
        <v>1000</v>
      </c>
      <c r="DM447">
        <v>3000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15000</v>
      </c>
      <c r="EE447">
        <v>0</v>
      </c>
      <c r="EF447">
        <v>0</v>
      </c>
      <c r="EG447">
        <v>0</v>
      </c>
      <c r="EH447">
        <v>0</v>
      </c>
      <c r="EI447">
        <v>1154</v>
      </c>
      <c r="EJ447">
        <v>1154</v>
      </c>
      <c r="EK447">
        <v>1155</v>
      </c>
      <c r="EL447">
        <v>3500</v>
      </c>
      <c r="EM447">
        <v>37.065000000000005</v>
      </c>
      <c r="EN447">
        <v>660</v>
      </c>
      <c r="EO447">
        <v>660</v>
      </c>
      <c r="EP447">
        <v>659</v>
      </c>
      <c r="EQ447">
        <v>2000</v>
      </c>
      <c r="ER447">
        <v>21.18</v>
      </c>
      <c r="ES447">
        <v>0</v>
      </c>
      <c r="ET447">
        <v>0</v>
      </c>
      <c r="EU447">
        <v>0</v>
      </c>
      <c r="EV447">
        <v>0</v>
      </c>
      <c r="EW447">
        <v>0</v>
      </c>
      <c r="FA447">
        <v>0</v>
      </c>
      <c r="FE447">
        <v>0</v>
      </c>
      <c r="FI447">
        <v>0</v>
      </c>
      <c r="FJ447">
        <v>5441.7550000000001</v>
      </c>
      <c r="FK447">
        <v>24515</v>
      </c>
      <c r="FL447">
        <v>19916.925984712416</v>
      </c>
      <c r="FM447">
        <v>19073.244999999999</v>
      </c>
      <c r="FO447" t="s">
        <v>1476</v>
      </c>
      <c r="FP447" t="s">
        <v>1477</v>
      </c>
      <c r="FQ447" t="s">
        <v>542</v>
      </c>
      <c r="FR447" t="s">
        <v>1478</v>
      </c>
    </row>
    <row r="448" spans="1:174" x14ac:dyDescent="0.35">
      <c r="A448">
        <v>195156</v>
      </c>
      <c r="B448" t="s">
        <v>1479</v>
      </c>
      <c r="C448" t="s">
        <v>426</v>
      </c>
      <c r="D448" t="s">
        <v>1480</v>
      </c>
      <c r="E448" s="43" t="s">
        <v>1481</v>
      </c>
      <c r="F448">
        <v>1</v>
      </c>
      <c r="I448">
        <v>43795</v>
      </c>
      <c r="L448" s="43" t="s">
        <v>301</v>
      </c>
      <c r="M448" t="s">
        <v>1482</v>
      </c>
      <c r="N448" s="43"/>
      <c r="O448" s="43"/>
      <c r="P448" s="43"/>
      <c r="Q448" s="43"/>
      <c r="R448">
        <v>3.5049999999999999</v>
      </c>
      <c r="S448">
        <v>44109</v>
      </c>
      <c r="T448" t="s">
        <v>311</v>
      </c>
      <c r="U448" t="s">
        <v>266</v>
      </c>
      <c r="V448" t="s">
        <v>267</v>
      </c>
      <c r="W448" t="s">
        <v>268</v>
      </c>
      <c r="X448" t="s">
        <v>269</v>
      </c>
      <c r="Y448">
        <v>8883022894</v>
      </c>
      <c r="Z448" t="s">
        <v>270</v>
      </c>
      <c r="AA448" t="s">
        <v>271</v>
      </c>
      <c r="AB448">
        <v>0</v>
      </c>
      <c r="AC448" t="s">
        <v>1486</v>
      </c>
      <c r="AD448" t="s">
        <v>1487</v>
      </c>
      <c r="AE448" t="s">
        <v>301</v>
      </c>
      <c r="AF448">
        <v>1</v>
      </c>
      <c r="AG448" t="s">
        <v>275</v>
      </c>
      <c r="AH448" t="s">
        <v>3324</v>
      </c>
      <c r="AI448" t="s">
        <v>3325</v>
      </c>
      <c r="AJ448" t="s">
        <v>3207</v>
      </c>
      <c r="AK448" s="43" t="s">
        <v>3208</v>
      </c>
      <c r="AL448" s="43" t="s">
        <v>3209</v>
      </c>
      <c r="AO448" s="23"/>
      <c r="AP448" s="23"/>
      <c r="AQ448" s="23"/>
      <c r="BD448" s="43" t="s">
        <v>2018</v>
      </c>
      <c r="BE448" s="43" t="s">
        <v>2018</v>
      </c>
      <c r="BF448" s="43" t="s">
        <v>2018</v>
      </c>
      <c r="BG448" s="43" t="s">
        <v>2018</v>
      </c>
      <c r="BH448" t="s">
        <v>2018</v>
      </c>
      <c r="BI448" s="43" t="s">
        <v>2018</v>
      </c>
      <c r="BJ448">
        <v>0</v>
      </c>
      <c r="BK448">
        <v>44109</v>
      </c>
      <c r="BL448">
        <v>44356</v>
      </c>
      <c r="BM448">
        <v>8505</v>
      </c>
      <c r="BN448">
        <v>8505</v>
      </c>
      <c r="BO448">
        <v>8505</v>
      </c>
      <c r="BP448">
        <v>25515</v>
      </c>
      <c r="BQ448">
        <v>3300</v>
      </c>
      <c r="BR448">
        <v>400</v>
      </c>
      <c r="BS448">
        <v>400</v>
      </c>
      <c r="BT448">
        <v>4100</v>
      </c>
      <c r="BU448">
        <v>2100</v>
      </c>
      <c r="BV448">
        <v>2100</v>
      </c>
      <c r="BW448">
        <v>2100</v>
      </c>
      <c r="BX448">
        <v>6300</v>
      </c>
      <c r="BY448">
        <v>1200</v>
      </c>
      <c r="BZ448">
        <v>1200</v>
      </c>
      <c r="CA448">
        <v>1200</v>
      </c>
      <c r="CB448">
        <v>3600</v>
      </c>
      <c r="CC448">
        <v>0</v>
      </c>
      <c r="CD448">
        <v>0</v>
      </c>
      <c r="CE448">
        <v>0</v>
      </c>
      <c r="CF448">
        <v>0</v>
      </c>
      <c r="CG448">
        <v>39515</v>
      </c>
      <c r="CH448">
        <v>0</v>
      </c>
      <c r="CI448">
        <v>0</v>
      </c>
      <c r="CJ448">
        <v>0</v>
      </c>
      <c r="CK448">
        <v>0</v>
      </c>
      <c r="CL448">
        <v>2015</v>
      </c>
      <c r="CM448">
        <v>2015</v>
      </c>
      <c r="CN448">
        <v>2015</v>
      </c>
      <c r="CO448">
        <v>6045</v>
      </c>
      <c r="CP448">
        <v>500</v>
      </c>
      <c r="CQ448">
        <v>500</v>
      </c>
      <c r="CR448">
        <v>500</v>
      </c>
      <c r="CS448">
        <v>1500</v>
      </c>
      <c r="CT448">
        <v>1700</v>
      </c>
      <c r="CU448">
        <v>1700</v>
      </c>
      <c r="CV448">
        <v>1700</v>
      </c>
      <c r="CW448">
        <v>5100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12645</v>
      </c>
      <c r="EE448">
        <v>0</v>
      </c>
      <c r="EF448">
        <v>0</v>
      </c>
      <c r="EG448">
        <v>0</v>
      </c>
      <c r="EH448">
        <v>0</v>
      </c>
      <c r="EI448">
        <v>1154</v>
      </c>
      <c r="EJ448">
        <v>1154</v>
      </c>
      <c r="EK448">
        <v>1155</v>
      </c>
      <c r="EL448">
        <v>3500</v>
      </c>
      <c r="EM448">
        <v>37.065000000000005</v>
      </c>
      <c r="EN448">
        <v>1979</v>
      </c>
      <c r="EO448">
        <v>1979</v>
      </c>
      <c r="EP448">
        <v>1978</v>
      </c>
      <c r="EQ448">
        <v>6000</v>
      </c>
      <c r="ER448">
        <v>63.540000000000006</v>
      </c>
      <c r="ES448">
        <v>0</v>
      </c>
      <c r="ET448">
        <v>0</v>
      </c>
      <c r="EU448">
        <v>0</v>
      </c>
      <c r="EV448">
        <v>0</v>
      </c>
      <c r="EW448">
        <v>0</v>
      </c>
      <c r="FA448">
        <v>0</v>
      </c>
      <c r="FE448">
        <v>0</v>
      </c>
      <c r="FI448">
        <v>0</v>
      </c>
      <c r="FJ448">
        <v>9399.3950000000004</v>
      </c>
      <c r="FK448">
        <v>26870</v>
      </c>
      <c r="FL448">
        <v>18243.395221586397</v>
      </c>
      <c r="FM448">
        <v>17470.605</v>
      </c>
      <c r="FO448" t="s">
        <v>1483</v>
      </c>
      <c r="FP448" t="s">
        <v>1484</v>
      </c>
      <c r="FQ448" t="s">
        <v>297</v>
      </c>
      <c r="FR448" t="s">
        <v>1485</v>
      </c>
    </row>
    <row r="449" spans="1:174" x14ac:dyDescent="0.35">
      <c r="A449">
        <v>196303</v>
      </c>
      <c r="B449" t="s">
        <v>1488</v>
      </c>
      <c r="C449" t="s">
        <v>3792</v>
      </c>
      <c r="D449" t="s">
        <v>3793</v>
      </c>
      <c r="E449" s="43" t="s">
        <v>4187</v>
      </c>
      <c r="F449">
        <v>1</v>
      </c>
      <c r="I449">
        <v>43801</v>
      </c>
      <c r="L449" s="43" t="s">
        <v>3204</v>
      </c>
      <c r="M449" t="s">
        <v>3794</v>
      </c>
      <c r="N449" s="43"/>
      <c r="O449" s="43"/>
      <c r="P449" s="43"/>
      <c r="Q449" s="43"/>
      <c r="R449">
        <v>2.37</v>
      </c>
      <c r="S449">
        <v>44109</v>
      </c>
      <c r="T449" t="s">
        <v>311</v>
      </c>
      <c r="U449" t="s">
        <v>266</v>
      </c>
      <c r="V449" t="s">
        <v>267</v>
      </c>
      <c r="W449" t="s">
        <v>268</v>
      </c>
      <c r="X449" t="s">
        <v>269</v>
      </c>
      <c r="Y449">
        <v>8883022894</v>
      </c>
      <c r="Z449" t="s">
        <v>270</v>
      </c>
      <c r="AA449" t="s">
        <v>271</v>
      </c>
      <c r="AB449">
        <v>0</v>
      </c>
      <c r="AC449" t="s">
        <v>936</v>
      </c>
      <c r="AD449" t="s">
        <v>375</v>
      </c>
      <c r="AE449" t="s">
        <v>344</v>
      </c>
      <c r="AF449">
        <v>10</v>
      </c>
      <c r="AG449" t="s">
        <v>3345</v>
      </c>
      <c r="AH449" t="s">
        <v>3226</v>
      </c>
      <c r="AI449" t="s">
        <v>313</v>
      </c>
      <c r="AJ449" t="s">
        <v>3309</v>
      </c>
      <c r="AK449" s="43" t="s">
        <v>3208</v>
      </c>
      <c r="AL449" s="43" t="s">
        <v>3209</v>
      </c>
      <c r="AO449" s="23"/>
      <c r="AP449" s="23"/>
      <c r="AQ449" s="23"/>
      <c r="BD449" s="43" t="s">
        <v>2018</v>
      </c>
      <c r="BE449" s="43" t="s">
        <v>2018</v>
      </c>
      <c r="BF449" s="43" t="s">
        <v>2018</v>
      </c>
      <c r="BG449" s="43" t="s">
        <v>2018</v>
      </c>
      <c r="BH449" t="s">
        <v>2018</v>
      </c>
      <c r="BI449" s="43" t="s">
        <v>2018</v>
      </c>
      <c r="BJ449">
        <v>0</v>
      </c>
      <c r="BK449">
        <v>44109</v>
      </c>
      <c r="BL449">
        <v>44356</v>
      </c>
      <c r="BM449">
        <v>8505</v>
      </c>
      <c r="BN449">
        <v>8505</v>
      </c>
      <c r="BO449">
        <v>8505</v>
      </c>
      <c r="BP449">
        <v>25515</v>
      </c>
      <c r="BQ449">
        <v>3300</v>
      </c>
      <c r="BR449">
        <v>400</v>
      </c>
      <c r="BS449">
        <v>400</v>
      </c>
      <c r="BT449">
        <v>4100</v>
      </c>
      <c r="BU449">
        <v>2100</v>
      </c>
      <c r="BV449">
        <v>2100</v>
      </c>
      <c r="BW449">
        <v>2100</v>
      </c>
      <c r="BX449">
        <v>6300</v>
      </c>
      <c r="BY449">
        <v>1200</v>
      </c>
      <c r="BZ449">
        <v>1200</v>
      </c>
      <c r="CA449">
        <v>1200</v>
      </c>
      <c r="CB449">
        <v>3600</v>
      </c>
      <c r="CF449">
        <v>0</v>
      </c>
      <c r="CG449">
        <v>39515</v>
      </c>
      <c r="CK449">
        <v>0</v>
      </c>
      <c r="CL449">
        <v>2065</v>
      </c>
      <c r="CM449">
        <v>2065</v>
      </c>
      <c r="CN449">
        <v>2065</v>
      </c>
      <c r="CO449">
        <v>6195</v>
      </c>
      <c r="CP449">
        <v>500</v>
      </c>
      <c r="CQ449">
        <v>500</v>
      </c>
      <c r="CR449">
        <v>500</v>
      </c>
      <c r="CS449">
        <v>1500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N449">
        <v>0</v>
      </c>
      <c r="DO449">
        <v>0</v>
      </c>
      <c r="DP449">
        <v>0</v>
      </c>
      <c r="DR449">
        <v>0</v>
      </c>
      <c r="DS449">
        <v>0</v>
      </c>
      <c r="DT449">
        <v>0</v>
      </c>
      <c r="DY449">
        <v>0</v>
      </c>
      <c r="EC449">
        <v>0</v>
      </c>
      <c r="ED449">
        <v>7695</v>
      </c>
      <c r="EH449">
        <v>0</v>
      </c>
      <c r="EI449">
        <v>0</v>
      </c>
      <c r="EJ449">
        <v>0</v>
      </c>
      <c r="EK449">
        <v>0</v>
      </c>
      <c r="EM449">
        <v>0</v>
      </c>
      <c r="EN449">
        <v>660</v>
      </c>
      <c r="EO449">
        <v>660</v>
      </c>
      <c r="EP449">
        <v>659</v>
      </c>
      <c r="EQ449">
        <v>2000</v>
      </c>
      <c r="ER449">
        <v>21.24</v>
      </c>
      <c r="ES449">
        <v>0</v>
      </c>
      <c r="ET449">
        <v>0</v>
      </c>
      <c r="EU449">
        <v>0</v>
      </c>
      <c r="EW449">
        <v>0</v>
      </c>
      <c r="FA449">
        <v>0</v>
      </c>
      <c r="FE449">
        <v>0</v>
      </c>
      <c r="FI449">
        <v>0</v>
      </c>
      <c r="FJ449">
        <v>1978.76</v>
      </c>
      <c r="FK449">
        <v>31820</v>
      </c>
      <c r="FL449">
        <v>31165.134931907429</v>
      </c>
      <c r="FM449">
        <v>29841.24</v>
      </c>
      <c r="FO449" t="s">
        <v>3795</v>
      </c>
      <c r="FP449" t="s">
        <v>3796</v>
      </c>
      <c r="FQ449" t="s">
        <v>342</v>
      </c>
      <c r="FR449" t="s">
        <v>3797</v>
      </c>
    </row>
    <row r="450" spans="1:174" x14ac:dyDescent="0.35">
      <c r="A450">
        <v>196222</v>
      </c>
      <c r="B450" t="s">
        <v>1488</v>
      </c>
      <c r="C450" t="s">
        <v>1489</v>
      </c>
      <c r="D450" t="s">
        <v>1490</v>
      </c>
      <c r="E450" s="43" t="s">
        <v>1491</v>
      </c>
      <c r="F450">
        <v>1</v>
      </c>
      <c r="I450">
        <v>43782</v>
      </c>
      <c r="L450" s="43" t="s">
        <v>3204</v>
      </c>
      <c r="M450" t="s">
        <v>1492</v>
      </c>
      <c r="N450" s="43"/>
      <c r="O450" s="43"/>
      <c r="P450" s="43"/>
      <c r="Q450" s="43"/>
      <c r="R450">
        <v>2.746</v>
      </c>
      <c r="S450">
        <v>44109</v>
      </c>
      <c r="T450" t="s">
        <v>265</v>
      </c>
      <c r="U450" t="s">
        <v>266</v>
      </c>
      <c r="V450" t="s">
        <v>267</v>
      </c>
      <c r="W450" t="s">
        <v>268</v>
      </c>
      <c r="X450" t="s">
        <v>269</v>
      </c>
      <c r="Y450">
        <v>8883022894</v>
      </c>
      <c r="Z450" t="s">
        <v>270</v>
      </c>
      <c r="AA450" t="s">
        <v>271</v>
      </c>
      <c r="AB450">
        <v>0</v>
      </c>
      <c r="AC450">
        <v>0</v>
      </c>
      <c r="AD450" t="s">
        <v>313</v>
      </c>
      <c r="AE450" t="s">
        <v>274</v>
      </c>
      <c r="AF450">
        <v>9</v>
      </c>
      <c r="AG450" t="s">
        <v>275</v>
      </c>
      <c r="AH450" t="s">
        <v>3226</v>
      </c>
      <c r="AI450" t="s">
        <v>313</v>
      </c>
      <c r="AJ450" t="s">
        <v>3207</v>
      </c>
      <c r="AK450" s="43" t="s">
        <v>1715</v>
      </c>
      <c r="AL450" s="43" t="s">
        <v>259</v>
      </c>
      <c r="AO450" s="23"/>
      <c r="AP450" s="23"/>
      <c r="AQ450" s="23"/>
      <c r="BD450" s="43" t="s">
        <v>259</v>
      </c>
      <c r="BE450" s="43" t="s">
        <v>259</v>
      </c>
      <c r="BF450" s="43" t="s">
        <v>259</v>
      </c>
      <c r="BG450" s="43" t="s">
        <v>259</v>
      </c>
      <c r="BH450" t="s">
        <v>259</v>
      </c>
      <c r="BI450" s="43" t="s">
        <v>259</v>
      </c>
      <c r="BJ450">
        <v>0</v>
      </c>
      <c r="BK450">
        <v>44109</v>
      </c>
      <c r="BL450">
        <v>44356</v>
      </c>
      <c r="BM450">
        <v>8505</v>
      </c>
      <c r="BN450">
        <v>8505</v>
      </c>
      <c r="BO450">
        <v>8505</v>
      </c>
      <c r="BP450">
        <v>25515</v>
      </c>
      <c r="BQ450">
        <v>3300</v>
      </c>
      <c r="BR450">
        <v>400</v>
      </c>
      <c r="BS450">
        <v>400</v>
      </c>
      <c r="BT450">
        <v>4100</v>
      </c>
      <c r="BU450">
        <v>2100</v>
      </c>
      <c r="BV450">
        <v>2100</v>
      </c>
      <c r="BW450">
        <v>2100</v>
      </c>
      <c r="BX450">
        <v>6300</v>
      </c>
      <c r="BY450">
        <v>1200</v>
      </c>
      <c r="BZ450">
        <v>1200</v>
      </c>
      <c r="CA450">
        <v>1200</v>
      </c>
      <c r="CB450">
        <v>3600</v>
      </c>
      <c r="CC450">
        <v>0</v>
      </c>
      <c r="CD450">
        <v>0</v>
      </c>
      <c r="CE450">
        <v>0</v>
      </c>
      <c r="CF450">
        <v>0</v>
      </c>
      <c r="CG450">
        <v>39515</v>
      </c>
      <c r="CH450">
        <v>0</v>
      </c>
      <c r="CI450">
        <v>0</v>
      </c>
      <c r="CJ450">
        <v>0</v>
      </c>
      <c r="CK450">
        <v>0</v>
      </c>
      <c r="CL450">
        <v>2065</v>
      </c>
      <c r="CM450">
        <v>2065</v>
      </c>
      <c r="CN450">
        <v>2065</v>
      </c>
      <c r="CO450">
        <v>6195</v>
      </c>
      <c r="CP450">
        <v>500</v>
      </c>
      <c r="CQ450">
        <v>500</v>
      </c>
      <c r="CR450">
        <v>500</v>
      </c>
      <c r="CS450">
        <v>1500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7695</v>
      </c>
      <c r="EE450">
        <v>0</v>
      </c>
      <c r="EF450">
        <v>0</v>
      </c>
      <c r="EG450">
        <v>0</v>
      </c>
      <c r="EH450">
        <v>0</v>
      </c>
      <c r="EI450">
        <v>1154</v>
      </c>
      <c r="EJ450">
        <v>1154</v>
      </c>
      <c r="EK450">
        <v>1155</v>
      </c>
      <c r="EL450">
        <v>3500</v>
      </c>
      <c r="EM450">
        <v>37.065000000000005</v>
      </c>
      <c r="EN450">
        <v>660</v>
      </c>
      <c r="EO450">
        <v>660</v>
      </c>
      <c r="EP450">
        <v>659</v>
      </c>
      <c r="EQ450">
        <v>2000</v>
      </c>
      <c r="ER450">
        <v>21.18</v>
      </c>
      <c r="ES450">
        <v>0</v>
      </c>
      <c r="ET450">
        <v>0</v>
      </c>
      <c r="EU450">
        <v>0</v>
      </c>
      <c r="EV450">
        <v>0</v>
      </c>
      <c r="EW450">
        <v>0</v>
      </c>
      <c r="FA450">
        <v>0</v>
      </c>
      <c r="FE450">
        <v>0</v>
      </c>
      <c r="FI450">
        <v>0</v>
      </c>
      <c r="FJ450">
        <v>5441.7550000000001</v>
      </c>
      <c r="FK450">
        <v>31820</v>
      </c>
      <c r="FL450">
        <v>27545.053464767552</v>
      </c>
      <c r="FM450">
        <v>26378.244999999999</v>
      </c>
      <c r="FO450" t="s">
        <v>1493</v>
      </c>
      <c r="FP450" t="s">
        <v>3565</v>
      </c>
      <c r="FQ450" t="s">
        <v>1091</v>
      </c>
      <c r="FR450" t="s">
        <v>3566</v>
      </c>
    </row>
    <row r="451" spans="1:174" x14ac:dyDescent="0.35">
      <c r="A451">
        <v>198355</v>
      </c>
      <c r="B451" t="s">
        <v>1494</v>
      </c>
      <c r="C451" t="s">
        <v>1193</v>
      </c>
      <c r="D451" t="s">
        <v>1495</v>
      </c>
      <c r="E451" s="43" t="s">
        <v>1496</v>
      </c>
      <c r="F451">
        <v>1</v>
      </c>
      <c r="G451">
        <v>43783</v>
      </c>
      <c r="H451">
        <v>43783</v>
      </c>
      <c r="I451">
        <v>43783</v>
      </c>
      <c r="L451" s="43" t="s">
        <v>3204</v>
      </c>
      <c r="M451" t="s">
        <v>1497</v>
      </c>
      <c r="N451" s="43"/>
      <c r="O451" s="43"/>
      <c r="P451" s="43"/>
      <c r="Q451" s="43"/>
      <c r="R451">
        <v>3.9523999999999999</v>
      </c>
      <c r="S451">
        <v>44109</v>
      </c>
      <c r="T451" t="s">
        <v>311</v>
      </c>
      <c r="U451" t="s">
        <v>266</v>
      </c>
      <c r="V451" t="s">
        <v>267</v>
      </c>
      <c r="W451" t="s">
        <v>268</v>
      </c>
      <c r="X451" t="s">
        <v>269</v>
      </c>
      <c r="Y451">
        <v>8883022894</v>
      </c>
      <c r="Z451" t="s">
        <v>270</v>
      </c>
      <c r="AA451" t="s">
        <v>271</v>
      </c>
      <c r="AB451" t="s">
        <v>374</v>
      </c>
      <c r="AC451">
        <v>0</v>
      </c>
      <c r="AD451" t="s">
        <v>300</v>
      </c>
      <c r="AE451" t="s">
        <v>301</v>
      </c>
      <c r="AF451">
        <v>1</v>
      </c>
      <c r="AG451" t="s">
        <v>275</v>
      </c>
      <c r="AH451" t="s">
        <v>3264</v>
      </c>
      <c r="AI451" t="s">
        <v>3265</v>
      </c>
      <c r="AJ451" t="s">
        <v>3207</v>
      </c>
      <c r="AK451" s="43" t="s">
        <v>1715</v>
      </c>
      <c r="AL451" s="43" t="s">
        <v>259</v>
      </c>
      <c r="AO451" s="23"/>
      <c r="AP451" s="23"/>
      <c r="AQ451" s="23"/>
      <c r="BD451" s="43" t="s">
        <v>259</v>
      </c>
      <c r="BE451" s="43" t="s">
        <v>259</v>
      </c>
      <c r="BF451" s="43" t="s">
        <v>259</v>
      </c>
      <c r="BG451" s="43" t="s">
        <v>259</v>
      </c>
      <c r="BH451" t="s">
        <v>259</v>
      </c>
      <c r="BI451" s="43" t="s">
        <v>259</v>
      </c>
      <c r="BJ451">
        <v>0</v>
      </c>
      <c r="BK451">
        <v>44109</v>
      </c>
      <c r="BL451">
        <v>44356</v>
      </c>
      <c r="BM451">
        <v>8505</v>
      </c>
      <c r="BN451">
        <v>8505</v>
      </c>
      <c r="BO451">
        <v>8505</v>
      </c>
      <c r="BP451">
        <v>25515</v>
      </c>
      <c r="BQ451">
        <v>3300</v>
      </c>
      <c r="BR451">
        <v>400</v>
      </c>
      <c r="BS451">
        <v>400</v>
      </c>
      <c r="BT451">
        <v>4100</v>
      </c>
      <c r="BU451">
        <v>2100</v>
      </c>
      <c r="BV451">
        <v>2100</v>
      </c>
      <c r="BW451">
        <v>2100</v>
      </c>
      <c r="BX451">
        <v>6300</v>
      </c>
      <c r="BY451">
        <v>1200</v>
      </c>
      <c r="BZ451">
        <v>1200</v>
      </c>
      <c r="CA451">
        <v>1200</v>
      </c>
      <c r="CB451">
        <v>3600</v>
      </c>
      <c r="CC451">
        <v>0</v>
      </c>
      <c r="CD451">
        <v>0</v>
      </c>
      <c r="CE451">
        <v>0</v>
      </c>
      <c r="CF451">
        <v>0</v>
      </c>
      <c r="CG451">
        <v>39515</v>
      </c>
      <c r="CH451">
        <v>0</v>
      </c>
      <c r="CI451">
        <v>0</v>
      </c>
      <c r="CJ451">
        <v>0</v>
      </c>
      <c r="CK451">
        <v>0</v>
      </c>
      <c r="CL451">
        <v>882</v>
      </c>
      <c r="CM451">
        <v>882</v>
      </c>
      <c r="CN451">
        <v>881</v>
      </c>
      <c r="CO451">
        <v>2645</v>
      </c>
      <c r="CP451">
        <v>500</v>
      </c>
      <c r="CQ451">
        <v>500</v>
      </c>
      <c r="CR451">
        <v>500</v>
      </c>
      <c r="CS451">
        <v>1500</v>
      </c>
      <c r="CT451">
        <v>1700</v>
      </c>
      <c r="CU451">
        <v>1700</v>
      </c>
      <c r="CV451">
        <v>1700</v>
      </c>
      <c r="CW451">
        <v>5100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9245</v>
      </c>
      <c r="EE451">
        <v>0</v>
      </c>
      <c r="EF451">
        <v>0</v>
      </c>
      <c r="EG451">
        <v>0</v>
      </c>
      <c r="EH451">
        <v>0</v>
      </c>
      <c r="EI451">
        <v>1154</v>
      </c>
      <c r="EJ451">
        <v>1154</v>
      </c>
      <c r="EK451">
        <v>1155</v>
      </c>
      <c r="EL451">
        <v>3500</v>
      </c>
      <c r="EM451">
        <v>37.065000000000005</v>
      </c>
      <c r="EN451">
        <v>660</v>
      </c>
      <c r="EO451">
        <v>660</v>
      </c>
      <c r="EP451">
        <v>659</v>
      </c>
      <c r="EQ451">
        <v>2000</v>
      </c>
      <c r="ER451">
        <v>21.18</v>
      </c>
      <c r="ES451">
        <v>0</v>
      </c>
      <c r="ET451">
        <v>0</v>
      </c>
      <c r="EU451">
        <v>0</v>
      </c>
      <c r="EV451">
        <v>0</v>
      </c>
      <c r="EW451">
        <v>0</v>
      </c>
      <c r="FA451">
        <v>0</v>
      </c>
      <c r="FE451">
        <v>0</v>
      </c>
      <c r="FI451">
        <v>0</v>
      </c>
      <c r="FJ451">
        <v>5441.7550000000001</v>
      </c>
      <c r="FK451">
        <v>30270</v>
      </c>
      <c r="FL451">
        <v>25926.491165782547</v>
      </c>
      <c r="FM451">
        <v>24828.244999999999</v>
      </c>
      <c r="FO451" t="s">
        <v>1498</v>
      </c>
      <c r="FP451" t="s">
        <v>1499</v>
      </c>
      <c r="FQ451" t="s">
        <v>553</v>
      </c>
      <c r="FR451" t="s">
        <v>1500</v>
      </c>
    </row>
    <row r="452" spans="1:174" x14ac:dyDescent="0.35">
      <c r="A452">
        <v>196426</v>
      </c>
      <c r="B452" t="s">
        <v>1501</v>
      </c>
      <c r="C452" t="s">
        <v>537</v>
      </c>
      <c r="D452" t="s">
        <v>1502</v>
      </c>
      <c r="E452" s="43" t="s">
        <v>1503</v>
      </c>
      <c r="L452" s="43" t="s">
        <v>259</v>
      </c>
      <c r="M452" t="s">
        <v>1504</v>
      </c>
      <c r="N452" s="43"/>
      <c r="O452" s="43"/>
      <c r="P452" s="43"/>
      <c r="Q452" s="43"/>
      <c r="R452">
        <v>3.57</v>
      </c>
      <c r="S452">
        <v>44109</v>
      </c>
      <c r="T452" t="s">
        <v>311</v>
      </c>
      <c r="U452" t="s">
        <v>266</v>
      </c>
      <c r="V452" t="s">
        <v>267</v>
      </c>
      <c r="W452" t="s">
        <v>268</v>
      </c>
      <c r="X452" t="s">
        <v>269</v>
      </c>
      <c r="Y452">
        <v>8883022894</v>
      </c>
      <c r="Z452" t="s">
        <v>270</v>
      </c>
      <c r="AA452" t="s">
        <v>271</v>
      </c>
      <c r="AB452">
        <v>0</v>
      </c>
      <c r="AC452">
        <v>0</v>
      </c>
      <c r="AD452" t="s">
        <v>313</v>
      </c>
      <c r="AE452" t="s">
        <v>376</v>
      </c>
      <c r="AF452">
        <v>7</v>
      </c>
      <c r="AG452" t="s">
        <v>275</v>
      </c>
      <c r="AH452" t="s">
        <v>259</v>
      </c>
      <c r="AI452" t="s">
        <v>259</v>
      </c>
      <c r="AJ452" t="s">
        <v>259</v>
      </c>
      <c r="AK452" s="43" t="s">
        <v>259</v>
      </c>
      <c r="AL452" s="43" t="s">
        <v>259</v>
      </c>
      <c r="AO452" s="23"/>
      <c r="AP452" s="23"/>
      <c r="AQ452" s="23"/>
      <c r="BD452" s="43" t="s">
        <v>259</v>
      </c>
      <c r="BE452" s="43" t="s">
        <v>259</v>
      </c>
      <c r="BF452" s="43" t="s">
        <v>259</v>
      </c>
      <c r="BG452" s="43" t="s">
        <v>259</v>
      </c>
      <c r="BH452" t="s">
        <v>259</v>
      </c>
      <c r="BI452" s="43" t="s">
        <v>259</v>
      </c>
      <c r="BJ452">
        <v>0</v>
      </c>
      <c r="BK452">
        <v>44109</v>
      </c>
      <c r="BL452">
        <v>44356</v>
      </c>
      <c r="BM452">
        <v>8505</v>
      </c>
      <c r="BN452">
        <v>8505</v>
      </c>
      <c r="BO452">
        <v>8505</v>
      </c>
      <c r="BP452">
        <v>25515</v>
      </c>
      <c r="BQ452">
        <v>3300</v>
      </c>
      <c r="BR452">
        <v>400</v>
      </c>
      <c r="BS452">
        <v>400</v>
      </c>
      <c r="BT452">
        <v>4100</v>
      </c>
      <c r="BU452">
        <v>2100</v>
      </c>
      <c r="BV452">
        <v>2100</v>
      </c>
      <c r="BW452">
        <v>2100</v>
      </c>
      <c r="BX452">
        <v>6300</v>
      </c>
      <c r="BY452">
        <v>1200</v>
      </c>
      <c r="BZ452">
        <v>1200</v>
      </c>
      <c r="CA452">
        <v>1200</v>
      </c>
      <c r="CB452">
        <v>3600</v>
      </c>
      <c r="CC452">
        <v>0</v>
      </c>
      <c r="CD452">
        <v>0</v>
      </c>
      <c r="CE452">
        <v>0</v>
      </c>
      <c r="CF452">
        <v>0</v>
      </c>
      <c r="CG452">
        <v>39515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1154</v>
      </c>
      <c r="EJ452">
        <v>1154</v>
      </c>
      <c r="EK452">
        <v>1155</v>
      </c>
      <c r="EL452">
        <v>3500</v>
      </c>
      <c r="EM452">
        <v>37.065000000000005</v>
      </c>
      <c r="EN452">
        <v>660</v>
      </c>
      <c r="EO452">
        <v>660</v>
      </c>
      <c r="EP452">
        <v>659</v>
      </c>
      <c r="EQ452">
        <v>2000</v>
      </c>
      <c r="ER452">
        <v>21.18</v>
      </c>
      <c r="ES452">
        <v>0</v>
      </c>
      <c r="ET452">
        <v>0</v>
      </c>
      <c r="EU452">
        <v>0</v>
      </c>
      <c r="EV452">
        <v>0</v>
      </c>
      <c r="EW452">
        <v>0</v>
      </c>
      <c r="FA452">
        <v>0</v>
      </c>
      <c r="FE452">
        <v>0</v>
      </c>
      <c r="FI452">
        <v>0</v>
      </c>
      <c r="FJ452">
        <v>5441.7550000000001</v>
      </c>
      <c r="FK452">
        <v>39515</v>
      </c>
      <c r="FL452">
        <v>35580.43210392214</v>
      </c>
      <c r="FM452">
        <v>34073.245000000003</v>
      </c>
      <c r="FO452" t="s">
        <v>1505</v>
      </c>
      <c r="FP452" t="s">
        <v>1506</v>
      </c>
      <c r="FQ452" t="s">
        <v>1296</v>
      </c>
      <c r="FR452" t="s">
        <v>1507</v>
      </c>
    </row>
    <row r="453" spans="1:174" x14ac:dyDescent="0.35">
      <c r="A453">
        <v>195084</v>
      </c>
      <c r="B453" t="s">
        <v>1508</v>
      </c>
      <c r="C453" t="s">
        <v>1450</v>
      </c>
      <c r="D453" t="s">
        <v>1509</v>
      </c>
      <c r="E453" s="43" t="s">
        <v>1510</v>
      </c>
      <c r="F453">
        <v>1</v>
      </c>
      <c r="I453">
        <v>43795</v>
      </c>
      <c r="L453" s="43" t="s">
        <v>3204</v>
      </c>
      <c r="M453" t="s">
        <v>1511</v>
      </c>
      <c r="N453" s="43"/>
      <c r="O453" s="43"/>
      <c r="P453" s="43"/>
      <c r="Q453" s="43"/>
      <c r="R453">
        <v>2.8094999999999999</v>
      </c>
      <c r="S453">
        <v>44109</v>
      </c>
      <c r="T453" t="s">
        <v>265</v>
      </c>
      <c r="U453" t="s">
        <v>266</v>
      </c>
      <c r="V453" t="s">
        <v>267</v>
      </c>
      <c r="W453" t="s">
        <v>268</v>
      </c>
      <c r="X453" t="s">
        <v>269</v>
      </c>
      <c r="Y453">
        <v>8883022894</v>
      </c>
      <c r="Z453" t="s">
        <v>270</v>
      </c>
      <c r="AA453" t="s">
        <v>271</v>
      </c>
      <c r="AB453" t="s">
        <v>374</v>
      </c>
      <c r="AC453">
        <v>0</v>
      </c>
      <c r="AD453" t="s">
        <v>375</v>
      </c>
      <c r="AE453" t="s">
        <v>354</v>
      </c>
      <c r="AF453">
        <v>6</v>
      </c>
      <c r="AG453" t="s">
        <v>275</v>
      </c>
      <c r="AH453" t="s">
        <v>3266</v>
      </c>
      <c r="AI453" t="s">
        <v>3267</v>
      </c>
      <c r="AJ453" t="s">
        <v>3207</v>
      </c>
      <c r="AK453" s="43" t="s">
        <v>3208</v>
      </c>
      <c r="AL453" s="43" t="s">
        <v>3209</v>
      </c>
      <c r="AO453" s="23"/>
      <c r="AP453" s="23"/>
      <c r="AQ453" s="23"/>
      <c r="BD453" s="43" t="s">
        <v>2018</v>
      </c>
      <c r="BE453" s="43" t="s">
        <v>2018</v>
      </c>
      <c r="BF453" s="43" t="s">
        <v>2018</v>
      </c>
      <c r="BG453" s="43" t="s">
        <v>2018</v>
      </c>
      <c r="BH453" t="s">
        <v>2018</v>
      </c>
      <c r="BI453" s="43" t="s">
        <v>2018</v>
      </c>
      <c r="BJ453">
        <v>0</v>
      </c>
      <c r="BK453">
        <v>44109</v>
      </c>
      <c r="BL453">
        <v>44356</v>
      </c>
      <c r="BM453">
        <v>8505</v>
      </c>
      <c r="BN453">
        <v>8505</v>
      </c>
      <c r="BO453">
        <v>8505</v>
      </c>
      <c r="BP453">
        <v>25515</v>
      </c>
      <c r="BQ453">
        <v>3300</v>
      </c>
      <c r="BR453">
        <v>400</v>
      </c>
      <c r="BS453">
        <v>400</v>
      </c>
      <c r="BT453">
        <v>4100</v>
      </c>
      <c r="BU453">
        <v>2100</v>
      </c>
      <c r="BV453">
        <v>2100</v>
      </c>
      <c r="BW453">
        <v>2100</v>
      </c>
      <c r="BX453">
        <v>6300</v>
      </c>
      <c r="BY453">
        <v>1200</v>
      </c>
      <c r="BZ453">
        <v>1200</v>
      </c>
      <c r="CA453">
        <v>1200</v>
      </c>
      <c r="CB453">
        <v>3600</v>
      </c>
      <c r="CC453">
        <v>0</v>
      </c>
      <c r="CD453">
        <v>0</v>
      </c>
      <c r="CE453">
        <v>0</v>
      </c>
      <c r="CF453">
        <v>0</v>
      </c>
      <c r="CG453">
        <v>39515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750</v>
      </c>
      <c r="CU453">
        <v>750</v>
      </c>
      <c r="CV453">
        <v>750</v>
      </c>
      <c r="CW453">
        <v>2250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1000</v>
      </c>
      <c r="DG453">
        <v>1000</v>
      </c>
      <c r="DH453">
        <v>1000</v>
      </c>
      <c r="DI453">
        <v>3000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5250</v>
      </c>
      <c r="EE453">
        <v>0</v>
      </c>
      <c r="EF453">
        <v>0</v>
      </c>
      <c r="EG453">
        <v>0</v>
      </c>
      <c r="EH453">
        <v>0</v>
      </c>
      <c r="EI453">
        <v>1154</v>
      </c>
      <c r="EJ453">
        <v>1154</v>
      </c>
      <c r="EK453">
        <v>1155</v>
      </c>
      <c r="EL453">
        <v>3500</v>
      </c>
      <c r="EM453">
        <v>37.065000000000005</v>
      </c>
      <c r="EN453">
        <v>660</v>
      </c>
      <c r="EO453">
        <v>660</v>
      </c>
      <c r="EP453">
        <v>659</v>
      </c>
      <c r="EQ453">
        <v>2000</v>
      </c>
      <c r="ER453">
        <v>21.18</v>
      </c>
      <c r="ES453">
        <v>0</v>
      </c>
      <c r="ET453">
        <v>0</v>
      </c>
      <c r="EU453">
        <v>0</v>
      </c>
      <c r="EV453">
        <v>0</v>
      </c>
      <c r="EW453">
        <v>0</v>
      </c>
      <c r="FA453">
        <v>0</v>
      </c>
      <c r="FE453">
        <v>0</v>
      </c>
      <c r="FI453">
        <v>0</v>
      </c>
      <c r="FJ453">
        <v>5441.7550000000001</v>
      </c>
      <c r="FK453">
        <v>34265</v>
      </c>
      <c r="FL453">
        <v>30098.204962198735</v>
      </c>
      <c r="FM453">
        <v>28823.244999999999</v>
      </c>
      <c r="FO453" t="s">
        <v>1512</v>
      </c>
      <c r="FP453" t="s">
        <v>1513</v>
      </c>
      <c r="FQ453" t="s">
        <v>1514</v>
      </c>
      <c r="FR453" t="s">
        <v>1515</v>
      </c>
    </row>
    <row r="454" spans="1:174" x14ac:dyDescent="0.35">
      <c r="A454">
        <v>196010</v>
      </c>
      <c r="B454" t="s">
        <v>1516</v>
      </c>
      <c r="C454" t="s">
        <v>1517</v>
      </c>
      <c r="D454" t="s">
        <v>1518</v>
      </c>
      <c r="E454" s="43" t="s">
        <v>1519</v>
      </c>
      <c r="L454" s="43" t="s">
        <v>3204</v>
      </c>
      <c r="M454" t="s">
        <v>1520</v>
      </c>
      <c r="N454" s="43"/>
      <c r="O454" s="43"/>
      <c r="P454" s="43"/>
      <c r="Q454" s="43"/>
      <c r="R454">
        <v>3.5</v>
      </c>
      <c r="S454">
        <v>44109</v>
      </c>
      <c r="T454" t="s">
        <v>265</v>
      </c>
      <c r="U454" t="s">
        <v>266</v>
      </c>
      <c r="V454" t="s">
        <v>267</v>
      </c>
      <c r="W454" t="s">
        <v>268</v>
      </c>
      <c r="X454" t="s">
        <v>269</v>
      </c>
      <c r="Y454">
        <v>8883022894</v>
      </c>
      <c r="Z454" t="s">
        <v>270</v>
      </c>
      <c r="AA454" t="s">
        <v>271</v>
      </c>
      <c r="AB454" t="s">
        <v>386</v>
      </c>
      <c r="AC454">
        <v>0</v>
      </c>
      <c r="AD454" t="s">
        <v>387</v>
      </c>
      <c r="AE454" t="s">
        <v>301</v>
      </c>
      <c r="AF454">
        <v>1</v>
      </c>
      <c r="AG454" t="s">
        <v>275</v>
      </c>
      <c r="AH454" t="s">
        <v>3861</v>
      </c>
      <c r="AI454" t="s">
        <v>3862</v>
      </c>
      <c r="AJ454" t="s">
        <v>3821</v>
      </c>
      <c r="AK454" s="43" t="s">
        <v>3208</v>
      </c>
      <c r="AL454" s="43" t="s">
        <v>3209</v>
      </c>
      <c r="AO454" s="23"/>
      <c r="AP454" s="23"/>
      <c r="AQ454" s="23"/>
      <c r="BD454" s="43" t="s">
        <v>2018</v>
      </c>
      <c r="BE454" s="43" t="s">
        <v>2018</v>
      </c>
      <c r="BF454" s="43" t="s">
        <v>2018</v>
      </c>
      <c r="BG454" s="43" t="s">
        <v>2018</v>
      </c>
      <c r="BH454" t="s">
        <v>2018</v>
      </c>
      <c r="BI454" s="43" t="s">
        <v>2018</v>
      </c>
      <c r="BJ454">
        <v>0</v>
      </c>
      <c r="BK454">
        <v>44109</v>
      </c>
      <c r="BL454">
        <v>44356</v>
      </c>
      <c r="BM454">
        <v>8505</v>
      </c>
      <c r="BN454">
        <v>8505</v>
      </c>
      <c r="BO454">
        <v>8505</v>
      </c>
      <c r="BP454">
        <v>25515</v>
      </c>
      <c r="BQ454">
        <v>3300</v>
      </c>
      <c r="BR454">
        <v>400</v>
      </c>
      <c r="BS454">
        <v>400</v>
      </c>
      <c r="BT454">
        <v>4100</v>
      </c>
      <c r="BU454">
        <v>2100</v>
      </c>
      <c r="BV454">
        <v>2100</v>
      </c>
      <c r="BW454">
        <v>2100</v>
      </c>
      <c r="BX454">
        <v>6300</v>
      </c>
      <c r="BY454">
        <v>1200</v>
      </c>
      <c r="BZ454">
        <v>1200</v>
      </c>
      <c r="CA454">
        <v>1200</v>
      </c>
      <c r="CB454">
        <v>3600</v>
      </c>
      <c r="CC454">
        <v>0</v>
      </c>
      <c r="CD454">
        <v>0</v>
      </c>
      <c r="CE454">
        <v>0</v>
      </c>
      <c r="CF454">
        <v>0</v>
      </c>
      <c r="CG454">
        <v>39515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1700</v>
      </c>
      <c r="CU454">
        <v>1700</v>
      </c>
      <c r="CV454">
        <v>1700</v>
      </c>
      <c r="CW454">
        <v>5100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N454">
        <v>0</v>
      </c>
      <c r="DO454">
        <v>0</v>
      </c>
      <c r="DP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5100</v>
      </c>
      <c r="EE454">
        <v>0</v>
      </c>
      <c r="EF454">
        <v>0</v>
      </c>
      <c r="EG454">
        <v>0</v>
      </c>
      <c r="EH454">
        <v>0</v>
      </c>
      <c r="EI454">
        <v>1154</v>
      </c>
      <c r="EJ454">
        <v>1154</v>
      </c>
      <c r="EK454">
        <v>1155</v>
      </c>
      <c r="EL454">
        <v>3500</v>
      </c>
      <c r="EM454">
        <v>37.065000000000005</v>
      </c>
      <c r="EN454">
        <v>660</v>
      </c>
      <c r="EO454">
        <v>660</v>
      </c>
      <c r="EP454">
        <v>659</v>
      </c>
      <c r="EQ454">
        <v>2000</v>
      </c>
      <c r="ER454">
        <v>21.18</v>
      </c>
      <c r="ES454">
        <v>0</v>
      </c>
      <c r="ET454">
        <v>0</v>
      </c>
      <c r="EU454">
        <v>0</v>
      </c>
      <c r="EV454">
        <v>0</v>
      </c>
      <c r="EW454">
        <v>0</v>
      </c>
      <c r="FA454">
        <v>0</v>
      </c>
      <c r="FE454">
        <v>0</v>
      </c>
      <c r="FI454">
        <v>0</v>
      </c>
      <c r="FJ454">
        <v>5441.7550000000001</v>
      </c>
      <c r="FK454">
        <v>34415</v>
      </c>
      <c r="FL454">
        <v>30258.631673489846</v>
      </c>
      <c r="FM454">
        <v>28973.244999999999</v>
      </c>
      <c r="FO454" t="s">
        <v>1521</v>
      </c>
      <c r="FP454" t="s">
        <v>1522</v>
      </c>
      <c r="FQ454" t="s">
        <v>524</v>
      </c>
      <c r="FR454" t="s">
        <v>1523</v>
      </c>
    </row>
    <row r="455" spans="1:174" x14ac:dyDescent="0.35">
      <c r="A455">
        <v>196057</v>
      </c>
      <c r="B455" t="s">
        <v>1516</v>
      </c>
      <c r="C455" t="s">
        <v>3948</v>
      </c>
      <c r="D455" t="s">
        <v>3949</v>
      </c>
      <c r="E455" s="43" t="s">
        <v>4223</v>
      </c>
      <c r="J455" t="s">
        <v>3830</v>
      </c>
      <c r="L455" s="43" t="s">
        <v>259</v>
      </c>
      <c r="M455" t="s">
        <v>3950</v>
      </c>
      <c r="N455" s="43"/>
      <c r="O455" s="43"/>
      <c r="P455" s="43"/>
      <c r="Q455" s="43"/>
      <c r="R455">
        <v>3.2618999999999998</v>
      </c>
      <c r="S455">
        <v>44109</v>
      </c>
      <c r="T455" t="s">
        <v>265</v>
      </c>
      <c r="U455" t="s">
        <v>312</v>
      </c>
      <c r="V455" t="s">
        <v>267</v>
      </c>
      <c r="W455" t="s">
        <v>268</v>
      </c>
      <c r="X455" t="s">
        <v>269</v>
      </c>
      <c r="Y455">
        <v>8883022894</v>
      </c>
      <c r="Z455" t="s">
        <v>270</v>
      </c>
      <c r="AA455" t="s">
        <v>271</v>
      </c>
      <c r="AB455" t="s">
        <v>842</v>
      </c>
      <c r="AC455">
        <v>0</v>
      </c>
      <c r="AD455" t="s">
        <v>353</v>
      </c>
      <c r="AE455" t="s">
        <v>416</v>
      </c>
      <c r="AF455">
        <v>5</v>
      </c>
      <c r="AG455" t="s">
        <v>3345</v>
      </c>
      <c r="AH455" t="s">
        <v>259</v>
      </c>
      <c r="AI455" t="s">
        <v>259</v>
      </c>
      <c r="AJ455" t="s">
        <v>259</v>
      </c>
      <c r="AK455" s="43" t="s">
        <v>259</v>
      </c>
      <c r="AL455" s="43" t="s">
        <v>259</v>
      </c>
      <c r="AO455" s="23"/>
      <c r="AP455" s="23"/>
      <c r="AQ455" s="23"/>
      <c r="BD455" s="43" t="s">
        <v>259</v>
      </c>
      <c r="BE455" s="43" t="s">
        <v>259</v>
      </c>
      <c r="BF455" s="43" t="s">
        <v>259</v>
      </c>
      <c r="BG455" s="43" t="s">
        <v>259</v>
      </c>
      <c r="BH455" t="s">
        <v>259</v>
      </c>
      <c r="BI455" s="43" t="s">
        <v>259</v>
      </c>
      <c r="BJ455">
        <v>0</v>
      </c>
      <c r="BK455">
        <v>44109</v>
      </c>
      <c r="BL455">
        <v>44356</v>
      </c>
      <c r="BP455">
        <v>0</v>
      </c>
      <c r="BT455">
        <v>0</v>
      </c>
      <c r="BX455">
        <v>0</v>
      </c>
      <c r="CB455">
        <v>0</v>
      </c>
      <c r="CF455">
        <v>0</v>
      </c>
      <c r="CG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1000</v>
      </c>
      <c r="CU455">
        <v>1000</v>
      </c>
      <c r="CV455">
        <v>1000</v>
      </c>
      <c r="CW455">
        <v>3000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N455">
        <v>0</v>
      </c>
      <c r="DO455">
        <v>0</v>
      </c>
      <c r="DP455">
        <v>0</v>
      </c>
      <c r="DR455">
        <v>0</v>
      </c>
      <c r="DS455">
        <v>0</v>
      </c>
      <c r="DT455">
        <v>0</v>
      </c>
      <c r="DY455">
        <v>0</v>
      </c>
      <c r="EC455">
        <v>0</v>
      </c>
      <c r="ED455">
        <v>3000</v>
      </c>
      <c r="EH455">
        <v>0</v>
      </c>
      <c r="EI455">
        <v>0</v>
      </c>
      <c r="EJ455">
        <v>0</v>
      </c>
      <c r="EK455">
        <v>0</v>
      </c>
      <c r="EM455">
        <v>0</v>
      </c>
      <c r="EN455">
        <v>660</v>
      </c>
      <c r="EO455">
        <v>660</v>
      </c>
      <c r="EP455">
        <v>659</v>
      </c>
      <c r="EQ455">
        <v>2000</v>
      </c>
      <c r="ER455">
        <v>21.24</v>
      </c>
      <c r="ES455">
        <v>0</v>
      </c>
      <c r="ET455">
        <v>0</v>
      </c>
      <c r="EU455">
        <v>0</v>
      </c>
      <c r="EW455">
        <v>0</v>
      </c>
      <c r="FA455">
        <v>0</v>
      </c>
      <c r="FE455">
        <v>0</v>
      </c>
      <c r="FI455">
        <v>0</v>
      </c>
      <c r="FJ455">
        <v>1978.76</v>
      </c>
      <c r="FK455">
        <v>-3000</v>
      </c>
      <c r="FL455">
        <v>-5199.6407385746516</v>
      </c>
      <c r="FM455">
        <v>-4978.76</v>
      </c>
      <c r="FO455" t="s">
        <v>3951</v>
      </c>
      <c r="FP455" t="s">
        <v>3952</v>
      </c>
      <c r="FQ455" t="s">
        <v>263</v>
      </c>
      <c r="FR455" t="s">
        <v>3953</v>
      </c>
    </row>
    <row r="456" spans="1:174" x14ac:dyDescent="0.35">
      <c r="A456">
        <v>197336</v>
      </c>
      <c r="B456" t="s">
        <v>1524</v>
      </c>
      <c r="C456" t="s">
        <v>1525</v>
      </c>
      <c r="D456" t="s">
        <v>1526</v>
      </c>
      <c r="E456" s="43" t="s">
        <v>1527</v>
      </c>
      <c r="L456" s="43" t="s">
        <v>3204</v>
      </c>
      <c r="M456" t="s">
        <v>1528</v>
      </c>
      <c r="N456" s="43"/>
      <c r="O456" s="43"/>
      <c r="P456" s="43"/>
      <c r="Q456" s="43"/>
      <c r="R456">
        <v>2.75</v>
      </c>
      <c r="S456">
        <v>44109</v>
      </c>
      <c r="T456" t="s">
        <v>311</v>
      </c>
      <c r="U456" t="s">
        <v>266</v>
      </c>
      <c r="V456" t="s">
        <v>267</v>
      </c>
      <c r="W456" t="s">
        <v>268</v>
      </c>
      <c r="X456" t="s">
        <v>269</v>
      </c>
      <c r="Y456">
        <v>8883022894</v>
      </c>
      <c r="Z456" t="s">
        <v>508</v>
      </c>
      <c r="AA456" t="s">
        <v>271</v>
      </c>
      <c r="AB456" t="s">
        <v>545</v>
      </c>
      <c r="AC456">
        <v>0</v>
      </c>
      <c r="AD456" t="s">
        <v>771</v>
      </c>
      <c r="AE456" t="s">
        <v>445</v>
      </c>
      <c r="AF456">
        <v>4</v>
      </c>
      <c r="AG456" t="s">
        <v>275</v>
      </c>
      <c r="AH456" t="s">
        <v>3326</v>
      </c>
      <c r="AI456" t="s">
        <v>3327</v>
      </c>
      <c r="AJ456" t="s">
        <v>3309</v>
      </c>
      <c r="AK456" s="43" t="s">
        <v>1715</v>
      </c>
      <c r="AL456" s="43" t="s">
        <v>259</v>
      </c>
      <c r="AO456" s="23"/>
      <c r="AP456" s="23">
        <v>43770</v>
      </c>
      <c r="AQ456" s="23">
        <v>43770</v>
      </c>
      <c r="BD456" s="43" t="s">
        <v>259</v>
      </c>
      <c r="BE456" s="43" t="s">
        <v>259</v>
      </c>
      <c r="BF456" s="43" t="s">
        <v>259</v>
      </c>
      <c r="BG456" s="43" t="s">
        <v>259</v>
      </c>
      <c r="BH456" t="s">
        <v>259</v>
      </c>
      <c r="BI456" s="43" t="s">
        <v>259</v>
      </c>
      <c r="BJ456">
        <v>8.6956521739130488E-2</v>
      </c>
      <c r="BK456">
        <v>44109</v>
      </c>
      <c r="BL456">
        <v>44356</v>
      </c>
      <c r="BM456">
        <v>8505</v>
      </c>
      <c r="BN456">
        <v>8505</v>
      </c>
      <c r="BO456">
        <v>8505</v>
      </c>
      <c r="BP456">
        <v>25515</v>
      </c>
      <c r="BQ456">
        <v>3300</v>
      </c>
      <c r="BR456">
        <v>400</v>
      </c>
      <c r="BS456">
        <v>400</v>
      </c>
      <c r="BT456">
        <v>4100</v>
      </c>
      <c r="BU456">
        <v>2100</v>
      </c>
      <c r="BV456">
        <v>2100</v>
      </c>
      <c r="BW456">
        <v>2100</v>
      </c>
      <c r="BX456">
        <v>6300</v>
      </c>
      <c r="BY456">
        <v>1200</v>
      </c>
      <c r="BZ456">
        <v>1200</v>
      </c>
      <c r="CA456">
        <v>1200</v>
      </c>
      <c r="CB456">
        <v>3600</v>
      </c>
      <c r="CC456">
        <v>0</v>
      </c>
      <c r="CD456">
        <v>0</v>
      </c>
      <c r="CE456">
        <v>0</v>
      </c>
      <c r="CF456">
        <v>0</v>
      </c>
      <c r="CG456">
        <v>39515</v>
      </c>
      <c r="CH456">
        <v>0</v>
      </c>
      <c r="CI456">
        <v>0</v>
      </c>
      <c r="CJ456">
        <v>0</v>
      </c>
      <c r="CK456">
        <v>0</v>
      </c>
      <c r="CL456">
        <v>1015</v>
      </c>
      <c r="CM456">
        <v>1015</v>
      </c>
      <c r="CN456">
        <v>1015</v>
      </c>
      <c r="CO456">
        <v>3045</v>
      </c>
      <c r="CP456">
        <v>500</v>
      </c>
      <c r="CQ456">
        <v>500</v>
      </c>
      <c r="CR456">
        <v>500</v>
      </c>
      <c r="CS456">
        <v>1500</v>
      </c>
      <c r="CT456">
        <v>1250</v>
      </c>
      <c r="CU456">
        <v>1250</v>
      </c>
      <c r="CV456">
        <v>1250</v>
      </c>
      <c r="CW456">
        <v>3750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8295</v>
      </c>
      <c r="EE456">
        <v>0</v>
      </c>
      <c r="EF456">
        <v>0</v>
      </c>
      <c r="EG456">
        <v>0</v>
      </c>
      <c r="EH456">
        <v>0</v>
      </c>
      <c r="EI456">
        <v>1154</v>
      </c>
      <c r="EJ456">
        <v>1154</v>
      </c>
      <c r="EK456">
        <v>1155</v>
      </c>
      <c r="EL456">
        <v>3500</v>
      </c>
      <c r="EM456">
        <v>37.065000000000005</v>
      </c>
      <c r="EN456">
        <v>660</v>
      </c>
      <c r="EO456">
        <v>660</v>
      </c>
      <c r="EP456">
        <v>659</v>
      </c>
      <c r="EQ456">
        <v>2000</v>
      </c>
      <c r="ER456">
        <v>21.18</v>
      </c>
      <c r="ES456">
        <v>0</v>
      </c>
      <c r="ET456">
        <v>0</v>
      </c>
      <c r="EU456">
        <v>0</v>
      </c>
      <c r="EV456">
        <v>0</v>
      </c>
      <c r="EW456">
        <v>0</v>
      </c>
      <c r="FA456">
        <v>0</v>
      </c>
      <c r="FE456">
        <v>0</v>
      </c>
      <c r="FI456">
        <v>0</v>
      </c>
      <c r="FJ456">
        <v>5441.7550000000001</v>
      </c>
      <c r="FK456">
        <v>31220</v>
      </c>
      <c r="FL456">
        <v>26918.513219999164</v>
      </c>
      <c r="FM456">
        <v>25778.244999999999</v>
      </c>
      <c r="FO456" t="s">
        <v>1529</v>
      </c>
      <c r="FP456" t="s">
        <v>1530</v>
      </c>
      <c r="FQ456" t="s">
        <v>283</v>
      </c>
      <c r="FR456" t="s">
        <v>1531</v>
      </c>
    </row>
    <row r="457" spans="1:174" x14ac:dyDescent="0.35">
      <c r="A457">
        <v>198759</v>
      </c>
      <c r="B457" t="s">
        <v>3798</v>
      </c>
      <c r="C457" t="s">
        <v>1780</v>
      </c>
      <c r="D457" t="s">
        <v>3799</v>
      </c>
      <c r="E457" s="43" t="s">
        <v>4224</v>
      </c>
      <c r="J457" t="s">
        <v>3745</v>
      </c>
      <c r="L457" s="43" t="s">
        <v>259</v>
      </c>
      <c r="M457" t="s">
        <v>3800</v>
      </c>
      <c r="N457" s="43"/>
      <c r="O457" s="43"/>
      <c r="P457" s="43"/>
      <c r="Q457" s="43"/>
      <c r="R457">
        <v>3.78</v>
      </c>
      <c r="S457">
        <v>44109</v>
      </c>
      <c r="T457" t="s">
        <v>265</v>
      </c>
      <c r="U457" t="s">
        <v>266</v>
      </c>
      <c r="V457" t="s">
        <v>267</v>
      </c>
      <c r="W457" t="s">
        <v>268</v>
      </c>
      <c r="X457" t="s">
        <v>269</v>
      </c>
      <c r="Y457">
        <v>8883022894</v>
      </c>
      <c r="Z457" t="s">
        <v>270</v>
      </c>
      <c r="AA457" t="s">
        <v>271</v>
      </c>
      <c r="AB457">
        <v>0</v>
      </c>
      <c r="AC457">
        <v>0</v>
      </c>
      <c r="AD457" t="s">
        <v>313</v>
      </c>
      <c r="AE457" t="s">
        <v>445</v>
      </c>
      <c r="AF457">
        <v>4</v>
      </c>
      <c r="AG457" t="s">
        <v>3345</v>
      </c>
      <c r="AH457" t="s">
        <v>259</v>
      </c>
      <c r="AI457" t="s">
        <v>259</v>
      </c>
      <c r="AJ457" t="s">
        <v>259</v>
      </c>
      <c r="AK457" s="43" t="s">
        <v>259</v>
      </c>
      <c r="AL457" s="43" t="s">
        <v>259</v>
      </c>
      <c r="AO457" s="23"/>
      <c r="AP457" s="23"/>
      <c r="AQ457" s="23"/>
      <c r="BD457" s="43" t="s">
        <v>259</v>
      </c>
      <c r="BE457" s="43" t="s">
        <v>259</v>
      </c>
      <c r="BF457" s="43" t="s">
        <v>259</v>
      </c>
      <c r="BG457" s="43" t="s">
        <v>259</v>
      </c>
      <c r="BH457" t="s">
        <v>259</v>
      </c>
      <c r="BI457" s="43" t="s">
        <v>259</v>
      </c>
      <c r="BJ457">
        <v>0</v>
      </c>
      <c r="BK457">
        <v>44109</v>
      </c>
      <c r="BL457">
        <v>44356</v>
      </c>
      <c r="BM457">
        <v>8505</v>
      </c>
      <c r="BN457">
        <v>8505</v>
      </c>
      <c r="BO457">
        <v>8505</v>
      </c>
      <c r="BP457">
        <v>25515</v>
      </c>
      <c r="BQ457">
        <v>3300</v>
      </c>
      <c r="BR457">
        <v>400</v>
      </c>
      <c r="BS457">
        <v>400</v>
      </c>
      <c r="BT457">
        <v>4100</v>
      </c>
      <c r="BU457">
        <v>2100</v>
      </c>
      <c r="BV457">
        <v>2100</v>
      </c>
      <c r="BW457">
        <v>2100</v>
      </c>
      <c r="BX457">
        <v>6300</v>
      </c>
      <c r="BY457">
        <v>1200</v>
      </c>
      <c r="BZ457">
        <v>1200</v>
      </c>
      <c r="CA457">
        <v>1200</v>
      </c>
      <c r="CB457">
        <v>3600</v>
      </c>
      <c r="CF457">
        <v>0</v>
      </c>
      <c r="CG457">
        <v>39515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1250</v>
      </c>
      <c r="CU457">
        <v>1250</v>
      </c>
      <c r="CV457">
        <v>1250</v>
      </c>
      <c r="CW457">
        <v>3750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N457">
        <v>0</v>
      </c>
      <c r="DO457">
        <v>0</v>
      </c>
      <c r="DP457">
        <v>0</v>
      </c>
      <c r="DR457">
        <v>0</v>
      </c>
      <c r="DS457">
        <v>0</v>
      </c>
      <c r="DT457">
        <v>0</v>
      </c>
      <c r="DY457">
        <v>0</v>
      </c>
      <c r="EC457">
        <v>0</v>
      </c>
      <c r="ED457">
        <v>3750</v>
      </c>
      <c r="EH457">
        <v>0</v>
      </c>
      <c r="EI457">
        <v>0</v>
      </c>
      <c r="EJ457">
        <v>0</v>
      </c>
      <c r="EK457">
        <v>0</v>
      </c>
      <c r="EM457">
        <v>0</v>
      </c>
      <c r="EN457">
        <v>660</v>
      </c>
      <c r="EO457">
        <v>660</v>
      </c>
      <c r="EP457">
        <v>659</v>
      </c>
      <c r="EQ457">
        <v>2000</v>
      </c>
      <c r="ER457">
        <v>21.24</v>
      </c>
      <c r="ES457">
        <v>0</v>
      </c>
      <c r="ET457">
        <v>0</v>
      </c>
      <c r="EU457">
        <v>0</v>
      </c>
      <c r="EW457">
        <v>0</v>
      </c>
      <c r="FA457">
        <v>0</v>
      </c>
      <c r="FE457">
        <v>0</v>
      </c>
      <c r="FI457">
        <v>0</v>
      </c>
      <c r="FJ457">
        <v>1978.76</v>
      </c>
      <c r="FK457">
        <v>35765</v>
      </c>
      <c r="FL457">
        <v>35285.153312724535</v>
      </c>
      <c r="FM457">
        <v>33786.239999999998</v>
      </c>
      <c r="FO457" t="s">
        <v>3801</v>
      </c>
      <c r="FP457" t="s">
        <v>3802</v>
      </c>
      <c r="FQ457" t="s">
        <v>265</v>
      </c>
      <c r="FR457" t="s">
        <v>3803</v>
      </c>
    </row>
    <row r="458" spans="1:174" x14ac:dyDescent="0.35">
      <c r="A458">
        <v>197997</v>
      </c>
      <c r="B458" t="s">
        <v>1532</v>
      </c>
      <c r="C458" t="s">
        <v>1533</v>
      </c>
      <c r="D458" t="s">
        <v>1534</v>
      </c>
      <c r="E458" s="43" t="s">
        <v>1535</v>
      </c>
      <c r="F458">
        <v>1</v>
      </c>
      <c r="G458">
        <v>43776</v>
      </c>
      <c r="H458">
        <v>43776</v>
      </c>
      <c r="I458">
        <v>43776</v>
      </c>
      <c r="K458" t="s">
        <v>1715</v>
      </c>
      <c r="L458" s="43" t="s">
        <v>259</v>
      </c>
      <c r="M458" t="s">
        <v>1536</v>
      </c>
      <c r="N458" s="43"/>
      <c r="O458" s="43"/>
      <c r="P458" s="43"/>
      <c r="Q458" s="43"/>
      <c r="R458">
        <v>3.6789999999999998</v>
      </c>
      <c r="S458">
        <v>44109</v>
      </c>
      <c r="T458" t="s">
        <v>265</v>
      </c>
      <c r="U458" t="s">
        <v>266</v>
      </c>
      <c r="V458" t="s">
        <v>267</v>
      </c>
      <c r="W458" t="s">
        <v>268</v>
      </c>
      <c r="X458" t="s">
        <v>269</v>
      </c>
      <c r="Y458">
        <v>8883022894</v>
      </c>
      <c r="Z458" t="s">
        <v>270</v>
      </c>
      <c r="AA458" t="s">
        <v>271</v>
      </c>
      <c r="AB458">
        <v>0</v>
      </c>
      <c r="AC458" t="s">
        <v>563</v>
      </c>
      <c r="AD458" t="s">
        <v>527</v>
      </c>
      <c r="AE458" t="s">
        <v>289</v>
      </c>
      <c r="AF458">
        <v>2</v>
      </c>
      <c r="AG458" t="s">
        <v>275</v>
      </c>
      <c r="AH458" t="s">
        <v>259</v>
      </c>
      <c r="AI458" t="s">
        <v>259</v>
      </c>
      <c r="AJ458" t="s">
        <v>259</v>
      </c>
      <c r="AK458" s="43" t="s">
        <v>259</v>
      </c>
      <c r="AL458" s="43" t="s">
        <v>259</v>
      </c>
      <c r="AO458" s="23">
        <v>43768</v>
      </c>
      <c r="AP458" s="23">
        <v>43770</v>
      </c>
      <c r="AQ458" s="23">
        <v>43770</v>
      </c>
      <c r="BD458" s="43" t="s">
        <v>259</v>
      </c>
      <c r="BE458" s="43" t="s">
        <v>259</v>
      </c>
      <c r="BF458" s="43" t="s">
        <v>259</v>
      </c>
      <c r="BG458" s="43" t="s">
        <v>259</v>
      </c>
      <c r="BH458" t="s">
        <v>259</v>
      </c>
      <c r="BI458" s="43" t="s">
        <v>259</v>
      </c>
      <c r="BJ458">
        <v>0.13043478260869568</v>
      </c>
      <c r="BK458">
        <v>44109</v>
      </c>
      <c r="BL458">
        <v>44356</v>
      </c>
      <c r="BM458">
        <v>8505</v>
      </c>
      <c r="BN458">
        <v>8505</v>
      </c>
      <c r="BO458">
        <v>8505</v>
      </c>
      <c r="BP458">
        <v>25515</v>
      </c>
      <c r="BQ458">
        <v>3300</v>
      </c>
      <c r="BR458">
        <v>400</v>
      </c>
      <c r="BS458">
        <v>400</v>
      </c>
      <c r="BT458">
        <v>4100</v>
      </c>
      <c r="BU458">
        <v>2100</v>
      </c>
      <c r="BV458">
        <v>2100</v>
      </c>
      <c r="BW458">
        <v>2100</v>
      </c>
      <c r="BX458">
        <v>6300</v>
      </c>
      <c r="BY458">
        <v>1200</v>
      </c>
      <c r="BZ458">
        <v>1200</v>
      </c>
      <c r="CA458">
        <v>1200</v>
      </c>
      <c r="CB458">
        <v>3600</v>
      </c>
      <c r="CC458">
        <v>0</v>
      </c>
      <c r="CD458">
        <v>0</v>
      </c>
      <c r="CE458">
        <v>0</v>
      </c>
      <c r="CF458">
        <v>0</v>
      </c>
      <c r="CG458">
        <v>39515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1500</v>
      </c>
      <c r="CU458">
        <v>1500</v>
      </c>
      <c r="CV458">
        <v>1500</v>
      </c>
      <c r="CW458">
        <v>4500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4500</v>
      </c>
      <c r="EE458">
        <v>0</v>
      </c>
      <c r="EF458">
        <v>0</v>
      </c>
      <c r="EG458">
        <v>0</v>
      </c>
      <c r="EH458">
        <v>0</v>
      </c>
      <c r="EI458">
        <v>1154</v>
      </c>
      <c r="EJ458">
        <v>1154</v>
      </c>
      <c r="EK458">
        <v>1155</v>
      </c>
      <c r="EL458">
        <v>3500</v>
      </c>
      <c r="EM458">
        <v>37.065000000000005</v>
      </c>
      <c r="EN458">
        <v>660</v>
      </c>
      <c r="EO458">
        <v>660</v>
      </c>
      <c r="EP458">
        <v>659</v>
      </c>
      <c r="EQ458">
        <v>2000</v>
      </c>
      <c r="ER458">
        <v>21.18</v>
      </c>
      <c r="ES458">
        <v>0</v>
      </c>
      <c r="ET458">
        <v>0</v>
      </c>
      <c r="EU458">
        <v>0</v>
      </c>
      <c r="EV458">
        <v>0</v>
      </c>
      <c r="EW458">
        <v>0</v>
      </c>
      <c r="FA458">
        <v>0</v>
      </c>
      <c r="FE458">
        <v>0</v>
      </c>
      <c r="FI458">
        <v>0</v>
      </c>
      <c r="FJ458">
        <v>5441.7550000000001</v>
      </c>
      <c r="FK458">
        <v>35015</v>
      </c>
      <c r="FL458">
        <v>30881.380268159221</v>
      </c>
      <c r="FM458">
        <v>29573.244999999999</v>
      </c>
      <c r="FO458" t="s">
        <v>1537</v>
      </c>
      <c r="FP458" t="s">
        <v>1328</v>
      </c>
      <c r="FQ458" t="s">
        <v>297</v>
      </c>
      <c r="FR458" t="s">
        <v>1538</v>
      </c>
    </row>
    <row r="459" spans="1:174" x14ac:dyDescent="0.35">
      <c r="A459">
        <v>198691</v>
      </c>
      <c r="B459" t="s">
        <v>3567</v>
      </c>
      <c r="C459" t="s">
        <v>915</v>
      </c>
      <c r="D459" t="s">
        <v>3568</v>
      </c>
      <c r="E459" s="43" t="s">
        <v>4192</v>
      </c>
      <c r="J459" t="s">
        <v>3425</v>
      </c>
      <c r="L459" s="43" t="s">
        <v>3204</v>
      </c>
      <c r="M459" t="s">
        <v>3569</v>
      </c>
      <c r="N459" s="43"/>
      <c r="O459" s="43"/>
      <c r="P459" s="43"/>
      <c r="Q459" s="43"/>
      <c r="R459">
        <v>2.7869999999999999</v>
      </c>
      <c r="S459">
        <v>44109</v>
      </c>
      <c r="T459" t="s">
        <v>311</v>
      </c>
      <c r="U459" t="s">
        <v>266</v>
      </c>
      <c r="V459" t="s">
        <v>267</v>
      </c>
      <c r="W459" t="s">
        <v>268</v>
      </c>
      <c r="X459" t="s">
        <v>269</v>
      </c>
      <c r="Y459">
        <v>8883022894</v>
      </c>
      <c r="Z459" t="s">
        <v>270</v>
      </c>
      <c r="AA459" t="s">
        <v>271</v>
      </c>
      <c r="AB459">
        <v>0</v>
      </c>
      <c r="AC459" t="s">
        <v>1659</v>
      </c>
      <c r="AD459" t="s">
        <v>375</v>
      </c>
      <c r="AE459" t="s">
        <v>376</v>
      </c>
      <c r="AF459">
        <v>7</v>
      </c>
      <c r="AG459" t="s">
        <v>3345</v>
      </c>
      <c r="AH459" t="s">
        <v>3226</v>
      </c>
      <c r="AI459" t="s">
        <v>313</v>
      </c>
      <c r="AJ459" t="s">
        <v>3590</v>
      </c>
      <c r="AK459" s="43" t="s">
        <v>1715</v>
      </c>
      <c r="AL459" s="43" t="s">
        <v>259</v>
      </c>
      <c r="AO459" s="23"/>
      <c r="AP459" s="23"/>
      <c r="AQ459" s="23"/>
      <c r="BD459" s="43" t="s">
        <v>259</v>
      </c>
      <c r="BE459" s="43" t="s">
        <v>259</v>
      </c>
      <c r="BF459" s="43" t="s">
        <v>259</v>
      </c>
      <c r="BG459" s="43" t="s">
        <v>259</v>
      </c>
      <c r="BH459" t="s">
        <v>259</v>
      </c>
      <c r="BI459" s="43" t="s">
        <v>259</v>
      </c>
      <c r="BJ459">
        <v>0</v>
      </c>
      <c r="BK459">
        <v>44109</v>
      </c>
      <c r="BL459">
        <v>44356</v>
      </c>
      <c r="BM459">
        <v>8505</v>
      </c>
      <c r="BN459">
        <v>8505</v>
      </c>
      <c r="BO459">
        <v>8505</v>
      </c>
      <c r="BP459">
        <v>25515</v>
      </c>
      <c r="BQ459">
        <v>3300</v>
      </c>
      <c r="BR459">
        <v>400</v>
      </c>
      <c r="BS459">
        <v>400</v>
      </c>
      <c r="BT459">
        <v>4100</v>
      </c>
      <c r="BU459">
        <v>2100</v>
      </c>
      <c r="BV459">
        <v>2100</v>
      </c>
      <c r="BW459">
        <v>2100</v>
      </c>
      <c r="BX459">
        <v>6300</v>
      </c>
      <c r="BY459">
        <v>1200</v>
      </c>
      <c r="BZ459">
        <v>1200</v>
      </c>
      <c r="CA459">
        <v>1200</v>
      </c>
      <c r="CB459">
        <v>3600</v>
      </c>
      <c r="CF459">
        <v>0</v>
      </c>
      <c r="CG459">
        <v>39515</v>
      </c>
      <c r="CK459">
        <v>0</v>
      </c>
      <c r="CL459">
        <v>2065</v>
      </c>
      <c r="CM459">
        <v>2065</v>
      </c>
      <c r="CN459">
        <v>2065</v>
      </c>
      <c r="CO459">
        <v>6195</v>
      </c>
      <c r="CP459">
        <v>500</v>
      </c>
      <c r="CQ459">
        <v>500</v>
      </c>
      <c r="CR459">
        <v>500</v>
      </c>
      <c r="CS459">
        <v>1500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N459">
        <v>0</v>
      </c>
      <c r="DO459">
        <v>0</v>
      </c>
      <c r="DP459">
        <v>0</v>
      </c>
      <c r="DR459">
        <v>0</v>
      </c>
      <c r="DS459">
        <v>0</v>
      </c>
      <c r="DT459">
        <v>0</v>
      </c>
      <c r="DY459">
        <v>0</v>
      </c>
      <c r="EC459">
        <v>0</v>
      </c>
      <c r="ED459">
        <v>7695</v>
      </c>
      <c r="EH459">
        <v>0</v>
      </c>
      <c r="EI459">
        <v>0</v>
      </c>
      <c r="EJ459">
        <v>0</v>
      </c>
      <c r="EK459">
        <v>0</v>
      </c>
      <c r="EM459">
        <v>0</v>
      </c>
      <c r="EN459">
        <v>660</v>
      </c>
      <c r="EO459">
        <v>660</v>
      </c>
      <c r="EP459">
        <v>659</v>
      </c>
      <c r="EQ459">
        <v>2000</v>
      </c>
      <c r="ER459">
        <v>21.24</v>
      </c>
      <c r="ES459">
        <v>0</v>
      </c>
      <c r="ET459">
        <v>0</v>
      </c>
      <c r="EU459">
        <v>0</v>
      </c>
      <c r="EW459">
        <v>0</v>
      </c>
      <c r="FA459">
        <v>0</v>
      </c>
      <c r="FE459">
        <v>0</v>
      </c>
      <c r="FI459">
        <v>0</v>
      </c>
      <c r="FJ459">
        <v>1978.76</v>
      </c>
      <c r="FK459">
        <v>31820</v>
      </c>
      <c r="FL459">
        <v>31165.134931907429</v>
      </c>
      <c r="FM459">
        <v>29841.24</v>
      </c>
      <c r="FO459" t="s">
        <v>3570</v>
      </c>
      <c r="FP459" t="s">
        <v>3353</v>
      </c>
      <c r="FQ459" t="s">
        <v>705</v>
      </c>
      <c r="FR459" t="s">
        <v>3571</v>
      </c>
    </row>
    <row r="460" spans="1:174" x14ac:dyDescent="0.35">
      <c r="A460">
        <v>198105</v>
      </c>
      <c r="B460" t="s">
        <v>1539</v>
      </c>
      <c r="C460" t="s">
        <v>426</v>
      </c>
      <c r="D460" t="s">
        <v>1540</v>
      </c>
      <c r="E460" s="43" t="s">
        <v>1541</v>
      </c>
      <c r="F460">
        <v>1</v>
      </c>
      <c r="G460">
        <v>43795</v>
      </c>
      <c r="H460">
        <v>43795</v>
      </c>
      <c r="I460">
        <v>43795</v>
      </c>
      <c r="J460" t="s">
        <v>4184</v>
      </c>
      <c r="L460" s="43" t="s">
        <v>3204</v>
      </c>
      <c r="M460" t="s">
        <v>1542</v>
      </c>
      <c r="N460" s="43"/>
      <c r="O460" s="43"/>
      <c r="P460" s="43"/>
      <c r="Q460" s="43"/>
      <c r="R460">
        <v>3.1259999999999999</v>
      </c>
      <c r="S460">
        <v>44109</v>
      </c>
      <c r="T460" t="s">
        <v>311</v>
      </c>
      <c r="U460" t="s">
        <v>266</v>
      </c>
      <c r="V460" t="s">
        <v>267</v>
      </c>
      <c r="W460" t="s">
        <v>268</v>
      </c>
      <c r="X460" t="s">
        <v>269</v>
      </c>
      <c r="Y460">
        <v>8883022894</v>
      </c>
      <c r="Z460" t="s">
        <v>270</v>
      </c>
      <c r="AA460" t="s">
        <v>271</v>
      </c>
      <c r="AB460" t="s">
        <v>374</v>
      </c>
      <c r="AC460">
        <v>0</v>
      </c>
      <c r="AD460" t="s">
        <v>637</v>
      </c>
      <c r="AE460" t="s">
        <v>416</v>
      </c>
      <c r="AF460">
        <v>5</v>
      </c>
      <c r="AG460" t="s">
        <v>275</v>
      </c>
      <c r="AH460" t="s">
        <v>3226</v>
      </c>
      <c r="AI460" t="s">
        <v>313</v>
      </c>
      <c r="AJ460" t="s">
        <v>3207</v>
      </c>
      <c r="AK460" s="43" t="s">
        <v>3208</v>
      </c>
      <c r="AL460" s="43" t="s">
        <v>3209</v>
      </c>
      <c r="AO460" s="23"/>
      <c r="AP460" s="23"/>
      <c r="AQ460" s="23"/>
      <c r="BD460" s="43" t="s">
        <v>2018</v>
      </c>
      <c r="BE460" s="43" t="s">
        <v>2018</v>
      </c>
      <c r="BF460" s="43" t="s">
        <v>2018</v>
      </c>
      <c r="BG460" s="43" t="s">
        <v>2018</v>
      </c>
      <c r="BH460" t="s">
        <v>2018</v>
      </c>
      <c r="BI460" s="43" t="s">
        <v>2018</v>
      </c>
      <c r="BJ460">
        <v>0</v>
      </c>
      <c r="BK460">
        <v>44109</v>
      </c>
      <c r="BL460">
        <v>44356</v>
      </c>
      <c r="BM460">
        <v>8505</v>
      </c>
      <c r="BN460">
        <v>8505</v>
      </c>
      <c r="BO460">
        <v>8505</v>
      </c>
      <c r="BP460">
        <v>25515</v>
      </c>
      <c r="BQ460">
        <v>3300</v>
      </c>
      <c r="BR460">
        <v>400</v>
      </c>
      <c r="BS460">
        <v>400</v>
      </c>
      <c r="BT460">
        <v>4100</v>
      </c>
      <c r="BU460">
        <v>2100</v>
      </c>
      <c r="BV460">
        <v>2100</v>
      </c>
      <c r="BW460">
        <v>2100</v>
      </c>
      <c r="BX460">
        <v>6300</v>
      </c>
      <c r="BY460">
        <v>1200</v>
      </c>
      <c r="BZ460">
        <v>1200</v>
      </c>
      <c r="CA460">
        <v>1200</v>
      </c>
      <c r="CB460">
        <v>3600</v>
      </c>
      <c r="CC460">
        <v>0</v>
      </c>
      <c r="CD460">
        <v>0</v>
      </c>
      <c r="CE460">
        <v>0</v>
      </c>
      <c r="CF460">
        <v>0</v>
      </c>
      <c r="CG460">
        <v>39515</v>
      </c>
      <c r="CH460">
        <v>0</v>
      </c>
      <c r="CI460">
        <v>0</v>
      </c>
      <c r="CJ460">
        <v>0</v>
      </c>
      <c r="CK460">
        <v>0</v>
      </c>
      <c r="CL460">
        <v>2065</v>
      </c>
      <c r="CM460">
        <v>2065</v>
      </c>
      <c r="CN460">
        <v>2065</v>
      </c>
      <c r="CO460">
        <v>6195</v>
      </c>
      <c r="CP460">
        <v>500</v>
      </c>
      <c r="CQ460">
        <v>500</v>
      </c>
      <c r="CR460">
        <v>500</v>
      </c>
      <c r="CS460">
        <v>1500</v>
      </c>
      <c r="CT460">
        <v>1000</v>
      </c>
      <c r="CU460">
        <v>1000</v>
      </c>
      <c r="CV460">
        <v>1000</v>
      </c>
      <c r="CW460">
        <v>3000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10695</v>
      </c>
      <c r="EE460">
        <v>0</v>
      </c>
      <c r="EF460">
        <v>0</v>
      </c>
      <c r="EG460">
        <v>0</v>
      </c>
      <c r="EH460">
        <v>0</v>
      </c>
      <c r="EI460">
        <v>1154</v>
      </c>
      <c r="EJ460">
        <v>1154</v>
      </c>
      <c r="EK460">
        <v>1155</v>
      </c>
      <c r="EL460">
        <v>3500</v>
      </c>
      <c r="EM460">
        <v>37.065000000000005</v>
      </c>
      <c r="EN460">
        <v>660</v>
      </c>
      <c r="EO460">
        <v>660</v>
      </c>
      <c r="EP460">
        <v>659</v>
      </c>
      <c r="EQ460">
        <v>2000</v>
      </c>
      <c r="ER460">
        <v>21.18</v>
      </c>
      <c r="ES460">
        <v>0</v>
      </c>
      <c r="ET460">
        <v>0</v>
      </c>
      <c r="EU460">
        <v>0</v>
      </c>
      <c r="EV460">
        <v>0</v>
      </c>
      <c r="EW460">
        <v>0</v>
      </c>
      <c r="FA460">
        <v>0</v>
      </c>
      <c r="FE460">
        <v>0</v>
      </c>
      <c r="FI460">
        <v>0</v>
      </c>
      <c r="FJ460">
        <v>5441.7550000000001</v>
      </c>
      <c r="FK460">
        <v>28820</v>
      </c>
      <c r="FL460">
        <v>24412.352240925607</v>
      </c>
      <c r="FM460">
        <v>23378.244999999999</v>
      </c>
      <c r="FO460" t="s">
        <v>1543</v>
      </c>
      <c r="FP460" t="s">
        <v>1544</v>
      </c>
      <c r="FQ460" t="s">
        <v>283</v>
      </c>
      <c r="FR460" t="s">
        <v>1545</v>
      </c>
    </row>
    <row r="461" spans="1:174" x14ac:dyDescent="0.35">
      <c r="A461">
        <v>196423</v>
      </c>
      <c r="B461" t="s">
        <v>1539</v>
      </c>
      <c r="C461" t="s">
        <v>1339</v>
      </c>
      <c r="D461" t="s">
        <v>1546</v>
      </c>
      <c r="E461" s="43" t="s">
        <v>1547</v>
      </c>
      <c r="F461">
        <v>1</v>
      </c>
      <c r="G461">
        <v>43783</v>
      </c>
      <c r="H461">
        <v>43783</v>
      </c>
      <c r="I461">
        <v>43783</v>
      </c>
      <c r="L461" s="43" t="s">
        <v>3204</v>
      </c>
      <c r="M461" t="s">
        <v>1548</v>
      </c>
      <c r="N461" s="43"/>
      <c r="O461" s="43"/>
      <c r="P461" s="43"/>
      <c r="Q461" s="43"/>
      <c r="R461">
        <v>2.7</v>
      </c>
      <c r="S461">
        <v>44109</v>
      </c>
      <c r="T461" t="s">
        <v>285</v>
      </c>
      <c r="U461" t="s">
        <v>266</v>
      </c>
      <c r="V461" t="s">
        <v>1549</v>
      </c>
      <c r="W461" t="s">
        <v>268</v>
      </c>
      <c r="X461" t="s">
        <v>269</v>
      </c>
      <c r="Y461">
        <v>8883022894</v>
      </c>
      <c r="Z461" t="s">
        <v>270</v>
      </c>
      <c r="AA461" t="s">
        <v>271</v>
      </c>
      <c r="AB461" t="s">
        <v>842</v>
      </c>
      <c r="AC461">
        <v>0</v>
      </c>
      <c r="AD461" t="s">
        <v>1372</v>
      </c>
      <c r="AE461" t="s">
        <v>274</v>
      </c>
      <c r="AF461">
        <v>9</v>
      </c>
      <c r="AG461" t="s">
        <v>275</v>
      </c>
      <c r="AH461" t="s">
        <v>3226</v>
      </c>
      <c r="AI461" t="s">
        <v>313</v>
      </c>
      <c r="AJ461" t="s">
        <v>3309</v>
      </c>
      <c r="AK461" s="43" t="s">
        <v>3208</v>
      </c>
      <c r="AL461" s="43" t="s">
        <v>3209</v>
      </c>
      <c r="AO461" s="23"/>
      <c r="AP461" s="23"/>
      <c r="AQ461" s="23"/>
      <c r="BD461" s="43" t="s">
        <v>2018</v>
      </c>
      <c r="BE461" s="43" t="s">
        <v>2018</v>
      </c>
      <c r="BF461" s="43" t="s">
        <v>2018</v>
      </c>
      <c r="BG461" s="43" t="s">
        <v>2018</v>
      </c>
      <c r="BH461" t="s">
        <v>2018</v>
      </c>
      <c r="BI461" s="43" t="s">
        <v>2018</v>
      </c>
      <c r="BJ461">
        <v>0</v>
      </c>
      <c r="BK461">
        <v>44109</v>
      </c>
      <c r="BL461">
        <v>44356</v>
      </c>
      <c r="BM461">
        <v>8505</v>
      </c>
      <c r="BN461">
        <v>8505</v>
      </c>
      <c r="BO461">
        <v>8505</v>
      </c>
      <c r="BP461">
        <v>25515</v>
      </c>
      <c r="BQ461">
        <v>3300</v>
      </c>
      <c r="BR461">
        <v>400</v>
      </c>
      <c r="BS461">
        <v>400</v>
      </c>
      <c r="BT461">
        <v>4100</v>
      </c>
      <c r="BU461">
        <v>2100</v>
      </c>
      <c r="BV461">
        <v>2100</v>
      </c>
      <c r="BW461">
        <v>2100</v>
      </c>
      <c r="BX461">
        <v>6300</v>
      </c>
      <c r="BY461">
        <v>1200</v>
      </c>
      <c r="BZ461">
        <v>1200</v>
      </c>
      <c r="CA461">
        <v>1200</v>
      </c>
      <c r="CB461">
        <v>3600</v>
      </c>
      <c r="CC461">
        <v>0</v>
      </c>
      <c r="CD461">
        <v>0</v>
      </c>
      <c r="CE461">
        <v>0</v>
      </c>
      <c r="CF461">
        <v>0</v>
      </c>
      <c r="CG461">
        <v>39515</v>
      </c>
      <c r="CH461">
        <v>0</v>
      </c>
      <c r="CI461">
        <v>0</v>
      </c>
      <c r="CJ461">
        <v>0</v>
      </c>
      <c r="CK461">
        <v>0</v>
      </c>
      <c r="CL461">
        <v>2065</v>
      </c>
      <c r="CM461">
        <v>2065</v>
      </c>
      <c r="CN461">
        <v>2065</v>
      </c>
      <c r="CO461">
        <v>6195</v>
      </c>
      <c r="CP461">
        <v>500</v>
      </c>
      <c r="CQ461">
        <v>500</v>
      </c>
      <c r="CR461">
        <v>500</v>
      </c>
      <c r="CS461">
        <v>1500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7695</v>
      </c>
      <c r="EE461">
        <v>0</v>
      </c>
      <c r="EF461">
        <v>0</v>
      </c>
      <c r="EG461">
        <v>0</v>
      </c>
      <c r="EH461">
        <v>0</v>
      </c>
      <c r="EI461">
        <v>1154</v>
      </c>
      <c r="EJ461">
        <v>1154</v>
      </c>
      <c r="EK461">
        <v>1155</v>
      </c>
      <c r="EL461">
        <v>3500</v>
      </c>
      <c r="EM461">
        <v>37.065000000000005</v>
      </c>
      <c r="EN461">
        <v>660</v>
      </c>
      <c r="EO461">
        <v>660</v>
      </c>
      <c r="EP461">
        <v>659</v>
      </c>
      <c r="EQ461">
        <v>2000</v>
      </c>
      <c r="ER461">
        <v>21.18</v>
      </c>
      <c r="ES461">
        <v>0</v>
      </c>
      <c r="ET461">
        <v>0</v>
      </c>
      <c r="EU461">
        <v>0</v>
      </c>
      <c r="EV461">
        <v>0</v>
      </c>
      <c r="EW461">
        <v>0</v>
      </c>
      <c r="FA461">
        <v>0</v>
      </c>
      <c r="FE461">
        <v>0</v>
      </c>
      <c r="FI461">
        <v>0</v>
      </c>
      <c r="FJ461">
        <v>5441.7550000000001</v>
      </c>
      <c r="FK461">
        <v>31820</v>
      </c>
      <c r="FL461">
        <v>27545.053464767552</v>
      </c>
      <c r="FM461">
        <v>26378.244999999999</v>
      </c>
      <c r="FO461" t="s">
        <v>1543</v>
      </c>
      <c r="FP461" t="s">
        <v>1544</v>
      </c>
      <c r="FQ461" t="s">
        <v>283</v>
      </c>
      <c r="FR461" t="s">
        <v>1545</v>
      </c>
    </row>
    <row r="462" spans="1:174" x14ac:dyDescent="0.35">
      <c r="A462">
        <v>199273</v>
      </c>
      <c r="B462" t="s">
        <v>1539</v>
      </c>
      <c r="C462" t="s">
        <v>3804</v>
      </c>
      <c r="D462" t="s">
        <v>3805</v>
      </c>
      <c r="E462" s="43" t="s">
        <v>4173</v>
      </c>
      <c r="J462" t="s">
        <v>3826</v>
      </c>
      <c r="L462" s="43" t="s">
        <v>3204</v>
      </c>
      <c r="M462" t="s">
        <v>3806</v>
      </c>
      <c r="N462" s="43"/>
      <c r="O462" s="43"/>
      <c r="P462" s="43"/>
      <c r="Q462" s="43"/>
      <c r="R462">
        <v>2.88</v>
      </c>
      <c r="S462">
        <v>44109</v>
      </c>
      <c r="T462" t="s">
        <v>311</v>
      </c>
      <c r="U462" t="s">
        <v>286</v>
      </c>
      <c r="V462" t="s">
        <v>267</v>
      </c>
      <c r="W462" t="s">
        <v>268</v>
      </c>
      <c r="X462" t="s">
        <v>269</v>
      </c>
      <c r="Y462">
        <v>8883022894</v>
      </c>
      <c r="Z462" t="s">
        <v>270</v>
      </c>
      <c r="AA462" t="s">
        <v>271</v>
      </c>
      <c r="AB462">
        <v>0</v>
      </c>
      <c r="AC462">
        <v>0</v>
      </c>
      <c r="AD462" t="s">
        <v>313</v>
      </c>
      <c r="AE462" t="s">
        <v>344</v>
      </c>
      <c r="AF462">
        <v>10</v>
      </c>
      <c r="AG462" t="s">
        <v>3345</v>
      </c>
      <c r="AH462" t="s">
        <v>3226</v>
      </c>
      <c r="AI462" t="s">
        <v>313</v>
      </c>
      <c r="AJ462" t="s">
        <v>3821</v>
      </c>
      <c r="AK462" s="43" t="s">
        <v>3208</v>
      </c>
      <c r="AL462" s="43" t="s">
        <v>3209</v>
      </c>
      <c r="AO462" s="23">
        <v>43790</v>
      </c>
      <c r="AP462" s="23"/>
      <c r="AQ462" s="23">
        <v>43790</v>
      </c>
      <c r="BD462" s="43" t="s">
        <v>2018</v>
      </c>
      <c r="BE462" s="43" t="s">
        <v>2018</v>
      </c>
      <c r="BF462" s="43" t="s">
        <v>2018</v>
      </c>
      <c r="BG462" s="43" t="s">
        <v>2018</v>
      </c>
      <c r="BH462" t="s">
        <v>2018</v>
      </c>
      <c r="BI462" s="43" t="s">
        <v>2018</v>
      </c>
      <c r="BJ462">
        <v>0.11764705882352944</v>
      </c>
      <c r="BK462">
        <v>44109</v>
      </c>
      <c r="BL462">
        <v>44356</v>
      </c>
      <c r="BM462">
        <v>8505</v>
      </c>
      <c r="BN462">
        <v>8505</v>
      </c>
      <c r="BO462">
        <v>8505</v>
      </c>
      <c r="BP462">
        <v>25515</v>
      </c>
      <c r="BQ462">
        <v>3300</v>
      </c>
      <c r="BR462">
        <v>400</v>
      </c>
      <c r="BS462">
        <v>400</v>
      </c>
      <c r="BT462">
        <v>4100</v>
      </c>
      <c r="BU462">
        <v>2100</v>
      </c>
      <c r="BV462">
        <v>2100</v>
      </c>
      <c r="BW462">
        <v>2100</v>
      </c>
      <c r="BX462">
        <v>6300</v>
      </c>
      <c r="BY462">
        <v>1200</v>
      </c>
      <c r="BZ462">
        <v>1200</v>
      </c>
      <c r="CA462">
        <v>1200</v>
      </c>
      <c r="CB462">
        <v>3600</v>
      </c>
      <c r="CF462">
        <v>0</v>
      </c>
      <c r="CG462">
        <v>39515</v>
      </c>
      <c r="CK462">
        <v>0</v>
      </c>
      <c r="CL462">
        <v>2065</v>
      </c>
      <c r="CM462">
        <v>2065</v>
      </c>
      <c r="CN462">
        <v>2065</v>
      </c>
      <c r="CO462">
        <v>6195</v>
      </c>
      <c r="CP462">
        <v>500</v>
      </c>
      <c r="CQ462">
        <v>500</v>
      </c>
      <c r="CR462">
        <v>500</v>
      </c>
      <c r="CS462">
        <v>1500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1000</v>
      </c>
      <c r="DC462">
        <v>1000</v>
      </c>
      <c r="DD462">
        <v>1000</v>
      </c>
      <c r="DE462">
        <v>3000</v>
      </c>
      <c r="DF462">
        <v>0</v>
      </c>
      <c r="DG462">
        <v>0</v>
      </c>
      <c r="DH462">
        <v>0</v>
      </c>
      <c r="DN462">
        <v>0</v>
      </c>
      <c r="DO462">
        <v>0</v>
      </c>
      <c r="DP462">
        <v>0</v>
      </c>
      <c r="DR462">
        <v>0</v>
      </c>
      <c r="DS462">
        <v>0</v>
      </c>
      <c r="DT462">
        <v>0</v>
      </c>
      <c r="DY462">
        <v>0</v>
      </c>
      <c r="EC462">
        <v>0</v>
      </c>
      <c r="ED462">
        <v>10695</v>
      </c>
      <c r="EH462">
        <v>0</v>
      </c>
      <c r="EI462">
        <v>0</v>
      </c>
      <c r="EJ462">
        <v>0</v>
      </c>
      <c r="EK462">
        <v>0</v>
      </c>
      <c r="EM462">
        <v>0</v>
      </c>
      <c r="EN462">
        <v>660</v>
      </c>
      <c r="EO462">
        <v>660</v>
      </c>
      <c r="EP462">
        <v>659</v>
      </c>
      <c r="EQ462">
        <v>2000</v>
      </c>
      <c r="ER462">
        <v>21.24</v>
      </c>
      <c r="ES462">
        <v>0</v>
      </c>
      <c r="ET462">
        <v>0</v>
      </c>
      <c r="EU462">
        <v>0</v>
      </c>
      <c r="EW462">
        <v>0</v>
      </c>
      <c r="FA462">
        <v>0</v>
      </c>
      <c r="FE462">
        <v>0</v>
      </c>
      <c r="FI462">
        <v>0</v>
      </c>
      <c r="FJ462">
        <v>1978.76</v>
      </c>
      <c r="FK462">
        <v>28820</v>
      </c>
      <c r="FL462">
        <v>28032.041106190991</v>
      </c>
      <c r="FM462">
        <v>26841.24</v>
      </c>
      <c r="FO462" t="s">
        <v>3807</v>
      </c>
      <c r="FP462" t="s">
        <v>3353</v>
      </c>
      <c r="FQ462" t="s">
        <v>705</v>
      </c>
      <c r="FR462" t="s">
        <v>3808</v>
      </c>
    </row>
    <row r="463" spans="1:174" x14ac:dyDescent="0.35">
      <c r="A463">
        <v>198333</v>
      </c>
      <c r="B463" t="s">
        <v>1550</v>
      </c>
      <c r="C463" t="s">
        <v>1551</v>
      </c>
      <c r="D463" t="s">
        <v>1552</v>
      </c>
      <c r="E463" s="43" t="s">
        <v>1553</v>
      </c>
      <c r="F463">
        <v>1</v>
      </c>
      <c r="I463">
        <v>43795</v>
      </c>
      <c r="L463" s="43" t="s">
        <v>3204</v>
      </c>
      <c r="M463" t="s">
        <v>1554</v>
      </c>
      <c r="N463" s="43"/>
      <c r="O463" s="43"/>
      <c r="P463" s="43"/>
      <c r="Q463" s="43"/>
      <c r="R463">
        <v>3.56</v>
      </c>
      <c r="S463">
        <v>44109</v>
      </c>
      <c r="T463" t="s">
        <v>311</v>
      </c>
      <c r="U463" t="s">
        <v>286</v>
      </c>
      <c r="V463" t="s">
        <v>267</v>
      </c>
      <c r="W463" t="s">
        <v>268</v>
      </c>
      <c r="X463" t="s">
        <v>269</v>
      </c>
      <c r="Y463">
        <v>8883022894</v>
      </c>
      <c r="Z463" t="s">
        <v>270</v>
      </c>
      <c r="AA463" t="s">
        <v>271</v>
      </c>
      <c r="AB463">
        <v>0</v>
      </c>
      <c r="AC463" t="s">
        <v>1558</v>
      </c>
      <c r="AD463" t="s">
        <v>387</v>
      </c>
      <c r="AE463" t="s">
        <v>364</v>
      </c>
      <c r="AF463">
        <v>3</v>
      </c>
      <c r="AG463" t="s">
        <v>275</v>
      </c>
      <c r="AH463" t="s">
        <v>3268</v>
      </c>
      <c r="AI463" t="s">
        <v>3269</v>
      </c>
      <c r="AJ463" t="s">
        <v>3207</v>
      </c>
      <c r="AK463" s="43" t="s">
        <v>3208</v>
      </c>
      <c r="AL463" s="43" t="s">
        <v>3209</v>
      </c>
      <c r="AO463" s="23"/>
      <c r="AP463" s="23"/>
      <c r="AQ463" s="23"/>
      <c r="BD463" s="43" t="s">
        <v>2018</v>
      </c>
      <c r="BE463" s="43" t="s">
        <v>2018</v>
      </c>
      <c r="BF463" s="43" t="s">
        <v>2018</v>
      </c>
      <c r="BG463" s="43" t="s">
        <v>2018</v>
      </c>
      <c r="BH463" t="s">
        <v>2018</v>
      </c>
      <c r="BI463" s="43" t="s">
        <v>2018</v>
      </c>
      <c r="BJ463">
        <v>0</v>
      </c>
      <c r="BK463">
        <v>44109</v>
      </c>
      <c r="BL463">
        <v>44356</v>
      </c>
      <c r="BM463">
        <v>8505</v>
      </c>
      <c r="BN463">
        <v>8505</v>
      </c>
      <c r="BO463">
        <v>8505</v>
      </c>
      <c r="BP463">
        <v>25515</v>
      </c>
      <c r="BQ463">
        <v>3300</v>
      </c>
      <c r="BR463">
        <v>400</v>
      </c>
      <c r="BS463">
        <v>400</v>
      </c>
      <c r="BT463">
        <v>4100</v>
      </c>
      <c r="BU463">
        <v>2100</v>
      </c>
      <c r="BV463">
        <v>2100</v>
      </c>
      <c r="BW463">
        <v>2100</v>
      </c>
      <c r="BX463">
        <v>6300</v>
      </c>
      <c r="BY463">
        <v>1200</v>
      </c>
      <c r="BZ463">
        <v>1200</v>
      </c>
      <c r="CA463">
        <v>1200</v>
      </c>
      <c r="CB463">
        <v>3600</v>
      </c>
      <c r="CC463">
        <v>0</v>
      </c>
      <c r="CD463">
        <v>0</v>
      </c>
      <c r="CE463">
        <v>0</v>
      </c>
      <c r="CF463">
        <v>0</v>
      </c>
      <c r="CG463">
        <v>39515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1300</v>
      </c>
      <c r="CU463">
        <v>1300</v>
      </c>
      <c r="CV463">
        <v>1300</v>
      </c>
      <c r="CW463">
        <v>3900</v>
      </c>
      <c r="CX463">
        <v>0</v>
      </c>
      <c r="CY463">
        <v>0</v>
      </c>
      <c r="CZ463">
        <v>0</v>
      </c>
      <c r="DA463">
        <v>0</v>
      </c>
      <c r="DB463">
        <v>1000</v>
      </c>
      <c r="DC463">
        <v>1000</v>
      </c>
      <c r="DD463">
        <v>1000</v>
      </c>
      <c r="DE463">
        <v>3000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6900</v>
      </c>
      <c r="EE463">
        <v>0</v>
      </c>
      <c r="EF463">
        <v>0</v>
      </c>
      <c r="EG463">
        <v>0</v>
      </c>
      <c r="EH463">
        <v>0</v>
      </c>
      <c r="EI463">
        <v>1154</v>
      </c>
      <c r="EJ463">
        <v>1154</v>
      </c>
      <c r="EK463">
        <v>1155</v>
      </c>
      <c r="EL463">
        <v>3500</v>
      </c>
      <c r="EM463">
        <v>37.065000000000005</v>
      </c>
      <c r="EN463">
        <v>660</v>
      </c>
      <c r="EO463">
        <v>660</v>
      </c>
      <c r="EP463">
        <v>659</v>
      </c>
      <c r="EQ463">
        <v>2000</v>
      </c>
      <c r="ER463">
        <v>21.18</v>
      </c>
      <c r="ES463">
        <v>0</v>
      </c>
      <c r="ET463">
        <v>0</v>
      </c>
      <c r="EU463">
        <v>0</v>
      </c>
      <c r="EV463">
        <v>0</v>
      </c>
      <c r="EW463">
        <v>0</v>
      </c>
      <c r="FA463">
        <v>0</v>
      </c>
      <c r="FE463">
        <v>0</v>
      </c>
      <c r="FI463">
        <v>0</v>
      </c>
      <c r="FJ463">
        <v>5441.7550000000001</v>
      </c>
      <c r="FK463">
        <v>32615</v>
      </c>
      <c r="FL463">
        <v>28375.219289085668</v>
      </c>
      <c r="FM463">
        <v>27173.244999999999</v>
      </c>
      <c r="FO463" t="s">
        <v>1555</v>
      </c>
      <c r="FP463" t="s">
        <v>1556</v>
      </c>
      <c r="FQ463" t="s">
        <v>309</v>
      </c>
      <c r="FR463" t="s">
        <v>1557</v>
      </c>
    </row>
    <row r="464" spans="1:174" x14ac:dyDescent="0.35">
      <c r="A464">
        <v>192176</v>
      </c>
      <c r="B464" t="s">
        <v>1559</v>
      </c>
      <c r="C464" t="s">
        <v>1560</v>
      </c>
      <c r="D464" t="s">
        <v>1561</v>
      </c>
      <c r="E464" s="43" t="s">
        <v>1562</v>
      </c>
      <c r="F464">
        <v>1</v>
      </c>
      <c r="I464">
        <v>43795</v>
      </c>
      <c r="L464" s="43" t="s">
        <v>3204</v>
      </c>
      <c r="M464" t="s">
        <v>1563</v>
      </c>
      <c r="N464" s="43"/>
      <c r="O464" s="43"/>
      <c r="P464" s="43"/>
      <c r="Q464" s="43"/>
      <c r="R464">
        <v>3.9762</v>
      </c>
      <c r="S464">
        <v>44109</v>
      </c>
      <c r="T464" t="s">
        <v>265</v>
      </c>
      <c r="U464" t="s">
        <v>266</v>
      </c>
      <c r="V464" t="s">
        <v>267</v>
      </c>
      <c r="W464" t="s">
        <v>268</v>
      </c>
      <c r="X464" t="s">
        <v>269</v>
      </c>
      <c r="Y464">
        <v>8883022894</v>
      </c>
      <c r="Z464" t="s">
        <v>270</v>
      </c>
      <c r="AA464" t="s">
        <v>271</v>
      </c>
      <c r="AB464" t="s">
        <v>969</v>
      </c>
      <c r="AC464">
        <v>0</v>
      </c>
      <c r="AD464" t="s">
        <v>1111</v>
      </c>
      <c r="AE464" t="s">
        <v>301</v>
      </c>
      <c r="AF464">
        <v>1</v>
      </c>
      <c r="AG464" t="s">
        <v>275</v>
      </c>
      <c r="AH464" t="s">
        <v>3270</v>
      </c>
      <c r="AI464" t="s">
        <v>3271</v>
      </c>
      <c r="AJ464" t="s">
        <v>3207</v>
      </c>
      <c r="AK464" s="43" t="s">
        <v>3208</v>
      </c>
      <c r="AL464" s="43" t="s">
        <v>3209</v>
      </c>
      <c r="AO464" s="23"/>
      <c r="AP464" s="23"/>
      <c r="AQ464" s="23"/>
      <c r="BD464" s="43" t="s">
        <v>2018</v>
      </c>
      <c r="BE464" s="43" t="s">
        <v>2018</v>
      </c>
      <c r="BF464" s="43" t="s">
        <v>2018</v>
      </c>
      <c r="BG464" s="43" t="s">
        <v>2018</v>
      </c>
      <c r="BH464" t="s">
        <v>2018</v>
      </c>
      <c r="BI464" s="43" t="s">
        <v>2018</v>
      </c>
      <c r="BJ464">
        <v>0</v>
      </c>
      <c r="BK464">
        <v>44109</v>
      </c>
      <c r="BL464">
        <v>44356</v>
      </c>
      <c r="BM464">
        <v>8505</v>
      </c>
      <c r="BN464">
        <v>8505</v>
      </c>
      <c r="BO464">
        <v>8505</v>
      </c>
      <c r="BP464">
        <v>25515</v>
      </c>
      <c r="BQ464">
        <v>3300</v>
      </c>
      <c r="BR464">
        <v>400</v>
      </c>
      <c r="BS464">
        <v>400</v>
      </c>
      <c r="BT464">
        <v>4100</v>
      </c>
      <c r="BU464">
        <v>2100</v>
      </c>
      <c r="BV464">
        <v>2100</v>
      </c>
      <c r="BW464">
        <v>2100</v>
      </c>
      <c r="BX464">
        <v>6300</v>
      </c>
      <c r="BY464">
        <v>1200</v>
      </c>
      <c r="BZ464">
        <v>1200</v>
      </c>
      <c r="CA464">
        <v>1200</v>
      </c>
      <c r="CB464">
        <v>3600</v>
      </c>
      <c r="CC464">
        <v>0</v>
      </c>
      <c r="CD464">
        <v>0</v>
      </c>
      <c r="CE464">
        <v>0</v>
      </c>
      <c r="CF464">
        <v>0</v>
      </c>
      <c r="CG464">
        <v>39515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1700</v>
      </c>
      <c r="CU464">
        <v>1700</v>
      </c>
      <c r="CV464">
        <v>1700</v>
      </c>
      <c r="CW464">
        <v>5100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5100</v>
      </c>
      <c r="EE464">
        <v>0</v>
      </c>
      <c r="EF464">
        <v>0</v>
      </c>
      <c r="EG464">
        <v>0</v>
      </c>
      <c r="EH464">
        <v>0</v>
      </c>
      <c r="EI464">
        <v>1154</v>
      </c>
      <c r="EJ464">
        <v>1154</v>
      </c>
      <c r="EK464">
        <v>1155</v>
      </c>
      <c r="EL464">
        <v>3500</v>
      </c>
      <c r="EM464">
        <v>37.065000000000005</v>
      </c>
      <c r="EN464">
        <v>660</v>
      </c>
      <c r="EO464">
        <v>660</v>
      </c>
      <c r="EP464">
        <v>659</v>
      </c>
      <c r="EQ464">
        <v>2000</v>
      </c>
      <c r="ER464">
        <v>21.18</v>
      </c>
      <c r="ES464">
        <v>0</v>
      </c>
      <c r="ET464">
        <v>0</v>
      </c>
      <c r="EU464">
        <v>0</v>
      </c>
      <c r="EV464">
        <v>0</v>
      </c>
      <c r="EW464">
        <v>0</v>
      </c>
      <c r="FA464">
        <v>0</v>
      </c>
      <c r="FE464">
        <v>0</v>
      </c>
      <c r="FI464">
        <v>0</v>
      </c>
      <c r="FJ464">
        <v>5441.7550000000001</v>
      </c>
      <c r="FK464">
        <v>34415</v>
      </c>
      <c r="FL464">
        <v>30254.840023390832</v>
      </c>
      <c r="FM464">
        <v>28973.244999999999</v>
      </c>
      <c r="FO464" t="s">
        <v>1564</v>
      </c>
      <c r="FP464" t="s">
        <v>1180</v>
      </c>
      <c r="FQ464" t="s">
        <v>1181</v>
      </c>
      <c r="FR464" t="s">
        <v>1182</v>
      </c>
    </row>
    <row r="465" spans="1:174" x14ac:dyDescent="0.35">
      <c r="A465">
        <v>197476</v>
      </c>
      <c r="B465" t="s">
        <v>1565</v>
      </c>
      <c r="C465" t="s">
        <v>1566</v>
      </c>
      <c r="D465" t="s">
        <v>1567</v>
      </c>
      <c r="E465" s="43" t="s">
        <v>1568</v>
      </c>
      <c r="L465" s="43" t="s">
        <v>259</v>
      </c>
      <c r="M465" t="s">
        <v>1569</v>
      </c>
      <c r="N465" s="43"/>
      <c r="O465" s="43"/>
      <c r="P465" s="43"/>
      <c r="Q465" s="43"/>
      <c r="R465">
        <v>1.63</v>
      </c>
      <c r="S465">
        <v>44109</v>
      </c>
      <c r="T465" t="s">
        <v>265</v>
      </c>
      <c r="U465" t="s">
        <v>266</v>
      </c>
      <c r="V465" t="s">
        <v>267</v>
      </c>
      <c r="W465" t="s">
        <v>268</v>
      </c>
      <c r="X465" t="s">
        <v>269</v>
      </c>
      <c r="Y465">
        <v>8883022894</v>
      </c>
      <c r="Z465" t="s">
        <v>270</v>
      </c>
      <c r="AA465" t="s">
        <v>271</v>
      </c>
      <c r="AB465">
        <v>0</v>
      </c>
      <c r="AC465" t="s">
        <v>299</v>
      </c>
      <c r="AD465" t="s">
        <v>1573</v>
      </c>
      <c r="AE465" t="s">
        <v>274</v>
      </c>
      <c r="AF465">
        <v>9</v>
      </c>
      <c r="AG465" t="s">
        <v>275</v>
      </c>
      <c r="AH465" t="s">
        <v>259</v>
      </c>
      <c r="AI465" t="s">
        <v>259</v>
      </c>
      <c r="AJ465" t="s">
        <v>259</v>
      </c>
      <c r="AK465" s="43" t="s">
        <v>259</v>
      </c>
      <c r="AL465" s="43" t="s">
        <v>259</v>
      </c>
      <c r="AO465" s="23"/>
      <c r="AP465" s="23"/>
      <c r="AQ465" s="23"/>
      <c r="BD465" s="43" t="s">
        <v>259</v>
      </c>
      <c r="BE465" s="43" t="s">
        <v>259</v>
      </c>
      <c r="BF465" s="43" t="s">
        <v>259</v>
      </c>
      <c r="BG465" s="43" t="s">
        <v>259</v>
      </c>
      <c r="BH465" t="s">
        <v>259</v>
      </c>
      <c r="BI465" s="43" t="s">
        <v>259</v>
      </c>
      <c r="BJ465">
        <v>0</v>
      </c>
      <c r="BK465">
        <v>44109</v>
      </c>
      <c r="BL465">
        <v>44356</v>
      </c>
      <c r="BM465">
        <v>8505</v>
      </c>
      <c r="BN465">
        <v>8505</v>
      </c>
      <c r="BO465">
        <v>8505</v>
      </c>
      <c r="BP465">
        <v>25515</v>
      </c>
      <c r="BQ465">
        <v>3300</v>
      </c>
      <c r="BR465">
        <v>400</v>
      </c>
      <c r="BS465">
        <v>400</v>
      </c>
      <c r="BT465">
        <v>4100</v>
      </c>
      <c r="BU465">
        <v>2100</v>
      </c>
      <c r="BV465">
        <v>2100</v>
      </c>
      <c r="BW465">
        <v>2100</v>
      </c>
      <c r="BX465">
        <v>6300</v>
      </c>
      <c r="BY465">
        <v>1200</v>
      </c>
      <c r="BZ465">
        <v>1200</v>
      </c>
      <c r="CA465">
        <v>1200</v>
      </c>
      <c r="CB465">
        <v>3600</v>
      </c>
      <c r="CC465">
        <v>0</v>
      </c>
      <c r="CD465">
        <v>0</v>
      </c>
      <c r="CE465">
        <v>0</v>
      </c>
      <c r="CF465">
        <v>0</v>
      </c>
      <c r="CG465">
        <v>39515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1154</v>
      </c>
      <c r="EJ465">
        <v>1154</v>
      </c>
      <c r="EK465">
        <v>1155</v>
      </c>
      <c r="EL465">
        <v>3500</v>
      </c>
      <c r="EM465">
        <v>37.065000000000005</v>
      </c>
      <c r="EN465">
        <v>660</v>
      </c>
      <c r="EO465">
        <v>660</v>
      </c>
      <c r="EP465">
        <v>659</v>
      </c>
      <c r="EQ465">
        <v>2000</v>
      </c>
      <c r="ER465">
        <v>21.18</v>
      </c>
      <c r="ES465">
        <v>0</v>
      </c>
      <c r="ET465">
        <v>0</v>
      </c>
      <c r="EU465">
        <v>0</v>
      </c>
      <c r="EV465">
        <v>0</v>
      </c>
      <c r="EW465">
        <v>0</v>
      </c>
      <c r="FA465">
        <v>0</v>
      </c>
      <c r="FE465">
        <v>0</v>
      </c>
      <c r="FI465">
        <v>0</v>
      </c>
      <c r="FJ465">
        <v>5441.7550000000001</v>
      </c>
      <c r="FK465">
        <v>39515</v>
      </c>
      <c r="FL465">
        <v>35580.43210392214</v>
      </c>
      <c r="FM465">
        <v>34073.245000000003</v>
      </c>
      <c r="FO465" t="s">
        <v>1570</v>
      </c>
      <c r="FP465" t="s">
        <v>1571</v>
      </c>
      <c r="FQ465" t="s">
        <v>705</v>
      </c>
      <c r="FR465" t="s">
        <v>1572</v>
      </c>
    </row>
    <row r="466" spans="1:174" x14ac:dyDescent="0.35">
      <c r="A466">
        <v>198663</v>
      </c>
      <c r="B466" t="s">
        <v>3809</v>
      </c>
      <c r="C466" t="s">
        <v>3810</v>
      </c>
      <c r="D466" t="s">
        <v>3811</v>
      </c>
      <c r="E466" s="43" t="s">
        <v>4174</v>
      </c>
      <c r="F466">
        <v>1</v>
      </c>
      <c r="G466">
        <v>43795</v>
      </c>
      <c r="H466">
        <v>43795</v>
      </c>
      <c r="I466">
        <v>43795</v>
      </c>
      <c r="L466" s="43" t="s">
        <v>259</v>
      </c>
      <c r="M466" t="s">
        <v>3812</v>
      </c>
      <c r="N466" s="43"/>
      <c r="O466" s="43"/>
      <c r="P466" s="43"/>
      <c r="Q466" s="43"/>
      <c r="R466">
        <v>3.512</v>
      </c>
      <c r="S466">
        <v>44109</v>
      </c>
      <c r="T466" t="s">
        <v>544</v>
      </c>
      <c r="U466" t="s">
        <v>286</v>
      </c>
      <c r="V466" t="s">
        <v>3816</v>
      </c>
      <c r="W466" t="s">
        <v>268</v>
      </c>
      <c r="X466" t="s">
        <v>269</v>
      </c>
      <c r="Y466">
        <v>8883022894</v>
      </c>
      <c r="Z466" t="s">
        <v>270</v>
      </c>
      <c r="AA466" t="s">
        <v>271</v>
      </c>
      <c r="AB466" t="s">
        <v>374</v>
      </c>
      <c r="AC466">
        <v>0</v>
      </c>
      <c r="AD466" t="s">
        <v>654</v>
      </c>
      <c r="AE466" t="s">
        <v>445</v>
      </c>
      <c r="AF466">
        <v>4</v>
      </c>
      <c r="AG466" t="s">
        <v>3345</v>
      </c>
      <c r="AH466" t="s">
        <v>259</v>
      </c>
      <c r="AI466" t="s">
        <v>259</v>
      </c>
      <c r="AJ466" t="s">
        <v>259</v>
      </c>
      <c r="AK466" s="43" t="s">
        <v>259</v>
      </c>
      <c r="AL466" s="43" t="s">
        <v>259</v>
      </c>
      <c r="AO466" s="23">
        <v>43791</v>
      </c>
      <c r="AP466" s="23"/>
      <c r="AQ466" s="23"/>
      <c r="BD466" s="43" t="s">
        <v>259</v>
      </c>
      <c r="BE466" s="43" t="s">
        <v>259</v>
      </c>
      <c r="BF466" s="43" t="s">
        <v>259</v>
      </c>
      <c r="BG466" s="43" t="s">
        <v>259</v>
      </c>
      <c r="BH466" t="s">
        <v>259</v>
      </c>
      <c r="BI466" s="43" t="s">
        <v>259</v>
      </c>
      <c r="BJ466">
        <v>4.3478260869565188E-2</v>
      </c>
      <c r="BK466">
        <v>44109</v>
      </c>
      <c r="BL466">
        <v>44356</v>
      </c>
      <c r="BM466">
        <v>8505</v>
      </c>
      <c r="BN466">
        <v>8505</v>
      </c>
      <c r="BO466">
        <v>8505</v>
      </c>
      <c r="BP466">
        <v>25515</v>
      </c>
      <c r="BQ466">
        <v>3300</v>
      </c>
      <c r="BR466">
        <v>400</v>
      </c>
      <c r="BS466">
        <v>400</v>
      </c>
      <c r="BT466">
        <v>4100</v>
      </c>
      <c r="BU466">
        <v>2100</v>
      </c>
      <c r="BV466">
        <v>2100</v>
      </c>
      <c r="BW466">
        <v>2100</v>
      </c>
      <c r="BX466">
        <v>6300</v>
      </c>
      <c r="BY466">
        <v>1200</v>
      </c>
      <c r="BZ466">
        <v>1200</v>
      </c>
      <c r="CA466">
        <v>1200</v>
      </c>
      <c r="CB466">
        <v>3600</v>
      </c>
      <c r="CF466">
        <v>0</v>
      </c>
      <c r="CG466">
        <v>39515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1250</v>
      </c>
      <c r="CU466">
        <v>1250</v>
      </c>
      <c r="CV466">
        <v>1250</v>
      </c>
      <c r="CW466">
        <v>3750</v>
      </c>
      <c r="CX466">
        <v>3000</v>
      </c>
      <c r="CY466">
        <v>3000</v>
      </c>
      <c r="CZ466">
        <v>3000</v>
      </c>
      <c r="DA466">
        <v>9000</v>
      </c>
      <c r="DB466">
        <v>1000</v>
      </c>
      <c r="DC466">
        <v>1000</v>
      </c>
      <c r="DD466">
        <v>1000</v>
      </c>
      <c r="DE466">
        <v>3000</v>
      </c>
      <c r="DF466">
        <v>0</v>
      </c>
      <c r="DG466">
        <v>0</v>
      </c>
      <c r="DH466">
        <v>0</v>
      </c>
      <c r="DN466">
        <v>0</v>
      </c>
      <c r="DO466">
        <v>0</v>
      </c>
      <c r="DP466">
        <v>0</v>
      </c>
      <c r="DR466">
        <v>0</v>
      </c>
      <c r="DS466">
        <v>0</v>
      </c>
      <c r="DT466">
        <v>0</v>
      </c>
      <c r="DY466">
        <v>0</v>
      </c>
      <c r="EC466">
        <v>0</v>
      </c>
      <c r="ED466">
        <v>15750</v>
      </c>
      <c r="EH466">
        <v>0</v>
      </c>
      <c r="EI466">
        <v>0</v>
      </c>
      <c r="EJ466">
        <v>0</v>
      </c>
      <c r="EK466">
        <v>0</v>
      </c>
      <c r="EM466">
        <v>0</v>
      </c>
      <c r="EN466">
        <v>660</v>
      </c>
      <c r="EO466">
        <v>660</v>
      </c>
      <c r="EP466">
        <v>659</v>
      </c>
      <c r="EQ466">
        <v>2000</v>
      </c>
      <c r="ER466">
        <v>21.24</v>
      </c>
      <c r="ES466">
        <v>0</v>
      </c>
      <c r="ET466">
        <v>0</v>
      </c>
      <c r="EU466">
        <v>0</v>
      </c>
      <c r="EW466">
        <v>0</v>
      </c>
      <c r="FA466">
        <v>0</v>
      </c>
      <c r="FE466">
        <v>0</v>
      </c>
      <c r="FI466">
        <v>0</v>
      </c>
      <c r="FJ466">
        <v>1978.76</v>
      </c>
      <c r="FK466">
        <v>23765</v>
      </c>
      <c r="FL466">
        <v>22752.778009858801</v>
      </c>
      <c r="FM466">
        <v>21786.240000000002</v>
      </c>
      <c r="FO466" t="s">
        <v>3813</v>
      </c>
      <c r="FP466" t="s">
        <v>3814</v>
      </c>
      <c r="FQ466" t="s">
        <v>542</v>
      </c>
      <c r="FR466" t="s">
        <v>3815</v>
      </c>
    </row>
    <row r="467" spans="1:174" x14ac:dyDescent="0.35">
      <c r="A467">
        <v>196946</v>
      </c>
      <c r="B467" t="s">
        <v>1574</v>
      </c>
      <c r="C467" t="s">
        <v>1575</v>
      </c>
      <c r="D467" t="s">
        <v>1576</v>
      </c>
      <c r="E467" s="43" t="s">
        <v>3299</v>
      </c>
      <c r="L467" s="43" t="s">
        <v>259</v>
      </c>
      <c r="M467" t="s">
        <v>1577</v>
      </c>
      <c r="N467" s="43"/>
      <c r="O467" s="43"/>
      <c r="P467" s="43"/>
      <c r="Q467" s="43"/>
      <c r="R467">
        <v>2.88496</v>
      </c>
      <c r="S467">
        <v>44109</v>
      </c>
      <c r="T467" t="s">
        <v>311</v>
      </c>
      <c r="U467" t="s">
        <v>266</v>
      </c>
      <c r="V467" t="s">
        <v>267</v>
      </c>
      <c r="W467" t="s">
        <v>268</v>
      </c>
      <c r="X467" t="s">
        <v>269</v>
      </c>
      <c r="Y467">
        <v>8883022894</v>
      </c>
      <c r="Z467" t="s">
        <v>270</v>
      </c>
      <c r="AA467" t="s">
        <v>271</v>
      </c>
      <c r="AB467" t="s">
        <v>322</v>
      </c>
      <c r="AC467">
        <v>0</v>
      </c>
      <c r="AD467" t="s">
        <v>780</v>
      </c>
      <c r="AE467" t="s">
        <v>324</v>
      </c>
      <c r="AF467">
        <v>8</v>
      </c>
      <c r="AG467" t="s">
        <v>446</v>
      </c>
      <c r="AH467" t="s">
        <v>259</v>
      </c>
      <c r="AI467" t="s">
        <v>259</v>
      </c>
      <c r="AJ467" t="s">
        <v>259</v>
      </c>
      <c r="AK467" s="43" t="s">
        <v>259</v>
      </c>
      <c r="AL467" s="43" t="s">
        <v>259</v>
      </c>
      <c r="AO467" s="23"/>
      <c r="AP467" s="23"/>
      <c r="AQ467" s="23"/>
      <c r="BD467" s="43" t="s">
        <v>259</v>
      </c>
      <c r="BE467" s="43" t="s">
        <v>259</v>
      </c>
      <c r="BF467" s="43" t="s">
        <v>259</v>
      </c>
      <c r="BG467" s="43" t="s">
        <v>259</v>
      </c>
      <c r="BH467" t="s">
        <v>259</v>
      </c>
      <c r="BI467" s="43" t="s">
        <v>259</v>
      </c>
      <c r="BJ467">
        <v>0</v>
      </c>
      <c r="BK467">
        <v>44109</v>
      </c>
      <c r="BL467">
        <v>44356</v>
      </c>
      <c r="BM467">
        <v>8505</v>
      </c>
      <c r="BN467">
        <v>8505</v>
      </c>
      <c r="BO467">
        <v>8505</v>
      </c>
      <c r="BP467">
        <v>25515</v>
      </c>
      <c r="BQ467">
        <v>3300</v>
      </c>
      <c r="BR467">
        <v>400</v>
      </c>
      <c r="BS467">
        <v>400</v>
      </c>
      <c r="BT467">
        <v>4100</v>
      </c>
      <c r="BU467">
        <v>2100</v>
      </c>
      <c r="BV467">
        <v>2100</v>
      </c>
      <c r="BW467">
        <v>2100</v>
      </c>
      <c r="BX467">
        <v>6300</v>
      </c>
      <c r="BY467">
        <v>1200</v>
      </c>
      <c r="BZ467">
        <v>1200</v>
      </c>
      <c r="CA467">
        <v>1200</v>
      </c>
      <c r="CB467">
        <v>3600</v>
      </c>
      <c r="CF467">
        <v>0</v>
      </c>
      <c r="CG467">
        <v>39515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N467">
        <v>0</v>
      </c>
      <c r="DO467">
        <v>0</v>
      </c>
      <c r="DP467">
        <v>0</v>
      </c>
      <c r="DR467">
        <v>0</v>
      </c>
      <c r="DS467">
        <v>0</v>
      </c>
      <c r="DT467">
        <v>0</v>
      </c>
      <c r="DY467">
        <v>0</v>
      </c>
      <c r="EC467">
        <v>0</v>
      </c>
      <c r="ED467">
        <v>0</v>
      </c>
      <c r="EH467">
        <v>0</v>
      </c>
      <c r="EI467">
        <v>0</v>
      </c>
      <c r="EJ467">
        <v>0</v>
      </c>
      <c r="EK467">
        <v>0</v>
      </c>
      <c r="EM467">
        <v>0</v>
      </c>
      <c r="EN467">
        <v>660</v>
      </c>
      <c r="EO467">
        <v>660</v>
      </c>
      <c r="EP467">
        <v>659</v>
      </c>
      <c r="EQ467">
        <v>2000</v>
      </c>
      <c r="ER467">
        <v>21.24</v>
      </c>
      <c r="ES467">
        <v>0</v>
      </c>
      <c r="ET467">
        <v>0</v>
      </c>
      <c r="EU467">
        <v>0</v>
      </c>
      <c r="EW467">
        <v>0</v>
      </c>
      <c r="FA467">
        <v>0</v>
      </c>
      <c r="FE467">
        <v>0</v>
      </c>
      <c r="FI467">
        <v>0</v>
      </c>
      <c r="FJ467">
        <v>1978.76</v>
      </c>
      <c r="FK467">
        <v>39515</v>
      </c>
      <c r="FL467">
        <v>39201.520594870075</v>
      </c>
      <c r="FM467">
        <v>37536.239999999998</v>
      </c>
      <c r="FO467" t="s">
        <v>1578</v>
      </c>
      <c r="FP467" t="s">
        <v>1579</v>
      </c>
      <c r="FQ467" t="s">
        <v>263</v>
      </c>
      <c r="FR467" t="s">
        <v>1580</v>
      </c>
    </row>
    <row r="468" spans="1:174" x14ac:dyDescent="0.35">
      <c r="A468">
        <v>196792</v>
      </c>
      <c r="B468" t="s">
        <v>1581</v>
      </c>
      <c r="C468" t="s">
        <v>1582</v>
      </c>
      <c r="D468" t="s">
        <v>1583</v>
      </c>
      <c r="E468" s="43" t="s">
        <v>1584</v>
      </c>
      <c r="L468" s="43" t="s">
        <v>259</v>
      </c>
      <c r="M468" t="s">
        <v>1585</v>
      </c>
      <c r="N468" s="43"/>
      <c r="O468" s="43"/>
      <c r="P468" s="43"/>
      <c r="Q468" s="43"/>
      <c r="R468">
        <v>3.9</v>
      </c>
      <c r="S468">
        <v>44109</v>
      </c>
      <c r="T468" t="s">
        <v>311</v>
      </c>
      <c r="U468" t="s">
        <v>286</v>
      </c>
      <c r="V468" t="s">
        <v>267</v>
      </c>
      <c r="W468" t="s">
        <v>268</v>
      </c>
      <c r="X468" t="s">
        <v>269</v>
      </c>
      <c r="Y468">
        <v>8883022894</v>
      </c>
      <c r="Z468" t="s">
        <v>270</v>
      </c>
      <c r="AA468" t="s">
        <v>271</v>
      </c>
      <c r="AB468">
        <v>0</v>
      </c>
      <c r="AC468" t="s">
        <v>3272</v>
      </c>
      <c r="AD468" t="s">
        <v>3273</v>
      </c>
      <c r="AE468" t="s">
        <v>301</v>
      </c>
      <c r="AF468">
        <v>1</v>
      </c>
      <c r="AG468" t="s">
        <v>275</v>
      </c>
      <c r="AH468" t="s">
        <v>259</v>
      </c>
      <c r="AI468" t="s">
        <v>259</v>
      </c>
      <c r="AJ468" t="s">
        <v>259</v>
      </c>
      <c r="AK468" s="43" t="s">
        <v>259</v>
      </c>
      <c r="AL468" s="43" t="s">
        <v>259</v>
      </c>
      <c r="AO468" s="23"/>
      <c r="AP468" s="23"/>
      <c r="AQ468" s="23"/>
      <c r="BD468" s="43" t="s">
        <v>259</v>
      </c>
      <c r="BE468" s="43" t="s">
        <v>259</v>
      </c>
      <c r="BF468" s="43" t="s">
        <v>259</v>
      </c>
      <c r="BG468" s="43" t="s">
        <v>259</v>
      </c>
      <c r="BH468" t="s">
        <v>259</v>
      </c>
      <c r="BI468" s="43" t="s">
        <v>259</v>
      </c>
      <c r="BJ468">
        <v>0</v>
      </c>
      <c r="BK468">
        <v>44109</v>
      </c>
      <c r="BL468">
        <v>44356</v>
      </c>
      <c r="BM468">
        <v>8505</v>
      </c>
      <c r="BN468">
        <v>8505</v>
      </c>
      <c r="BO468">
        <v>8505</v>
      </c>
      <c r="BP468">
        <v>25515</v>
      </c>
      <c r="BQ468">
        <v>3300</v>
      </c>
      <c r="BR468">
        <v>400</v>
      </c>
      <c r="BS468">
        <v>400</v>
      </c>
      <c r="BT468">
        <v>4100</v>
      </c>
      <c r="BU468">
        <v>2100</v>
      </c>
      <c r="BV468">
        <v>2100</v>
      </c>
      <c r="BW468">
        <v>2100</v>
      </c>
      <c r="BX468">
        <v>6300</v>
      </c>
      <c r="BY468">
        <v>1200</v>
      </c>
      <c r="BZ468">
        <v>1200</v>
      </c>
      <c r="CA468">
        <v>1200</v>
      </c>
      <c r="CB468">
        <v>3600</v>
      </c>
      <c r="CC468">
        <v>0</v>
      </c>
      <c r="CD468">
        <v>0</v>
      </c>
      <c r="CE468">
        <v>0</v>
      </c>
      <c r="CF468">
        <v>0</v>
      </c>
      <c r="CG468">
        <v>39515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1700</v>
      </c>
      <c r="CU468">
        <v>1700</v>
      </c>
      <c r="CV468">
        <v>1700</v>
      </c>
      <c r="CW468">
        <v>5100</v>
      </c>
      <c r="CX468">
        <v>0</v>
      </c>
      <c r="CY468">
        <v>0</v>
      </c>
      <c r="CZ468">
        <v>0</v>
      </c>
      <c r="DA468">
        <v>0</v>
      </c>
      <c r="DB468">
        <v>1000</v>
      </c>
      <c r="DC468">
        <v>1000</v>
      </c>
      <c r="DD468">
        <v>1000</v>
      </c>
      <c r="DE468">
        <v>3000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8100</v>
      </c>
      <c r="EE468">
        <v>0</v>
      </c>
      <c r="EF468">
        <v>0</v>
      </c>
      <c r="EG468">
        <v>0</v>
      </c>
      <c r="EH468">
        <v>0</v>
      </c>
      <c r="EI468">
        <v>1154</v>
      </c>
      <c r="EJ468">
        <v>1154</v>
      </c>
      <c r="EK468">
        <v>1155</v>
      </c>
      <c r="EL468">
        <v>3500</v>
      </c>
      <c r="EM468">
        <v>37.065000000000005</v>
      </c>
      <c r="EN468">
        <v>660</v>
      </c>
      <c r="EO468">
        <v>660</v>
      </c>
      <c r="EP468">
        <v>659</v>
      </c>
      <c r="EQ468">
        <v>2000</v>
      </c>
      <c r="ER468">
        <v>21.18</v>
      </c>
      <c r="ES468">
        <v>0</v>
      </c>
      <c r="ET468">
        <v>0</v>
      </c>
      <c r="EU468">
        <v>0</v>
      </c>
      <c r="EV468">
        <v>0</v>
      </c>
      <c r="EW468">
        <v>0</v>
      </c>
      <c r="FA468">
        <v>0</v>
      </c>
      <c r="FE468">
        <v>0</v>
      </c>
      <c r="FI468">
        <v>0</v>
      </c>
      <c r="FJ468">
        <v>5441.7550000000001</v>
      </c>
      <c r="FK468">
        <v>31415</v>
      </c>
      <c r="FL468">
        <v>27122.138799548888</v>
      </c>
      <c r="FM468">
        <v>25973.244999999999</v>
      </c>
      <c r="FO468" t="s">
        <v>1586</v>
      </c>
      <c r="FP468" t="s">
        <v>1587</v>
      </c>
      <c r="FQ468" t="s">
        <v>687</v>
      </c>
      <c r="FR468" t="s">
        <v>1588</v>
      </c>
    </row>
    <row r="469" spans="1:174" x14ac:dyDescent="0.35">
      <c r="A469">
        <v>197896</v>
      </c>
      <c r="B469" t="s">
        <v>1589</v>
      </c>
      <c r="C469" t="s">
        <v>1590</v>
      </c>
      <c r="D469" t="s">
        <v>1591</v>
      </c>
      <c r="E469" s="43" t="s">
        <v>3300</v>
      </c>
      <c r="L469" s="43" t="s">
        <v>259</v>
      </c>
      <c r="M469" t="s">
        <v>1592</v>
      </c>
      <c r="N469" s="43"/>
      <c r="O469" s="43"/>
      <c r="P469" s="43"/>
      <c r="Q469" s="43"/>
      <c r="R469">
        <v>3.02</v>
      </c>
      <c r="S469">
        <v>44109</v>
      </c>
      <c r="T469" t="s">
        <v>311</v>
      </c>
      <c r="U469" t="s">
        <v>266</v>
      </c>
      <c r="V469" t="s">
        <v>267</v>
      </c>
      <c r="W469" t="s">
        <v>268</v>
      </c>
      <c r="X469" t="s">
        <v>269</v>
      </c>
      <c r="Y469">
        <v>8883022894</v>
      </c>
      <c r="Z469" t="s">
        <v>270</v>
      </c>
      <c r="AA469" t="s">
        <v>271</v>
      </c>
      <c r="AB469">
        <v>0</v>
      </c>
      <c r="AC469">
        <v>0</v>
      </c>
      <c r="AD469" t="s">
        <v>313</v>
      </c>
      <c r="AE469" t="s">
        <v>354</v>
      </c>
      <c r="AF469">
        <v>6</v>
      </c>
      <c r="AG469" t="s">
        <v>446</v>
      </c>
      <c r="AH469" t="s">
        <v>259</v>
      </c>
      <c r="AI469" t="s">
        <v>259</v>
      </c>
      <c r="AJ469" t="s">
        <v>259</v>
      </c>
      <c r="AK469" s="43" t="s">
        <v>259</v>
      </c>
      <c r="AL469" s="43" t="s">
        <v>259</v>
      </c>
      <c r="AO469" s="23"/>
      <c r="AP469" s="23"/>
      <c r="AQ469" s="23"/>
      <c r="BD469" s="43" t="s">
        <v>259</v>
      </c>
      <c r="BE469" s="43" t="s">
        <v>259</v>
      </c>
      <c r="BF469" s="43" t="s">
        <v>259</v>
      </c>
      <c r="BG469" s="43" t="s">
        <v>259</v>
      </c>
      <c r="BH469" t="s">
        <v>259</v>
      </c>
      <c r="BI469" s="43" t="s">
        <v>259</v>
      </c>
      <c r="BJ469">
        <v>0</v>
      </c>
      <c r="BK469">
        <v>44109</v>
      </c>
      <c r="BL469">
        <v>44356</v>
      </c>
      <c r="BM469">
        <v>8505</v>
      </c>
      <c r="BN469">
        <v>8505</v>
      </c>
      <c r="BO469">
        <v>8505</v>
      </c>
      <c r="BP469">
        <v>25515</v>
      </c>
      <c r="BQ469">
        <v>3300</v>
      </c>
      <c r="BR469">
        <v>400</v>
      </c>
      <c r="BS469">
        <v>400</v>
      </c>
      <c r="BT469">
        <v>4100</v>
      </c>
      <c r="BU469">
        <v>2100</v>
      </c>
      <c r="BV469">
        <v>2100</v>
      </c>
      <c r="BW469">
        <v>2100</v>
      </c>
      <c r="BX469">
        <v>6300</v>
      </c>
      <c r="BY469">
        <v>1200</v>
      </c>
      <c r="BZ469">
        <v>1200</v>
      </c>
      <c r="CA469">
        <v>1200</v>
      </c>
      <c r="CB469">
        <v>3600</v>
      </c>
      <c r="CF469">
        <v>0</v>
      </c>
      <c r="CG469">
        <v>39515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750</v>
      </c>
      <c r="CU469">
        <v>750</v>
      </c>
      <c r="CV469">
        <v>750</v>
      </c>
      <c r="CW469">
        <v>2250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N469">
        <v>0</v>
      </c>
      <c r="DO469">
        <v>0</v>
      </c>
      <c r="DP469">
        <v>0</v>
      </c>
      <c r="DR469">
        <v>0</v>
      </c>
      <c r="DS469">
        <v>0</v>
      </c>
      <c r="DT469">
        <v>0</v>
      </c>
      <c r="DY469">
        <v>0</v>
      </c>
      <c r="EC469">
        <v>0</v>
      </c>
      <c r="ED469">
        <v>2250</v>
      </c>
      <c r="EH469">
        <v>0</v>
      </c>
      <c r="EI469">
        <v>0</v>
      </c>
      <c r="EJ469">
        <v>0</v>
      </c>
      <c r="EK469">
        <v>0</v>
      </c>
      <c r="EM469">
        <v>0</v>
      </c>
      <c r="EN469">
        <v>660</v>
      </c>
      <c r="EO469">
        <v>660</v>
      </c>
      <c r="EP469">
        <v>659</v>
      </c>
      <c r="EQ469">
        <v>2000</v>
      </c>
      <c r="ER469">
        <v>21.24</v>
      </c>
      <c r="ES469">
        <v>0</v>
      </c>
      <c r="ET469">
        <v>0</v>
      </c>
      <c r="EU469">
        <v>0</v>
      </c>
      <c r="EW469">
        <v>0</v>
      </c>
      <c r="FA469">
        <v>0</v>
      </c>
      <c r="FE469">
        <v>0</v>
      </c>
      <c r="FI469">
        <v>0</v>
      </c>
      <c r="FJ469">
        <v>1978.76</v>
      </c>
      <c r="FK469">
        <v>37265</v>
      </c>
      <c r="FL469">
        <v>36851.700225582754</v>
      </c>
      <c r="FM469">
        <v>35286.239999999998</v>
      </c>
      <c r="FO469" t="s">
        <v>1593</v>
      </c>
      <c r="FP469" t="s">
        <v>1594</v>
      </c>
      <c r="FQ469" t="s">
        <v>332</v>
      </c>
      <c r="FR469" t="s">
        <v>1595</v>
      </c>
    </row>
    <row r="470" spans="1:174" x14ac:dyDescent="0.35">
      <c r="A470">
        <v>198826</v>
      </c>
      <c r="B470" t="s">
        <v>1589</v>
      </c>
      <c r="C470" t="s">
        <v>1596</v>
      </c>
      <c r="D470" t="s">
        <v>1597</v>
      </c>
      <c r="E470" s="43" t="s">
        <v>3301</v>
      </c>
      <c r="F470">
        <v>1</v>
      </c>
      <c r="I470">
        <v>43783</v>
      </c>
      <c r="L470" s="43" t="s">
        <v>3204</v>
      </c>
      <c r="M470" t="s">
        <v>1598</v>
      </c>
      <c r="N470" s="43"/>
      <c r="O470" s="43"/>
      <c r="P470" s="43"/>
      <c r="Q470" s="43"/>
      <c r="R470">
        <v>3</v>
      </c>
      <c r="S470">
        <v>44109</v>
      </c>
      <c r="T470" t="s">
        <v>285</v>
      </c>
      <c r="U470" t="s">
        <v>266</v>
      </c>
      <c r="V470" t="s">
        <v>267</v>
      </c>
      <c r="W470" t="s">
        <v>268</v>
      </c>
      <c r="X470" t="s">
        <v>269</v>
      </c>
      <c r="Y470">
        <v>8883022894</v>
      </c>
      <c r="Z470" t="s">
        <v>270</v>
      </c>
      <c r="AA470" t="s">
        <v>271</v>
      </c>
      <c r="AB470" t="s">
        <v>444</v>
      </c>
      <c r="AC470">
        <v>0</v>
      </c>
      <c r="AD470" t="s">
        <v>637</v>
      </c>
      <c r="AE470" t="s">
        <v>354</v>
      </c>
      <c r="AF470">
        <v>6</v>
      </c>
      <c r="AG470" t="s">
        <v>446</v>
      </c>
      <c r="AH470" t="s">
        <v>3226</v>
      </c>
      <c r="AI470" t="s">
        <v>313</v>
      </c>
      <c r="AJ470" t="s">
        <v>3207</v>
      </c>
      <c r="AK470" s="43" t="s">
        <v>3208</v>
      </c>
      <c r="AL470" s="43" t="s">
        <v>3209</v>
      </c>
      <c r="AO470" s="23"/>
      <c r="AP470" s="23"/>
      <c r="AQ470" s="23"/>
      <c r="BD470" s="43" t="s">
        <v>2018</v>
      </c>
      <c r="BE470" s="43" t="s">
        <v>2018</v>
      </c>
      <c r="BF470" s="43" t="s">
        <v>2018</v>
      </c>
      <c r="BG470" s="43" t="s">
        <v>2018</v>
      </c>
      <c r="BH470" t="s">
        <v>2018</v>
      </c>
      <c r="BI470" s="43" t="s">
        <v>2018</v>
      </c>
      <c r="BJ470">
        <v>0</v>
      </c>
      <c r="BK470">
        <v>44109</v>
      </c>
      <c r="BL470">
        <v>44356</v>
      </c>
      <c r="BM470">
        <v>8505</v>
      </c>
      <c r="BN470">
        <v>8505</v>
      </c>
      <c r="BO470">
        <v>8505</v>
      </c>
      <c r="BP470">
        <v>25515</v>
      </c>
      <c r="BQ470">
        <v>3300</v>
      </c>
      <c r="BR470">
        <v>400</v>
      </c>
      <c r="BS470">
        <v>400</v>
      </c>
      <c r="BT470">
        <v>4100</v>
      </c>
      <c r="BU470">
        <v>2100</v>
      </c>
      <c r="BV470">
        <v>2100</v>
      </c>
      <c r="BW470">
        <v>2100</v>
      </c>
      <c r="BX470">
        <v>6300</v>
      </c>
      <c r="BY470">
        <v>1200</v>
      </c>
      <c r="BZ470">
        <v>1200</v>
      </c>
      <c r="CA470">
        <v>1200</v>
      </c>
      <c r="CB470">
        <v>3600</v>
      </c>
      <c r="CF470">
        <v>0</v>
      </c>
      <c r="CG470">
        <v>39515</v>
      </c>
      <c r="CK470">
        <v>0</v>
      </c>
      <c r="CL470">
        <v>2065</v>
      </c>
      <c r="CM470">
        <v>2065</v>
      </c>
      <c r="CN470">
        <v>2065</v>
      </c>
      <c r="CO470">
        <v>6195</v>
      </c>
      <c r="CP470">
        <v>500</v>
      </c>
      <c r="CQ470">
        <v>500</v>
      </c>
      <c r="CR470">
        <v>500</v>
      </c>
      <c r="CS470">
        <v>1500</v>
      </c>
      <c r="CT470">
        <v>750</v>
      </c>
      <c r="CU470">
        <v>750</v>
      </c>
      <c r="CV470">
        <v>750</v>
      </c>
      <c r="CW470">
        <v>2250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N470">
        <v>0</v>
      </c>
      <c r="DO470">
        <v>0</v>
      </c>
      <c r="DP470">
        <v>0</v>
      </c>
      <c r="DR470">
        <v>0</v>
      </c>
      <c r="DS470">
        <v>0</v>
      </c>
      <c r="DT470">
        <v>0</v>
      </c>
      <c r="DY470">
        <v>0</v>
      </c>
      <c r="EC470">
        <v>0</v>
      </c>
      <c r="ED470">
        <v>9945</v>
      </c>
      <c r="EH470">
        <v>0</v>
      </c>
      <c r="EI470">
        <v>0</v>
      </c>
      <c r="EJ470">
        <v>0</v>
      </c>
      <c r="EK470">
        <v>0</v>
      </c>
      <c r="EM470">
        <v>0</v>
      </c>
      <c r="EN470">
        <v>660</v>
      </c>
      <c r="EO470">
        <v>660</v>
      </c>
      <c r="EP470">
        <v>659</v>
      </c>
      <c r="EQ470">
        <v>2000</v>
      </c>
      <c r="ER470">
        <v>21.24</v>
      </c>
      <c r="ES470">
        <v>0</v>
      </c>
      <c r="ET470">
        <v>0</v>
      </c>
      <c r="EU470">
        <v>0</v>
      </c>
      <c r="EW470">
        <v>0</v>
      </c>
      <c r="FA470">
        <v>0</v>
      </c>
      <c r="FE470">
        <v>0</v>
      </c>
      <c r="FI470">
        <v>0</v>
      </c>
      <c r="FJ470">
        <v>1978.76</v>
      </c>
      <c r="FK470">
        <v>29570</v>
      </c>
      <c r="FL470">
        <v>28815.314562620104</v>
      </c>
      <c r="FM470">
        <v>27591.24</v>
      </c>
      <c r="FO470" t="s">
        <v>1599</v>
      </c>
      <c r="FP470" t="s">
        <v>1600</v>
      </c>
      <c r="FQ470" t="s">
        <v>1172</v>
      </c>
      <c r="FR470" t="s">
        <v>1601</v>
      </c>
    </row>
    <row r="471" spans="1:174" x14ac:dyDescent="0.35">
      <c r="A471">
        <v>191923</v>
      </c>
      <c r="B471" t="s">
        <v>1589</v>
      </c>
      <c r="C471" t="s">
        <v>1602</v>
      </c>
      <c r="D471" t="s">
        <v>1603</v>
      </c>
      <c r="E471" s="43" t="s">
        <v>1604</v>
      </c>
      <c r="F471">
        <v>1</v>
      </c>
      <c r="G471">
        <v>43776</v>
      </c>
      <c r="H471">
        <v>43776</v>
      </c>
      <c r="I471">
        <v>43776</v>
      </c>
      <c r="J471" t="s">
        <v>3332</v>
      </c>
      <c r="K471" t="s">
        <v>3307</v>
      </c>
      <c r="L471" s="43" t="s">
        <v>301</v>
      </c>
      <c r="M471" t="s">
        <v>1605</v>
      </c>
      <c r="N471" s="43"/>
      <c r="O471" s="43"/>
      <c r="P471" s="43"/>
      <c r="Q471" s="43"/>
      <c r="R471">
        <v>3.2</v>
      </c>
      <c r="S471">
        <v>44109</v>
      </c>
      <c r="T471" t="s">
        <v>265</v>
      </c>
      <c r="U471" t="s">
        <v>286</v>
      </c>
      <c r="V471" t="s">
        <v>267</v>
      </c>
      <c r="W471" t="s">
        <v>268</v>
      </c>
      <c r="X471" t="s">
        <v>269</v>
      </c>
      <c r="Y471">
        <v>8883022894</v>
      </c>
      <c r="Z471" t="s">
        <v>508</v>
      </c>
      <c r="AA471" t="s">
        <v>271</v>
      </c>
      <c r="AB471" t="s">
        <v>526</v>
      </c>
      <c r="AC471">
        <v>0</v>
      </c>
      <c r="AD471" t="s">
        <v>1141</v>
      </c>
      <c r="AE471" t="s">
        <v>289</v>
      </c>
      <c r="AF471">
        <v>2</v>
      </c>
      <c r="AG471" t="s">
        <v>275</v>
      </c>
      <c r="AH471" t="s">
        <v>3226</v>
      </c>
      <c r="AI471" t="s">
        <v>313</v>
      </c>
      <c r="AJ471" t="s">
        <v>3207</v>
      </c>
      <c r="AK471" s="43" t="s">
        <v>1715</v>
      </c>
      <c r="AL471" s="43" t="s">
        <v>259</v>
      </c>
      <c r="AO471" s="23">
        <v>43776</v>
      </c>
      <c r="AP471" s="23"/>
      <c r="AQ471" s="23"/>
      <c r="BD471" s="43" t="s">
        <v>259</v>
      </c>
      <c r="BE471" s="43" t="s">
        <v>259</v>
      </c>
      <c r="BF471" s="43" t="s">
        <v>259</v>
      </c>
      <c r="BG471" s="43" t="s">
        <v>259</v>
      </c>
      <c r="BH471" t="s">
        <v>259</v>
      </c>
      <c r="BI471" s="43" t="s">
        <v>259</v>
      </c>
      <c r="BJ471">
        <v>4.3478260869565188E-2</v>
      </c>
      <c r="BK471">
        <v>44109</v>
      </c>
      <c r="BL471">
        <v>44356</v>
      </c>
      <c r="BM471">
        <v>8505</v>
      </c>
      <c r="BN471">
        <v>8505</v>
      </c>
      <c r="BO471">
        <v>8505</v>
      </c>
      <c r="BP471">
        <v>25515</v>
      </c>
      <c r="BQ471">
        <v>3300</v>
      </c>
      <c r="BR471">
        <v>400</v>
      </c>
      <c r="BS471">
        <v>400</v>
      </c>
      <c r="BT471">
        <v>4100</v>
      </c>
      <c r="BU471">
        <v>2100</v>
      </c>
      <c r="BV471">
        <v>2100</v>
      </c>
      <c r="BW471">
        <v>2100</v>
      </c>
      <c r="BX471">
        <v>6300</v>
      </c>
      <c r="BY471">
        <v>1200</v>
      </c>
      <c r="BZ471">
        <v>1200</v>
      </c>
      <c r="CA471">
        <v>1200</v>
      </c>
      <c r="CB471">
        <v>3600</v>
      </c>
      <c r="CC471">
        <v>0</v>
      </c>
      <c r="CD471">
        <v>0</v>
      </c>
      <c r="CE471">
        <v>0</v>
      </c>
      <c r="CF471">
        <v>0</v>
      </c>
      <c r="CG471">
        <v>39515</v>
      </c>
      <c r="CH471">
        <v>0</v>
      </c>
      <c r="CI471">
        <v>0</v>
      </c>
      <c r="CJ471">
        <v>0</v>
      </c>
      <c r="CK471">
        <v>0</v>
      </c>
      <c r="CL471">
        <v>2065</v>
      </c>
      <c r="CM471">
        <v>2065</v>
      </c>
      <c r="CN471">
        <v>2065</v>
      </c>
      <c r="CO471">
        <v>6195</v>
      </c>
      <c r="CP471">
        <v>500</v>
      </c>
      <c r="CQ471">
        <v>500</v>
      </c>
      <c r="CR471">
        <v>500</v>
      </c>
      <c r="CS471">
        <v>1500</v>
      </c>
      <c r="CT471">
        <v>1500</v>
      </c>
      <c r="CU471">
        <v>1500</v>
      </c>
      <c r="CV471">
        <v>1500</v>
      </c>
      <c r="CW471">
        <v>4500</v>
      </c>
      <c r="CX471">
        <v>0</v>
      </c>
      <c r="CY471">
        <v>0</v>
      </c>
      <c r="CZ471">
        <v>0</v>
      </c>
      <c r="DA471">
        <v>0</v>
      </c>
      <c r="DB471">
        <v>1000</v>
      </c>
      <c r="DC471">
        <v>1000</v>
      </c>
      <c r="DD471">
        <v>1000</v>
      </c>
      <c r="DE471">
        <v>3000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15195</v>
      </c>
      <c r="EE471">
        <v>0</v>
      </c>
      <c r="EF471">
        <v>0</v>
      </c>
      <c r="EG471">
        <v>0</v>
      </c>
      <c r="EH471">
        <v>0</v>
      </c>
      <c r="EI471">
        <v>1154</v>
      </c>
      <c r="EJ471">
        <v>1154</v>
      </c>
      <c r="EK471">
        <v>1155</v>
      </c>
      <c r="EL471">
        <v>3500</v>
      </c>
      <c r="EM471">
        <v>37.065000000000005</v>
      </c>
      <c r="EN471">
        <v>1979</v>
      </c>
      <c r="EO471">
        <v>1979</v>
      </c>
      <c r="EP471">
        <v>1978</v>
      </c>
      <c r="EQ471">
        <v>6000</v>
      </c>
      <c r="ER471">
        <v>63.540000000000006</v>
      </c>
      <c r="ES471">
        <v>0</v>
      </c>
      <c r="ET471">
        <v>0</v>
      </c>
      <c r="EU471">
        <v>0</v>
      </c>
      <c r="EV471">
        <v>0</v>
      </c>
      <c r="EW471">
        <v>0</v>
      </c>
      <c r="FA471">
        <v>0</v>
      </c>
      <c r="FE471">
        <v>0</v>
      </c>
      <c r="FI471">
        <v>0</v>
      </c>
      <c r="FJ471">
        <v>9399.3950000000004</v>
      </c>
      <c r="FK471">
        <v>24320</v>
      </c>
      <c r="FL471">
        <v>15580.599181320746</v>
      </c>
      <c r="FM471">
        <v>14920.605</v>
      </c>
      <c r="FO471" t="s">
        <v>1606</v>
      </c>
      <c r="FP471" t="s">
        <v>1008</v>
      </c>
      <c r="FQ471" t="s">
        <v>263</v>
      </c>
      <c r="FR471" t="s">
        <v>1607</v>
      </c>
    </row>
    <row r="472" spans="1:174" x14ac:dyDescent="0.35">
      <c r="A472">
        <v>199067</v>
      </c>
      <c r="B472" t="s">
        <v>1589</v>
      </c>
      <c r="C472" t="s">
        <v>954</v>
      </c>
      <c r="D472" t="s">
        <v>3817</v>
      </c>
      <c r="E472" s="43" t="s">
        <v>4225</v>
      </c>
      <c r="J472" t="s">
        <v>3745</v>
      </c>
      <c r="L472" s="43" t="s">
        <v>344</v>
      </c>
      <c r="M472" t="s">
        <v>3818</v>
      </c>
      <c r="N472" s="43"/>
      <c r="O472" s="43"/>
      <c r="P472" s="43"/>
      <c r="Q472" s="43"/>
      <c r="R472">
        <v>3.76</v>
      </c>
      <c r="S472">
        <v>44109</v>
      </c>
      <c r="T472" t="s">
        <v>311</v>
      </c>
      <c r="U472" t="s">
        <v>266</v>
      </c>
      <c r="V472" t="s">
        <v>267</v>
      </c>
      <c r="W472" t="s">
        <v>268</v>
      </c>
      <c r="X472" t="s">
        <v>269</v>
      </c>
      <c r="Y472">
        <v>8883022894</v>
      </c>
      <c r="Z472" t="s">
        <v>270</v>
      </c>
      <c r="AA472" t="s">
        <v>271</v>
      </c>
      <c r="AB472" t="s">
        <v>374</v>
      </c>
      <c r="AC472">
        <v>0</v>
      </c>
      <c r="AD472" t="s">
        <v>288</v>
      </c>
      <c r="AE472" t="s">
        <v>289</v>
      </c>
      <c r="AF472">
        <v>2</v>
      </c>
      <c r="AG472" t="s">
        <v>3345</v>
      </c>
      <c r="AH472" t="s">
        <v>313</v>
      </c>
      <c r="AI472" t="s">
        <v>313</v>
      </c>
      <c r="AJ472" t="s">
        <v>4237</v>
      </c>
      <c r="AK472" s="43" t="s">
        <v>1715</v>
      </c>
      <c r="AL472" s="43" t="s">
        <v>259</v>
      </c>
      <c r="AO472" s="23"/>
      <c r="AP472" s="23"/>
      <c r="AQ472" s="23"/>
      <c r="BD472" s="43" t="s">
        <v>259</v>
      </c>
      <c r="BE472" s="43" t="s">
        <v>259</v>
      </c>
      <c r="BF472" s="43" t="s">
        <v>259</v>
      </c>
      <c r="BG472" s="43" t="s">
        <v>259</v>
      </c>
      <c r="BH472" t="s">
        <v>259</v>
      </c>
      <c r="BI472" s="43" t="s">
        <v>259</v>
      </c>
      <c r="BJ472">
        <v>0</v>
      </c>
      <c r="BK472">
        <v>44109</v>
      </c>
      <c r="BL472">
        <v>44356</v>
      </c>
      <c r="BM472">
        <v>8505</v>
      </c>
      <c r="BN472">
        <v>8505</v>
      </c>
      <c r="BO472">
        <v>8505</v>
      </c>
      <c r="BP472">
        <v>25515</v>
      </c>
      <c r="BQ472">
        <v>3300</v>
      </c>
      <c r="BR472">
        <v>400</v>
      </c>
      <c r="BS472">
        <v>400</v>
      </c>
      <c r="BT472">
        <v>4100</v>
      </c>
      <c r="BU472">
        <v>2100</v>
      </c>
      <c r="BV472">
        <v>2100</v>
      </c>
      <c r="BW472">
        <v>2100</v>
      </c>
      <c r="BX472">
        <v>6300</v>
      </c>
      <c r="BY472">
        <v>1200</v>
      </c>
      <c r="BZ472">
        <v>1200</v>
      </c>
      <c r="CA472">
        <v>1200</v>
      </c>
      <c r="CB472">
        <v>3600</v>
      </c>
      <c r="CF472">
        <v>0</v>
      </c>
      <c r="CG472">
        <v>39515</v>
      </c>
      <c r="CK472">
        <v>0</v>
      </c>
      <c r="CL472">
        <v>2065</v>
      </c>
      <c r="CM472">
        <v>2065</v>
      </c>
      <c r="CN472">
        <v>2065</v>
      </c>
      <c r="CO472">
        <v>6195</v>
      </c>
      <c r="CP472">
        <v>500</v>
      </c>
      <c r="CQ472">
        <v>500</v>
      </c>
      <c r="CR472">
        <v>500</v>
      </c>
      <c r="CS472">
        <v>1500</v>
      </c>
      <c r="CT472">
        <v>1500</v>
      </c>
      <c r="CU472">
        <v>1500</v>
      </c>
      <c r="CV472">
        <v>1500</v>
      </c>
      <c r="CW472">
        <v>4500</v>
      </c>
      <c r="CX472">
        <v>3000</v>
      </c>
      <c r="CY472">
        <v>3000</v>
      </c>
      <c r="CZ472">
        <v>3000</v>
      </c>
      <c r="DA472">
        <v>9000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N472">
        <v>0</v>
      </c>
      <c r="DO472">
        <v>0</v>
      </c>
      <c r="DP472">
        <v>0</v>
      </c>
      <c r="DR472">
        <v>0</v>
      </c>
      <c r="DS472">
        <v>0</v>
      </c>
      <c r="DT472">
        <v>0</v>
      </c>
      <c r="DY472">
        <v>0</v>
      </c>
      <c r="EC472">
        <v>0</v>
      </c>
      <c r="ED472">
        <v>21195</v>
      </c>
      <c r="EH472">
        <v>0</v>
      </c>
      <c r="EI472">
        <v>0</v>
      </c>
      <c r="EJ472">
        <v>0</v>
      </c>
      <c r="EK472">
        <v>0</v>
      </c>
      <c r="EM472">
        <v>0</v>
      </c>
      <c r="EN472">
        <v>660</v>
      </c>
      <c r="EO472">
        <v>660</v>
      </c>
      <c r="EP472">
        <v>659</v>
      </c>
      <c r="EQ472">
        <v>2000</v>
      </c>
      <c r="ER472">
        <v>21.24</v>
      </c>
      <c r="ES472">
        <v>0</v>
      </c>
      <c r="ET472">
        <v>0</v>
      </c>
      <c r="EU472">
        <v>0</v>
      </c>
      <c r="EW472">
        <v>0</v>
      </c>
      <c r="FA472">
        <v>0</v>
      </c>
      <c r="FE472">
        <v>0</v>
      </c>
      <c r="FI472">
        <v>0</v>
      </c>
      <c r="FJ472">
        <v>1978.76</v>
      </c>
      <c r="FK472">
        <v>18320</v>
      </c>
      <c r="FL472">
        <v>17066.212716183472</v>
      </c>
      <c r="FM472">
        <v>16341.24</v>
      </c>
      <c r="FO472" t="s">
        <v>3819</v>
      </c>
      <c r="FP472" t="s">
        <v>3377</v>
      </c>
      <c r="FQ472" t="s">
        <v>542</v>
      </c>
      <c r="FR472" t="s">
        <v>3820</v>
      </c>
    </row>
    <row r="473" spans="1:174" x14ac:dyDescent="0.35">
      <c r="A473">
        <v>196971</v>
      </c>
      <c r="B473" t="s">
        <v>1589</v>
      </c>
      <c r="C473" t="s">
        <v>3572</v>
      </c>
      <c r="D473" t="s">
        <v>3573</v>
      </c>
      <c r="E473" s="43" t="s">
        <v>4226</v>
      </c>
      <c r="J473" t="s">
        <v>3425</v>
      </c>
      <c r="L473" s="43" t="s">
        <v>259</v>
      </c>
      <c r="M473" t="s">
        <v>3574</v>
      </c>
      <c r="N473" s="43"/>
      <c r="O473" s="43"/>
      <c r="P473" s="43"/>
      <c r="Q473" s="43"/>
      <c r="R473">
        <v>2.06</v>
      </c>
      <c r="S473">
        <v>44109</v>
      </c>
      <c r="T473" t="s">
        <v>311</v>
      </c>
      <c r="U473" t="s">
        <v>266</v>
      </c>
      <c r="V473" t="s">
        <v>267</v>
      </c>
      <c r="W473" t="s">
        <v>268</v>
      </c>
      <c r="X473" t="s">
        <v>269</v>
      </c>
      <c r="Y473">
        <v>8883022894</v>
      </c>
      <c r="Z473" t="s">
        <v>270</v>
      </c>
      <c r="AA473" t="s">
        <v>271</v>
      </c>
      <c r="AB473">
        <v>0</v>
      </c>
      <c r="AC473" t="s">
        <v>3578</v>
      </c>
      <c r="AD473" t="s">
        <v>3579</v>
      </c>
      <c r="AE473" t="s">
        <v>344</v>
      </c>
      <c r="AF473">
        <v>10</v>
      </c>
      <c r="AG473" t="s">
        <v>3345</v>
      </c>
      <c r="AH473" t="s">
        <v>259</v>
      </c>
      <c r="AI473" t="s">
        <v>259</v>
      </c>
      <c r="AJ473" t="s">
        <v>259</v>
      </c>
      <c r="AK473" s="43" t="s">
        <v>259</v>
      </c>
      <c r="AL473" s="43" t="s">
        <v>259</v>
      </c>
      <c r="AO473" s="23"/>
      <c r="AP473" s="23"/>
      <c r="AQ473" s="23"/>
      <c r="BD473" s="43" t="s">
        <v>259</v>
      </c>
      <c r="BE473" s="43" t="s">
        <v>259</v>
      </c>
      <c r="BF473" s="43" t="s">
        <v>259</v>
      </c>
      <c r="BG473" s="43" t="s">
        <v>259</v>
      </c>
      <c r="BH473" t="s">
        <v>259</v>
      </c>
      <c r="BI473" s="43" t="s">
        <v>259</v>
      </c>
      <c r="BJ473">
        <v>0</v>
      </c>
      <c r="BK473">
        <v>44109</v>
      </c>
      <c r="BL473">
        <v>44356</v>
      </c>
      <c r="BM473">
        <v>8505</v>
      </c>
      <c r="BN473">
        <v>8505</v>
      </c>
      <c r="BO473">
        <v>8505</v>
      </c>
      <c r="BP473">
        <v>25515</v>
      </c>
      <c r="BQ473">
        <v>3300</v>
      </c>
      <c r="BR473">
        <v>400</v>
      </c>
      <c r="BS473">
        <v>400</v>
      </c>
      <c r="BT473">
        <v>4100</v>
      </c>
      <c r="BU473">
        <v>2100</v>
      </c>
      <c r="BV473">
        <v>2100</v>
      </c>
      <c r="BW473">
        <v>2100</v>
      </c>
      <c r="BX473">
        <v>6300</v>
      </c>
      <c r="BY473">
        <v>1200</v>
      </c>
      <c r="BZ473">
        <v>1200</v>
      </c>
      <c r="CA473">
        <v>1200</v>
      </c>
      <c r="CB473">
        <v>3600</v>
      </c>
      <c r="CF473">
        <v>0</v>
      </c>
      <c r="CG473">
        <v>39515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N473">
        <v>0</v>
      </c>
      <c r="DO473">
        <v>0</v>
      </c>
      <c r="DP473">
        <v>0</v>
      </c>
      <c r="DR473">
        <v>0</v>
      </c>
      <c r="DS473">
        <v>0</v>
      </c>
      <c r="DT473">
        <v>0</v>
      </c>
      <c r="DY473">
        <v>0</v>
      </c>
      <c r="EC473">
        <v>0</v>
      </c>
      <c r="ED473">
        <v>0</v>
      </c>
      <c r="EH473">
        <v>0</v>
      </c>
      <c r="EI473">
        <v>0</v>
      </c>
      <c r="EJ473">
        <v>0</v>
      </c>
      <c r="EK473">
        <v>0</v>
      </c>
      <c r="EM473">
        <v>0</v>
      </c>
      <c r="EN473">
        <v>660</v>
      </c>
      <c r="EO473">
        <v>660</v>
      </c>
      <c r="EP473">
        <v>659</v>
      </c>
      <c r="EQ473">
        <v>2000</v>
      </c>
      <c r="ER473">
        <v>21.24</v>
      </c>
      <c r="ES473">
        <v>0</v>
      </c>
      <c r="ET473">
        <v>0</v>
      </c>
      <c r="EU473">
        <v>0</v>
      </c>
      <c r="EW473">
        <v>0</v>
      </c>
      <c r="FA473">
        <v>0</v>
      </c>
      <c r="FE473">
        <v>0</v>
      </c>
      <c r="FI473">
        <v>0</v>
      </c>
      <c r="FJ473">
        <v>1978.76</v>
      </c>
      <c r="FK473">
        <v>39515</v>
      </c>
      <c r="FL473">
        <v>39201.520594870075</v>
      </c>
      <c r="FM473">
        <v>37536.239999999998</v>
      </c>
      <c r="FO473" t="s">
        <v>3575</v>
      </c>
      <c r="FP473" t="s">
        <v>3576</v>
      </c>
      <c r="FQ473" t="s">
        <v>1172</v>
      </c>
      <c r="FR473" t="s">
        <v>3577</v>
      </c>
    </row>
    <row r="474" spans="1:174" x14ac:dyDescent="0.35">
      <c r="A474">
        <v>197800</v>
      </c>
      <c r="B474" t="s">
        <v>1589</v>
      </c>
      <c r="C474" t="s">
        <v>1608</v>
      </c>
      <c r="D474" t="s">
        <v>1609</v>
      </c>
      <c r="E474" s="43" t="s">
        <v>1610</v>
      </c>
      <c r="L474" s="43" t="s">
        <v>259</v>
      </c>
      <c r="M474" t="s">
        <v>1611</v>
      </c>
      <c r="N474" s="43"/>
      <c r="O474" s="43"/>
      <c r="P474" s="43"/>
      <c r="Q474" s="43"/>
      <c r="R474">
        <v>3.72</v>
      </c>
      <c r="S474">
        <v>44109</v>
      </c>
      <c r="T474" t="s">
        <v>311</v>
      </c>
      <c r="U474" t="s">
        <v>286</v>
      </c>
      <c r="V474" t="s">
        <v>267</v>
      </c>
      <c r="W474" t="s">
        <v>268</v>
      </c>
      <c r="X474" t="s">
        <v>269</v>
      </c>
      <c r="Y474">
        <v>8883022894</v>
      </c>
      <c r="Z474" t="s">
        <v>270</v>
      </c>
      <c r="AA474" t="s">
        <v>271</v>
      </c>
      <c r="AB474">
        <v>0</v>
      </c>
      <c r="AC474" t="s">
        <v>761</v>
      </c>
      <c r="AD474" t="s">
        <v>288</v>
      </c>
      <c r="AE474" t="s">
        <v>289</v>
      </c>
      <c r="AF474">
        <v>2</v>
      </c>
      <c r="AG474" t="s">
        <v>275</v>
      </c>
      <c r="AH474" t="s">
        <v>259</v>
      </c>
      <c r="AI474" t="s">
        <v>259</v>
      </c>
      <c r="AJ474" t="s">
        <v>259</v>
      </c>
      <c r="AK474" s="43" t="s">
        <v>259</v>
      </c>
      <c r="AL474" s="43" t="s">
        <v>259</v>
      </c>
      <c r="AO474" s="23"/>
      <c r="AP474" s="23"/>
      <c r="AQ474" s="23"/>
      <c r="BD474" s="43" t="s">
        <v>259</v>
      </c>
      <c r="BE474" s="43" t="s">
        <v>259</v>
      </c>
      <c r="BF474" s="43" t="s">
        <v>259</v>
      </c>
      <c r="BG474" s="43" t="s">
        <v>259</v>
      </c>
      <c r="BH474" t="s">
        <v>259</v>
      </c>
      <c r="BI474" s="43" t="s">
        <v>259</v>
      </c>
      <c r="BJ474">
        <v>0</v>
      </c>
      <c r="BK474">
        <v>44109</v>
      </c>
      <c r="BL474">
        <v>44356</v>
      </c>
      <c r="BM474">
        <v>8505</v>
      </c>
      <c r="BN474">
        <v>8505</v>
      </c>
      <c r="BO474">
        <v>8505</v>
      </c>
      <c r="BP474">
        <v>25515</v>
      </c>
      <c r="BQ474">
        <v>3300</v>
      </c>
      <c r="BR474">
        <v>400</v>
      </c>
      <c r="BS474">
        <v>400</v>
      </c>
      <c r="BT474">
        <v>4100</v>
      </c>
      <c r="BU474">
        <v>2100</v>
      </c>
      <c r="BV474">
        <v>2100</v>
      </c>
      <c r="BW474">
        <v>2100</v>
      </c>
      <c r="BX474">
        <v>6300</v>
      </c>
      <c r="BY474">
        <v>1200</v>
      </c>
      <c r="BZ474">
        <v>1200</v>
      </c>
      <c r="CA474">
        <v>1200</v>
      </c>
      <c r="CB474">
        <v>3600</v>
      </c>
      <c r="CC474">
        <v>0</v>
      </c>
      <c r="CD474">
        <v>0</v>
      </c>
      <c r="CE474">
        <v>0</v>
      </c>
      <c r="CF474">
        <v>0</v>
      </c>
      <c r="CG474">
        <v>39515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1500</v>
      </c>
      <c r="CU474">
        <v>1500</v>
      </c>
      <c r="CV474">
        <v>1500</v>
      </c>
      <c r="CW474">
        <v>4500</v>
      </c>
      <c r="CX474">
        <v>0</v>
      </c>
      <c r="CY474">
        <v>0</v>
      </c>
      <c r="CZ474">
        <v>0</v>
      </c>
      <c r="DA474">
        <v>0</v>
      </c>
      <c r="DB474">
        <v>1000</v>
      </c>
      <c r="DC474">
        <v>1000</v>
      </c>
      <c r="DD474">
        <v>1000</v>
      </c>
      <c r="DE474">
        <v>3000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7500</v>
      </c>
      <c r="EE474">
        <v>0</v>
      </c>
      <c r="EF474">
        <v>0</v>
      </c>
      <c r="EG474">
        <v>0</v>
      </c>
      <c r="EH474">
        <v>0</v>
      </c>
      <c r="EI474">
        <v>1154</v>
      </c>
      <c r="EJ474">
        <v>1154</v>
      </c>
      <c r="EK474">
        <v>1155</v>
      </c>
      <c r="EL474">
        <v>3500</v>
      </c>
      <c r="EM474">
        <v>37.065000000000005</v>
      </c>
      <c r="EN474">
        <v>660</v>
      </c>
      <c r="EO474">
        <v>660</v>
      </c>
      <c r="EP474">
        <v>659</v>
      </c>
      <c r="EQ474">
        <v>2000</v>
      </c>
      <c r="ER474">
        <v>21.18</v>
      </c>
      <c r="ES474">
        <v>0</v>
      </c>
      <c r="ET474">
        <v>0</v>
      </c>
      <c r="EU474">
        <v>0</v>
      </c>
      <c r="EV474">
        <v>0</v>
      </c>
      <c r="EW474">
        <v>0</v>
      </c>
      <c r="FA474">
        <v>0</v>
      </c>
      <c r="FE474">
        <v>0</v>
      </c>
      <c r="FI474">
        <v>0</v>
      </c>
      <c r="FJ474">
        <v>5441.7550000000001</v>
      </c>
      <c r="FK474">
        <v>32015</v>
      </c>
      <c r="FL474">
        <v>27748.679044317276</v>
      </c>
      <c r="FM474">
        <v>26573.244999999999</v>
      </c>
      <c r="FO474" t="s">
        <v>1612</v>
      </c>
      <c r="FP474" t="s">
        <v>1099</v>
      </c>
      <c r="FQ474" t="s">
        <v>297</v>
      </c>
      <c r="FR474" t="s">
        <v>1613</v>
      </c>
    </row>
    <row r="475" spans="1:174" x14ac:dyDescent="0.35">
      <c r="A475">
        <v>196275</v>
      </c>
      <c r="B475" t="s">
        <v>1589</v>
      </c>
      <c r="C475" t="s">
        <v>1614</v>
      </c>
      <c r="D475" t="s">
        <v>1615</v>
      </c>
      <c r="E475" s="43" t="s">
        <v>1616</v>
      </c>
      <c r="L475" s="43" t="s">
        <v>259</v>
      </c>
      <c r="M475" t="s">
        <v>1617</v>
      </c>
      <c r="N475" s="43"/>
      <c r="O475" s="43"/>
      <c r="P475" s="43"/>
      <c r="Q475" s="43"/>
      <c r="R475">
        <v>2.875</v>
      </c>
      <c r="S475">
        <v>44109</v>
      </c>
      <c r="T475" t="s">
        <v>311</v>
      </c>
      <c r="U475" t="s">
        <v>266</v>
      </c>
      <c r="V475" t="s">
        <v>267</v>
      </c>
      <c r="W475" t="s">
        <v>268</v>
      </c>
      <c r="X475" t="s">
        <v>269</v>
      </c>
      <c r="Y475">
        <v>8883022894</v>
      </c>
      <c r="Z475" t="s">
        <v>270</v>
      </c>
      <c r="AA475" t="s">
        <v>271</v>
      </c>
      <c r="AB475" t="s">
        <v>1621</v>
      </c>
      <c r="AC475">
        <v>0</v>
      </c>
      <c r="AD475" t="s">
        <v>1372</v>
      </c>
      <c r="AE475" t="s">
        <v>344</v>
      </c>
      <c r="AF475">
        <v>10</v>
      </c>
      <c r="AG475" t="s">
        <v>275</v>
      </c>
      <c r="AH475" t="s">
        <v>259</v>
      </c>
      <c r="AI475" t="s">
        <v>259</v>
      </c>
      <c r="AJ475" t="s">
        <v>259</v>
      </c>
      <c r="AK475" s="43" t="s">
        <v>259</v>
      </c>
      <c r="AL475" s="43" t="s">
        <v>259</v>
      </c>
      <c r="AO475" s="23"/>
      <c r="AP475" s="23"/>
      <c r="AQ475" s="23"/>
      <c r="BD475" s="43" t="s">
        <v>259</v>
      </c>
      <c r="BE475" s="43" t="s">
        <v>259</v>
      </c>
      <c r="BF475" s="43" t="s">
        <v>259</v>
      </c>
      <c r="BG475" s="43" t="s">
        <v>259</v>
      </c>
      <c r="BH475" t="s">
        <v>259</v>
      </c>
      <c r="BI475" s="43" t="s">
        <v>259</v>
      </c>
      <c r="BJ475">
        <v>0</v>
      </c>
      <c r="BK475">
        <v>44109</v>
      </c>
      <c r="BL475">
        <v>44356</v>
      </c>
      <c r="BM475">
        <v>8505</v>
      </c>
      <c r="BN475">
        <v>8505</v>
      </c>
      <c r="BO475">
        <v>8505</v>
      </c>
      <c r="BP475">
        <v>25515</v>
      </c>
      <c r="BQ475">
        <v>3300</v>
      </c>
      <c r="BR475">
        <v>400</v>
      </c>
      <c r="BS475">
        <v>400</v>
      </c>
      <c r="BT475">
        <v>4100</v>
      </c>
      <c r="BU475">
        <v>2100</v>
      </c>
      <c r="BV475">
        <v>2100</v>
      </c>
      <c r="BW475">
        <v>2100</v>
      </c>
      <c r="BX475">
        <v>6300</v>
      </c>
      <c r="BY475">
        <v>1200</v>
      </c>
      <c r="BZ475">
        <v>1200</v>
      </c>
      <c r="CA475">
        <v>1200</v>
      </c>
      <c r="CB475">
        <v>3600</v>
      </c>
      <c r="CC475">
        <v>0</v>
      </c>
      <c r="CD475">
        <v>0</v>
      </c>
      <c r="CE475">
        <v>0</v>
      </c>
      <c r="CF475">
        <v>0</v>
      </c>
      <c r="CG475">
        <v>39515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1154</v>
      </c>
      <c r="EJ475">
        <v>1154</v>
      </c>
      <c r="EK475">
        <v>1155</v>
      </c>
      <c r="EL475">
        <v>3500</v>
      </c>
      <c r="EM475">
        <v>37.065000000000005</v>
      </c>
      <c r="EN475">
        <v>660</v>
      </c>
      <c r="EO475">
        <v>660</v>
      </c>
      <c r="EP475">
        <v>659</v>
      </c>
      <c r="EQ475">
        <v>2000</v>
      </c>
      <c r="ER475">
        <v>21.18</v>
      </c>
      <c r="ES475">
        <v>0</v>
      </c>
      <c r="ET475">
        <v>0</v>
      </c>
      <c r="EU475">
        <v>0</v>
      </c>
      <c r="EV475">
        <v>0</v>
      </c>
      <c r="EW475">
        <v>0</v>
      </c>
      <c r="FA475">
        <v>0</v>
      </c>
      <c r="FE475">
        <v>0</v>
      </c>
      <c r="FI475">
        <v>0</v>
      </c>
      <c r="FJ475">
        <v>5441.7550000000001</v>
      </c>
      <c r="FK475">
        <v>39515</v>
      </c>
      <c r="FL475">
        <v>35580.43210392214</v>
      </c>
      <c r="FM475">
        <v>34073.245000000003</v>
      </c>
      <c r="FO475" t="s">
        <v>1618</v>
      </c>
      <c r="FP475" t="s">
        <v>1619</v>
      </c>
      <c r="FQ475" t="s">
        <v>553</v>
      </c>
      <c r="FR475" t="s">
        <v>1620</v>
      </c>
    </row>
    <row r="476" spans="1:174" x14ac:dyDescent="0.35">
      <c r="A476">
        <v>195666</v>
      </c>
      <c r="B476" t="s">
        <v>1622</v>
      </c>
      <c r="C476" t="s">
        <v>1623</v>
      </c>
      <c r="D476" t="s">
        <v>1624</v>
      </c>
      <c r="E476" s="43" t="s">
        <v>1625</v>
      </c>
      <c r="F476">
        <v>1</v>
      </c>
      <c r="I476">
        <v>43795</v>
      </c>
      <c r="L476" s="43" t="s">
        <v>3204</v>
      </c>
      <c r="M476" t="s">
        <v>1626</v>
      </c>
      <c r="N476" s="43"/>
      <c r="O476" s="43"/>
      <c r="P476" s="43"/>
      <c r="Q476" s="43"/>
      <c r="R476">
        <v>3.2</v>
      </c>
      <c r="S476">
        <v>44109</v>
      </c>
      <c r="T476" t="s">
        <v>285</v>
      </c>
      <c r="U476" t="s">
        <v>266</v>
      </c>
      <c r="V476" t="s">
        <v>267</v>
      </c>
      <c r="W476" t="s">
        <v>268</v>
      </c>
      <c r="X476" t="s">
        <v>269</v>
      </c>
      <c r="Y476">
        <v>8883022894</v>
      </c>
      <c r="Z476" t="s">
        <v>270</v>
      </c>
      <c r="AA476" t="s">
        <v>271</v>
      </c>
      <c r="AB476" t="s">
        <v>969</v>
      </c>
      <c r="AC476">
        <v>0</v>
      </c>
      <c r="AD476" t="s">
        <v>415</v>
      </c>
      <c r="AE476" t="s">
        <v>364</v>
      </c>
      <c r="AF476">
        <v>3</v>
      </c>
      <c r="AG476" t="s">
        <v>275</v>
      </c>
      <c r="AH476" t="s">
        <v>3274</v>
      </c>
      <c r="AI476" t="s">
        <v>3275</v>
      </c>
      <c r="AJ476" t="s">
        <v>3207</v>
      </c>
      <c r="AK476" s="43" t="s">
        <v>3208</v>
      </c>
      <c r="AL476" s="43" t="s">
        <v>3209</v>
      </c>
      <c r="AO476" s="23"/>
      <c r="AP476" s="23"/>
      <c r="AQ476" s="23"/>
      <c r="BD476" s="43" t="s">
        <v>2018</v>
      </c>
      <c r="BE476" s="43" t="s">
        <v>2018</v>
      </c>
      <c r="BF476" s="43" t="s">
        <v>2018</v>
      </c>
      <c r="BG476" s="43" t="s">
        <v>2018</v>
      </c>
      <c r="BH476" t="s">
        <v>2018</v>
      </c>
      <c r="BI476" s="43" t="s">
        <v>2018</v>
      </c>
      <c r="BJ476">
        <v>0</v>
      </c>
      <c r="BK476">
        <v>44109</v>
      </c>
      <c r="BL476">
        <v>44356</v>
      </c>
      <c r="BM476">
        <v>8505</v>
      </c>
      <c r="BN476">
        <v>8505</v>
      </c>
      <c r="BO476">
        <v>8505</v>
      </c>
      <c r="BP476">
        <v>25515</v>
      </c>
      <c r="BQ476">
        <v>3300</v>
      </c>
      <c r="BR476">
        <v>400</v>
      </c>
      <c r="BS476">
        <v>400</v>
      </c>
      <c r="BT476">
        <v>4100</v>
      </c>
      <c r="BU476">
        <v>2100</v>
      </c>
      <c r="BV476">
        <v>2100</v>
      </c>
      <c r="BW476">
        <v>2100</v>
      </c>
      <c r="BX476">
        <v>6300</v>
      </c>
      <c r="BY476">
        <v>1200</v>
      </c>
      <c r="BZ476">
        <v>1200</v>
      </c>
      <c r="CA476">
        <v>1200</v>
      </c>
      <c r="CB476">
        <v>3600</v>
      </c>
      <c r="CC476">
        <v>0</v>
      </c>
      <c r="CD476">
        <v>0</v>
      </c>
      <c r="CE476">
        <v>0</v>
      </c>
      <c r="CF476">
        <v>0</v>
      </c>
      <c r="CG476">
        <v>39515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1300</v>
      </c>
      <c r="CU476">
        <v>1300</v>
      </c>
      <c r="CV476">
        <v>1300</v>
      </c>
      <c r="CW476">
        <v>3900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3900</v>
      </c>
      <c r="EE476">
        <v>0</v>
      </c>
      <c r="EF476">
        <v>0</v>
      </c>
      <c r="EG476">
        <v>0</v>
      </c>
      <c r="EH476">
        <v>0</v>
      </c>
      <c r="EI476">
        <v>1154</v>
      </c>
      <c r="EJ476">
        <v>1154</v>
      </c>
      <c r="EK476">
        <v>1155</v>
      </c>
      <c r="EL476">
        <v>3500</v>
      </c>
      <c r="EM476">
        <v>37.065000000000005</v>
      </c>
      <c r="EN476">
        <v>660</v>
      </c>
      <c r="EO476">
        <v>660</v>
      </c>
      <c r="EP476">
        <v>659</v>
      </c>
      <c r="EQ476">
        <v>2000</v>
      </c>
      <c r="ER476">
        <v>21.18</v>
      </c>
      <c r="ES476">
        <v>0</v>
      </c>
      <c r="ET476">
        <v>0</v>
      </c>
      <c r="EU476">
        <v>0</v>
      </c>
      <c r="EV476">
        <v>0</v>
      </c>
      <c r="EW476">
        <v>0</v>
      </c>
      <c r="FA476">
        <v>0</v>
      </c>
      <c r="FE476">
        <v>0</v>
      </c>
      <c r="FI476">
        <v>0</v>
      </c>
      <c r="FJ476">
        <v>5441.7550000000001</v>
      </c>
      <c r="FK476">
        <v>35615</v>
      </c>
      <c r="FL476">
        <v>31507.920512927612</v>
      </c>
      <c r="FM476">
        <v>30173.244999999999</v>
      </c>
      <c r="FO476" t="s">
        <v>1627</v>
      </c>
      <c r="FP476" t="s">
        <v>1628</v>
      </c>
      <c r="FQ476" t="s">
        <v>372</v>
      </c>
      <c r="FR476" t="s">
        <v>1629</v>
      </c>
    </row>
    <row r="477" spans="1:174" x14ac:dyDescent="0.35">
      <c r="A477">
        <v>194321</v>
      </c>
      <c r="B477" t="s">
        <v>1630</v>
      </c>
      <c r="C477" t="s">
        <v>1631</v>
      </c>
      <c r="D477" t="s">
        <v>1632</v>
      </c>
      <c r="E477" s="43" t="s">
        <v>1633</v>
      </c>
      <c r="F477">
        <v>1</v>
      </c>
      <c r="I477">
        <v>43801</v>
      </c>
      <c r="L477" s="43" t="s">
        <v>344</v>
      </c>
      <c r="M477" t="s">
        <v>1634</v>
      </c>
      <c r="N477" s="43"/>
      <c r="O477" s="43"/>
      <c r="P477" s="43"/>
      <c r="Q477" s="43"/>
      <c r="R477">
        <v>3.9590000000000001</v>
      </c>
      <c r="S477">
        <v>44109</v>
      </c>
      <c r="T477" t="s">
        <v>544</v>
      </c>
      <c r="U477" t="s">
        <v>286</v>
      </c>
      <c r="V477" t="s">
        <v>267</v>
      </c>
      <c r="W477" t="s">
        <v>268</v>
      </c>
      <c r="X477" t="s">
        <v>269</v>
      </c>
      <c r="Y477">
        <v>8883022894</v>
      </c>
      <c r="Z477" t="s">
        <v>270</v>
      </c>
      <c r="AA477" t="s">
        <v>271</v>
      </c>
      <c r="AB477" t="s">
        <v>444</v>
      </c>
      <c r="AC477">
        <v>0</v>
      </c>
      <c r="AD477" t="s">
        <v>387</v>
      </c>
      <c r="AE477" t="s">
        <v>301</v>
      </c>
      <c r="AF477">
        <v>1</v>
      </c>
      <c r="AG477" t="s">
        <v>275</v>
      </c>
      <c r="AH477" t="s">
        <v>313</v>
      </c>
      <c r="AI477" t="s">
        <v>313</v>
      </c>
      <c r="AJ477" t="s">
        <v>3309</v>
      </c>
      <c r="AK477" s="43" t="s">
        <v>3208</v>
      </c>
      <c r="AL477" s="43" t="s">
        <v>3209</v>
      </c>
      <c r="AO477" s="23"/>
      <c r="AP477" s="23"/>
      <c r="AQ477" s="23"/>
      <c r="BD477" s="43" t="s">
        <v>2018</v>
      </c>
      <c r="BE477" s="43" t="s">
        <v>2018</v>
      </c>
      <c r="BF477" s="43" t="s">
        <v>2018</v>
      </c>
      <c r="BG477" s="43" t="s">
        <v>2018</v>
      </c>
      <c r="BH477" t="s">
        <v>2018</v>
      </c>
      <c r="BI477" s="43" t="s">
        <v>2018</v>
      </c>
      <c r="BJ477">
        <v>0</v>
      </c>
      <c r="BK477">
        <v>44109</v>
      </c>
      <c r="BL477">
        <v>44356</v>
      </c>
      <c r="BM477">
        <v>8505</v>
      </c>
      <c r="BN477">
        <v>8505</v>
      </c>
      <c r="BO477">
        <v>8505</v>
      </c>
      <c r="BP477">
        <v>25515</v>
      </c>
      <c r="BQ477">
        <v>3300</v>
      </c>
      <c r="BR477">
        <v>400</v>
      </c>
      <c r="BS477">
        <v>400</v>
      </c>
      <c r="BT477">
        <v>4100</v>
      </c>
      <c r="BU477">
        <v>2100</v>
      </c>
      <c r="BV477">
        <v>2100</v>
      </c>
      <c r="BW477">
        <v>2100</v>
      </c>
      <c r="BX477">
        <v>6300</v>
      </c>
      <c r="BY477">
        <v>1200</v>
      </c>
      <c r="BZ477">
        <v>1200</v>
      </c>
      <c r="CA477">
        <v>1200</v>
      </c>
      <c r="CB477">
        <v>3600</v>
      </c>
      <c r="CC477">
        <v>0</v>
      </c>
      <c r="CD477">
        <v>0</v>
      </c>
      <c r="CE477">
        <v>0</v>
      </c>
      <c r="CF477">
        <v>0</v>
      </c>
      <c r="CG477">
        <v>39515</v>
      </c>
      <c r="CH477">
        <v>0</v>
      </c>
      <c r="CI477">
        <v>0</v>
      </c>
      <c r="CJ477">
        <v>0</v>
      </c>
      <c r="CK477">
        <v>0</v>
      </c>
      <c r="CL477">
        <v>2065</v>
      </c>
      <c r="CM477">
        <v>2065</v>
      </c>
      <c r="CN477">
        <v>2065</v>
      </c>
      <c r="CO477">
        <v>6195</v>
      </c>
      <c r="CP477">
        <v>500</v>
      </c>
      <c r="CQ477">
        <v>500</v>
      </c>
      <c r="CR477">
        <v>500</v>
      </c>
      <c r="CS477">
        <v>1500</v>
      </c>
      <c r="CT477">
        <v>1700</v>
      </c>
      <c r="CU477">
        <v>1700</v>
      </c>
      <c r="CV477">
        <v>1700</v>
      </c>
      <c r="CW477">
        <v>5100</v>
      </c>
      <c r="CX477">
        <v>3000</v>
      </c>
      <c r="CY477">
        <v>3000</v>
      </c>
      <c r="CZ477">
        <v>3000</v>
      </c>
      <c r="DA477">
        <v>9000</v>
      </c>
      <c r="DB477">
        <v>1000</v>
      </c>
      <c r="DC477">
        <v>1000</v>
      </c>
      <c r="DD477">
        <v>1000</v>
      </c>
      <c r="DE477">
        <v>3000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24795</v>
      </c>
      <c r="EE477">
        <v>0</v>
      </c>
      <c r="EF477">
        <v>0</v>
      </c>
      <c r="EG477">
        <v>0</v>
      </c>
      <c r="EH477">
        <v>0</v>
      </c>
      <c r="EI477">
        <v>1154</v>
      </c>
      <c r="EJ477">
        <v>1154</v>
      </c>
      <c r="EK477">
        <v>1155</v>
      </c>
      <c r="EL477">
        <v>3500</v>
      </c>
      <c r="EM477">
        <v>37.065000000000005</v>
      </c>
      <c r="EN477">
        <v>660</v>
      </c>
      <c r="EO477">
        <v>660</v>
      </c>
      <c r="EP477">
        <v>659</v>
      </c>
      <c r="EQ477">
        <v>2000</v>
      </c>
      <c r="ER477">
        <v>21.18</v>
      </c>
      <c r="ES477">
        <v>0</v>
      </c>
      <c r="ET477">
        <v>0</v>
      </c>
      <c r="EU477">
        <v>0</v>
      </c>
      <c r="EV477">
        <v>0</v>
      </c>
      <c r="EW477">
        <v>0</v>
      </c>
      <c r="FA477">
        <v>0</v>
      </c>
      <c r="FE477">
        <v>0</v>
      </c>
      <c r="FI477">
        <v>0</v>
      </c>
      <c r="FJ477">
        <v>5441.7550000000001</v>
      </c>
      <c r="FK477">
        <v>14720</v>
      </c>
      <c r="FL477">
        <v>9688.6564888684679</v>
      </c>
      <c r="FM477">
        <v>9278.2450000000008</v>
      </c>
      <c r="FO477" t="s">
        <v>1635</v>
      </c>
      <c r="FP477" t="s">
        <v>536</v>
      </c>
      <c r="FQ477" t="s">
        <v>542</v>
      </c>
      <c r="FR477" t="s">
        <v>1636</v>
      </c>
    </row>
    <row r="478" spans="1:174" x14ac:dyDescent="0.35">
      <c r="A478">
        <v>198391</v>
      </c>
      <c r="B478" t="s">
        <v>1637</v>
      </c>
      <c r="C478" t="s">
        <v>1638</v>
      </c>
      <c r="D478" t="s">
        <v>1639</v>
      </c>
      <c r="E478" s="43" t="s">
        <v>1640</v>
      </c>
      <c r="L478" s="43" t="s">
        <v>3204</v>
      </c>
      <c r="M478" t="s">
        <v>1641</v>
      </c>
      <c r="N478" s="43"/>
      <c r="O478" s="43"/>
      <c r="P478" s="43"/>
      <c r="Q478" s="43"/>
      <c r="R478">
        <v>2.9615</v>
      </c>
      <c r="S478">
        <v>44109</v>
      </c>
      <c r="T478" t="s">
        <v>311</v>
      </c>
      <c r="U478" t="s">
        <v>266</v>
      </c>
      <c r="V478" t="s">
        <v>267</v>
      </c>
      <c r="W478" t="s">
        <v>268</v>
      </c>
      <c r="X478" t="s">
        <v>269</v>
      </c>
      <c r="Y478">
        <v>8883022894</v>
      </c>
      <c r="Z478" t="s">
        <v>270</v>
      </c>
      <c r="AA478" t="s">
        <v>271</v>
      </c>
      <c r="AB478">
        <v>0</v>
      </c>
      <c r="AC478">
        <v>0</v>
      </c>
      <c r="AD478" t="s">
        <v>313</v>
      </c>
      <c r="AE478" t="s">
        <v>274</v>
      </c>
      <c r="AF478">
        <v>9</v>
      </c>
      <c r="AG478" t="s">
        <v>275</v>
      </c>
      <c r="AH478" t="s">
        <v>3226</v>
      </c>
      <c r="AI478" t="s">
        <v>313</v>
      </c>
      <c r="AJ478" t="s">
        <v>3590</v>
      </c>
      <c r="AK478" s="43" t="s">
        <v>3208</v>
      </c>
      <c r="AL478" s="43" t="s">
        <v>3209</v>
      </c>
      <c r="AO478" s="23"/>
      <c r="AP478" s="23"/>
      <c r="AQ478" s="23"/>
      <c r="BD478" s="43" t="s">
        <v>2018</v>
      </c>
      <c r="BE478" s="43" t="s">
        <v>2018</v>
      </c>
      <c r="BF478" s="43" t="s">
        <v>2018</v>
      </c>
      <c r="BG478" s="43" t="s">
        <v>2018</v>
      </c>
      <c r="BH478" t="s">
        <v>2018</v>
      </c>
      <c r="BI478" s="43" t="s">
        <v>2018</v>
      </c>
      <c r="BJ478">
        <v>0</v>
      </c>
      <c r="BK478">
        <v>44109</v>
      </c>
      <c r="BL478">
        <v>44356</v>
      </c>
      <c r="BM478">
        <v>8505</v>
      </c>
      <c r="BN478">
        <v>8505</v>
      </c>
      <c r="BO478">
        <v>8505</v>
      </c>
      <c r="BP478">
        <v>25515</v>
      </c>
      <c r="BQ478">
        <v>3300</v>
      </c>
      <c r="BR478">
        <v>400</v>
      </c>
      <c r="BS478">
        <v>400</v>
      </c>
      <c r="BT478">
        <v>4100</v>
      </c>
      <c r="BU478">
        <v>2100</v>
      </c>
      <c r="BV478">
        <v>2100</v>
      </c>
      <c r="BW478">
        <v>2100</v>
      </c>
      <c r="BX478">
        <v>6300</v>
      </c>
      <c r="BY478">
        <v>1200</v>
      </c>
      <c r="BZ478">
        <v>1200</v>
      </c>
      <c r="CA478">
        <v>1200</v>
      </c>
      <c r="CB478">
        <v>3600</v>
      </c>
      <c r="CC478">
        <v>0</v>
      </c>
      <c r="CD478">
        <v>0</v>
      </c>
      <c r="CE478">
        <v>0</v>
      </c>
      <c r="CF478">
        <v>0</v>
      </c>
      <c r="CG478">
        <v>39515</v>
      </c>
      <c r="CH478">
        <v>0</v>
      </c>
      <c r="CI478">
        <v>0</v>
      </c>
      <c r="CJ478">
        <v>0</v>
      </c>
      <c r="CK478">
        <v>0</v>
      </c>
      <c r="CL478">
        <v>2065</v>
      </c>
      <c r="CM478">
        <v>2065</v>
      </c>
      <c r="CN478">
        <v>2065</v>
      </c>
      <c r="CO478">
        <v>6195</v>
      </c>
      <c r="CP478">
        <v>500</v>
      </c>
      <c r="CQ478">
        <v>500</v>
      </c>
      <c r="CR478">
        <v>500</v>
      </c>
      <c r="CS478">
        <v>1500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7695</v>
      </c>
      <c r="EE478">
        <v>0</v>
      </c>
      <c r="EF478">
        <v>0</v>
      </c>
      <c r="EG478">
        <v>0</v>
      </c>
      <c r="EH478">
        <v>0</v>
      </c>
      <c r="EI478">
        <v>1154</v>
      </c>
      <c r="EJ478">
        <v>1154</v>
      </c>
      <c r="EK478">
        <v>1155</v>
      </c>
      <c r="EL478">
        <v>3500</v>
      </c>
      <c r="EM478">
        <v>37.065000000000005</v>
      </c>
      <c r="EN478">
        <v>660</v>
      </c>
      <c r="EO478">
        <v>660</v>
      </c>
      <c r="EP478">
        <v>659</v>
      </c>
      <c r="EQ478">
        <v>2000</v>
      </c>
      <c r="ER478">
        <v>21.18</v>
      </c>
      <c r="ES478">
        <v>0</v>
      </c>
      <c r="ET478">
        <v>0</v>
      </c>
      <c r="EU478">
        <v>0</v>
      </c>
      <c r="EV478">
        <v>0</v>
      </c>
      <c r="EW478">
        <v>0</v>
      </c>
      <c r="FA478">
        <v>0</v>
      </c>
      <c r="FE478">
        <v>0</v>
      </c>
      <c r="FI478">
        <v>0</v>
      </c>
      <c r="FJ478">
        <v>5441.7550000000001</v>
      </c>
      <c r="FK478">
        <v>31820</v>
      </c>
      <c r="FL478">
        <v>27545.053464767552</v>
      </c>
      <c r="FM478">
        <v>26378.244999999999</v>
      </c>
      <c r="FO478" t="s">
        <v>1642</v>
      </c>
      <c r="FP478" t="s">
        <v>1643</v>
      </c>
      <c r="FQ478" t="s">
        <v>596</v>
      </c>
      <c r="FR478" t="s">
        <v>1644</v>
      </c>
    </row>
    <row r="479" spans="1:174" x14ac:dyDescent="0.35">
      <c r="A479">
        <v>196148</v>
      </c>
      <c r="B479" t="s">
        <v>1645</v>
      </c>
      <c r="C479" t="s">
        <v>1157</v>
      </c>
      <c r="D479" t="s">
        <v>1646</v>
      </c>
      <c r="E479" s="43" t="s">
        <v>3302</v>
      </c>
      <c r="L479" s="43" t="s">
        <v>3204</v>
      </c>
      <c r="M479" t="s">
        <v>1647</v>
      </c>
      <c r="N479" s="43"/>
      <c r="O479" s="43"/>
      <c r="P479" s="43"/>
      <c r="Q479" s="43"/>
      <c r="R479">
        <v>3.08</v>
      </c>
      <c r="S479">
        <v>44109</v>
      </c>
      <c r="T479" t="s">
        <v>311</v>
      </c>
      <c r="U479" t="s">
        <v>286</v>
      </c>
      <c r="V479" t="s">
        <v>267</v>
      </c>
      <c r="W479" t="s">
        <v>268</v>
      </c>
      <c r="X479" t="s">
        <v>269</v>
      </c>
      <c r="Y479">
        <v>8883022894</v>
      </c>
      <c r="Z479" t="s">
        <v>270</v>
      </c>
      <c r="AA479" t="s">
        <v>271</v>
      </c>
      <c r="AB479">
        <v>0</v>
      </c>
      <c r="AC479" t="s">
        <v>1486</v>
      </c>
      <c r="AD479" t="s">
        <v>300</v>
      </c>
      <c r="AE479" t="s">
        <v>301</v>
      </c>
      <c r="AF479">
        <v>1</v>
      </c>
      <c r="AG479" t="s">
        <v>446</v>
      </c>
      <c r="AH479" t="s">
        <v>3330</v>
      </c>
      <c r="AI479" t="s">
        <v>3331</v>
      </c>
      <c r="AJ479" t="s">
        <v>3207</v>
      </c>
      <c r="AK479" s="43" t="s">
        <v>1715</v>
      </c>
      <c r="AL479" s="43" t="s">
        <v>259</v>
      </c>
      <c r="AO479" s="23"/>
      <c r="AP479" s="23"/>
      <c r="AQ479" s="23"/>
      <c r="BD479" s="43" t="s">
        <v>259</v>
      </c>
      <c r="BE479" s="43" t="s">
        <v>259</v>
      </c>
      <c r="BF479" s="43" t="s">
        <v>259</v>
      </c>
      <c r="BG479" s="43" t="s">
        <v>259</v>
      </c>
      <c r="BH479" t="s">
        <v>259</v>
      </c>
      <c r="BI479" s="43" t="s">
        <v>259</v>
      </c>
      <c r="BJ479">
        <v>0</v>
      </c>
      <c r="BK479">
        <v>44109</v>
      </c>
      <c r="BL479">
        <v>44356</v>
      </c>
      <c r="BM479">
        <v>8505</v>
      </c>
      <c r="BN479">
        <v>8505</v>
      </c>
      <c r="BO479">
        <v>8505</v>
      </c>
      <c r="BP479">
        <v>25515</v>
      </c>
      <c r="BQ479">
        <v>3300</v>
      </c>
      <c r="BR479">
        <v>400</v>
      </c>
      <c r="BS479">
        <v>400</v>
      </c>
      <c r="BT479">
        <v>4100</v>
      </c>
      <c r="BU479">
        <v>2100</v>
      </c>
      <c r="BV479">
        <v>2100</v>
      </c>
      <c r="BW479">
        <v>2100</v>
      </c>
      <c r="BX479">
        <v>6300</v>
      </c>
      <c r="BY479">
        <v>1200</v>
      </c>
      <c r="BZ479">
        <v>1200</v>
      </c>
      <c r="CA479">
        <v>1200</v>
      </c>
      <c r="CB479">
        <v>3600</v>
      </c>
      <c r="CF479">
        <v>0</v>
      </c>
      <c r="CG479">
        <v>39515</v>
      </c>
      <c r="CK479">
        <v>0</v>
      </c>
      <c r="CL479">
        <v>1315</v>
      </c>
      <c r="CM479">
        <v>1315</v>
      </c>
      <c r="CN479">
        <v>1315</v>
      </c>
      <c r="CO479">
        <v>3945</v>
      </c>
      <c r="CP479">
        <v>500</v>
      </c>
      <c r="CQ479">
        <v>500</v>
      </c>
      <c r="CR479">
        <v>500</v>
      </c>
      <c r="CS479">
        <v>1500</v>
      </c>
      <c r="CT479">
        <v>1700</v>
      </c>
      <c r="CU479">
        <v>1700</v>
      </c>
      <c r="CV479">
        <v>1700</v>
      </c>
      <c r="CW479">
        <v>5100</v>
      </c>
      <c r="CX479">
        <v>0</v>
      </c>
      <c r="CY479">
        <v>0</v>
      </c>
      <c r="CZ479">
        <v>0</v>
      </c>
      <c r="DA479">
        <v>0</v>
      </c>
      <c r="DB479">
        <v>1000</v>
      </c>
      <c r="DC479">
        <v>1000</v>
      </c>
      <c r="DD479">
        <v>1000</v>
      </c>
      <c r="DE479">
        <v>3000</v>
      </c>
      <c r="DF479">
        <v>0</v>
      </c>
      <c r="DG479">
        <v>0</v>
      </c>
      <c r="DH479">
        <v>0</v>
      </c>
      <c r="DN479">
        <v>0</v>
      </c>
      <c r="DO479">
        <v>0</v>
      </c>
      <c r="DP479">
        <v>0</v>
      </c>
      <c r="DR479">
        <v>0</v>
      </c>
      <c r="DS479">
        <v>0</v>
      </c>
      <c r="DT479">
        <v>0</v>
      </c>
      <c r="DY479">
        <v>0</v>
      </c>
      <c r="EC479">
        <v>0</v>
      </c>
      <c r="ED479">
        <v>13545</v>
      </c>
      <c r="EH479">
        <v>0</v>
      </c>
      <c r="EI479">
        <v>0</v>
      </c>
      <c r="EJ479">
        <v>0</v>
      </c>
      <c r="EK479">
        <v>0</v>
      </c>
      <c r="EM479">
        <v>0</v>
      </c>
      <c r="EN479">
        <v>660</v>
      </c>
      <c r="EO479">
        <v>660</v>
      </c>
      <c r="EP479">
        <v>659</v>
      </c>
      <c r="EQ479">
        <v>2000</v>
      </c>
      <c r="ER479">
        <v>21.24</v>
      </c>
      <c r="ES479">
        <v>0</v>
      </c>
      <c r="ET479">
        <v>0</v>
      </c>
      <c r="EU479">
        <v>0</v>
      </c>
      <c r="EW479">
        <v>0</v>
      </c>
      <c r="FA479">
        <v>0</v>
      </c>
      <c r="FE479">
        <v>0</v>
      </c>
      <c r="FI479">
        <v>0</v>
      </c>
      <c r="FJ479">
        <v>1978.76</v>
      </c>
      <c r="FK479">
        <v>25970</v>
      </c>
      <c r="FL479">
        <v>25055.601971760381</v>
      </c>
      <c r="FM479">
        <v>23991.24</v>
      </c>
      <c r="FO479" t="s">
        <v>1648</v>
      </c>
      <c r="FP479" t="s">
        <v>1649</v>
      </c>
      <c r="FQ479" t="s">
        <v>1650</v>
      </c>
      <c r="FR479" t="s">
        <v>1651</v>
      </c>
    </row>
    <row r="480" spans="1:174" x14ac:dyDescent="0.35">
      <c r="A480">
        <v>197755</v>
      </c>
      <c r="B480" t="s">
        <v>1652</v>
      </c>
      <c r="C480" t="s">
        <v>1623</v>
      </c>
      <c r="D480" t="s">
        <v>1653</v>
      </c>
      <c r="E480" s="43" t="s">
        <v>1654</v>
      </c>
      <c r="L480" s="43" t="s">
        <v>3204</v>
      </c>
      <c r="M480" t="s">
        <v>1655</v>
      </c>
      <c r="N480" s="43"/>
      <c r="O480" s="43"/>
      <c r="P480" s="43"/>
      <c r="Q480" s="43"/>
      <c r="R480">
        <v>3.92</v>
      </c>
      <c r="S480">
        <v>44109</v>
      </c>
      <c r="T480" t="s">
        <v>311</v>
      </c>
      <c r="U480" t="s">
        <v>266</v>
      </c>
      <c r="V480" t="s">
        <v>267</v>
      </c>
      <c r="W480" t="s">
        <v>268</v>
      </c>
      <c r="X480" t="s">
        <v>269</v>
      </c>
      <c r="Y480">
        <v>8883022894</v>
      </c>
      <c r="Z480" t="s">
        <v>270</v>
      </c>
      <c r="AA480" t="s">
        <v>271</v>
      </c>
      <c r="AB480">
        <v>0</v>
      </c>
      <c r="AC480" t="s">
        <v>1659</v>
      </c>
      <c r="AD480" t="s">
        <v>903</v>
      </c>
      <c r="AE480" t="s">
        <v>301</v>
      </c>
      <c r="AF480">
        <v>1</v>
      </c>
      <c r="AG480" t="s">
        <v>275</v>
      </c>
      <c r="AH480" t="s">
        <v>3276</v>
      </c>
      <c r="AI480" t="s">
        <v>3277</v>
      </c>
      <c r="AJ480" t="s">
        <v>3207</v>
      </c>
      <c r="AK480" s="43" t="s">
        <v>3208</v>
      </c>
      <c r="AL480" s="43" t="s">
        <v>3209</v>
      </c>
      <c r="AO480" s="23"/>
      <c r="AP480" s="23"/>
      <c r="AQ480" s="23"/>
      <c r="BD480" s="43" t="s">
        <v>2018</v>
      </c>
      <c r="BE480" s="43" t="s">
        <v>2018</v>
      </c>
      <c r="BF480" s="43" t="s">
        <v>2018</v>
      </c>
      <c r="BG480" s="43" t="s">
        <v>2018</v>
      </c>
      <c r="BH480" t="s">
        <v>2018</v>
      </c>
      <c r="BI480" s="43" t="s">
        <v>2018</v>
      </c>
      <c r="BJ480">
        <v>0</v>
      </c>
      <c r="BK480">
        <v>44109</v>
      </c>
      <c r="BL480">
        <v>44356</v>
      </c>
      <c r="BM480">
        <v>8505</v>
      </c>
      <c r="BN480">
        <v>8505</v>
      </c>
      <c r="BO480">
        <v>8505</v>
      </c>
      <c r="BP480">
        <v>25515</v>
      </c>
      <c r="BQ480">
        <v>3300</v>
      </c>
      <c r="BR480">
        <v>400</v>
      </c>
      <c r="BS480">
        <v>400</v>
      </c>
      <c r="BT480">
        <v>4100</v>
      </c>
      <c r="BU480">
        <v>2100</v>
      </c>
      <c r="BV480">
        <v>2100</v>
      </c>
      <c r="BW480">
        <v>2100</v>
      </c>
      <c r="BX480">
        <v>6300</v>
      </c>
      <c r="BY480">
        <v>1200</v>
      </c>
      <c r="BZ480">
        <v>1200</v>
      </c>
      <c r="CA480">
        <v>1200</v>
      </c>
      <c r="CB480">
        <v>3600</v>
      </c>
      <c r="CC480">
        <v>0</v>
      </c>
      <c r="CD480">
        <v>0</v>
      </c>
      <c r="CE480">
        <v>0</v>
      </c>
      <c r="CF480">
        <v>0</v>
      </c>
      <c r="CG480">
        <v>39515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1700</v>
      </c>
      <c r="CU480">
        <v>1700</v>
      </c>
      <c r="CV480">
        <v>1700</v>
      </c>
      <c r="CW480">
        <v>5100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5100</v>
      </c>
      <c r="EE480">
        <v>0</v>
      </c>
      <c r="EF480">
        <v>0</v>
      </c>
      <c r="EG480">
        <v>0</v>
      </c>
      <c r="EH480">
        <v>0</v>
      </c>
      <c r="EI480">
        <v>1154</v>
      </c>
      <c r="EJ480">
        <v>1154</v>
      </c>
      <c r="EK480">
        <v>1155</v>
      </c>
      <c r="EL480">
        <v>3500</v>
      </c>
      <c r="EM480">
        <v>37.065000000000005</v>
      </c>
      <c r="EN480">
        <v>660</v>
      </c>
      <c r="EO480">
        <v>660</v>
      </c>
      <c r="EP480">
        <v>659</v>
      </c>
      <c r="EQ480">
        <v>2000</v>
      </c>
      <c r="ER480">
        <v>21.18</v>
      </c>
      <c r="ES480">
        <v>0</v>
      </c>
      <c r="ET480">
        <v>0</v>
      </c>
      <c r="EU480">
        <v>0</v>
      </c>
      <c r="EV480">
        <v>0</v>
      </c>
      <c r="EW480">
        <v>0</v>
      </c>
      <c r="FA480">
        <v>0</v>
      </c>
      <c r="FE480">
        <v>0</v>
      </c>
      <c r="FI480">
        <v>0</v>
      </c>
      <c r="FJ480">
        <v>5441.7550000000001</v>
      </c>
      <c r="FK480">
        <v>34415</v>
      </c>
      <c r="FL480">
        <v>30254.840023390832</v>
      </c>
      <c r="FM480">
        <v>28973.244999999999</v>
      </c>
      <c r="FO480" t="s">
        <v>1656</v>
      </c>
      <c r="FP480" t="s">
        <v>1657</v>
      </c>
      <c r="FQ480" t="s">
        <v>403</v>
      </c>
      <c r="FR480" t="s">
        <v>1658</v>
      </c>
    </row>
    <row r="481" spans="1:174" x14ac:dyDescent="0.35">
      <c r="A481">
        <v>198269</v>
      </c>
      <c r="B481" t="s">
        <v>1660</v>
      </c>
      <c r="C481" t="s">
        <v>1661</v>
      </c>
      <c r="D481" t="s">
        <v>1662</v>
      </c>
      <c r="E481" s="43" t="s">
        <v>3303</v>
      </c>
      <c r="L481" s="43" t="s">
        <v>259</v>
      </c>
      <c r="M481" t="s">
        <v>1663</v>
      </c>
      <c r="N481" s="43"/>
      <c r="O481" s="43"/>
      <c r="P481" s="43"/>
      <c r="Q481" s="43"/>
      <c r="R481">
        <v>2.5299999999999998</v>
      </c>
      <c r="S481">
        <v>44109</v>
      </c>
      <c r="T481" t="s">
        <v>544</v>
      </c>
      <c r="U481" t="s">
        <v>286</v>
      </c>
      <c r="V481" t="s">
        <v>267</v>
      </c>
      <c r="W481" t="s">
        <v>268</v>
      </c>
      <c r="X481" t="s">
        <v>269</v>
      </c>
      <c r="Y481">
        <v>8883022894</v>
      </c>
      <c r="Z481" t="s">
        <v>270</v>
      </c>
      <c r="AA481" t="s">
        <v>271</v>
      </c>
      <c r="AB481" t="s">
        <v>842</v>
      </c>
      <c r="AC481">
        <v>0</v>
      </c>
      <c r="AD481" t="s">
        <v>843</v>
      </c>
      <c r="AE481" t="s">
        <v>274</v>
      </c>
      <c r="AF481">
        <v>9</v>
      </c>
      <c r="AG481" t="s">
        <v>446</v>
      </c>
      <c r="AH481" t="s">
        <v>259</v>
      </c>
      <c r="AI481" t="s">
        <v>259</v>
      </c>
      <c r="AJ481" t="s">
        <v>259</v>
      </c>
      <c r="AK481" s="43" t="s">
        <v>259</v>
      </c>
      <c r="AL481" s="43" t="s">
        <v>259</v>
      </c>
      <c r="AO481" s="23"/>
      <c r="AP481" s="23"/>
      <c r="AQ481" s="23"/>
      <c r="BD481" s="43" t="s">
        <v>259</v>
      </c>
      <c r="BE481" s="43" t="s">
        <v>259</v>
      </c>
      <c r="BF481" s="43" t="s">
        <v>259</v>
      </c>
      <c r="BG481" s="43" t="s">
        <v>259</v>
      </c>
      <c r="BH481" t="s">
        <v>259</v>
      </c>
      <c r="BI481" s="43" t="s">
        <v>259</v>
      </c>
      <c r="BJ481">
        <v>0</v>
      </c>
      <c r="BK481">
        <v>44109</v>
      </c>
      <c r="BL481">
        <v>44356</v>
      </c>
      <c r="BM481">
        <v>8505</v>
      </c>
      <c r="BN481">
        <v>8505</v>
      </c>
      <c r="BO481">
        <v>8505</v>
      </c>
      <c r="BP481">
        <v>25515</v>
      </c>
      <c r="BQ481">
        <v>3300</v>
      </c>
      <c r="BR481">
        <v>400</v>
      </c>
      <c r="BS481">
        <v>400</v>
      </c>
      <c r="BT481">
        <v>4100</v>
      </c>
      <c r="BU481">
        <v>2100</v>
      </c>
      <c r="BV481">
        <v>2100</v>
      </c>
      <c r="BW481">
        <v>2100</v>
      </c>
      <c r="BX481">
        <v>6300</v>
      </c>
      <c r="BY481">
        <v>1200</v>
      </c>
      <c r="BZ481">
        <v>1200</v>
      </c>
      <c r="CA481">
        <v>1200</v>
      </c>
      <c r="CB481">
        <v>3600</v>
      </c>
      <c r="CF481">
        <v>0</v>
      </c>
      <c r="CG481">
        <v>39515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3000</v>
      </c>
      <c r="CY481">
        <v>3000</v>
      </c>
      <c r="CZ481">
        <v>3000</v>
      </c>
      <c r="DA481">
        <v>9000</v>
      </c>
      <c r="DB481">
        <v>1000</v>
      </c>
      <c r="DC481">
        <v>1000</v>
      </c>
      <c r="DD481">
        <v>1000</v>
      </c>
      <c r="DE481">
        <v>3000</v>
      </c>
      <c r="DF481">
        <v>0</v>
      </c>
      <c r="DG481">
        <v>0</v>
      </c>
      <c r="DH481">
        <v>0</v>
      </c>
      <c r="DN481">
        <v>0</v>
      </c>
      <c r="DO481">
        <v>0</v>
      </c>
      <c r="DP481">
        <v>0</v>
      </c>
      <c r="DR481">
        <v>0</v>
      </c>
      <c r="DS481">
        <v>0</v>
      </c>
      <c r="DT481">
        <v>0</v>
      </c>
      <c r="DY481">
        <v>0</v>
      </c>
      <c r="EC481">
        <v>0</v>
      </c>
      <c r="ED481">
        <v>12000</v>
      </c>
      <c r="EH481">
        <v>0</v>
      </c>
      <c r="EI481">
        <v>0</v>
      </c>
      <c r="EJ481">
        <v>0</v>
      </c>
      <c r="EK481">
        <v>0</v>
      </c>
      <c r="EM481">
        <v>0</v>
      </c>
      <c r="EN481">
        <v>660</v>
      </c>
      <c r="EO481">
        <v>660</v>
      </c>
      <c r="EP481">
        <v>659</v>
      </c>
      <c r="EQ481">
        <v>2000</v>
      </c>
      <c r="ER481">
        <v>21.24</v>
      </c>
      <c r="ES481">
        <v>0</v>
      </c>
      <c r="ET481">
        <v>0</v>
      </c>
      <c r="EU481">
        <v>0</v>
      </c>
      <c r="EW481">
        <v>0</v>
      </c>
      <c r="FA481">
        <v>0</v>
      </c>
      <c r="FE481">
        <v>0</v>
      </c>
      <c r="FI481">
        <v>0</v>
      </c>
      <c r="FJ481">
        <v>1978.76</v>
      </c>
      <c r="FK481">
        <v>27515</v>
      </c>
      <c r="FL481">
        <v>26669.145292004345</v>
      </c>
      <c r="FM481">
        <v>25536.240000000002</v>
      </c>
      <c r="FO481" t="s">
        <v>1664</v>
      </c>
      <c r="FP481" t="s">
        <v>1665</v>
      </c>
      <c r="FQ481" t="s">
        <v>542</v>
      </c>
      <c r="FR481" t="s">
        <v>1666</v>
      </c>
    </row>
    <row r="482" spans="1:174" x14ac:dyDescent="0.35">
      <c r="A482">
        <v>197532</v>
      </c>
      <c r="B482" t="s">
        <v>1667</v>
      </c>
      <c r="C482" t="s">
        <v>1668</v>
      </c>
      <c r="D482" t="s">
        <v>1669</v>
      </c>
      <c r="E482" s="43" t="s">
        <v>1670</v>
      </c>
      <c r="F482">
        <v>1</v>
      </c>
      <c r="G482">
        <v>43787</v>
      </c>
      <c r="H482">
        <v>43787</v>
      </c>
      <c r="I482">
        <v>43787</v>
      </c>
      <c r="J482" t="s">
        <v>3608</v>
      </c>
      <c r="L482" s="43" t="s">
        <v>3204</v>
      </c>
      <c r="M482" t="s">
        <v>1671</v>
      </c>
      <c r="N482" s="43"/>
      <c r="O482" s="43"/>
      <c r="P482" s="43"/>
      <c r="Q482" s="43"/>
      <c r="R482">
        <v>3.61</v>
      </c>
      <c r="S482">
        <v>44109</v>
      </c>
      <c r="T482" t="s">
        <v>265</v>
      </c>
      <c r="U482" t="s">
        <v>286</v>
      </c>
      <c r="V482" t="s">
        <v>267</v>
      </c>
      <c r="W482" t="s">
        <v>268</v>
      </c>
      <c r="X482" t="s">
        <v>269</v>
      </c>
      <c r="Y482">
        <v>8883022894</v>
      </c>
      <c r="Z482" t="s">
        <v>270</v>
      </c>
      <c r="AA482" t="s">
        <v>271</v>
      </c>
      <c r="AB482" t="s">
        <v>679</v>
      </c>
      <c r="AC482">
        <v>0</v>
      </c>
      <c r="AD482" t="s">
        <v>288</v>
      </c>
      <c r="AE482" t="s">
        <v>301</v>
      </c>
      <c r="AF482">
        <v>1</v>
      </c>
      <c r="AG482" t="s">
        <v>275</v>
      </c>
      <c r="AH482" t="s">
        <v>3226</v>
      </c>
      <c r="AI482" t="s">
        <v>313</v>
      </c>
      <c r="AJ482" t="s">
        <v>3309</v>
      </c>
      <c r="AK482" s="43" t="s">
        <v>1715</v>
      </c>
      <c r="AL482" s="43" t="s">
        <v>259</v>
      </c>
      <c r="AO482" s="23"/>
      <c r="AP482" s="23"/>
      <c r="AQ482" s="23"/>
      <c r="BD482" s="43" t="s">
        <v>259</v>
      </c>
      <c r="BE482" s="43" t="s">
        <v>259</v>
      </c>
      <c r="BF482" s="43" t="s">
        <v>259</v>
      </c>
      <c r="BG482" s="43" t="s">
        <v>259</v>
      </c>
      <c r="BH482" t="s">
        <v>259</v>
      </c>
      <c r="BI482" s="43" t="s">
        <v>259</v>
      </c>
      <c r="BJ482">
        <v>0</v>
      </c>
      <c r="BK482">
        <v>44109</v>
      </c>
      <c r="BL482">
        <v>44356</v>
      </c>
      <c r="BM482">
        <v>8505</v>
      </c>
      <c r="BN482">
        <v>8505</v>
      </c>
      <c r="BO482">
        <v>8505</v>
      </c>
      <c r="BP482">
        <v>25515</v>
      </c>
      <c r="BQ482">
        <v>3300</v>
      </c>
      <c r="BR482">
        <v>400</v>
      </c>
      <c r="BS482">
        <v>400</v>
      </c>
      <c r="BT482">
        <v>4100</v>
      </c>
      <c r="BU482">
        <v>2100</v>
      </c>
      <c r="BV482">
        <v>2100</v>
      </c>
      <c r="BW482">
        <v>2100</v>
      </c>
      <c r="BX482">
        <v>6300</v>
      </c>
      <c r="BY482">
        <v>1200</v>
      </c>
      <c r="BZ482">
        <v>1200</v>
      </c>
      <c r="CA482">
        <v>1200</v>
      </c>
      <c r="CB482">
        <v>3600</v>
      </c>
      <c r="CC482">
        <v>0</v>
      </c>
      <c r="CD482">
        <v>0</v>
      </c>
      <c r="CE482">
        <v>0</v>
      </c>
      <c r="CF482">
        <v>0</v>
      </c>
      <c r="CG482">
        <v>39515</v>
      </c>
      <c r="CH482">
        <v>0</v>
      </c>
      <c r="CI482">
        <v>0</v>
      </c>
      <c r="CJ482">
        <v>0</v>
      </c>
      <c r="CK482">
        <v>0</v>
      </c>
      <c r="CL482">
        <v>2065</v>
      </c>
      <c r="CM482">
        <v>2065</v>
      </c>
      <c r="CN482">
        <v>2065</v>
      </c>
      <c r="CO482">
        <v>6195</v>
      </c>
      <c r="CP482">
        <v>500</v>
      </c>
      <c r="CQ482">
        <v>500</v>
      </c>
      <c r="CR482">
        <v>500</v>
      </c>
      <c r="CS482">
        <v>1500</v>
      </c>
      <c r="CT482">
        <v>1700</v>
      </c>
      <c r="CU482">
        <v>1700</v>
      </c>
      <c r="CV482">
        <v>1700</v>
      </c>
      <c r="CW482">
        <v>5100</v>
      </c>
      <c r="CX482">
        <v>0</v>
      </c>
      <c r="CY482">
        <v>0</v>
      </c>
      <c r="CZ482">
        <v>0</v>
      </c>
      <c r="DA482">
        <v>0</v>
      </c>
      <c r="DB482">
        <v>1000</v>
      </c>
      <c r="DC482">
        <v>1000</v>
      </c>
      <c r="DD482">
        <v>1000</v>
      </c>
      <c r="DE482">
        <v>3000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15795</v>
      </c>
      <c r="EE482">
        <v>0</v>
      </c>
      <c r="EF482">
        <v>0</v>
      </c>
      <c r="EG482">
        <v>0</v>
      </c>
      <c r="EH482">
        <v>0</v>
      </c>
      <c r="EI482">
        <v>1154</v>
      </c>
      <c r="EJ482">
        <v>1154</v>
      </c>
      <c r="EK482">
        <v>1155</v>
      </c>
      <c r="EL482">
        <v>3500</v>
      </c>
      <c r="EM482">
        <v>37.065000000000005</v>
      </c>
      <c r="EN482">
        <v>660</v>
      </c>
      <c r="EO482">
        <v>660</v>
      </c>
      <c r="EP482">
        <v>659</v>
      </c>
      <c r="EQ482">
        <v>2000</v>
      </c>
      <c r="ER482">
        <v>21.18</v>
      </c>
      <c r="ES482">
        <v>0</v>
      </c>
      <c r="ET482">
        <v>0</v>
      </c>
      <c r="EU482">
        <v>0</v>
      </c>
      <c r="EV482">
        <v>0</v>
      </c>
      <c r="EW482">
        <v>0</v>
      </c>
      <c r="FA482">
        <v>0</v>
      </c>
      <c r="FE482">
        <v>0</v>
      </c>
      <c r="FI482">
        <v>0</v>
      </c>
      <c r="FJ482">
        <v>5441.7550000000001</v>
      </c>
      <c r="FK482">
        <v>23720</v>
      </c>
      <c r="FL482">
        <v>19086.7601603943</v>
      </c>
      <c r="FM482">
        <v>18278.244999999999</v>
      </c>
      <c r="FO482" t="s">
        <v>1672</v>
      </c>
      <c r="FP482" t="s">
        <v>1673</v>
      </c>
      <c r="FQ482" t="s">
        <v>442</v>
      </c>
      <c r="FR482" t="s">
        <v>1674</v>
      </c>
    </row>
    <row r="483" spans="1:174" x14ac:dyDescent="0.35">
      <c r="A483">
        <v>196271</v>
      </c>
      <c r="B483" t="s">
        <v>1675</v>
      </c>
      <c r="C483" t="s">
        <v>1676</v>
      </c>
      <c r="D483" t="s">
        <v>1677</v>
      </c>
      <c r="E483" s="43" t="s">
        <v>1678</v>
      </c>
      <c r="L483" s="43" t="s">
        <v>259</v>
      </c>
      <c r="M483" t="s">
        <v>1679</v>
      </c>
      <c r="N483" s="43"/>
      <c r="O483" s="43"/>
      <c r="P483" s="43"/>
      <c r="Q483" s="43"/>
      <c r="R483">
        <v>2.14</v>
      </c>
      <c r="S483">
        <v>44109</v>
      </c>
      <c r="T483" t="s">
        <v>311</v>
      </c>
      <c r="U483" t="s">
        <v>266</v>
      </c>
      <c r="V483" t="s">
        <v>267</v>
      </c>
      <c r="W483" t="s">
        <v>268</v>
      </c>
      <c r="X483" t="s">
        <v>269</v>
      </c>
      <c r="Y483">
        <v>8883022894</v>
      </c>
      <c r="Z483" t="s">
        <v>270</v>
      </c>
      <c r="AA483" t="s">
        <v>271</v>
      </c>
      <c r="AB483">
        <v>0</v>
      </c>
      <c r="AC483" t="s">
        <v>788</v>
      </c>
      <c r="AD483" t="s">
        <v>1683</v>
      </c>
      <c r="AE483" t="s">
        <v>344</v>
      </c>
      <c r="AF483">
        <v>10</v>
      </c>
      <c r="AG483" t="s">
        <v>275</v>
      </c>
      <c r="AH483" t="s">
        <v>259</v>
      </c>
      <c r="AI483" t="s">
        <v>259</v>
      </c>
      <c r="AJ483" t="s">
        <v>259</v>
      </c>
      <c r="AK483" s="43" t="s">
        <v>259</v>
      </c>
      <c r="AL483" s="43" t="s">
        <v>259</v>
      </c>
      <c r="AO483" s="23"/>
      <c r="AP483" s="23"/>
      <c r="AQ483" s="23"/>
      <c r="BD483" s="43" t="s">
        <v>259</v>
      </c>
      <c r="BE483" s="43" t="s">
        <v>259</v>
      </c>
      <c r="BF483" s="43" t="s">
        <v>259</v>
      </c>
      <c r="BG483" s="43" t="s">
        <v>259</v>
      </c>
      <c r="BH483" t="s">
        <v>259</v>
      </c>
      <c r="BI483" s="43" t="s">
        <v>259</v>
      </c>
      <c r="BJ483">
        <v>0</v>
      </c>
      <c r="BK483">
        <v>44109</v>
      </c>
      <c r="BL483">
        <v>44356</v>
      </c>
      <c r="BM483">
        <v>8505</v>
      </c>
      <c r="BN483">
        <v>8505</v>
      </c>
      <c r="BO483">
        <v>8505</v>
      </c>
      <c r="BP483">
        <v>25515</v>
      </c>
      <c r="BQ483">
        <v>3300</v>
      </c>
      <c r="BR483">
        <v>400</v>
      </c>
      <c r="BS483">
        <v>400</v>
      </c>
      <c r="BT483">
        <v>4100</v>
      </c>
      <c r="BU483">
        <v>2100</v>
      </c>
      <c r="BV483">
        <v>2100</v>
      </c>
      <c r="BW483">
        <v>2100</v>
      </c>
      <c r="BX483">
        <v>6300</v>
      </c>
      <c r="BY483">
        <v>1200</v>
      </c>
      <c r="BZ483">
        <v>1200</v>
      </c>
      <c r="CA483">
        <v>1200</v>
      </c>
      <c r="CB483">
        <v>3600</v>
      </c>
      <c r="CC483">
        <v>0</v>
      </c>
      <c r="CD483">
        <v>0</v>
      </c>
      <c r="CE483">
        <v>0</v>
      </c>
      <c r="CF483">
        <v>0</v>
      </c>
      <c r="CG483">
        <v>39515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1154</v>
      </c>
      <c r="EJ483">
        <v>1154</v>
      </c>
      <c r="EK483">
        <v>1155</v>
      </c>
      <c r="EL483">
        <v>3500</v>
      </c>
      <c r="EM483">
        <v>37.065000000000005</v>
      </c>
      <c r="EN483">
        <v>660</v>
      </c>
      <c r="EO483">
        <v>660</v>
      </c>
      <c r="EP483">
        <v>659</v>
      </c>
      <c r="EQ483">
        <v>2000</v>
      </c>
      <c r="ER483">
        <v>21.18</v>
      </c>
      <c r="ES483">
        <v>0</v>
      </c>
      <c r="ET483">
        <v>0</v>
      </c>
      <c r="EU483">
        <v>0</v>
      </c>
      <c r="EV483">
        <v>0</v>
      </c>
      <c r="EW483">
        <v>0</v>
      </c>
      <c r="FA483">
        <v>0</v>
      </c>
      <c r="FE483">
        <v>0</v>
      </c>
      <c r="FI483">
        <v>0</v>
      </c>
      <c r="FJ483">
        <v>5441.7550000000001</v>
      </c>
      <c r="FK483">
        <v>39515</v>
      </c>
      <c r="FL483">
        <v>35580.43210392214</v>
      </c>
      <c r="FM483">
        <v>34073.245000000003</v>
      </c>
      <c r="FO483" t="s">
        <v>1680</v>
      </c>
      <c r="FP483" t="s">
        <v>1681</v>
      </c>
      <c r="FQ483" t="s">
        <v>372</v>
      </c>
      <c r="FR483" t="s">
        <v>1682</v>
      </c>
    </row>
    <row r="484" spans="1:174" x14ac:dyDescent="0.35">
      <c r="A484">
        <v>197450</v>
      </c>
      <c r="B484" t="s">
        <v>1684</v>
      </c>
      <c r="C484" t="s">
        <v>1685</v>
      </c>
      <c r="D484" t="s">
        <v>1686</v>
      </c>
      <c r="E484" s="43" t="s">
        <v>1687</v>
      </c>
      <c r="F484">
        <v>1</v>
      </c>
      <c r="G484">
        <v>43776</v>
      </c>
      <c r="H484">
        <v>43776</v>
      </c>
      <c r="I484">
        <v>43776</v>
      </c>
      <c r="K484" t="s">
        <v>1715</v>
      </c>
      <c r="L484" s="43" t="s">
        <v>3204</v>
      </c>
      <c r="M484" t="s">
        <v>1688</v>
      </c>
      <c r="N484" s="43"/>
      <c r="O484" s="43"/>
      <c r="P484" s="43"/>
      <c r="Q484" s="43"/>
      <c r="R484">
        <v>3.4119999999999999</v>
      </c>
      <c r="S484">
        <v>44109</v>
      </c>
      <c r="T484" t="s">
        <v>311</v>
      </c>
      <c r="U484" t="s">
        <v>266</v>
      </c>
      <c r="V484" t="s">
        <v>267</v>
      </c>
      <c r="W484" t="s">
        <v>268</v>
      </c>
      <c r="X484" t="s">
        <v>269</v>
      </c>
      <c r="Y484">
        <v>8883022894</v>
      </c>
      <c r="Z484" t="s">
        <v>270</v>
      </c>
      <c r="AA484" t="s">
        <v>271</v>
      </c>
      <c r="AB484" t="s">
        <v>571</v>
      </c>
      <c r="AC484">
        <v>0</v>
      </c>
      <c r="AD484" t="s">
        <v>527</v>
      </c>
      <c r="AE484" t="s">
        <v>301</v>
      </c>
      <c r="AF484">
        <v>1</v>
      </c>
      <c r="AG484" t="s">
        <v>275</v>
      </c>
      <c r="AH484" t="s">
        <v>3278</v>
      </c>
      <c r="AI484" t="s">
        <v>3279</v>
      </c>
      <c r="AJ484" t="s">
        <v>3821</v>
      </c>
      <c r="AK484" s="43" t="s">
        <v>1715</v>
      </c>
      <c r="AL484" s="43" t="s">
        <v>259</v>
      </c>
      <c r="AO484" s="23">
        <v>43757</v>
      </c>
      <c r="AP484" s="23">
        <v>43760</v>
      </c>
      <c r="AQ484" s="23">
        <v>43760</v>
      </c>
      <c r="BD484" s="43" t="s">
        <v>259</v>
      </c>
      <c r="BE484" s="43" t="s">
        <v>259</v>
      </c>
      <c r="BF484" s="43" t="s">
        <v>259</v>
      </c>
      <c r="BG484" s="43" t="s">
        <v>259</v>
      </c>
      <c r="BH484" t="s">
        <v>259</v>
      </c>
      <c r="BI484" s="43" t="s">
        <v>259</v>
      </c>
      <c r="BJ484">
        <v>0.13043478260869568</v>
      </c>
      <c r="BK484">
        <v>44109</v>
      </c>
      <c r="BL484">
        <v>44356</v>
      </c>
      <c r="BM484">
        <v>8505</v>
      </c>
      <c r="BN484">
        <v>8505</v>
      </c>
      <c r="BO484">
        <v>8505</v>
      </c>
      <c r="BP484">
        <v>25515</v>
      </c>
      <c r="BQ484">
        <v>3300</v>
      </c>
      <c r="BR484">
        <v>400</v>
      </c>
      <c r="BS484">
        <v>400</v>
      </c>
      <c r="BT484">
        <v>4100</v>
      </c>
      <c r="BU484">
        <v>2100</v>
      </c>
      <c r="BV484">
        <v>2100</v>
      </c>
      <c r="BW484">
        <v>2100</v>
      </c>
      <c r="BX484">
        <v>6300</v>
      </c>
      <c r="BY484">
        <v>1200</v>
      </c>
      <c r="BZ484">
        <v>1200</v>
      </c>
      <c r="CA484">
        <v>1200</v>
      </c>
      <c r="CB484">
        <v>3600</v>
      </c>
      <c r="CC484">
        <v>0</v>
      </c>
      <c r="CD484">
        <v>0</v>
      </c>
      <c r="CE484">
        <v>0</v>
      </c>
      <c r="CF484">
        <v>0</v>
      </c>
      <c r="CG484">
        <v>39515</v>
      </c>
      <c r="CH484">
        <v>0</v>
      </c>
      <c r="CI484">
        <v>0</v>
      </c>
      <c r="CJ484">
        <v>0</v>
      </c>
      <c r="CK484">
        <v>0</v>
      </c>
      <c r="CL484">
        <v>615</v>
      </c>
      <c r="CM484">
        <v>615</v>
      </c>
      <c r="CN484">
        <v>615</v>
      </c>
      <c r="CO484">
        <v>1845</v>
      </c>
      <c r="CP484">
        <v>500</v>
      </c>
      <c r="CQ484">
        <v>500</v>
      </c>
      <c r="CR484">
        <v>500</v>
      </c>
      <c r="CS484">
        <v>1500</v>
      </c>
      <c r="CT484">
        <v>1700</v>
      </c>
      <c r="CU484">
        <v>1700</v>
      </c>
      <c r="CV484">
        <v>1700</v>
      </c>
      <c r="CW484">
        <v>5100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8445</v>
      </c>
      <c r="EE484">
        <v>0</v>
      </c>
      <c r="EF484">
        <v>0</v>
      </c>
      <c r="EG484">
        <v>0</v>
      </c>
      <c r="EH484">
        <v>0</v>
      </c>
      <c r="EI484">
        <v>1154</v>
      </c>
      <c r="EJ484">
        <v>1154</v>
      </c>
      <c r="EK484">
        <v>1155</v>
      </c>
      <c r="EL484">
        <v>3500</v>
      </c>
      <c r="EM484">
        <v>37.065000000000005</v>
      </c>
      <c r="EN484">
        <v>660</v>
      </c>
      <c r="EO484">
        <v>660</v>
      </c>
      <c r="EP484">
        <v>659</v>
      </c>
      <c r="EQ484">
        <v>2000</v>
      </c>
      <c r="ER484">
        <v>21.18</v>
      </c>
      <c r="ES484">
        <v>0</v>
      </c>
      <c r="ET484">
        <v>0</v>
      </c>
      <c r="EU484">
        <v>0</v>
      </c>
      <c r="EV484">
        <v>0</v>
      </c>
      <c r="EW484">
        <v>0</v>
      </c>
      <c r="FA484">
        <v>0</v>
      </c>
      <c r="FE484">
        <v>0</v>
      </c>
      <c r="FI484">
        <v>0</v>
      </c>
      <c r="FJ484">
        <v>5441.7550000000001</v>
      </c>
      <c r="FK484">
        <v>31070</v>
      </c>
      <c r="FL484">
        <v>26761.878158807063</v>
      </c>
      <c r="FM484">
        <v>25628.244999999999</v>
      </c>
      <c r="FO484" t="s">
        <v>1689</v>
      </c>
      <c r="FP484" t="s">
        <v>1690</v>
      </c>
      <c r="FQ484" t="s">
        <v>297</v>
      </c>
      <c r="FR484" t="s">
        <v>1691</v>
      </c>
    </row>
    <row r="485" spans="1:174" x14ac:dyDescent="0.35">
      <c r="A485">
        <v>196332</v>
      </c>
      <c r="B485" t="s">
        <v>1692</v>
      </c>
      <c r="C485" t="s">
        <v>1589</v>
      </c>
      <c r="D485" t="s">
        <v>1693</v>
      </c>
      <c r="E485" s="43" t="s">
        <v>1694</v>
      </c>
      <c r="L485" s="43" t="s">
        <v>3204</v>
      </c>
      <c r="M485" t="s">
        <v>1695</v>
      </c>
      <c r="N485" s="43"/>
      <c r="O485" s="43"/>
      <c r="P485" s="43"/>
      <c r="Q485" s="43"/>
      <c r="R485">
        <v>2.444</v>
      </c>
      <c r="S485">
        <v>44109</v>
      </c>
      <c r="T485" t="s">
        <v>265</v>
      </c>
      <c r="U485" t="s">
        <v>266</v>
      </c>
      <c r="V485" t="s">
        <v>267</v>
      </c>
      <c r="W485" t="s">
        <v>268</v>
      </c>
      <c r="X485" t="s">
        <v>269</v>
      </c>
      <c r="Y485">
        <v>8883022894</v>
      </c>
      <c r="Z485" t="s">
        <v>270</v>
      </c>
      <c r="AA485" t="s">
        <v>271</v>
      </c>
      <c r="AB485" t="s">
        <v>287</v>
      </c>
      <c r="AC485">
        <v>0</v>
      </c>
      <c r="AD485" t="s">
        <v>273</v>
      </c>
      <c r="AE485" t="s">
        <v>354</v>
      </c>
      <c r="AF485">
        <v>6</v>
      </c>
      <c r="AG485" t="s">
        <v>275</v>
      </c>
      <c r="AH485" t="s">
        <v>3328</v>
      </c>
      <c r="AI485" t="s">
        <v>3329</v>
      </c>
      <c r="AJ485" t="s">
        <v>3309</v>
      </c>
      <c r="AK485" s="43" t="s">
        <v>3208</v>
      </c>
      <c r="AL485" s="43" t="s">
        <v>3209</v>
      </c>
      <c r="AO485" s="23"/>
      <c r="AP485" s="23"/>
      <c r="AQ485" s="23"/>
      <c r="BD485" s="43" t="s">
        <v>2018</v>
      </c>
      <c r="BE485" s="43" t="s">
        <v>2018</v>
      </c>
      <c r="BF485" s="43" t="s">
        <v>2018</v>
      </c>
      <c r="BG485" s="43" t="s">
        <v>2018</v>
      </c>
      <c r="BH485" t="s">
        <v>2018</v>
      </c>
      <c r="BI485" s="43" t="s">
        <v>2018</v>
      </c>
      <c r="BJ485">
        <v>0</v>
      </c>
      <c r="BK485">
        <v>44109</v>
      </c>
      <c r="BL485">
        <v>44356</v>
      </c>
      <c r="BM485">
        <v>8505</v>
      </c>
      <c r="BN485">
        <v>8505</v>
      </c>
      <c r="BO485">
        <v>8505</v>
      </c>
      <c r="BP485">
        <v>25515</v>
      </c>
      <c r="BQ485">
        <v>3300</v>
      </c>
      <c r="BR485">
        <v>400</v>
      </c>
      <c r="BS485">
        <v>400</v>
      </c>
      <c r="BT485">
        <v>4100</v>
      </c>
      <c r="BU485">
        <v>2100</v>
      </c>
      <c r="BV485">
        <v>2100</v>
      </c>
      <c r="BW485">
        <v>2100</v>
      </c>
      <c r="BX485">
        <v>6300</v>
      </c>
      <c r="BY485">
        <v>1200</v>
      </c>
      <c r="BZ485">
        <v>1200</v>
      </c>
      <c r="CA485">
        <v>1200</v>
      </c>
      <c r="CB485">
        <v>3600</v>
      </c>
      <c r="CC485">
        <v>0</v>
      </c>
      <c r="CD485">
        <v>0</v>
      </c>
      <c r="CE485">
        <v>0</v>
      </c>
      <c r="CF485">
        <v>0</v>
      </c>
      <c r="CG485">
        <v>39515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750</v>
      </c>
      <c r="CU485">
        <v>750</v>
      </c>
      <c r="CV485">
        <v>750</v>
      </c>
      <c r="CW485">
        <v>2250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2250</v>
      </c>
      <c r="EE485">
        <v>0</v>
      </c>
      <c r="EF485">
        <v>0</v>
      </c>
      <c r="EG485">
        <v>0</v>
      </c>
      <c r="EH485">
        <v>0</v>
      </c>
      <c r="EI485">
        <v>1154</v>
      </c>
      <c r="EJ485">
        <v>1154</v>
      </c>
      <c r="EK485">
        <v>1155</v>
      </c>
      <c r="EL485">
        <v>3500</v>
      </c>
      <c r="EM485">
        <v>37.065000000000005</v>
      </c>
      <c r="EN485">
        <v>660</v>
      </c>
      <c r="EO485">
        <v>660</v>
      </c>
      <c r="EP485">
        <v>659</v>
      </c>
      <c r="EQ485">
        <v>2000</v>
      </c>
      <c r="ER485">
        <v>21.18</v>
      </c>
      <c r="ES485">
        <v>0</v>
      </c>
      <c r="ET485">
        <v>0</v>
      </c>
      <c r="EU485">
        <v>0</v>
      </c>
      <c r="EV485">
        <v>0</v>
      </c>
      <c r="EW485">
        <v>0</v>
      </c>
      <c r="FA485">
        <v>0</v>
      </c>
      <c r="FE485">
        <v>0</v>
      </c>
      <c r="FI485">
        <v>0</v>
      </c>
      <c r="FJ485">
        <v>5441.7550000000001</v>
      </c>
      <c r="FK485">
        <v>37265</v>
      </c>
      <c r="FL485">
        <v>33230.906186040687</v>
      </c>
      <c r="FM485">
        <v>31823.245000000003</v>
      </c>
      <c r="FO485" t="s">
        <v>1696</v>
      </c>
      <c r="FP485" t="s">
        <v>595</v>
      </c>
      <c r="FQ485" t="s">
        <v>596</v>
      </c>
      <c r="FR485" t="s">
        <v>1697</v>
      </c>
    </row>
    <row r="486" spans="1:174" x14ac:dyDescent="0.35">
      <c r="A486">
        <v>195937</v>
      </c>
      <c r="B486" t="s">
        <v>1698</v>
      </c>
      <c r="C486" t="s">
        <v>1699</v>
      </c>
      <c r="D486" t="s">
        <v>1700</v>
      </c>
      <c r="E486" s="43" t="s">
        <v>1701</v>
      </c>
      <c r="L486" s="43" t="s">
        <v>259</v>
      </c>
      <c r="M486" t="s">
        <v>1702</v>
      </c>
      <c r="N486" s="43"/>
      <c r="O486" s="43"/>
      <c r="P486" s="43"/>
      <c r="Q486" s="43"/>
      <c r="R486">
        <v>3.6429</v>
      </c>
      <c r="S486">
        <v>44109</v>
      </c>
      <c r="T486" t="s">
        <v>311</v>
      </c>
      <c r="U486" t="s">
        <v>266</v>
      </c>
      <c r="V486" t="s">
        <v>267</v>
      </c>
      <c r="W486" t="s">
        <v>268</v>
      </c>
      <c r="X486" t="s">
        <v>269</v>
      </c>
      <c r="Y486">
        <v>8883022894</v>
      </c>
      <c r="Z486" t="s">
        <v>270</v>
      </c>
      <c r="AA486" t="s">
        <v>271</v>
      </c>
      <c r="AB486" t="s">
        <v>526</v>
      </c>
      <c r="AC486">
        <v>0</v>
      </c>
      <c r="AD486" t="s">
        <v>527</v>
      </c>
      <c r="AE486" t="s">
        <v>301</v>
      </c>
      <c r="AF486">
        <v>1</v>
      </c>
      <c r="AG486" t="s">
        <v>275</v>
      </c>
      <c r="AH486" t="s">
        <v>259</v>
      </c>
      <c r="AI486" t="s">
        <v>259</v>
      </c>
      <c r="AJ486" t="s">
        <v>259</v>
      </c>
      <c r="AK486" s="43" t="s">
        <v>259</v>
      </c>
      <c r="AL486" s="43" t="s">
        <v>259</v>
      </c>
      <c r="AO486" s="23"/>
      <c r="AP486" s="23"/>
      <c r="AQ486" s="23"/>
      <c r="BD486" s="43" t="s">
        <v>259</v>
      </c>
      <c r="BE486" s="43" t="s">
        <v>259</v>
      </c>
      <c r="BF486" s="43" t="s">
        <v>259</v>
      </c>
      <c r="BG486" s="43" t="s">
        <v>259</v>
      </c>
      <c r="BH486" t="s">
        <v>259</v>
      </c>
      <c r="BI486" s="43" t="s">
        <v>259</v>
      </c>
      <c r="BJ486">
        <v>0</v>
      </c>
      <c r="BK486">
        <v>44109</v>
      </c>
      <c r="BL486">
        <v>44356</v>
      </c>
      <c r="BM486">
        <v>8505</v>
      </c>
      <c r="BN486">
        <v>8505</v>
      </c>
      <c r="BO486">
        <v>8505</v>
      </c>
      <c r="BP486">
        <v>25515</v>
      </c>
      <c r="BQ486">
        <v>3300</v>
      </c>
      <c r="BR486">
        <v>400</v>
      </c>
      <c r="BS486">
        <v>400</v>
      </c>
      <c r="BT486">
        <v>4100</v>
      </c>
      <c r="BU486">
        <v>2100</v>
      </c>
      <c r="BV486">
        <v>2100</v>
      </c>
      <c r="BW486">
        <v>2100</v>
      </c>
      <c r="BX486">
        <v>6300</v>
      </c>
      <c r="BY486">
        <v>1200</v>
      </c>
      <c r="BZ486">
        <v>1200</v>
      </c>
      <c r="CA486">
        <v>1200</v>
      </c>
      <c r="CB486">
        <v>3600</v>
      </c>
      <c r="CC486">
        <v>0</v>
      </c>
      <c r="CD486">
        <v>0</v>
      </c>
      <c r="CE486">
        <v>0</v>
      </c>
      <c r="CF486">
        <v>0</v>
      </c>
      <c r="CG486">
        <v>39515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1700</v>
      </c>
      <c r="CU486">
        <v>1700</v>
      </c>
      <c r="CV486">
        <v>1700</v>
      </c>
      <c r="CW486">
        <v>5100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1000</v>
      </c>
      <c r="DG486">
        <v>1000</v>
      </c>
      <c r="DH486">
        <v>1000</v>
      </c>
      <c r="DI486">
        <v>3000</v>
      </c>
      <c r="DN486">
        <v>0</v>
      </c>
      <c r="DO486">
        <v>0</v>
      </c>
      <c r="DP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8100</v>
      </c>
      <c r="EE486">
        <v>0</v>
      </c>
      <c r="EF486">
        <v>0</v>
      </c>
      <c r="EG486">
        <v>0</v>
      </c>
      <c r="EH486">
        <v>0</v>
      </c>
      <c r="EI486">
        <v>1154</v>
      </c>
      <c r="EJ486">
        <v>1154</v>
      </c>
      <c r="EK486">
        <v>1155</v>
      </c>
      <c r="EL486">
        <v>3500</v>
      </c>
      <c r="EM486">
        <v>37.065000000000005</v>
      </c>
      <c r="EN486">
        <v>660</v>
      </c>
      <c r="EO486">
        <v>660</v>
      </c>
      <c r="EP486">
        <v>659</v>
      </c>
      <c r="EQ486">
        <v>2000</v>
      </c>
      <c r="ER486">
        <v>21.18</v>
      </c>
      <c r="ES486">
        <v>0</v>
      </c>
      <c r="ET486">
        <v>0</v>
      </c>
      <c r="EU486">
        <v>0</v>
      </c>
      <c r="EV486">
        <v>0</v>
      </c>
      <c r="EW486">
        <v>0</v>
      </c>
      <c r="FA486">
        <v>0</v>
      </c>
      <c r="FE486">
        <v>0</v>
      </c>
      <c r="FI486">
        <v>0</v>
      </c>
      <c r="FJ486">
        <v>5441.7550000000001</v>
      </c>
      <c r="FK486">
        <v>31415</v>
      </c>
      <c r="FL486">
        <v>27125.537847773412</v>
      </c>
      <c r="FM486">
        <v>25973.244999999999</v>
      </c>
      <c r="FO486" t="s">
        <v>1703</v>
      </c>
      <c r="FP486" t="s">
        <v>1704</v>
      </c>
      <c r="FQ486" t="s">
        <v>524</v>
      </c>
      <c r="FR486" t="s">
        <v>1705</v>
      </c>
    </row>
    <row r="487" spans="1:174" x14ac:dyDescent="0.35">
      <c r="A487">
        <v>199367</v>
      </c>
      <c r="B487" t="s">
        <v>3863</v>
      </c>
      <c r="C487" t="s">
        <v>3864</v>
      </c>
      <c r="D487" t="s">
        <v>3865</v>
      </c>
      <c r="E487" s="43" t="s">
        <v>4194</v>
      </c>
      <c r="J487" t="s">
        <v>3830</v>
      </c>
      <c r="L487" s="43" t="s">
        <v>3204</v>
      </c>
      <c r="M487" t="s">
        <v>3866</v>
      </c>
      <c r="N487" s="43"/>
      <c r="O487" s="43"/>
      <c r="P487" s="43"/>
      <c r="Q487" s="43"/>
      <c r="R487">
        <v>2.92</v>
      </c>
      <c r="S487">
        <v>44109</v>
      </c>
      <c r="T487" t="s">
        <v>285</v>
      </c>
      <c r="U487" t="s">
        <v>286</v>
      </c>
      <c r="V487" t="s">
        <v>267</v>
      </c>
      <c r="W487" t="s">
        <v>268</v>
      </c>
      <c r="X487" t="s">
        <v>269</v>
      </c>
      <c r="Y487">
        <v>8883022894</v>
      </c>
      <c r="Z487" t="s">
        <v>270</v>
      </c>
      <c r="AA487" t="s">
        <v>271</v>
      </c>
      <c r="AB487">
        <v>0</v>
      </c>
      <c r="AC487">
        <v>0</v>
      </c>
      <c r="AD487" t="s">
        <v>313</v>
      </c>
      <c r="AE487" t="s">
        <v>354</v>
      </c>
      <c r="AF487">
        <v>6</v>
      </c>
      <c r="AG487" t="s">
        <v>3345</v>
      </c>
      <c r="AH487" t="s">
        <v>3870</v>
      </c>
      <c r="AI487" t="s">
        <v>3871</v>
      </c>
      <c r="AJ487" t="s">
        <v>3821</v>
      </c>
      <c r="AK487" s="43" t="s">
        <v>1715</v>
      </c>
      <c r="AL487" s="43" t="s">
        <v>259</v>
      </c>
      <c r="AO487" s="23"/>
      <c r="AP487" s="23"/>
      <c r="AQ487" s="23"/>
      <c r="BD487" s="43" t="s">
        <v>259</v>
      </c>
      <c r="BE487" s="43" t="s">
        <v>259</v>
      </c>
      <c r="BF487" s="43" t="s">
        <v>259</v>
      </c>
      <c r="BG487" s="43" t="s">
        <v>259</v>
      </c>
      <c r="BH487" t="s">
        <v>259</v>
      </c>
      <c r="BI487" s="43" t="s">
        <v>259</v>
      </c>
      <c r="BJ487">
        <v>0</v>
      </c>
      <c r="BK487">
        <v>44109</v>
      </c>
      <c r="BL487">
        <v>44356</v>
      </c>
      <c r="BP487">
        <v>0</v>
      </c>
      <c r="BT487">
        <v>0</v>
      </c>
      <c r="BX487">
        <v>0</v>
      </c>
      <c r="CB487">
        <v>0</v>
      </c>
      <c r="CF487">
        <v>0</v>
      </c>
      <c r="CG487">
        <v>0</v>
      </c>
      <c r="CK487">
        <v>0</v>
      </c>
      <c r="CL487">
        <v>749</v>
      </c>
      <c r="CM487">
        <v>748</v>
      </c>
      <c r="CN487">
        <v>748</v>
      </c>
      <c r="CO487">
        <v>2245</v>
      </c>
      <c r="CP487">
        <v>500</v>
      </c>
      <c r="CQ487">
        <v>500</v>
      </c>
      <c r="CR487">
        <v>500</v>
      </c>
      <c r="CS487">
        <v>1500</v>
      </c>
      <c r="CT487">
        <v>750</v>
      </c>
      <c r="CU487">
        <v>750</v>
      </c>
      <c r="CV487">
        <v>750</v>
      </c>
      <c r="CW487">
        <v>2250</v>
      </c>
      <c r="CX487">
        <v>0</v>
      </c>
      <c r="CY487">
        <v>0</v>
      </c>
      <c r="CZ487">
        <v>0</v>
      </c>
      <c r="DA487">
        <v>0</v>
      </c>
      <c r="DB487">
        <v>1000</v>
      </c>
      <c r="DC487">
        <v>1000</v>
      </c>
      <c r="DD487">
        <v>1000</v>
      </c>
      <c r="DE487">
        <v>3000</v>
      </c>
      <c r="DF487">
        <v>0</v>
      </c>
      <c r="DG487">
        <v>0</v>
      </c>
      <c r="DH487">
        <v>0</v>
      </c>
      <c r="DN487">
        <v>0</v>
      </c>
      <c r="DO487">
        <v>0</v>
      </c>
      <c r="DP487">
        <v>0</v>
      </c>
      <c r="DR487">
        <v>0</v>
      </c>
      <c r="DS487">
        <v>0</v>
      </c>
      <c r="DT487">
        <v>0</v>
      </c>
      <c r="DY487">
        <v>0</v>
      </c>
      <c r="EC487">
        <v>0</v>
      </c>
      <c r="ED487">
        <v>8995</v>
      </c>
      <c r="EH487">
        <v>0</v>
      </c>
      <c r="EI487">
        <v>0</v>
      </c>
      <c r="EJ487">
        <v>0</v>
      </c>
      <c r="EK487">
        <v>0</v>
      </c>
      <c r="EM487">
        <v>0</v>
      </c>
      <c r="EN487">
        <v>660</v>
      </c>
      <c r="EO487">
        <v>660</v>
      </c>
      <c r="EP487">
        <v>659</v>
      </c>
      <c r="EQ487">
        <v>2000</v>
      </c>
      <c r="ER487">
        <v>21.24</v>
      </c>
      <c r="ES487">
        <v>0</v>
      </c>
      <c r="ET487">
        <v>0</v>
      </c>
      <c r="EU487">
        <v>0</v>
      </c>
      <c r="EW487">
        <v>0</v>
      </c>
      <c r="FA487">
        <v>0</v>
      </c>
      <c r="FE487">
        <v>0</v>
      </c>
      <c r="FI487">
        <v>0</v>
      </c>
      <c r="FJ487">
        <v>1978.76</v>
      </c>
      <c r="FK487">
        <v>-8995</v>
      </c>
      <c r="FL487">
        <v>-11460.606566964658</v>
      </c>
      <c r="FM487">
        <v>-10973.76</v>
      </c>
      <c r="FO487" t="s">
        <v>3867</v>
      </c>
      <c r="FP487" t="s">
        <v>3868</v>
      </c>
      <c r="FQ487" t="s">
        <v>1650</v>
      </c>
      <c r="FR487" t="s">
        <v>3869</v>
      </c>
    </row>
    <row r="488" spans="1:174" x14ac:dyDescent="0.35">
      <c r="E488" s="43"/>
      <c r="L488" s="43" t="s">
        <v>259</v>
      </c>
      <c r="N488" s="43"/>
      <c r="O488" s="43"/>
      <c r="P488" s="43"/>
      <c r="Q488" s="43"/>
      <c r="AH488" t="s">
        <v>259</v>
      </c>
      <c r="AI488" t="s">
        <v>259</v>
      </c>
      <c r="AJ488" t="s">
        <v>259</v>
      </c>
      <c r="AK488" s="43" t="s">
        <v>259</v>
      </c>
      <c r="AL488" s="43" t="s">
        <v>259</v>
      </c>
      <c r="AO488" s="23"/>
      <c r="AP488" s="23"/>
      <c r="AQ488" s="23"/>
      <c r="BD488" s="43" t="s">
        <v>259</v>
      </c>
      <c r="BE488" s="43" t="s">
        <v>259</v>
      </c>
      <c r="BF488" s="43" t="s">
        <v>259</v>
      </c>
      <c r="BG488" s="43" t="s">
        <v>259</v>
      </c>
      <c r="BH488" t="s">
        <v>259</v>
      </c>
      <c r="BI488" s="43" t="s">
        <v>259</v>
      </c>
      <c r="BJ488">
        <v>0</v>
      </c>
      <c r="BP488">
        <v>0</v>
      </c>
      <c r="BT488">
        <v>0</v>
      </c>
      <c r="BX488">
        <v>0</v>
      </c>
      <c r="CB488">
        <v>0</v>
      </c>
      <c r="CF488">
        <v>0</v>
      </c>
      <c r="CG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DF488">
        <v>0</v>
      </c>
      <c r="DG488">
        <v>0</v>
      </c>
      <c r="DH488">
        <v>0</v>
      </c>
      <c r="DN488">
        <v>0</v>
      </c>
      <c r="DO488">
        <v>0</v>
      </c>
      <c r="DP488">
        <v>0</v>
      </c>
      <c r="DR488">
        <v>0</v>
      </c>
      <c r="DS488">
        <v>0</v>
      </c>
      <c r="DT488">
        <v>0</v>
      </c>
      <c r="DY488">
        <v>0</v>
      </c>
      <c r="EC488">
        <v>0</v>
      </c>
      <c r="EH488">
        <v>0</v>
      </c>
      <c r="EI488">
        <v>0</v>
      </c>
      <c r="EJ488">
        <v>0</v>
      </c>
      <c r="EK488">
        <v>0</v>
      </c>
      <c r="EM488">
        <v>0</v>
      </c>
      <c r="EN488">
        <v>660</v>
      </c>
      <c r="EO488">
        <v>660</v>
      </c>
      <c r="EP488">
        <v>659</v>
      </c>
      <c r="EQ488">
        <v>2000</v>
      </c>
      <c r="ER488">
        <v>21.24</v>
      </c>
      <c r="ES488">
        <v>0</v>
      </c>
      <c r="ET488">
        <v>0</v>
      </c>
      <c r="EU488">
        <v>0</v>
      </c>
      <c r="EW488">
        <v>0</v>
      </c>
      <c r="FA488">
        <v>0</v>
      </c>
      <c r="FE488">
        <v>0</v>
      </c>
      <c r="FI488">
        <v>0</v>
      </c>
      <c r="FJ488">
        <v>1978.76</v>
      </c>
    </row>
    <row r="489" spans="1:174" x14ac:dyDescent="0.35">
      <c r="E489" s="43"/>
      <c r="L489" s="43" t="s">
        <v>259</v>
      </c>
      <c r="N489" s="43"/>
      <c r="O489" s="43"/>
      <c r="P489" s="43"/>
      <c r="Q489" s="43"/>
      <c r="AH489" t="s">
        <v>259</v>
      </c>
      <c r="AI489" t="s">
        <v>259</v>
      </c>
      <c r="AJ489" t="s">
        <v>259</v>
      </c>
      <c r="AK489" s="43" t="s">
        <v>259</v>
      </c>
      <c r="AL489" s="43" t="s">
        <v>259</v>
      </c>
      <c r="AO489" s="23"/>
      <c r="AP489" s="23"/>
      <c r="AQ489" s="23"/>
      <c r="BD489" s="43" t="s">
        <v>259</v>
      </c>
      <c r="BE489" s="43" t="s">
        <v>259</v>
      </c>
      <c r="BF489" s="43" t="s">
        <v>259</v>
      </c>
      <c r="BG489" s="43" t="s">
        <v>259</v>
      </c>
      <c r="BH489" t="s">
        <v>259</v>
      </c>
      <c r="BI489" s="43" t="s">
        <v>259</v>
      </c>
      <c r="BJ489">
        <v>0</v>
      </c>
      <c r="BP489">
        <v>0</v>
      </c>
      <c r="BT489">
        <v>0</v>
      </c>
      <c r="BX489">
        <v>0</v>
      </c>
      <c r="CB489">
        <v>0</v>
      </c>
      <c r="CF489">
        <v>0</v>
      </c>
      <c r="CG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DF489">
        <v>0</v>
      </c>
      <c r="DG489">
        <v>0</v>
      </c>
      <c r="DH489">
        <v>0</v>
      </c>
      <c r="DN489">
        <v>0</v>
      </c>
      <c r="DO489">
        <v>0</v>
      </c>
      <c r="DP489">
        <v>0</v>
      </c>
      <c r="DR489">
        <v>0</v>
      </c>
      <c r="DS489">
        <v>0</v>
      </c>
      <c r="DT489">
        <v>0</v>
      </c>
      <c r="DY489">
        <v>0</v>
      </c>
      <c r="EC489">
        <v>0</v>
      </c>
      <c r="EH489">
        <v>0</v>
      </c>
      <c r="EI489">
        <v>0</v>
      </c>
      <c r="EJ489">
        <v>0</v>
      </c>
      <c r="EK489">
        <v>0</v>
      </c>
      <c r="EM489">
        <v>0</v>
      </c>
      <c r="EN489">
        <v>660</v>
      </c>
      <c r="EO489">
        <v>660</v>
      </c>
      <c r="EP489">
        <v>659</v>
      </c>
      <c r="EQ489">
        <v>2000</v>
      </c>
      <c r="ER489">
        <v>21.24</v>
      </c>
      <c r="ES489">
        <v>0</v>
      </c>
      <c r="ET489">
        <v>0</v>
      </c>
      <c r="EU489">
        <v>0</v>
      </c>
      <c r="EW489">
        <v>0</v>
      </c>
      <c r="FA489">
        <v>0</v>
      </c>
      <c r="FE489">
        <v>0</v>
      </c>
      <c r="FI489">
        <v>0</v>
      </c>
      <c r="FJ489">
        <v>1978.76</v>
      </c>
    </row>
    <row r="490" spans="1:174" x14ac:dyDescent="0.35">
      <c r="E490" s="43"/>
      <c r="L490" s="43" t="s">
        <v>259</v>
      </c>
      <c r="N490" s="43"/>
      <c r="O490" s="43"/>
      <c r="P490" s="43"/>
      <c r="Q490" s="43"/>
      <c r="AH490" t="s">
        <v>259</v>
      </c>
      <c r="AI490" t="s">
        <v>259</v>
      </c>
      <c r="AJ490" t="s">
        <v>259</v>
      </c>
      <c r="AK490" s="43" t="s">
        <v>259</v>
      </c>
      <c r="AL490" s="43" t="s">
        <v>259</v>
      </c>
      <c r="AO490" s="23"/>
      <c r="AP490" s="23"/>
      <c r="AQ490" s="23"/>
      <c r="BD490" s="43" t="s">
        <v>259</v>
      </c>
      <c r="BE490" s="43" t="s">
        <v>259</v>
      </c>
      <c r="BF490" s="43" t="s">
        <v>259</v>
      </c>
      <c r="BG490" s="43" t="s">
        <v>259</v>
      </c>
      <c r="BH490" t="s">
        <v>259</v>
      </c>
      <c r="BI490" s="43" t="s">
        <v>259</v>
      </c>
      <c r="BJ490">
        <v>0</v>
      </c>
      <c r="BP490">
        <v>0</v>
      </c>
      <c r="BT490">
        <v>0</v>
      </c>
      <c r="BX490">
        <v>0</v>
      </c>
      <c r="CB490">
        <v>0</v>
      </c>
      <c r="CF490">
        <v>0</v>
      </c>
      <c r="CG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DF490">
        <v>0</v>
      </c>
      <c r="DG490">
        <v>0</v>
      </c>
      <c r="DH490">
        <v>0</v>
      </c>
      <c r="DN490">
        <v>0</v>
      </c>
      <c r="DO490">
        <v>0</v>
      </c>
      <c r="DP490">
        <v>0</v>
      </c>
      <c r="DR490">
        <v>0</v>
      </c>
      <c r="DS490">
        <v>0</v>
      </c>
      <c r="DT490">
        <v>0</v>
      </c>
      <c r="DY490">
        <v>0</v>
      </c>
      <c r="EC490">
        <v>0</v>
      </c>
      <c r="EH490">
        <v>0</v>
      </c>
      <c r="EI490">
        <v>0</v>
      </c>
      <c r="EJ490">
        <v>0</v>
      </c>
      <c r="EK490">
        <v>0</v>
      </c>
      <c r="EM490">
        <v>0</v>
      </c>
      <c r="EN490">
        <v>660</v>
      </c>
      <c r="EO490">
        <v>660</v>
      </c>
      <c r="EP490">
        <v>659</v>
      </c>
      <c r="EQ490">
        <v>2000</v>
      </c>
      <c r="ER490">
        <v>21.24</v>
      </c>
      <c r="ES490">
        <v>0</v>
      </c>
      <c r="ET490">
        <v>0</v>
      </c>
      <c r="EU490">
        <v>0</v>
      </c>
      <c r="EW490">
        <v>0</v>
      </c>
      <c r="FA490">
        <v>0</v>
      </c>
      <c r="FE490">
        <v>0</v>
      </c>
      <c r="FI490">
        <v>0</v>
      </c>
      <c r="FJ490">
        <v>1978.76</v>
      </c>
    </row>
    <row r="491" spans="1:174" x14ac:dyDescent="0.35">
      <c r="E491" s="43"/>
      <c r="L491" s="43"/>
      <c r="N491" s="43"/>
      <c r="O491" s="43"/>
      <c r="P491" s="43"/>
      <c r="Q491" s="43"/>
      <c r="AK491" s="43"/>
      <c r="AL491" s="43"/>
      <c r="AO491" s="23"/>
      <c r="AP491" s="23"/>
      <c r="AQ491" s="23"/>
      <c r="BD491" s="43"/>
      <c r="BE491" s="43"/>
      <c r="BF491" s="43"/>
      <c r="BG491" s="43"/>
      <c r="BI491" s="43"/>
    </row>
    <row r="492" spans="1:174" x14ac:dyDescent="0.35">
      <c r="E492" s="43"/>
      <c r="L492" s="43"/>
      <c r="N492" s="43"/>
      <c r="O492" s="43"/>
      <c r="P492" s="43"/>
      <c r="Q492" s="43"/>
      <c r="AK492" s="43"/>
      <c r="AL492" s="43"/>
      <c r="AO492" s="23"/>
      <c r="AP492" s="23"/>
      <c r="AQ492" s="23"/>
      <c r="BD492" s="43"/>
      <c r="BE492" s="43"/>
      <c r="BF492" s="43"/>
      <c r="BG492" s="43"/>
      <c r="BI492" s="43"/>
    </row>
    <row r="493" spans="1:174" x14ac:dyDescent="0.35">
      <c r="E493" s="43"/>
      <c r="L493" s="43"/>
      <c r="N493" s="43"/>
      <c r="O493" s="43"/>
      <c r="P493" s="43"/>
      <c r="Q493" s="43"/>
      <c r="AK493" s="43"/>
      <c r="AL493" s="43"/>
      <c r="AO493" s="23"/>
      <c r="AP493" s="23"/>
      <c r="AQ493" s="23"/>
      <c r="BD493" s="43"/>
      <c r="BE493" s="43"/>
      <c r="BF493" s="43"/>
      <c r="BG493" s="43"/>
      <c r="BI493" s="43"/>
    </row>
    <row r="494" spans="1:174" x14ac:dyDescent="0.35">
      <c r="E494" s="43"/>
      <c r="L494" s="43"/>
      <c r="N494" s="43"/>
      <c r="O494" s="43"/>
      <c r="P494" s="43"/>
      <c r="Q494" s="43"/>
      <c r="AK494" s="43"/>
      <c r="AL494" s="43"/>
      <c r="AO494" s="23"/>
      <c r="AP494" s="23"/>
      <c r="AQ494" s="23"/>
      <c r="BD494" s="43"/>
      <c r="BE494" s="43"/>
      <c r="BF494" s="43"/>
      <c r="BG494" s="43"/>
      <c r="BI494" s="43"/>
    </row>
    <row r="495" spans="1:174" x14ac:dyDescent="0.35">
      <c r="E495" s="43"/>
      <c r="L495" s="43"/>
      <c r="N495" s="43"/>
      <c r="O495" s="43"/>
      <c r="P495" s="43"/>
      <c r="Q495" s="43"/>
      <c r="AK495" s="43"/>
      <c r="AL495" s="43"/>
      <c r="AO495" s="23"/>
      <c r="AP495" s="23"/>
      <c r="AQ495" s="23"/>
      <c r="BD495" s="43"/>
      <c r="BE495" s="43"/>
      <c r="BF495" s="43"/>
      <c r="BG495" s="43"/>
      <c r="BI495" s="43"/>
    </row>
    <row r="496" spans="1:174" x14ac:dyDescent="0.35">
      <c r="E496" s="43"/>
      <c r="L496" s="43"/>
      <c r="N496" s="43"/>
      <c r="O496" s="43"/>
      <c r="P496" s="43"/>
      <c r="Q496" s="43"/>
      <c r="AK496" s="43"/>
      <c r="AL496" s="43"/>
      <c r="AO496" s="23"/>
      <c r="AP496" s="23"/>
      <c r="AQ496" s="23"/>
      <c r="BD496" s="43"/>
      <c r="BE496" s="43"/>
      <c r="BF496" s="43"/>
      <c r="BG496" s="43"/>
      <c r="BI496" s="4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D87E3-13E7-4909-9F28-17F3106AB916}">
  <sheetPr codeName="Sheet3"/>
  <dimension ref="A1:FP233"/>
  <sheetViews>
    <sheetView topLeftCell="X1" workbookViewId="0">
      <selection activeCell="AO2" sqref="AO2"/>
    </sheetView>
  </sheetViews>
  <sheetFormatPr defaultRowHeight="14.5" x14ac:dyDescent="0.35"/>
  <cols>
    <col min="1" max="1" width="13.1796875" bestFit="1" customWidth="1"/>
    <col min="2" max="2" width="14.6328125" bestFit="1" customWidth="1"/>
    <col min="3" max="3" width="11.6328125" bestFit="1" customWidth="1"/>
    <col min="4" max="4" width="20.54296875" bestFit="1" customWidth="1"/>
    <col min="5" max="5" width="20.90625" bestFit="1" customWidth="1"/>
    <col min="6" max="6" width="10.26953125" bestFit="1" customWidth="1"/>
    <col min="7" max="8" width="10.453125" style="23" bestFit="1" customWidth="1"/>
    <col min="9" max="9" width="10.81640625" style="23" bestFit="1" customWidth="1"/>
    <col min="10" max="10" width="74" bestFit="1" customWidth="1"/>
    <col min="11" max="11" width="7.54296875" bestFit="1" customWidth="1"/>
    <col min="12" max="12" width="5.7265625" bestFit="1" customWidth="1"/>
    <col min="13" max="13" width="38.7265625" bestFit="1" customWidth="1"/>
    <col min="14" max="14" width="31" bestFit="1" customWidth="1"/>
    <col min="15" max="15" width="18.6328125" bestFit="1" customWidth="1"/>
    <col min="16" max="16" width="7.453125" bestFit="1" customWidth="1"/>
    <col min="17" max="17" width="10.453125" bestFit="1" customWidth="1"/>
    <col min="18" max="18" width="8.81640625" bestFit="1" customWidth="1"/>
    <col min="19" max="19" width="14.1796875" bestFit="1" customWidth="1"/>
    <col min="20" max="20" width="6.26953125" bestFit="1" customWidth="1"/>
    <col min="21" max="21" width="11.6328125" bestFit="1" customWidth="1"/>
    <col min="22" max="22" width="10.54296875" bestFit="1" customWidth="1"/>
    <col min="23" max="23" width="13.90625" bestFit="1" customWidth="1"/>
    <col min="24" max="24" width="20.36328125" bestFit="1" customWidth="1"/>
    <col min="25" max="25" width="11.7265625" bestFit="1" customWidth="1"/>
    <col min="26" max="26" width="19.90625" bestFit="1" customWidth="1"/>
    <col min="27" max="27" width="18.36328125" bestFit="1" customWidth="1"/>
    <col min="28" max="28" width="5.81640625" bestFit="1" customWidth="1"/>
    <col min="29" max="29" width="6.6328125" bestFit="1" customWidth="1"/>
    <col min="30" max="30" width="12.26953125" bestFit="1" customWidth="1"/>
    <col min="31" max="31" width="11.1796875" bestFit="1" customWidth="1"/>
    <col min="32" max="32" width="7.26953125" bestFit="1" customWidth="1"/>
    <col min="33" max="33" width="11.26953125" bestFit="1" customWidth="1"/>
    <col min="34" max="34" width="9.6328125" bestFit="1" customWidth="1"/>
    <col min="35" max="35" width="6.81640625" bestFit="1" customWidth="1"/>
    <col min="36" max="36" width="10.453125" bestFit="1" customWidth="1"/>
    <col min="37" max="37" width="9.1796875" bestFit="1" customWidth="1"/>
    <col min="38" max="39" width="9.81640625" bestFit="1" customWidth="1"/>
    <col min="40" max="40" width="11" bestFit="1" customWidth="1"/>
    <col min="41" max="43" width="10.453125" bestFit="1" customWidth="1"/>
    <col min="44" max="44" width="5.1796875" bestFit="1" customWidth="1"/>
    <col min="45" max="45" width="8.08984375" bestFit="1" customWidth="1"/>
    <col min="46" max="47" width="6.36328125" bestFit="1" customWidth="1"/>
    <col min="48" max="48" width="9.90625" bestFit="1" customWidth="1"/>
    <col min="49" max="49" width="8.26953125" bestFit="1" customWidth="1"/>
    <col min="50" max="50" width="9.6328125" bestFit="1" customWidth="1"/>
    <col min="51" max="51" width="6.26953125" bestFit="1" customWidth="1"/>
    <col min="52" max="52" width="8.81640625" bestFit="1" customWidth="1"/>
    <col min="53" max="53" width="11.453125" bestFit="1" customWidth="1"/>
    <col min="54" max="54" width="9" bestFit="1" customWidth="1"/>
    <col min="55" max="55" width="8.6328125" bestFit="1" customWidth="1"/>
    <col min="56" max="56" width="11.26953125" bestFit="1" customWidth="1"/>
    <col min="57" max="57" width="12.81640625" bestFit="1" customWidth="1"/>
    <col min="58" max="58" width="13" bestFit="1" customWidth="1"/>
    <col min="59" max="59" width="6.7265625" bestFit="1" customWidth="1"/>
    <col min="60" max="60" width="9.453125" bestFit="1" customWidth="1"/>
    <col min="61" max="61" width="9.81640625" bestFit="1" customWidth="1"/>
    <col min="62" max="62" width="12.6328125" bestFit="1" customWidth="1"/>
    <col min="63" max="63" width="9.36328125" bestFit="1" customWidth="1"/>
    <col min="64" max="64" width="8.453125" bestFit="1" customWidth="1"/>
    <col min="65" max="67" width="8.81640625" bestFit="1" customWidth="1"/>
    <col min="68" max="68" width="9.26953125" bestFit="1" customWidth="1"/>
    <col min="69" max="71" width="8.90625" bestFit="1" customWidth="1"/>
    <col min="72" max="72" width="9.36328125" bestFit="1" customWidth="1"/>
    <col min="73" max="75" width="9.7265625" bestFit="1" customWidth="1"/>
    <col min="76" max="76" width="10.1796875" bestFit="1" customWidth="1"/>
    <col min="77" max="79" width="7.26953125" bestFit="1" customWidth="1"/>
    <col min="80" max="80" width="7.7265625" bestFit="1" customWidth="1"/>
    <col min="81" max="83" width="12.36328125" bestFit="1" customWidth="1"/>
    <col min="84" max="84" width="12.81640625" bestFit="1" customWidth="1"/>
    <col min="85" max="85" width="9.6328125" bestFit="1" customWidth="1"/>
    <col min="86" max="88" width="10" bestFit="1" customWidth="1"/>
    <col min="89" max="89" width="10.453125" bestFit="1" customWidth="1"/>
    <col min="90" max="92" width="8.453125" bestFit="1" customWidth="1"/>
    <col min="93" max="93" width="8.90625" bestFit="1" customWidth="1"/>
    <col min="94" max="96" width="10.90625" bestFit="1" customWidth="1"/>
    <col min="97" max="97" width="11.36328125" bestFit="1" customWidth="1"/>
    <col min="98" max="100" width="9" bestFit="1" customWidth="1"/>
    <col min="101" max="101" width="9.453125" bestFit="1" customWidth="1"/>
    <col min="102" max="104" width="7.7265625" bestFit="1" customWidth="1"/>
    <col min="105" max="105" width="8.1796875" bestFit="1" customWidth="1"/>
    <col min="106" max="108" width="8.81640625" bestFit="1" customWidth="1"/>
    <col min="109" max="109" width="9.26953125" bestFit="1" customWidth="1"/>
    <col min="110" max="112" width="8.08984375" bestFit="1" customWidth="1"/>
    <col min="113" max="113" width="8.54296875" bestFit="1" customWidth="1"/>
    <col min="114" max="116" width="9.26953125" bestFit="1" customWidth="1"/>
    <col min="117" max="117" width="9.7265625" bestFit="1" customWidth="1"/>
    <col min="118" max="120" width="8.90625" bestFit="1" customWidth="1"/>
    <col min="121" max="121" width="9.36328125" bestFit="1" customWidth="1"/>
    <col min="122" max="124" width="8.6328125" bestFit="1" customWidth="1"/>
    <col min="125" max="125" width="9.08984375" bestFit="1" customWidth="1"/>
    <col min="126" max="128" width="7.81640625" bestFit="1" customWidth="1"/>
    <col min="129" max="129" width="8.26953125" bestFit="1" customWidth="1"/>
    <col min="130" max="132" width="13.453125" bestFit="1" customWidth="1"/>
    <col min="133" max="133" width="13.90625" bestFit="1" customWidth="1"/>
    <col min="134" max="134" width="9" bestFit="1" customWidth="1"/>
    <col min="135" max="137" width="9.453125" bestFit="1" customWidth="1"/>
    <col min="138" max="138" width="9.90625" bestFit="1" customWidth="1"/>
    <col min="139" max="141" width="8.54296875" bestFit="1" customWidth="1"/>
    <col min="142" max="142" width="9" bestFit="1" customWidth="1"/>
    <col min="143" max="143" width="9.08984375" bestFit="1" customWidth="1"/>
    <col min="144" max="146" width="10.81640625" bestFit="1" customWidth="1"/>
    <col min="147" max="147" width="11.26953125" bestFit="1" customWidth="1"/>
    <col min="148" max="148" width="11.36328125" bestFit="1" customWidth="1"/>
    <col min="149" max="151" width="9.54296875" bestFit="1" customWidth="1"/>
    <col min="152" max="152" width="10" bestFit="1" customWidth="1"/>
    <col min="153" max="153" width="10.08984375" bestFit="1" customWidth="1"/>
    <col min="154" max="156" width="8.6328125" bestFit="1" customWidth="1"/>
    <col min="157" max="157" width="9.08984375" bestFit="1" customWidth="1"/>
    <col min="158" max="160" width="7.81640625" bestFit="1" customWidth="1"/>
    <col min="161" max="161" width="8.26953125" bestFit="1" customWidth="1"/>
    <col min="162" max="164" width="11" bestFit="1" customWidth="1"/>
    <col min="165" max="165" width="11.453125" bestFit="1" customWidth="1"/>
    <col min="166" max="166" width="12.7265625" bestFit="1" customWidth="1"/>
    <col min="167" max="167" width="9.81640625" bestFit="1" customWidth="1"/>
    <col min="168" max="168" width="12.453125" bestFit="1" customWidth="1"/>
    <col min="169" max="169" width="10.453125" bestFit="1" customWidth="1"/>
    <col min="170" max="170" width="17.7265625" bestFit="1" customWidth="1"/>
    <col min="171" max="171" width="17.81640625" bestFit="1" customWidth="1"/>
    <col min="172" max="172" width="15.81640625" bestFit="1" customWidth="1"/>
  </cols>
  <sheetData>
    <row r="1" spans="1:172" x14ac:dyDescent="0.35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s="23" t="s">
        <v>103</v>
      </c>
      <c r="H1" s="23" t="s">
        <v>104</v>
      </c>
      <c r="I1" s="23" t="s">
        <v>105</v>
      </c>
      <c r="J1" t="s">
        <v>11</v>
      </c>
      <c r="K1" t="s">
        <v>106</v>
      </c>
      <c r="L1" t="s">
        <v>107</v>
      </c>
      <c r="M1" t="s">
        <v>108</v>
      </c>
      <c r="N1" t="s">
        <v>109</v>
      </c>
      <c r="O1" t="s">
        <v>110</v>
      </c>
      <c r="P1" t="s">
        <v>111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118</v>
      </c>
      <c r="X1" t="s">
        <v>119</v>
      </c>
      <c r="Y1" t="s">
        <v>120</v>
      </c>
      <c r="Z1" t="s">
        <v>121</v>
      </c>
      <c r="AA1" t="s">
        <v>122</v>
      </c>
      <c r="AB1" t="s">
        <v>123</v>
      </c>
      <c r="AC1" t="s">
        <v>124</v>
      </c>
      <c r="AD1" t="s">
        <v>125</v>
      </c>
      <c r="AE1" t="s">
        <v>126</v>
      </c>
      <c r="AF1" t="s">
        <v>127</v>
      </c>
      <c r="AG1" t="s">
        <v>128</v>
      </c>
      <c r="AH1" t="s">
        <v>129</v>
      </c>
      <c r="AI1" t="s">
        <v>130</v>
      </c>
      <c r="AJ1" t="s">
        <v>131</v>
      </c>
      <c r="AK1" t="s">
        <v>25</v>
      </c>
      <c r="AL1" t="s">
        <v>132</v>
      </c>
      <c r="AM1" t="s">
        <v>133</v>
      </c>
      <c r="AN1" t="s">
        <v>27</v>
      </c>
      <c r="AO1" t="s">
        <v>54</v>
      </c>
      <c r="AP1" t="s">
        <v>29</v>
      </c>
      <c r="AQ1" t="s">
        <v>30</v>
      </c>
      <c r="AR1" t="s">
        <v>32</v>
      </c>
      <c r="AS1" t="s">
        <v>34</v>
      </c>
      <c r="AT1" t="s">
        <v>36</v>
      </c>
      <c r="AU1" t="s">
        <v>38</v>
      </c>
      <c r="AV1" t="s">
        <v>40</v>
      </c>
      <c r="AW1" t="s">
        <v>42</v>
      </c>
      <c r="AX1" t="s">
        <v>44</v>
      </c>
      <c r="AY1" t="s">
        <v>46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147</v>
      </c>
      <c r="BN1" t="s">
        <v>148</v>
      </c>
      <c r="BO1" t="s">
        <v>149</v>
      </c>
      <c r="BP1" t="s">
        <v>150</v>
      </c>
      <c r="BQ1" t="s">
        <v>151</v>
      </c>
      <c r="BR1" t="s">
        <v>152</v>
      </c>
      <c r="BS1" t="s">
        <v>153</v>
      </c>
      <c r="BT1" t="s">
        <v>154</v>
      </c>
      <c r="BU1" t="s">
        <v>155</v>
      </c>
      <c r="BV1" t="s">
        <v>156</v>
      </c>
      <c r="BW1" t="s">
        <v>157</v>
      </c>
      <c r="BX1" t="s">
        <v>158</v>
      </c>
      <c r="BY1" t="s">
        <v>159</v>
      </c>
      <c r="BZ1" t="s">
        <v>160</v>
      </c>
      <c r="CA1" t="s">
        <v>161</v>
      </c>
      <c r="CB1" t="s">
        <v>162</v>
      </c>
      <c r="CC1" t="s">
        <v>163</v>
      </c>
      <c r="CD1" t="s">
        <v>164</v>
      </c>
      <c r="CE1" t="s">
        <v>165</v>
      </c>
      <c r="CF1" t="s">
        <v>166</v>
      </c>
      <c r="CG1" t="s">
        <v>167</v>
      </c>
      <c r="CH1" t="s">
        <v>168</v>
      </c>
      <c r="CI1" t="s">
        <v>169</v>
      </c>
      <c r="CJ1" t="s">
        <v>170</v>
      </c>
      <c r="CK1" t="s">
        <v>171</v>
      </c>
      <c r="CL1" t="s">
        <v>172</v>
      </c>
      <c r="CM1" t="s">
        <v>173</v>
      </c>
      <c r="CN1" t="s">
        <v>174</v>
      </c>
      <c r="CO1" t="s">
        <v>175</v>
      </c>
      <c r="CP1" t="s">
        <v>176</v>
      </c>
      <c r="CQ1" t="s">
        <v>177</v>
      </c>
      <c r="CR1" t="s">
        <v>178</v>
      </c>
      <c r="CS1" t="s">
        <v>179</v>
      </c>
      <c r="CT1" t="s">
        <v>180</v>
      </c>
      <c r="CU1" t="s">
        <v>181</v>
      </c>
      <c r="CV1" t="s">
        <v>182</v>
      </c>
      <c r="CW1" t="s">
        <v>183</v>
      </c>
      <c r="CX1" t="s">
        <v>184</v>
      </c>
      <c r="CY1" t="s">
        <v>185</v>
      </c>
      <c r="CZ1" t="s">
        <v>186</v>
      </c>
      <c r="DA1" t="s">
        <v>187</v>
      </c>
      <c r="DB1" t="s">
        <v>188</v>
      </c>
      <c r="DC1" t="s">
        <v>189</v>
      </c>
      <c r="DD1" t="s">
        <v>190</v>
      </c>
      <c r="DE1" t="s">
        <v>191</v>
      </c>
      <c r="DF1" t="s">
        <v>192</v>
      </c>
      <c r="DG1" t="s">
        <v>193</v>
      </c>
      <c r="DH1" t="s">
        <v>194</v>
      </c>
      <c r="DI1" t="s">
        <v>195</v>
      </c>
      <c r="DJ1" t="s">
        <v>196</v>
      </c>
      <c r="DK1" t="s">
        <v>197</v>
      </c>
      <c r="DL1" t="s">
        <v>198</v>
      </c>
      <c r="DM1" t="s">
        <v>199</v>
      </c>
      <c r="DN1" t="s">
        <v>200</v>
      </c>
      <c r="DO1" t="s">
        <v>201</v>
      </c>
      <c r="DP1" t="s">
        <v>202</v>
      </c>
      <c r="DQ1" t="s">
        <v>203</v>
      </c>
      <c r="DR1" t="s">
        <v>204</v>
      </c>
      <c r="DS1" t="s">
        <v>205</v>
      </c>
      <c r="DT1" t="s">
        <v>206</v>
      </c>
      <c r="DU1" t="s">
        <v>207</v>
      </c>
      <c r="DV1" t="s">
        <v>208</v>
      </c>
      <c r="DW1" t="s">
        <v>209</v>
      </c>
      <c r="DX1" t="s">
        <v>210</v>
      </c>
      <c r="DY1" t="s">
        <v>211</v>
      </c>
      <c r="DZ1" t="s">
        <v>212</v>
      </c>
      <c r="EA1" t="s">
        <v>213</v>
      </c>
      <c r="EB1" t="s">
        <v>214</v>
      </c>
      <c r="EC1" t="s">
        <v>215</v>
      </c>
      <c r="ED1" t="s">
        <v>216</v>
      </c>
      <c r="EE1" t="s">
        <v>217</v>
      </c>
      <c r="EF1" t="s">
        <v>218</v>
      </c>
      <c r="EG1" t="s">
        <v>219</v>
      </c>
      <c r="EH1" t="s">
        <v>220</v>
      </c>
      <c r="EI1" t="s">
        <v>221</v>
      </c>
      <c r="EJ1" t="s">
        <v>222</v>
      </c>
      <c r="EK1" t="s">
        <v>223</v>
      </c>
      <c r="EL1" t="s">
        <v>224</v>
      </c>
      <c r="EM1" t="s">
        <v>225</v>
      </c>
      <c r="EN1" t="s">
        <v>226</v>
      </c>
      <c r="EO1" t="s">
        <v>227</v>
      </c>
      <c r="EP1" t="s">
        <v>228</v>
      </c>
      <c r="EQ1" t="s">
        <v>229</v>
      </c>
      <c r="ER1" t="s">
        <v>230</v>
      </c>
      <c r="ES1" t="s">
        <v>231</v>
      </c>
      <c r="ET1" t="s">
        <v>232</v>
      </c>
      <c r="EU1" t="s">
        <v>233</v>
      </c>
      <c r="EV1" t="s">
        <v>234</v>
      </c>
      <c r="EW1" t="s">
        <v>235</v>
      </c>
      <c r="EX1" t="s">
        <v>236</v>
      </c>
      <c r="EY1" t="s">
        <v>237</v>
      </c>
      <c r="EZ1" t="s">
        <v>238</v>
      </c>
      <c r="FA1" t="s">
        <v>239</v>
      </c>
      <c r="FB1" t="s">
        <v>240</v>
      </c>
      <c r="FC1" t="s">
        <v>241</v>
      </c>
      <c r="FD1" t="s">
        <v>242</v>
      </c>
      <c r="FE1" t="s">
        <v>243</v>
      </c>
      <c r="FF1" t="s">
        <v>244</v>
      </c>
      <c r="FG1" t="s">
        <v>245</v>
      </c>
      <c r="FH1" t="s">
        <v>246</v>
      </c>
      <c r="FI1" t="s">
        <v>247</v>
      </c>
      <c r="FJ1" t="s">
        <v>248</v>
      </c>
      <c r="FK1" t="s">
        <v>249</v>
      </c>
      <c r="FL1" t="s">
        <v>250</v>
      </c>
      <c r="FM1" t="s">
        <v>251</v>
      </c>
      <c r="FN1" t="s">
        <v>252</v>
      </c>
      <c r="FO1" t="s">
        <v>253</v>
      </c>
      <c r="FP1" t="s">
        <v>254</v>
      </c>
    </row>
    <row r="2" spans="1:172" x14ac:dyDescent="0.35">
      <c r="A2">
        <v>196448</v>
      </c>
      <c r="B2" t="s">
        <v>255</v>
      </c>
      <c r="C2" t="s">
        <v>256</v>
      </c>
      <c r="D2" t="s">
        <v>257</v>
      </c>
      <c r="E2" s="43" t="s">
        <v>258</v>
      </c>
      <c r="F2">
        <v>1</v>
      </c>
      <c r="I2" s="23">
        <v>43775</v>
      </c>
      <c r="L2" s="43" t="s">
        <v>259</v>
      </c>
      <c r="M2" t="s">
        <v>260</v>
      </c>
      <c r="N2" t="s">
        <v>261</v>
      </c>
      <c r="O2" t="s">
        <v>262</v>
      </c>
      <c r="P2" t="s">
        <v>263</v>
      </c>
      <c r="Q2" t="s">
        <v>264</v>
      </c>
      <c r="R2">
        <v>2.9</v>
      </c>
      <c r="S2">
        <v>44109</v>
      </c>
      <c r="T2" t="s">
        <v>265</v>
      </c>
      <c r="U2" t="s">
        <v>266</v>
      </c>
      <c r="V2" t="s">
        <v>267</v>
      </c>
      <c r="W2" t="s">
        <v>268</v>
      </c>
      <c r="X2" t="s">
        <v>269</v>
      </c>
      <c r="Y2">
        <v>8883022894</v>
      </c>
      <c r="Z2" t="s">
        <v>270</v>
      </c>
      <c r="AA2" t="s">
        <v>271</v>
      </c>
      <c r="AB2" t="s">
        <v>272</v>
      </c>
      <c r="AC2">
        <v>0</v>
      </c>
      <c r="AD2" t="s">
        <v>273</v>
      </c>
      <c r="AE2" t="s">
        <v>274</v>
      </c>
      <c r="AF2">
        <v>9</v>
      </c>
      <c r="AG2" t="s">
        <v>275</v>
      </c>
      <c r="AH2" s="43" t="s">
        <v>259</v>
      </c>
      <c r="AI2" s="43" t="s">
        <v>259</v>
      </c>
      <c r="AJ2" s="43" t="s">
        <v>259</v>
      </c>
      <c r="AK2" s="43" t="s">
        <v>259</v>
      </c>
      <c r="AL2" s="43" t="s">
        <v>259</v>
      </c>
      <c r="AO2" s="23"/>
      <c r="AP2" s="23"/>
      <c r="AQ2" s="23"/>
      <c r="BD2" s="43" t="s">
        <v>259</v>
      </c>
      <c r="BE2" s="43" t="s">
        <v>259</v>
      </c>
      <c r="BF2" s="43" t="s">
        <v>259</v>
      </c>
      <c r="BG2" s="43" t="s">
        <v>259</v>
      </c>
      <c r="BH2" s="43" t="s">
        <v>259</v>
      </c>
      <c r="BI2" s="43" t="s">
        <v>259</v>
      </c>
      <c r="BJ2">
        <v>0</v>
      </c>
      <c r="BK2">
        <v>44109</v>
      </c>
      <c r="BL2">
        <v>44356</v>
      </c>
      <c r="BM2">
        <v>8505</v>
      </c>
      <c r="BN2">
        <v>8505</v>
      </c>
      <c r="BO2">
        <v>8505</v>
      </c>
      <c r="BP2">
        <v>25515</v>
      </c>
      <c r="BQ2">
        <v>3300</v>
      </c>
      <c r="BR2">
        <v>400</v>
      </c>
      <c r="BS2">
        <v>400</v>
      </c>
      <c r="BT2">
        <v>4100</v>
      </c>
      <c r="BU2">
        <v>2100</v>
      </c>
      <c r="BV2">
        <v>2100</v>
      </c>
      <c r="BW2">
        <v>2100</v>
      </c>
      <c r="BX2">
        <v>6300</v>
      </c>
      <c r="BY2">
        <v>1200</v>
      </c>
      <c r="BZ2">
        <v>1200</v>
      </c>
      <c r="CA2">
        <v>1200</v>
      </c>
      <c r="CB2">
        <v>3600</v>
      </c>
      <c r="CC2">
        <v>0</v>
      </c>
      <c r="CD2">
        <v>0</v>
      </c>
      <c r="CE2">
        <v>0</v>
      </c>
      <c r="CF2">
        <v>0</v>
      </c>
      <c r="CG2">
        <v>39515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H2">
        <v>0</v>
      </c>
      <c r="EI2">
        <v>1154</v>
      </c>
      <c r="EJ2">
        <v>1154</v>
      </c>
      <c r="EK2">
        <v>1155</v>
      </c>
      <c r="EL2">
        <v>3500</v>
      </c>
      <c r="EM2">
        <v>37.065000000000005</v>
      </c>
      <c r="EN2">
        <v>660</v>
      </c>
      <c r="EO2">
        <v>660</v>
      </c>
      <c r="EP2">
        <v>659</v>
      </c>
      <c r="EQ2">
        <v>2000</v>
      </c>
      <c r="ER2">
        <v>21.18</v>
      </c>
      <c r="ES2">
        <v>0</v>
      </c>
      <c r="ET2">
        <v>0</v>
      </c>
      <c r="EU2">
        <v>0</v>
      </c>
      <c r="EV2">
        <v>0</v>
      </c>
      <c r="EW2">
        <v>0</v>
      </c>
      <c r="FA2">
        <v>0</v>
      </c>
      <c r="FE2">
        <v>0</v>
      </c>
      <c r="FI2">
        <v>0</v>
      </c>
      <c r="FJ2">
        <v>5441.7550000000001</v>
      </c>
      <c r="FK2">
        <v>39515</v>
      </c>
      <c r="FL2">
        <v>35584.891177207784</v>
      </c>
      <c r="FM2">
        <v>34073.245000000003</v>
      </c>
    </row>
    <row r="3" spans="1:172" x14ac:dyDescent="0.35">
      <c r="A3">
        <v>193448</v>
      </c>
      <c r="B3" t="s">
        <v>276</v>
      </c>
      <c r="C3" t="s">
        <v>277</v>
      </c>
      <c r="D3" t="s">
        <v>278</v>
      </c>
      <c r="E3" s="43" t="s">
        <v>279</v>
      </c>
      <c r="F3">
        <v>1</v>
      </c>
      <c r="I3" s="23">
        <v>43775</v>
      </c>
      <c r="L3" s="43" t="s">
        <v>259</v>
      </c>
      <c r="M3" t="s">
        <v>280</v>
      </c>
      <c r="N3" t="s">
        <v>281</v>
      </c>
      <c r="O3" t="s">
        <v>282</v>
      </c>
      <c r="P3" t="s">
        <v>283</v>
      </c>
      <c r="Q3" t="s">
        <v>284</v>
      </c>
      <c r="R3">
        <v>3.62</v>
      </c>
      <c r="S3">
        <v>44109</v>
      </c>
      <c r="T3" t="s">
        <v>285</v>
      </c>
      <c r="U3" t="s">
        <v>286</v>
      </c>
      <c r="V3" t="s">
        <v>267</v>
      </c>
      <c r="W3" t="s">
        <v>268</v>
      </c>
      <c r="X3" t="s">
        <v>269</v>
      </c>
      <c r="Y3">
        <v>8883022894</v>
      </c>
      <c r="Z3" t="s">
        <v>270</v>
      </c>
      <c r="AA3" t="s">
        <v>271</v>
      </c>
      <c r="AB3" t="s">
        <v>287</v>
      </c>
      <c r="AC3">
        <v>0</v>
      </c>
      <c r="AD3" t="s">
        <v>288</v>
      </c>
      <c r="AE3" t="s">
        <v>289</v>
      </c>
      <c r="AF3">
        <v>2</v>
      </c>
      <c r="AG3" t="s">
        <v>275</v>
      </c>
      <c r="AH3" s="43" t="s">
        <v>259</v>
      </c>
      <c r="AI3" s="43" t="s">
        <v>259</v>
      </c>
      <c r="AJ3" s="43" t="s">
        <v>259</v>
      </c>
      <c r="AK3" s="43" t="s">
        <v>259</v>
      </c>
      <c r="AL3" s="43" t="s">
        <v>259</v>
      </c>
      <c r="AO3" s="23"/>
      <c r="AP3" s="23"/>
      <c r="AQ3" s="23"/>
      <c r="BD3" s="43" t="s">
        <v>259</v>
      </c>
      <c r="BE3" s="43" t="s">
        <v>259</v>
      </c>
      <c r="BF3" s="43" t="s">
        <v>259</v>
      </c>
      <c r="BG3" s="43" t="s">
        <v>259</v>
      </c>
      <c r="BH3" s="43" t="s">
        <v>259</v>
      </c>
      <c r="BI3" s="43" t="s">
        <v>259</v>
      </c>
      <c r="BJ3">
        <v>0</v>
      </c>
      <c r="BK3">
        <v>44109</v>
      </c>
      <c r="BL3">
        <v>44356</v>
      </c>
      <c r="BM3">
        <v>8505</v>
      </c>
      <c r="BN3">
        <v>8505</v>
      </c>
      <c r="BO3">
        <v>8505</v>
      </c>
      <c r="BP3">
        <v>25515</v>
      </c>
      <c r="BQ3">
        <v>3300</v>
      </c>
      <c r="BR3">
        <v>400</v>
      </c>
      <c r="BS3">
        <v>400</v>
      </c>
      <c r="BT3">
        <v>4100</v>
      </c>
      <c r="BU3">
        <v>2100</v>
      </c>
      <c r="BV3">
        <v>2100</v>
      </c>
      <c r="BW3">
        <v>2100</v>
      </c>
      <c r="BX3">
        <v>6300</v>
      </c>
      <c r="BY3">
        <v>1200</v>
      </c>
      <c r="BZ3">
        <v>1200</v>
      </c>
      <c r="CA3">
        <v>1200</v>
      </c>
      <c r="CB3">
        <v>3600</v>
      </c>
      <c r="CC3">
        <v>0</v>
      </c>
      <c r="CD3">
        <v>0</v>
      </c>
      <c r="CE3">
        <v>0</v>
      </c>
      <c r="CF3">
        <v>0</v>
      </c>
      <c r="CG3">
        <v>39515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1500</v>
      </c>
      <c r="CU3">
        <v>1500</v>
      </c>
      <c r="CV3">
        <v>1500</v>
      </c>
      <c r="CW3">
        <v>4500</v>
      </c>
      <c r="CX3">
        <v>0</v>
      </c>
      <c r="CY3">
        <v>0</v>
      </c>
      <c r="CZ3">
        <v>0</v>
      </c>
      <c r="DA3">
        <v>0</v>
      </c>
      <c r="DB3">
        <v>1000</v>
      </c>
      <c r="DC3">
        <v>1000</v>
      </c>
      <c r="DD3">
        <v>1000</v>
      </c>
      <c r="DE3">
        <v>3000</v>
      </c>
      <c r="DF3">
        <v>0</v>
      </c>
      <c r="DG3">
        <v>0</v>
      </c>
      <c r="DH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7500</v>
      </c>
      <c r="EH3">
        <v>0</v>
      </c>
      <c r="EI3">
        <v>1154</v>
      </c>
      <c r="EJ3">
        <v>1154</v>
      </c>
      <c r="EK3">
        <v>1155</v>
      </c>
      <c r="EL3">
        <v>3500</v>
      </c>
      <c r="EM3">
        <v>37.065000000000005</v>
      </c>
      <c r="EN3">
        <v>660</v>
      </c>
      <c r="EO3">
        <v>660</v>
      </c>
      <c r="EP3">
        <v>659</v>
      </c>
      <c r="EQ3">
        <v>2000</v>
      </c>
      <c r="ER3">
        <v>21.18</v>
      </c>
      <c r="ES3">
        <v>0</v>
      </c>
      <c r="ET3">
        <v>0</v>
      </c>
      <c r="EU3">
        <v>0</v>
      </c>
      <c r="EV3">
        <v>0</v>
      </c>
      <c r="EW3">
        <v>0</v>
      </c>
      <c r="FA3">
        <v>0</v>
      </c>
      <c r="FE3">
        <v>0</v>
      </c>
      <c r="FI3">
        <v>0</v>
      </c>
      <c r="FJ3">
        <v>5441.7550000000001</v>
      </c>
      <c r="FK3">
        <v>32015</v>
      </c>
      <c r="FL3">
        <v>27752.1566129167</v>
      </c>
      <c r="FM3">
        <v>26573.244999999999</v>
      </c>
    </row>
    <row r="4" spans="1:172" x14ac:dyDescent="0.35">
      <c r="A4">
        <v>195082</v>
      </c>
      <c r="B4" t="s">
        <v>290</v>
      </c>
      <c r="C4" t="s">
        <v>291</v>
      </c>
      <c r="D4" t="s">
        <v>292</v>
      </c>
      <c r="E4" s="43" t="s">
        <v>293</v>
      </c>
      <c r="F4">
        <v>1</v>
      </c>
      <c r="G4" s="23">
        <v>43775</v>
      </c>
      <c r="H4" s="23">
        <v>43775</v>
      </c>
      <c r="I4" s="23">
        <v>43775</v>
      </c>
      <c r="K4" t="s">
        <v>1715</v>
      </c>
      <c r="L4" s="43" t="s">
        <v>3204</v>
      </c>
      <c r="M4" t="s">
        <v>294</v>
      </c>
      <c r="N4" t="s">
        <v>295</v>
      </c>
      <c r="O4" t="s">
        <v>296</v>
      </c>
      <c r="P4" t="s">
        <v>297</v>
      </c>
      <c r="Q4" t="s">
        <v>298</v>
      </c>
      <c r="R4">
        <v>3.2</v>
      </c>
      <c r="S4">
        <v>44109</v>
      </c>
      <c r="T4" t="s">
        <v>285</v>
      </c>
      <c r="U4" t="s">
        <v>266</v>
      </c>
      <c r="V4" t="s">
        <v>267</v>
      </c>
      <c r="W4" t="s">
        <v>268</v>
      </c>
      <c r="X4" t="s">
        <v>269</v>
      </c>
      <c r="Y4">
        <v>8883022894</v>
      </c>
      <c r="Z4" t="s">
        <v>270</v>
      </c>
      <c r="AA4" t="s">
        <v>271</v>
      </c>
      <c r="AB4">
        <v>0</v>
      </c>
      <c r="AC4" t="s">
        <v>299</v>
      </c>
      <c r="AD4" t="s">
        <v>300</v>
      </c>
      <c r="AE4" t="s">
        <v>301</v>
      </c>
      <c r="AF4">
        <v>1</v>
      </c>
      <c r="AG4" t="s">
        <v>275</v>
      </c>
      <c r="AH4" s="43" t="s">
        <v>3205</v>
      </c>
      <c r="AI4" s="43" t="s">
        <v>3206</v>
      </c>
      <c r="AJ4" s="43" t="s">
        <v>3207</v>
      </c>
      <c r="AK4" s="43" t="s">
        <v>3208</v>
      </c>
      <c r="AL4" s="43" t="s">
        <v>3209</v>
      </c>
      <c r="AO4" s="23">
        <v>43763</v>
      </c>
      <c r="AP4" s="23"/>
      <c r="AQ4" s="23"/>
      <c r="BD4" s="43" t="s">
        <v>2018</v>
      </c>
      <c r="BE4" s="43" t="s">
        <v>2018</v>
      </c>
      <c r="BF4" s="43" t="s">
        <v>2018</v>
      </c>
      <c r="BG4" s="43" t="s">
        <v>2018</v>
      </c>
      <c r="BH4" s="43" t="s">
        <v>2018</v>
      </c>
      <c r="BI4" s="43" t="s">
        <v>2018</v>
      </c>
      <c r="BJ4">
        <v>5.8823529411764719E-2</v>
      </c>
      <c r="BK4">
        <v>44109</v>
      </c>
      <c r="BL4">
        <v>44356</v>
      </c>
      <c r="BM4">
        <v>8505</v>
      </c>
      <c r="BN4">
        <v>8505</v>
      </c>
      <c r="BO4">
        <v>8505</v>
      </c>
      <c r="BP4">
        <v>25515</v>
      </c>
      <c r="BQ4">
        <v>3300</v>
      </c>
      <c r="BR4">
        <v>400</v>
      </c>
      <c r="BS4">
        <v>400</v>
      </c>
      <c r="BT4">
        <v>4100</v>
      </c>
      <c r="BU4">
        <v>2100</v>
      </c>
      <c r="BV4">
        <v>2100</v>
      </c>
      <c r="BW4">
        <v>2100</v>
      </c>
      <c r="BX4">
        <v>6300</v>
      </c>
      <c r="BY4">
        <v>1200</v>
      </c>
      <c r="BZ4">
        <v>1200</v>
      </c>
      <c r="CA4">
        <v>1200</v>
      </c>
      <c r="CB4">
        <v>3600</v>
      </c>
      <c r="CC4">
        <v>0</v>
      </c>
      <c r="CD4">
        <v>0</v>
      </c>
      <c r="CE4">
        <v>0</v>
      </c>
      <c r="CF4">
        <v>0</v>
      </c>
      <c r="CG4">
        <v>39515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1700</v>
      </c>
      <c r="CU4">
        <v>1700</v>
      </c>
      <c r="CV4">
        <v>1700</v>
      </c>
      <c r="CW4">
        <v>5100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5100</v>
      </c>
      <c r="EH4">
        <v>0</v>
      </c>
      <c r="EI4">
        <v>1154</v>
      </c>
      <c r="EJ4">
        <v>1154</v>
      </c>
      <c r="EK4">
        <v>1155</v>
      </c>
      <c r="EL4">
        <v>3500</v>
      </c>
      <c r="EM4">
        <v>37.065000000000005</v>
      </c>
      <c r="EN4">
        <v>660</v>
      </c>
      <c r="EO4">
        <v>660</v>
      </c>
      <c r="EP4">
        <v>659</v>
      </c>
      <c r="EQ4">
        <v>2000</v>
      </c>
      <c r="ER4">
        <v>21.18</v>
      </c>
      <c r="ES4">
        <v>0</v>
      </c>
      <c r="ET4">
        <v>0</v>
      </c>
      <c r="EU4">
        <v>0</v>
      </c>
      <c r="EV4">
        <v>0</v>
      </c>
      <c r="EW4">
        <v>0</v>
      </c>
      <c r="FA4">
        <v>0</v>
      </c>
      <c r="FE4">
        <v>0</v>
      </c>
      <c r="FI4">
        <v>0</v>
      </c>
      <c r="FJ4">
        <v>5441.7550000000001</v>
      </c>
      <c r="FK4">
        <v>34415</v>
      </c>
      <c r="FL4">
        <v>30258.631673489846</v>
      </c>
      <c r="FM4">
        <v>28973.244999999999</v>
      </c>
    </row>
    <row r="5" spans="1:172" x14ac:dyDescent="0.35">
      <c r="A5">
        <v>193332</v>
      </c>
      <c r="B5" t="s">
        <v>302</v>
      </c>
      <c r="C5" t="s">
        <v>303</v>
      </c>
      <c r="D5" t="s">
        <v>304</v>
      </c>
      <c r="E5" s="43" t="s">
        <v>305</v>
      </c>
      <c r="F5">
        <v>1</v>
      </c>
      <c r="I5" s="23">
        <v>43775</v>
      </c>
      <c r="L5" s="43" t="s">
        <v>3204</v>
      </c>
      <c r="M5" t="s">
        <v>306</v>
      </c>
      <c r="N5" t="s">
        <v>307</v>
      </c>
      <c r="O5" t="s">
        <v>308</v>
      </c>
      <c r="P5" t="s">
        <v>309</v>
      </c>
      <c r="Q5" t="s">
        <v>310</v>
      </c>
      <c r="R5">
        <v>3.93</v>
      </c>
      <c r="S5">
        <v>44109</v>
      </c>
      <c r="T5" t="s">
        <v>311</v>
      </c>
      <c r="U5" t="s">
        <v>312</v>
      </c>
      <c r="V5" t="s">
        <v>267</v>
      </c>
      <c r="W5" t="s">
        <v>268</v>
      </c>
      <c r="X5" t="s">
        <v>269</v>
      </c>
      <c r="Y5">
        <v>8883022894</v>
      </c>
      <c r="Z5" t="s">
        <v>270</v>
      </c>
      <c r="AA5" t="s">
        <v>271</v>
      </c>
      <c r="AB5">
        <v>0</v>
      </c>
      <c r="AC5">
        <v>0</v>
      </c>
      <c r="AD5" t="s">
        <v>313</v>
      </c>
      <c r="AE5" t="s">
        <v>289</v>
      </c>
      <c r="AF5">
        <v>2</v>
      </c>
      <c r="AG5" t="s">
        <v>275</v>
      </c>
      <c r="AH5" s="43" t="s">
        <v>3210</v>
      </c>
      <c r="AI5" s="43" t="s">
        <v>3211</v>
      </c>
      <c r="AJ5" s="43" t="s">
        <v>3207</v>
      </c>
      <c r="AK5" s="43" t="s">
        <v>3208</v>
      </c>
      <c r="AL5" s="43" t="s">
        <v>3209</v>
      </c>
      <c r="AO5" s="23"/>
      <c r="AP5" s="23"/>
      <c r="AQ5" s="23"/>
      <c r="BD5" s="43" t="s">
        <v>2018</v>
      </c>
      <c r="BE5" s="43" t="s">
        <v>2018</v>
      </c>
      <c r="BF5" s="43" t="s">
        <v>2018</v>
      </c>
      <c r="BG5" s="43" t="s">
        <v>2018</v>
      </c>
      <c r="BH5" s="43" t="s">
        <v>2018</v>
      </c>
      <c r="BI5" s="43" t="s">
        <v>2018</v>
      </c>
      <c r="BJ5">
        <v>0</v>
      </c>
      <c r="BK5">
        <v>44109</v>
      </c>
      <c r="BL5">
        <v>44356</v>
      </c>
      <c r="BM5">
        <v>8505</v>
      </c>
      <c r="BN5">
        <v>8505</v>
      </c>
      <c r="BO5">
        <v>8505</v>
      </c>
      <c r="BP5">
        <v>25515</v>
      </c>
      <c r="BQ5">
        <v>3300</v>
      </c>
      <c r="BR5">
        <v>400</v>
      </c>
      <c r="BS5">
        <v>400</v>
      </c>
      <c r="BT5">
        <v>4100</v>
      </c>
      <c r="BU5">
        <v>2100</v>
      </c>
      <c r="BV5">
        <v>2100</v>
      </c>
      <c r="BW5">
        <v>2100</v>
      </c>
      <c r="BX5">
        <v>6300</v>
      </c>
      <c r="BY5">
        <v>1200</v>
      </c>
      <c r="BZ5">
        <v>1200</v>
      </c>
      <c r="CA5">
        <v>1200</v>
      </c>
      <c r="CB5">
        <v>3600</v>
      </c>
      <c r="CC5">
        <v>0</v>
      </c>
      <c r="CD5">
        <v>0</v>
      </c>
      <c r="CE5">
        <v>0</v>
      </c>
      <c r="CF5">
        <v>0</v>
      </c>
      <c r="CG5">
        <v>39515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1500</v>
      </c>
      <c r="CU5">
        <v>1500</v>
      </c>
      <c r="CV5">
        <v>1500</v>
      </c>
      <c r="CW5">
        <v>4500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4500</v>
      </c>
      <c r="EH5">
        <v>0</v>
      </c>
      <c r="EI5">
        <v>1154</v>
      </c>
      <c r="EJ5">
        <v>1154</v>
      </c>
      <c r="EK5">
        <v>1155</v>
      </c>
      <c r="EL5">
        <v>3500</v>
      </c>
      <c r="EM5">
        <v>37.065000000000005</v>
      </c>
      <c r="EN5">
        <v>660</v>
      </c>
      <c r="EO5">
        <v>660</v>
      </c>
      <c r="EP5">
        <v>659</v>
      </c>
      <c r="EQ5">
        <v>2000</v>
      </c>
      <c r="ER5">
        <v>21.18</v>
      </c>
      <c r="ES5">
        <v>0</v>
      </c>
      <c r="ET5">
        <v>0</v>
      </c>
      <c r="EU5">
        <v>0</v>
      </c>
      <c r="EV5">
        <v>0</v>
      </c>
      <c r="EW5">
        <v>0</v>
      </c>
      <c r="FA5">
        <v>0</v>
      </c>
      <c r="FE5">
        <v>0</v>
      </c>
      <c r="FI5">
        <v>0</v>
      </c>
      <c r="FJ5">
        <v>5441.7550000000001</v>
      </c>
      <c r="FK5">
        <v>35015</v>
      </c>
      <c r="FL5">
        <v>30885.250438633135</v>
      </c>
      <c r="FM5">
        <v>29573.244999999999</v>
      </c>
    </row>
    <row r="6" spans="1:172" x14ac:dyDescent="0.35">
      <c r="A6">
        <v>195461</v>
      </c>
      <c r="B6" t="s">
        <v>314</v>
      </c>
      <c r="C6" t="s">
        <v>315</v>
      </c>
      <c r="D6" t="s">
        <v>316</v>
      </c>
      <c r="E6" s="43" t="s">
        <v>317</v>
      </c>
      <c r="F6">
        <v>1</v>
      </c>
      <c r="G6" s="23">
        <v>43775</v>
      </c>
      <c r="H6" s="23">
        <v>43775</v>
      </c>
      <c r="I6" s="23">
        <v>43775</v>
      </c>
      <c r="K6" t="s">
        <v>1715</v>
      </c>
      <c r="L6" s="43" t="s">
        <v>259</v>
      </c>
      <c r="M6" t="s">
        <v>318</v>
      </c>
      <c r="N6" t="s">
        <v>319</v>
      </c>
      <c r="O6" t="s">
        <v>320</v>
      </c>
      <c r="P6" t="s">
        <v>297</v>
      </c>
      <c r="Q6" t="s">
        <v>321</v>
      </c>
      <c r="R6">
        <v>2.95</v>
      </c>
      <c r="S6">
        <v>44109</v>
      </c>
      <c r="T6" t="s">
        <v>265</v>
      </c>
      <c r="U6" t="s">
        <v>266</v>
      </c>
      <c r="V6" t="s">
        <v>267</v>
      </c>
      <c r="W6" t="s">
        <v>268</v>
      </c>
      <c r="X6" t="s">
        <v>269</v>
      </c>
      <c r="Y6">
        <v>8883022894</v>
      </c>
      <c r="Z6" t="s">
        <v>270</v>
      </c>
      <c r="AA6" t="s">
        <v>271</v>
      </c>
      <c r="AB6" t="s">
        <v>322</v>
      </c>
      <c r="AC6">
        <v>0</v>
      </c>
      <c r="AD6" t="s">
        <v>323</v>
      </c>
      <c r="AE6" t="s">
        <v>324</v>
      </c>
      <c r="AF6">
        <v>8</v>
      </c>
      <c r="AG6" t="s">
        <v>275</v>
      </c>
      <c r="AH6" s="43" t="s">
        <v>259</v>
      </c>
      <c r="AI6" s="43" t="s">
        <v>259</v>
      </c>
      <c r="AJ6" s="43" t="s">
        <v>259</v>
      </c>
      <c r="AK6" s="43" t="s">
        <v>259</v>
      </c>
      <c r="AL6" s="43" t="s">
        <v>259</v>
      </c>
      <c r="AO6" s="23"/>
      <c r="AP6" s="23"/>
      <c r="AQ6" s="23"/>
      <c r="BD6" s="43" t="s">
        <v>259</v>
      </c>
      <c r="BE6" s="43" t="s">
        <v>259</v>
      </c>
      <c r="BF6" s="43" t="s">
        <v>259</v>
      </c>
      <c r="BG6" s="43" t="s">
        <v>259</v>
      </c>
      <c r="BH6" s="43" t="s">
        <v>259</v>
      </c>
      <c r="BI6" s="43" t="s">
        <v>259</v>
      </c>
      <c r="BJ6">
        <v>0</v>
      </c>
      <c r="BK6">
        <v>44109</v>
      </c>
      <c r="BL6">
        <v>44356</v>
      </c>
      <c r="BM6">
        <v>8505</v>
      </c>
      <c r="BN6">
        <v>8505</v>
      </c>
      <c r="BO6">
        <v>8505</v>
      </c>
      <c r="BP6">
        <v>25515</v>
      </c>
      <c r="BQ6">
        <v>3300</v>
      </c>
      <c r="BR6">
        <v>400</v>
      </c>
      <c r="BS6">
        <v>400</v>
      </c>
      <c r="BT6">
        <v>4100</v>
      </c>
      <c r="BU6">
        <v>2100</v>
      </c>
      <c r="BV6">
        <v>2100</v>
      </c>
      <c r="BW6">
        <v>2100</v>
      </c>
      <c r="BX6">
        <v>6300</v>
      </c>
      <c r="BY6">
        <v>1200</v>
      </c>
      <c r="BZ6">
        <v>1200</v>
      </c>
      <c r="CA6">
        <v>1200</v>
      </c>
      <c r="CB6">
        <v>3600</v>
      </c>
      <c r="CC6">
        <v>0</v>
      </c>
      <c r="CD6">
        <v>0</v>
      </c>
      <c r="CE6">
        <v>0</v>
      </c>
      <c r="CF6">
        <v>0</v>
      </c>
      <c r="CG6">
        <v>39515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H6">
        <v>0</v>
      </c>
      <c r="EI6">
        <v>1154</v>
      </c>
      <c r="EJ6">
        <v>1154</v>
      </c>
      <c r="EK6">
        <v>1155</v>
      </c>
      <c r="EL6">
        <v>3500</v>
      </c>
      <c r="EM6">
        <v>37.065000000000005</v>
      </c>
      <c r="EN6">
        <v>660</v>
      </c>
      <c r="EO6">
        <v>660</v>
      </c>
      <c r="EP6">
        <v>659</v>
      </c>
      <c r="EQ6">
        <v>2000</v>
      </c>
      <c r="ER6">
        <v>21.18</v>
      </c>
      <c r="ES6">
        <v>0</v>
      </c>
      <c r="ET6">
        <v>0</v>
      </c>
      <c r="EU6">
        <v>0</v>
      </c>
      <c r="EV6">
        <v>0</v>
      </c>
      <c r="EW6">
        <v>0</v>
      </c>
      <c r="FA6">
        <v>0</v>
      </c>
      <c r="FE6">
        <v>0</v>
      </c>
      <c r="FI6">
        <v>0</v>
      </c>
      <c r="FJ6">
        <v>5441.7550000000001</v>
      </c>
      <c r="FK6">
        <v>39515</v>
      </c>
      <c r="FL6">
        <v>35584.891177207784</v>
      </c>
      <c r="FM6">
        <v>34073.245000000003</v>
      </c>
    </row>
    <row r="7" spans="1:172" x14ac:dyDescent="0.35">
      <c r="A7">
        <v>198390</v>
      </c>
      <c r="B7" t="s">
        <v>325</v>
      </c>
      <c r="C7" t="s">
        <v>326</v>
      </c>
      <c r="D7" t="s">
        <v>327</v>
      </c>
      <c r="E7" s="43" t="s">
        <v>328</v>
      </c>
      <c r="F7">
        <v>1</v>
      </c>
      <c r="I7" s="23">
        <v>43775</v>
      </c>
      <c r="L7" s="43" t="s">
        <v>3204</v>
      </c>
      <c r="M7" t="s">
        <v>329</v>
      </c>
      <c r="N7" t="s">
        <v>330</v>
      </c>
      <c r="O7" t="s">
        <v>331</v>
      </c>
      <c r="P7" t="s">
        <v>332</v>
      </c>
      <c r="Q7" t="s">
        <v>333</v>
      </c>
      <c r="R7">
        <v>3.8868</v>
      </c>
      <c r="S7">
        <v>44109</v>
      </c>
      <c r="T7" t="s">
        <v>311</v>
      </c>
      <c r="U7" t="s">
        <v>266</v>
      </c>
      <c r="V7" t="s">
        <v>267</v>
      </c>
      <c r="W7" t="s">
        <v>268</v>
      </c>
      <c r="X7" t="s">
        <v>269</v>
      </c>
      <c r="Y7">
        <v>8883022894</v>
      </c>
      <c r="Z7" t="s">
        <v>270</v>
      </c>
      <c r="AA7" t="s">
        <v>271</v>
      </c>
      <c r="AB7" t="s">
        <v>334</v>
      </c>
      <c r="AC7">
        <v>0</v>
      </c>
      <c r="AD7" t="s">
        <v>335</v>
      </c>
      <c r="AE7" t="s">
        <v>301</v>
      </c>
      <c r="AF7">
        <v>1</v>
      </c>
      <c r="AG7" t="s">
        <v>275</v>
      </c>
      <c r="AH7" s="43" t="s">
        <v>3212</v>
      </c>
      <c r="AI7" s="43" t="s">
        <v>3213</v>
      </c>
      <c r="AJ7" s="43" t="s">
        <v>3207</v>
      </c>
      <c r="AK7" s="43" t="s">
        <v>3208</v>
      </c>
      <c r="AL7" s="43" t="s">
        <v>3209</v>
      </c>
      <c r="AO7" s="23">
        <v>43753</v>
      </c>
      <c r="AP7" s="23"/>
      <c r="AQ7" s="23"/>
      <c r="BD7" s="43" t="s">
        <v>2018</v>
      </c>
      <c r="BE7" s="43" t="s">
        <v>2018</v>
      </c>
      <c r="BF7" s="43" t="s">
        <v>2018</v>
      </c>
      <c r="BG7" s="43" t="s">
        <v>2018</v>
      </c>
      <c r="BH7" s="43" t="s">
        <v>2018</v>
      </c>
      <c r="BI7" s="43" t="s">
        <v>2018</v>
      </c>
      <c r="BJ7">
        <v>5.8823529411764719E-2</v>
      </c>
      <c r="BK7">
        <v>44109</v>
      </c>
      <c r="BL7">
        <v>44356</v>
      </c>
      <c r="BM7">
        <v>8505</v>
      </c>
      <c r="BN7">
        <v>8505</v>
      </c>
      <c r="BO7">
        <v>8505</v>
      </c>
      <c r="BP7">
        <v>25515</v>
      </c>
      <c r="BQ7">
        <v>3300</v>
      </c>
      <c r="BR7">
        <v>400</v>
      </c>
      <c r="BS7">
        <v>400</v>
      </c>
      <c r="BT7">
        <v>4100</v>
      </c>
      <c r="BU7">
        <v>2100</v>
      </c>
      <c r="BV7">
        <v>2100</v>
      </c>
      <c r="BW7">
        <v>2100</v>
      </c>
      <c r="BX7">
        <v>6300</v>
      </c>
      <c r="BY7">
        <v>1200</v>
      </c>
      <c r="BZ7">
        <v>1200</v>
      </c>
      <c r="CA7">
        <v>1200</v>
      </c>
      <c r="CB7">
        <v>3600</v>
      </c>
      <c r="CC7">
        <v>0</v>
      </c>
      <c r="CD7">
        <v>0</v>
      </c>
      <c r="CE7">
        <v>0</v>
      </c>
      <c r="CF7">
        <v>0</v>
      </c>
      <c r="CG7">
        <v>39515</v>
      </c>
      <c r="CK7">
        <v>0</v>
      </c>
      <c r="CL7">
        <v>1049</v>
      </c>
      <c r="CM7">
        <v>1048</v>
      </c>
      <c r="CN7">
        <v>1048</v>
      </c>
      <c r="CO7">
        <v>3145</v>
      </c>
      <c r="CP7">
        <v>500</v>
      </c>
      <c r="CQ7">
        <v>500</v>
      </c>
      <c r="CR7">
        <v>500</v>
      </c>
      <c r="CS7">
        <v>1500</v>
      </c>
      <c r="CT7">
        <v>1700</v>
      </c>
      <c r="CU7">
        <v>1700</v>
      </c>
      <c r="CV7">
        <v>1700</v>
      </c>
      <c r="CW7">
        <v>5100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9745</v>
      </c>
      <c r="EH7">
        <v>0</v>
      </c>
      <c r="EI7">
        <v>1154</v>
      </c>
      <c r="EJ7">
        <v>1154</v>
      </c>
      <c r="EK7">
        <v>1155</v>
      </c>
      <c r="EL7">
        <v>3500</v>
      </c>
      <c r="EM7">
        <v>37.065000000000005</v>
      </c>
      <c r="EN7">
        <v>660</v>
      </c>
      <c r="EO7">
        <v>660</v>
      </c>
      <c r="EP7">
        <v>659</v>
      </c>
      <c r="EQ7">
        <v>2000</v>
      </c>
      <c r="ER7">
        <v>21.18</v>
      </c>
      <c r="ES7">
        <v>0</v>
      </c>
      <c r="ET7">
        <v>0</v>
      </c>
      <c r="EU7">
        <v>0</v>
      </c>
      <c r="EV7">
        <v>0</v>
      </c>
      <c r="EW7">
        <v>0</v>
      </c>
      <c r="FA7">
        <v>0</v>
      </c>
      <c r="FE7">
        <v>0</v>
      </c>
      <c r="FI7">
        <v>0</v>
      </c>
      <c r="FJ7">
        <v>5441.7550000000001</v>
      </c>
      <c r="FK7">
        <v>29770</v>
      </c>
      <c r="FL7">
        <v>25407.558066672231</v>
      </c>
      <c r="FM7">
        <v>24328.244999999999</v>
      </c>
    </row>
    <row r="8" spans="1:172" x14ac:dyDescent="0.35">
      <c r="A8">
        <v>195399</v>
      </c>
      <c r="B8" t="s">
        <v>3422</v>
      </c>
      <c r="C8" t="s">
        <v>3423</v>
      </c>
      <c r="D8" t="s">
        <v>3424</v>
      </c>
      <c r="E8" s="43" t="s">
        <v>4179</v>
      </c>
      <c r="F8">
        <v>1</v>
      </c>
      <c r="I8" s="23">
        <v>43794</v>
      </c>
      <c r="L8" s="43" t="s">
        <v>3204</v>
      </c>
      <c r="M8" t="s">
        <v>3426</v>
      </c>
      <c r="N8" t="s">
        <v>3427</v>
      </c>
      <c r="O8" t="s">
        <v>3428</v>
      </c>
      <c r="P8" t="s">
        <v>1046</v>
      </c>
      <c r="Q8" t="s">
        <v>3429</v>
      </c>
      <c r="R8">
        <v>3.4897999999999998</v>
      </c>
      <c r="S8">
        <v>44109</v>
      </c>
      <c r="T8" t="s">
        <v>311</v>
      </c>
      <c r="U8" t="s">
        <v>286</v>
      </c>
      <c r="V8" t="s">
        <v>267</v>
      </c>
      <c r="W8" t="s">
        <v>268</v>
      </c>
      <c r="X8" t="s">
        <v>269</v>
      </c>
      <c r="Y8">
        <v>8883022894</v>
      </c>
      <c r="Z8" t="s">
        <v>270</v>
      </c>
      <c r="AA8" t="s">
        <v>271</v>
      </c>
      <c r="AB8" t="s">
        <v>779</v>
      </c>
      <c r="AC8">
        <v>0</v>
      </c>
      <c r="AD8" t="s">
        <v>860</v>
      </c>
      <c r="AE8" t="s">
        <v>354</v>
      </c>
      <c r="AF8">
        <v>6</v>
      </c>
      <c r="AG8" t="s">
        <v>3345</v>
      </c>
      <c r="AH8" s="43" t="s">
        <v>3584</v>
      </c>
      <c r="AI8" s="43" t="s">
        <v>3585</v>
      </c>
      <c r="AJ8" s="43" t="s">
        <v>3207</v>
      </c>
      <c r="AK8" s="43" t="s">
        <v>1715</v>
      </c>
      <c r="AL8" s="43" t="s">
        <v>259</v>
      </c>
      <c r="AO8" s="23"/>
      <c r="AP8" s="23"/>
      <c r="AQ8" s="23"/>
      <c r="BD8" s="43" t="s">
        <v>259</v>
      </c>
      <c r="BE8" s="43" t="s">
        <v>259</v>
      </c>
      <c r="BF8" s="43" t="s">
        <v>259</v>
      </c>
      <c r="BG8" s="43" t="s">
        <v>259</v>
      </c>
      <c r="BH8" s="43" t="s">
        <v>259</v>
      </c>
      <c r="BI8" s="43" t="s">
        <v>259</v>
      </c>
      <c r="BJ8">
        <v>0</v>
      </c>
      <c r="BK8">
        <v>44109</v>
      </c>
      <c r="BL8">
        <v>44356</v>
      </c>
      <c r="BM8">
        <v>8505</v>
      </c>
      <c r="BN8">
        <v>8505</v>
      </c>
      <c r="BO8">
        <v>8505</v>
      </c>
      <c r="BP8">
        <v>25515</v>
      </c>
      <c r="BQ8">
        <v>3300</v>
      </c>
      <c r="BR8">
        <v>400</v>
      </c>
      <c r="BS8">
        <v>400</v>
      </c>
      <c r="BT8">
        <v>4100</v>
      </c>
      <c r="BU8">
        <v>2100</v>
      </c>
      <c r="BV8">
        <v>2100</v>
      </c>
      <c r="BW8">
        <v>2100</v>
      </c>
      <c r="BX8">
        <v>6300</v>
      </c>
      <c r="BY8">
        <v>1200</v>
      </c>
      <c r="BZ8">
        <v>1200</v>
      </c>
      <c r="CA8">
        <v>1200</v>
      </c>
      <c r="CB8">
        <v>3600</v>
      </c>
      <c r="CF8">
        <v>0</v>
      </c>
      <c r="CG8">
        <v>39515</v>
      </c>
      <c r="CK8">
        <v>0</v>
      </c>
      <c r="CL8">
        <v>1782</v>
      </c>
      <c r="CM8">
        <v>1782</v>
      </c>
      <c r="CN8">
        <v>1781</v>
      </c>
      <c r="CO8">
        <v>5345</v>
      </c>
      <c r="CP8">
        <v>500</v>
      </c>
      <c r="CQ8">
        <v>500</v>
      </c>
      <c r="CR8">
        <v>500</v>
      </c>
      <c r="CS8">
        <v>1500</v>
      </c>
      <c r="CT8">
        <v>750</v>
      </c>
      <c r="CU8">
        <v>750</v>
      </c>
      <c r="CV8">
        <v>750</v>
      </c>
      <c r="CW8">
        <v>2250</v>
      </c>
      <c r="CX8">
        <v>0</v>
      </c>
      <c r="CY8">
        <v>0</v>
      </c>
      <c r="CZ8">
        <v>0</v>
      </c>
      <c r="DA8">
        <v>0</v>
      </c>
      <c r="DB8">
        <v>1000</v>
      </c>
      <c r="DC8">
        <v>1000</v>
      </c>
      <c r="DD8">
        <v>1000</v>
      </c>
      <c r="DE8">
        <v>3000</v>
      </c>
      <c r="DF8">
        <v>0</v>
      </c>
      <c r="DG8">
        <v>0</v>
      </c>
      <c r="DH8">
        <v>0</v>
      </c>
      <c r="DN8">
        <v>0</v>
      </c>
      <c r="DO8">
        <v>0</v>
      </c>
      <c r="DP8">
        <v>0</v>
      </c>
      <c r="DR8">
        <v>0</v>
      </c>
      <c r="DS8">
        <v>0</v>
      </c>
      <c r="DT8">
        <v>0</v>
      </c>
      <c r="DY8">
        <v>0</v>
      </c>
      <c r="EC8">
        <v>0</v>
      </c>
      <c r="ED8">
        <v>12095</v>
      </c>
      <c r="EH8">
        <v>0</v>
      </c>
      <c r="EI8">
        <v>0</v>
      </c>
      <c r="EJ8">
        <v>0</v>
      </c>
      <c r="EK8">
        <v>0</v>
      </c>
      <c r="EM8">
        <v>0</v>
      </c>
      <c r="EN8">
        <v>660</v>
      </c>
      <c r="EO8">
        <v>660</v>
      </c>
      <c r="EP8">
        <v>659</v>
      </c>
      <c r="EQ8">
        <v>2000</v>
      </c>
      <c r="ER8">
        <v>21.24</v>
      </c>
      <c r="ES8">
        <v>0</v>
      </c>
      <c r="ET8">
        <v>0</v>
      </c>
      <c r="EU8">
        <v>0</v>
      </c>
      <c r="EW8">
        <v>0</v>
      </c>
      <c r="FA8">
        <v>0</v>
      </c>
      <c r="FE8">
        <v>0</v>
      </c>
      <c r="FI8">
        <v>0</v>
      </c>
      <c r="FJ8">
        <v>1978.76</v>
      </c>
      <c r="FK8">
        <v>27420</v>
      </c>
      <c r="FL8">
        <v>26569.930654189993</v>
      </c>
      <c r="FM8">
        <v>25441.24</v>
      </c>
    </row>
    <row r="9" spans="1:172" x14ac:dyDescent="0.35">
      <c r="A9">
        <v>198337</v>
      </c>
      <c r="B9" t="s">
        <v>3430</v>
      </c>
      <c r="C9" t="s">
        <v>3431</v>
      </c>
      <c r="D9" t="s">
        <v>3432</v>
      </c>
      <c r="E9" s="43" t="s">
        <v>4197</v>
      </c>
      <c r="J9" t="s">
        <v>3425</v>
      </c>
      <c r="L9" s="43" t="s">
        <v>259</v>
      </c>
      <c r="M9" t="s">
        <v>3433</v>
      </c>
      <c r="N9" t="s">
        <v>3434</v>
      </c>
      <c r="O9" t="s">
        <v>3435</v>
      </c>
      <c r="P9" t="s">
        <v>384</v>
      </c>
      <c r="Q9" t="s">
        <v>3436</v>
      </c>
      <c r="R9">
        <v>3.0710000000000002</v>
      </c>
      <c r="S9">
        <v>44109</v>
      </c>
      <c r="T9" t="s">
        <v>311</v>
      </c>
      <c r="U9" t="s">
        <v>286</v>
      </c>
      <c r="V9" t="s">
        <v>267</v>
      </c>
      <c r="W9" t="s">
        <v>268</v>
      </c>
      <c r="X9" t="s">
        <v>269</v>
      </c>
      <c r="Y9">
        <v>8883022894</v>
      </c>
      <c r="Z9" t="s">
        <v>270</v>
      </c>
      <c r="AA9" t="s">
        <v>271</v>
      </c>
      <c r="AB9" t="s">
        <v>3437</v>
      </c>
      <c r="AC9">
        <v>0</v>
      </c>
      <c r="AD9" t="s">
        <v>894</v>
      </c>
      <c r="AE9" t="s">
        <v>324</v>
      </c>
      <c r="AF9">
        <v>8</v>
      </c>
      <c r="AG9" t="s">
        <v>3345</v>
      </c>
      <c r="AH9" s="43" t="s">
        <v>259</v>
      </c>
      <c r="AI9" s="43" t="s">
        <v>259</v>
      </c>
      <c r="AJ9" s="43" t="s">
        <v>259</v>
      </c>
      <c r="AK9" s="43" t="s">
        <v>259</v>
      </c>
      <c r="AL9" s="43" t="s">
        <v>259</v>
      </c>
      <c r="AO9" s="23"/>
      <c r="AP9" s="23"/>
      <c r="AQ9" s="23"/>
      <c r="BD9" s="43" t="s">
        <v>259</v>
      </c>
      <c r="BE9" s="43" t="s">
        <v>259</v>
      </c>
      <c r="BF9" s="43" t="s">
        <v>259</v>
      </c>
      <c r="BG9" s="43" t="s">
        <v>259</v>
      </c>
      <c r="BH9" s="43" t="s">
        <v>259</v>
      </c>
      <c r="BI9" s="43" t="s">
        <v>259</v>
      </c>
      <c r="BJ9">
        <v>0</v>
      </c>
      <c r="BK9">
        <v>44109</v>
      </c>
      <c r="BL9">
        <v>44356</v>
      </c>
      <c r="BM9">
        <v>8505</v>
      </c>
      <c r="BN9">
        <v>8505</v>
      </c>
      <c r="BO9">
        <v>8505</v>
      </c>
      <c r="BP9">
        <v>25515</v>
      </c>
      <c r="BQ9">
        <v>3300</v>
      </c>
      <c r="BR9">
        <v>400</v>
      </c>
      <c r="BS9">
        <v>400</v>
      </c>
      <c r="BT9">
        <v>4100</v>
      </c>
      <c r="BU9">
        <v>2100</v>
      </c>
      <c r="BV9">
        <v>2100</v>
      </c>
      <c r="BW9">
        <v>2100</v>
      </c>
      <c r="BX9">
        <v>6300</v>
      </c>
      <c r="BY9">
        <v>1200</v>
      </c>
      <c r="BZ9">
        <v>1200</v>
      </c>
      <c r="CA9">
        <v>1200</v>
      </c>
      <c r="CB9">
        <v>3600</v>
      </c>
      <c r="CF9">
        <v>0</v>
      </c>
      <c r="CG9">
        <v>39515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1000</v>
      </c>
      <c r="DC9">
        <v>1000</v>
      </c>
      <c r="DD9">
        <v>1000</v>
      </c>
      <c r="DE9">
        <v>3000</v>
      </c>
      <c r="DF9">
        <v>0</v>
      </c>
      <c r="DG9">
        <v>0</v>
      </c>
      <c r="DH9">
        <v>0</v>
      </c>
      <c r="DN9">
        <v>0</v>
      </c>
      <c r="DO9">
        <v>0</v>
      </c>
      <c r="DP9">
        <v>0</v>
      </c>
      <c r="DR9">
        <v>0</v>
      </c>
      <c r="DS9">
        <v>0</v>
      </c>
      <c r="DT9">
        <v>0</v>
      </c>
      <c r="DY9">
        <v>0</v>
      </c>
      <c r="EC9">
        <v>0</v>
      </c>
      <c r="ED9">
        <v>3000</v>
      </c>
      <c r="EH9">
        <v>0</v>
      </c>
      <c r="EI9">
        <v>0</v>
      </c>
      <c r="EJ9">
        <v>0</v>
      </c>
      <c r="EK9">
        <v>0</v>
      </c>
      <c r="EM9">
        <v>0</v>
      </c>
      <c r="EN9">
        <v>660</v>
      </c>
      <c r="EO9">
        <v>660</v>
      </c>
      <c r="EP9">
        <v>659</v>
      </c>
      <c r="EQ9">
        <v>2000</v>
      </c>
      <c r="ER9">
        <v>21.24</v>
      </c>
      <c r="ES9">
        <v>0</v>
      </c>
      <c r="ET9">
        <v>0</v>
      </c>
      <c r="EU9">
        <v>0</v>
      </c>
      <c r="EW9">
        <v>0</v>
      </c>
      <c r="FA9">
        <v>0</v>
      </c>
      <c r="FE9">
        <v>0</v>
      </c>
      <c r="FI9">
        <v>0</v>
      </c>
      <c r="FJ9">
        <v>1978.76</v>
      </c>
      <c r="FK9">
        <v>36515</v>
      </c>
      <c r="FL9">
        <v>36068.426769153652</v>
      </c>
      <c r="FM9">
        <v>34536.239999999998</v>
      </c>
    </row>
    <row r="10" spans="1:172" x14ac:dyDescent="0.35">
      <c r="A10">
        <v>195990</v>
      </c>
      <c r="B10" t="s">
        <v>336</v>
      </c>
      <c r="C10" t="s">
        <v>291</v>
      </c>
      <c r="D10" t="s">
        <v>337</v>
      </c>
      <c r="E10" s="43" t="s">
        <v>338</v>
      </c>
      <c r="F10">
        <v>1</v>
      </c>
      <c r="I10" s="23">
        <v>43775</v>
      </c>
      <c r="L10" s="43" t="s">
        <v>259</v>
      </c>
      <c r="M10" t="s">
        <v>339</v>
      </c>
      <c r="N10" t="s">
        <v>340</v>
      </c>
      <c r="O10" t="s">
        <v>341</v>
      </c>
      <c r="P10" t="s">
        <v>342</v>
      </c>
      <c r="Q10" t="s">
        <v>343</v>
      </c>
      <c r="R10">
        <v>2.5758000000000001</v>
      </c>
      <c r="S10">
        <v>44109</v>
      </c>
      <c r="T10" t="s">
        <v>265</v>
      </c>
      <c r="U10" t="s">
        <v>266</v>
      </c>
      <c r="V10" t="s">
        <v>267</v>
      </c>
      <c r="W10" t="s">
        <v>268</v>
      </c>
      <c r="X10" t="s">
        <v>269</v>
      </c>
      <c r="Y10">
        <v>8883022894</v>
      </c>
      <c r="Z10" t="s">
        <v>270</v>
      </c>
      <c r="AA10" t="s">
        <v>271</v>
      </c>
      <c r="AB10">
        <v>0</v>
      </c>
      <c r="AC10">
        <v>0</v>
      </c>
      <c r="AD10" t="s">
        <v>313</v>
      </c>
      <c r="AE10" t="s">
        <v>344</v>
      </c>
      <c r="AF10">
        <v>10</v>
      </c>
      <c r="AG10" t="s">
        <v>275</v>
      </c>
      <c r="AH10" s="43" t="s">
        <v>259</v>
      </c>
      <c r="AI10" s="43" t="s">
        <v>259</v>
      </c>
      <c r="AJ10" s="43" t="s">
        <v>259</v>
      </c>
      <c r="AK10" s="43" t="s">
        <v>259</v>
      </c>
      <c r="AL10" s="43" t="s">
        <v>259</v>
      </c>
      <c r="AO10" s="23"/>
      <c r="AP10" s="23"/>
      <c r="AQ10" s="23"/>
      <c r="BD10" s="43" t="s">
        <v>259</v>
      </c>
      <c r="BE10" s="43" t="s">
        <v>259</v>
      </c>
      <c r="BF10" s="43" t="s">
        <v>259</v>
      </c>
      <c r="BG10" s="43" t="s">
        <v>259</v>
      </c>
      <c r="BH10" s="43" t="s">
        <v>259</v>
      </c>
      <c r="BI10" s="43" t="s">
        <v>259</v>
      </c>
      <c r="BJ10">
        <v>0</v>
      </c>
      <c r="BK10">
        <v>44109</v>
      </c>
      <c r="BL10">
        <v>44356</v>
      </c>
      <c r="BM10">
        <v>8505</v>
      </c>
      <c r="BN10">
        <v>8505</v>
      </c>
      <c r="BO10">
        <v>8505</v>
      </c>
      <c r="BP10">
        <v>25515</v>
      </c>
      <c r="BQ10">
        <v>3300</v>
      </c>
      <c r="BR10">
        <v>400</v>
      </c>
      <c r="BS10">
        <v>400</v>
      </c>
      <c r="BT10">
        <v>4100</v>
      </c>
      <c r="BU10">
        <v>2100</v>
      </c>
      <c r="BV10">
        <v>2100</v>
      </c>
      <c r="BW10">
        <v>2100</v>
      </c>
      <c r="BX10">
        <v>6300</v>
      </c>
      <c r="BY10">
        <v>1200</v>
      </c>
      <c r="BZ10">
        <v>1200</v>
      </c>
      <c r="CA10">
        <v>1200</v>
      </c>
      <c r="CB10">
        <v>3600</v>
      </c>
      <c r="CC10">
        <v>0</v>
      </c>
      <c r="CD10">
        <v>0</v>
      </c>
      <c r="CE10">
        <v>0</v>
      </c>
      <c r="CF10">
        <v>0</v>
      </c>
      <c r="CG10">
        <v>39515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H10">
        <v>0</v>
      </c>
      <c r="EI10">
        <v>1154</v>
      </c>
      <c r="EJ10">
        <v>1154</v>
      </c>
      <c r="EK10">
        <v>1155</v>
      </c>
      <c r="EL10">
        <v>3500</v>
      </c>
      <c r="EM10">
        <v>37.065000000000005</v>
      </c>
      <c r="EN10">
        <v>660</v>
      </c>
      <c r="EO10">
        <v>660</v>
      </c>
      <c r="EP10">
        <v>659</v>
      </c>
      <c r="EQ10">
        <v>2000</v>
      </c>
      <c r="ER10">
        <v>21.18</v>
      </c>
      <c r="ES10">
        <v>0</v>
      </c>
      <c r="ET10">
        <v>0</v>
      </c>
      <c r="EU10">
        <v>0</v>
      </c>
      <c r="EV10">
        <v>0</v>
      </c>
      <c r="EW10">
        <v>0</v>
      </c>
      <c r="FA10">
        <v>0</v>
      </c>
      <c r="FE10">
        <v>0</v>
      </c>
      <c r="FI10">
        <v>0</v>
      </c>
      <c r="FJ10">
        <v>5441.7550000000001</v>
      </c>
      <c r="FK10">
        <v>39515</v>
      </c>
      <c r="FL10">
        <v>35584.891177207784</v>
      </c>
      <c r="FM10">
        <v>34073.245000000003</v>
      </c>
    </row>
    <row r="11" spans="1:172" x14ac:dyDescent="0.35">
      <c r="A11">
        <v>198281</v>
      </c>
      <c r="B11" t="s">
        <v>336</v>
      </c>
      <c r="C11" t="s">
        <v>1022</v>
      </c>
      <c r="D11" t="s">
        <v>3872</v>
      </c>
      <c r="E11" s="43" t="s">
        <v>4198</v>
      </c>
      <c r="J11" t="s">
        <v>3830</v>
      </c>
      <c r="L11" s="43" t="s">
        <v>259</v>
      </c>
      <c r="M11" t="s">
        <v>3873</v>
      </c>
      <c r="N11" t="s">
        <v>3874</v>
      </c>
      <c r="O11" t="s">
        <v>3875</v>
      </c>
      <c r="P11" t="s">
        <v>454</v>
      </c>
      <c r="Q11" t="s">
        <v>3876</v>
      </c>
      <c r="R11">
        <v>3.19</v>
      </c>
      <c r="S11">
        <v>44109</v>
      </c>
      <c r="T11" t="s">
        <v>311</v>
      </c>
      <c r="U11" t="s">
        <v>266</v>
      </c>
      <c r="V11" t="s">
        <v>267</v>
      </c>
      <c r="W11" t="s">
        <v>268</v>
      </c>
      <c r="X11" t="s">
        <v>269</v>
      </c>
      <c r="Y11">
        <v>8883022894</v>
      </c>
      <c r="Z11" t="s">
        <v>270</v>
      </c>
      <c r="AA11" t="s">
        <v>271</v>
      </c>
      <c r="AB11">
        <v>0</v>
      </c>
      <c r="AC11" t="s">
        <v>352</v>
      </c>
      <c r="AD11" t="s">
        <v>1155</v>
      </c>
      <c r="AE11" t="s">
        <v>364</v>
      </c>
      <c r="AF11">
        <v>3</v>
      </c>
      <c r="AG11" t="s">
        <v>3345</v>
      </c>
      <c r="AH11" s="43" t="s">
        <v>259</v>
      </c>
      <c r="AI11" s="43" t="s">
        <v>259</v>
      </c>
      <c r="AJ11" s="43" t="s">
        <v>259</v>
      </c>
      <c r="AK11" s="43" t="s">
        <v>259</v>
      </c>
      <c r="AL11" s="43" t="s">
        <v>259</v>
      </c>
      <c r="AO11" s="23"/>
      <c r="AP11" s="23"/>
      <c r="AQ11" s="23"/>
      <c r="BD11" s="43" t="s">
        <v>259</v>
      </c>
      <c r="BE11" s="43" t="s">
        <v>259</v>
      </c>
      <c r="BF11" s="43" t="s">
        <v>259</v>
      </c>
      <c r="BG11" s="43" t="s">
        <v>259</v>
      </c>
      <c r="BH11" s="43" t="s">
        <v>259</v>
      </c>
      <c r="BI11" s="43" t="s">
        <v>259</v>
      </c>
      <c r="BJ11">
        <v>0</v>
      </c>
      <c r="BK11">
        <v>44109</v>
      </c>
      <c r="BL11">
        <v>44356</v>
      </c>
      <c r="BM11">
        <v>8505</v>
      </c>
      <c r="BN11">
        <v>8505</v>
      </c>
      <c r="BO11">
        <v>8505</v>
      </c>
      <c r="BP11">
        <v>25515</v>
      </c>
      <c r="BQ11">
        <v>3300</v>
      </c>
      <c r="BR11">
        <v>400</v>
      </c>
      <c r="BS11">
        <v>400</v>
      </c>
      <c r="BT11">
        <v>4100</v>
      </c>
      <c r="BU11">
        <v>2100</v>
      </c>
      <c r="BV11">
        <v>2100</v>
      </c>
      <c r="BW11">
        <v>2100</v>
      </c>
      <c r="BX11">
        <v>6300</v>
      </c>
      <c r="BY11">
        <v>1200</v>
      </c>
      <c r="BZ11">
        <v>1200</v>
      </c>
      <c r="CA11">
        <v>1200</v>
      </c>
      <c r="CB11">
        <v>3600</v>
      </c>
      <c r="CF11">
        <v>0</v>
      </c>
      <c r="CG11">
        <v>39515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1300</v>
      </c>
      <c r="CU11">
        <v>1300</v>
      </c>
      <c r="CV11">
        <v>1300</v>
      </c>
      <c r="CW11">
        <v>3900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N11">
        <v>0</v>
      </c>
      <c r="DO11">
        <v>0</v>
      </c>
      <c r="DP11">
        <v>0</v>
      </c>
      <c r="DR11">
        <v>0</v>
      </c>
      <c r="DS11">
        <v>0</v>
      </c>
      <c r="DT11">
        <v>0</v>
      </c>
      <c r="DY11">
        <v>0</v>
      </c>
      <c r="EC11">
        <v>0</v>
      </c>
      <c r="ED11">
        <v>3900</v>
      </c>
      <c r="EH11">
        <v>0</v>
      </c>
      <c r="EI11">
        <v>0</v>
      </c>
      <c r="EJ11">
        <v>0</v>
      </c>
      <c r="EK11">
        <v>0</v>
      </c>
      <c r="EM11">
        <v>0</v>
      </c>
      <c r="EN11">
        <v>660</v>
      </c>
      <c r="EO11">
        <v>660</v>
      </c>
      <c r="EP11">
        <v>659</v>
      </c>
      <c r="EQ11">
        <v>2000</v>
      </c>
      <c r="ER11">
        <v>21.24</v>
      </c>
      <c r="ES11">
        <v>0</v>
      </c>
      <c r="ET11">
        <v>0</v>
      </c>
      <c r="EU11">
        <v>0</v>
      </c>
      <c r="EW11">
        <v>0</v>
      </c>
      <c r="FA11">
        <v>0</v>
      </c>
      <c r="FE11">
        <v>0</v>
      </c>
      <c r="FI11">
        <v>0</v>
      </c>
      <c r="FJ11">
        <v>1978.76</v>
      </c>
      <c r="FK11">
        <v>35615</v>
      </c>
      <c r="FL11">
        <v>35128.49862143871</v>
      </c>
      <c r="FM11">
        <v>33636.239999999998</v>
      </c>
    </row>
    <row r="12" spans="1:172" x14ac:dyDescent="0.35">
      <c r="A12">
        <v>192885</v>
      </c>
      <c r="B12" t="s">
        <v>336</v>
      </c>
      <c r="C12" t="s">
        <v>345</v>
      </c>
      <c r="D12" t="s">
        <v>346</v>
      </c>
      <c r="E12" s="43" t="s">
        <v>347</v>
      </c>
      <c r="F12">
        <v>1</v>
      </c>
      <c r="G12" s="23">
        <v>43782</v>
      </c>
      <c r="H12" s="23">
        <v>43782</v>
      </c>
      <c r="I12" s="23">
        <v>43782</v>
      </c>
      <c r="L12" s="43" t="s">
        <v>259</v>
      </c>
      <c r="M12" t="s">
        <v>348</v>
      </c>
      <c r="N12" t="s">
        <v>349</v>
      </c>
      <c r="O12" t="s">
        <v>350</v>
      </c>
      <c r="P12" t="s">
        <v>342</v>
      </c>
      <c r="Q12" t="s">
        <v>351</v>
      </c>
      <c r="R12">
        <v>2.75</v>
      </c>
      <c r="S12">
        <v>44109</v>
      </c>
      <c r="T12" t="s">
        <v>311</v>
      </c>
      <c r="U12" t="s">
        <v>266</v>
      </c>
      <c r="V12" t="s">
        <v>267</v>
      </c>
      <c r="W12" t="s">
        <v>268</v>
      </c>
      <c r="X12" t="s">
        <v>269</v>
      </c>
      <c r="Y12">
        <v>8883022894</v>
      </c>
      <c r="Z12" t="s">
        <v>270</v>
      </c>
      <c r="AA12" t="s">
        <v>271</v>
      </c>
      <c r="AB12">
        <v>0</v>
      </c>
      <c r="AC12" t="s">
        <v>352</v>
      </c>
      <c r="AD12" t="s">
        <v>353</v>
      </c>
      <c r="AE12" t="s">
        <v>354</v>
      </c>
      <c r="AF12">
        <v>6</v>
      </c>
      <c r="AG12" t="s">
        <v>275</v>
      </c>
      <c r="AH12" s="43" t="s">
        <v>259</v>
      </c>
      <c r="AI12" s="43" t="s">
        <v>259</v>
      </c>
      <c r="AJ12" s="43" t="s">
        <v>259</v>
      </c>
      <c r="AK12" s="43" t="s">
        <v>259</v>
      </c>
      <c r="AL12" s="43" t="s">
        <v>259</v>
      </c>
      <c r="AO12" s="23"/>
      <c r="AP12" s="23"/>
      <c r="AQ12" s="23"/>
      <c r="BD12" s="43" t="s">
        <v>259</v>
      </c>
      <c r="BE12" s="43" t="s">
        <v>259</v>
      </c>
      <c r="BF12" s="43" t="s">
        <v>259</v>
      </c>
      <c r="BG12" s="43" t="s">
        <v>259</v>
      </c>
      <c r="BH12" s="43" t="s">
        <v>259</v>
      </c>
      <c r="BI12" s="43" t="s">
        <v>259</v>
      </c>
      <c r="BJ12">
        <v>0</v>
      </c>
      <c r="BK12">
        <v>44109</v>
      </c>
      <c r="BL12">
        <v>44356</v>
      </c>
      <c r="BM12">
        <v>8505</v>
      </c>
      <c r="BN12">
        <v>8505</v>
      </c>
      <c r="BO12">
        <v>8505</v>
      </c>
      <c r="BP12">
        <v>25515</v>
      </c>
      <c r="BQ12">
        <v>3300</v>
      </c>
      <c r="BR12">
        <v>400</v>
      </c>
      <c r="BS12">
        <v>400</v>
      </c>
      <c r="BT12">
        <v>4100</v>
      </c>
      <c r="BU12">
        <v>2100</v>
      </c>
      <c r="BV12">
        <v>2100</v>
      </c>
      <c r="BW12">
        <v>2100</v>
      </c>
      <c r="BX12">
        <v>6300</v>
      </c>
      <c r="BY12">
        <v>1200</v>
      </c>
      <c r="BZ12">
        <v>1200</v>
      </c>
      <c r="CA12">
        <v>1200</v>
      </c>
      <c r="CB12">
        <v>3600</v>
      </c>
      <c r="CC12">
        <v>0</v>
      </c>
      <c r="CD12">
        <v>0</v>
      </c>
      <c r="CE12">
        <v>0</v>
      </c>
      <c r="CF12">
        <v>0</v>
      </c>
      <c r="CG12">
        <v>39515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750</v>
      </c>
      <c r="CU12">
        <v>750</v>
      </c>
      <c r="CV12">
        <v>750</v>
      </c>
      <c r="CW12">
        <v>2250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2250</v>
      </c>
      <c r="EH12">
        <v>0</v>
      </c>
      <c r="EI12">
        <v>1154</v>
      </c>
      <c r="EJ12">
        <v>1154</v>
      </c>
      <c r="EK12">
        <v>1155</v>
      </c>
      <c r="EL12">
        <v>3500</v>
      </c>
      <c r="EM12">
        <v>37.065000000000005</v>
      </c>
      <c r="EN12">
        <v>660</v>
      </c>
      <c r="EO12">
        <v>660</v>
      </c>
      <c r="EP12">
        <v>659</v>
      </c>
      <c r="EQ12">
        <v>2000</v>
      </c>
      <c r="ER12">
        <v>21.18</v>
      </c>
      <c r="ES12">
        <v>0</v>
      </c>
      <c r="ET12">
        <v>0</v>
      </c>
      <c r="EU12">
        <v>0</v>
      </c>
      <c r="EV12">
        <v>0</v>
      </c>
      <c r="EW12">
        <v>0</v>
      </c>
      <c r="FA12">
        <v>0</v>
      </c>
      <c r="FE12">
        <v>0</v>
      </c>
      <c r="FI12">
        <v>0</v>
      </c>
      <c r="FJ12">
        <v>5441.7550000000001</v>
      </c>
      <c r="FK12">
        <v>37265</v>
      </c>
      <c r="FL12">
        <v>33235.070807920463</v>
      </c>
      <c r="FM12">
        <v>31823.245000000003</v>
      </c>
    </row>
    <row r="13" spans="1:172" x14ac:dyDescent="0.35">
      <c r="A13">
        <v>194422</v>
      </c>
      <c r="B13" t="s">
        <v>336</v>
      </c>
      <c r="C13" t="s">
        <v>355</v>
      </c>
      <c r="D13" t="s">
        <v>356</v>
      </c>
      <c r="E13" s="43" t="s">
        <v>357</v>
      </c>
      <c r="F13">
        <v>1</v>
      </c>
      <c r="I13" s="23">
        <v>43782</v>
      </c>
      <c r="L13" s="43" t="s">
        <v>259</v>
      </c>
      <c r="M13" t="s">
        <v>358</v>
      </c>
      <c r="N13" t="s">
        <v>359</v>
      </c>
      <c r="O13" t="s">
        <v>360</v>
      </c>
      <c r="P13" t="s">
        <v>342</v>
      </c>
      <c r="Q13" t="s">
        <v>361</v>
      </c>
      <c r="R13">
        <v>3.32</v>
      </c>
      <c r="S13">
        <v>44109</v>
      </c>
      <c r="T13" t="s">
        <v>311</v>
      </c>
      <c r="U13" t="s">
        <v>286</v>
      </c>
      <c r="V13" t="s">
        <v>267</v>
      </c>
      <c r="W13" t="s">
        <v>268</v>
      </c>
      <c r="X13" t="s">
        <v>269</v>
      </c>
      <c r="Y13">
        <v>8883022894</v>
      </c>
      <c r="Z13" t="s">
        <v>270</v>
      </c>
      <c r="AA13" t="s">
        <v>271</v>
      </c>
      <c r="AB13">
        <v>0</v>
      </c>
      <c r="AC13" t="s">
        <v>362</v>
      </c>
      <c r="AD13" t="s">
        <v>363</v>
      </c>
      <c r="AE13" t="s">
        <v>364</v>
      </c>
      <c r="AF13">
        <v>3</v>
      </c>
      <c r="AG13" t="s">
        <v>275</v>
      </c>
      <c r="AH13" s="43" t="s">
        <v>259</v>
      </c>
      <c r="AI13" s="43" t="s">
        <v>259</v>
      </c>
      <c r="AJ13" s="43" t="s">
        <v>259</v>
      </c>
      <c r="AK13" s="43" t="s">
        <v>259</v>
      </c>
      <c r="AL13" s="43" t="s">
        <v>259</v>
      </c>
      <c r="AO13" s="23"/>
      <c r="AP13" s="23"/>
      <c r="AQ13" s="23"/>
      <c r="BD13" s="43" t="s">
        <v>259</v>
      </c>
      <c r="BE13" s="43" t="s">
        <v>259</v>
      </c>
      <c r="BF13" s="43" t="s">
        <v>259</v>
      </c>
      <c r="BG13" s="43" t="s">
        <v>259</v>
      </c>
      <c r="BH13" s="43" t="s">
        <v>259</v>
      </c>
      <c r="BI13" s="43" t="s">
        <v>259</v>
      </c>
      <c r="BJ13">
        <v>0</v>
      </c>
      <c r="BK13">
        <v>44109</v>
      </c>
      <c r="BL13">
        <v>44356</v>
      </c>
      <c r="BM13">
        <v>8505</v>
      </c>
      <c r="BN13">
        <v>8505</v>
      </c>
      <c r="BO13">
        <v>8505</v>
      </c>
      <c r="BP13">
        <v>25515</v>
      </c>
      <c r="BQ13">
        <v>3300</v>
      </c>
      <c r="BR13">
        <v>400</v>
      </c>
      <c r="BS13">
        <v>400</v>
      </c>
      <c r="BT13">
        <v>4100</v>
      </c>
      <c r="BU13">
        <v>2100</v>
      </c>
      <c r="BV13">
        <v>2100</v>
      </c>
      <c r="BW13">
        <v>2100</v>
      </c>
      <c r="BX13">
        <v>6300</v>
      </c>
      <c r="BY13">
        <v>1200</v>
      </c>
      <c r="BZ13">
        <v>1200</v>
      </c>
      <c r="CA13">
        <v>1200</v>
      </c>
      <c r="CB13">
        <v>3600</v>
      </c>
      <c r="CC13">
        <v>0</v>
      </c>
      <c r="CD13">
        <v>0</v>
      </c>
      <c r="CE13">
        <v>0</v>
      </c>
      <c r="CF13">
        <v>0</v>
      </c>
      <c r="CG13">
        <v>39515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1300</v>
      </c>
      <c r="CU13">
        <v>1300</v>
      </c>
      <c r="CV13">
        <v>1300</v>
      </c>
      <c r="CW13">
        <v>3900</v>
      </c>
      <c r="CX13">
        <v>0</v>
      </c>
      <c r="CY13">
        <v>0</v>
      </c>
      <c r="CZ13">
        <v>0</v>
      </c>
      <c r="DA13">
        <v>0</v>
      </c>
      <c r="DB13">
        <v>1000</v>
      </c>
      <c r="DC13">
        <v>1000</v>
      </c>
      <c r="DD13">
        <v>1000</v>
      </c>
      <c r="DE13">
        <v>3000</v>
      </c>
      <c r="DF13">
        <v>0</v>
      </c>
      <c r="DG13">
        <v>0</v>
      </c>
      <c r="DH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6900</v>
      </c>
      <c r="EH13">
        <v>0</v>
      </c>
      <c r="EI13">
        <v>1154</v>
      </c>
      <c r="EJ13">
        <v>1154</v>
      </c>
      <c r="EK13">
        <v>1155</v>
      </c>
      <c r="EL13">
        <v>3500</v>
      </c>
      <c r="EM13">
        <v>37.065000000000005</v>
      </c>
      <c r="EN13">
        <v>660</v>
      </c>
      <c r="EO13">
        <v>660</v>
      </c>
      <c r="EP13">
        <v>659</v>
      </c>
      <c r="EQ13">
        <v>2000</v>
      </c>
      <c r="ER13">
        <v>21.18</v>
      </c>
      <c r="ES13">
        <v>0</v>
      </c>
      <c r="ET13">
        <v>0</v>
      </c>
      <c r="EU13">
        <v>0</v>
      </c>
      <c r="EV13">
        <v>0</v>
      </c>
      <c r="EW13">
        <v>0</v>
      </c>
      <c r="FA13">
        <v>0</v>
      </c>
      <c r="FE13">
        <v>0</v>
      </c>
      <c r="FI13">
        <v>0</v>
      </c>
      <c r="FJ13">
        <v>5441.7550000000001</v>
      </c>
      <c r="FK13">
        <v>32615</v>
      </c>
      <c r="FL13">
        <v>28378.775378059985</v>
      </c>
      <c r="FM13">
        <v>27173.244999999999</v>
      </c>
    </row>
    <row r="14" spans="1:172" x14ac:dyDescent="0.35">
      <c r="A14">
        <v>192446</v>
      </c>
      <c r="B14" t="s">
        <v>365</v>
      </c>
      <c r="C14" t="s">
        <v>366</v>
      </c>
      <c r="D14" t="s">
        <v>367</v>
      </c>
      <c r="E14" s="43" t="s">
        <v>368</v>
      </c>
      <c r="L14" s="43" t="s">
        <v>259</v>
      </c>
      <c r="M14" t="s">
        <v>369</v>
      </c>
      <c r="N14" t="s">
        <v>370</v>
      </c>
      <c r="O14" t="s">
        <v>371</v>
      </c>
      <c r="P14" t="s">
        <v>372</v>
      </c>
      <c r="Q14" t="s">
        <v>373</v>
      </c>
      <c r="R14">
        <v>2.82</v>
      </c>
      <c r="S14">
        <v>44109</v>
      </c>
      <c r="T14" t="s">
        <v>311</v>
      </c>
      <c r="U14" t="s">
        <v>266</v>
      </c>
      <c r="V14" t="s">
        <v>267</v>
      </c>
      <c r="W14" t="s">
        <v>268</v>
      </c>
      <c r="X14" t="s">
        <v>269</v>
      </c>
      <c r="Y14">
        <v>8883022894</v>
      </c>
      <c r="Z14" t="s">
        <v>508</v>
      </c>
      <c r="AA14" t="s">
        <v>271</v>
      </c>
      <c r="AB14" t="s">
        <v>374</v>
      </c>
      <c r="AC14">
        <v>0</v>
      </c>
      <c r="AD14" t="s">
        <v>375</v>
      </c>
      <c r="AE14" t="s">
        <v>376</v>
      </c>
      <c r="AF14">
        <v>7</v>
      </c>
      <c r="AG14" t="s">
        <v>275</v>
      </c>
      <c r="AH14" s="43" t="s">
        <v>259</v>
      </c>
      <c r="AI14" s="43" t="s">
        <v>259</v>
      </c>
      <c r="AJ14" s="43" t="s">
        <v>259</v>
      </c>
      <c r="AK14" s="43" t="s">
        <v>259</v>
      </c>
      <c r="AL14" s="43" t="s">
        <v>259</v>
      </c>
      <c r="AO14" s="23"/>
      <c r="AP14" s="23"/>
      <c r="AQ14" s="23"/>
      <c r="BD14" s="43" t="s">
        <v>259</v>
      </c>
      <c r="BE14" s="43" t="s">
        <v>259</v>
      </c>
      <c r="BF14" s="43" t="s">
        <v>259</v>
      </c>
      <c r="BG14" s="43" t="s">
        <v>259</v>
      </c>
      <c r="BH14" s="43" t="s">
        <v>259</v>
      </c>
      <c r="BI14" s="43" t="s">
        <v>259</v>
      </c>
      <c r="BJ14">
        <v>0</v>
      </c>
      <c r="BK14">
        <v>44109</v>
      </c>
      <c r="BL14">
        <v>44356</v>
      </c>
      <c r="BM14">
        <v>8505</v>
      </c>
      <c r="BN14">
        <v>8505</v>
      </c>
      <c r="BO14">
        <v>8505</v>
      </c>
      <c r="BP14">
        <v>25515</v>
      </c>
      <c r="BQ14">
        <v>3300</v>
      </c>
      <c r="BR14">
        <v>400</v>
      </c>
      <c r="BS14">
        <v>400</v>
      </c>
      <c r="BT14">
        <v>4100</v>
      </c>
      <c r="BU14">
        <v>2100</v>
      </c>
      <c r="BV14">
        <v>2100</v>
      </c>
      <c r="BW14">
        <v>2100</v>
      </c>
      <c r="BX14">
        <v>6300</v>
      </c>
      <c r="BY14">
        <v>1200</v>
      </c>
      <c r="BZ14">
        <v>1200</v>
      </c>
      <c r="CA14">
        <v>1200</v>
      </c>
      <c r="CB14">
        <v>3600</v>
      </c>
      <c r="CC14">
        <v>0</v>
      </c>
      <c r="CD14">
        <v>0</v>
      </c>
      <c r="CE14">
        <v>0</v>
      </c>
      <c r="CF14">
        <v>0</v>
      </c>
      <c r="CG14">
        <v>39515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H14">
        <v>0</v>
      </c>
      <c r="EI14">
        <v>1154</v>
      </c>
      <c r="EJ14">
        <v>1154</v>
      </c>
      <c r="EK14">
        <v>1155</v>
      </c>
      <c r="EL14">
        <v>3500</v>
      </c>
      <c r="EM14">
        <v>37.065000000000005</v>
      </c>
      <c r="EN14">
        <v>660</v>
      </c>
      <c r="EO14">
        <v>660</v>
      </c>
      <c r="EP14">
        <v>659</v>
      </c>
      <c r="EQ14">
        <v>2000</v>
      </c>
      <c r="ER14">
        <v>21.18</v>
      </c>
      <c r="ES14">
        <v>0</v>
      </c>
      <c r="ET14">
        <v>0</v>
      </c>
      <c r="EU14">
        <v>0</v>
      </c>
      <c r="EV14">
        <v>0</v>
      </c>
      <c r="EW14">
        <v>0</v>
      </c>
      <c r="FA14">
        <v>0</v>
      </c>
      <c r="FE14">
        <v>0</v>
      </c>
      <c r="FI14">
        <v>0</v>
      </c>
      <c r="FJ14">
        <v>5441.7550000000001</v>
      </c>
      <c r="FK14">
        <v>39515</v>
      </c>
      <c r="FL14">
        <v>35584.891177207784</v>
      </c>
      <c r="FM14">
        <v>34073.245000000003</v>
      </c>
    </row>
    <row r="15" spans="1:172" x14ac:dyDescent="0.35">
      <c r="A15">
        <v>196525</v>
      </c>
      <c r="B15" t="s">
        <v>377</v>
      </c>
      <c r="C15" t="s">
        <v>378</v>
      </c>
      <c r="D15" t="s">
        <v>379</v>
      </c>
      <c r="E15" s="43" t="s">
        <v>380</v>
      </c>
      <c r="F15">
        <v>1</v>
      </c>
      <c r="I15" s="23">
        <v>43780</v>
      </c>
      <c r="L15" s="43" t="s">
        <v>3204</v>
      </c>
      <c r="M15" t="s">
        <v>381</v>
      </c>
      <c r="N15" t="s">
        <v>382</v>
      </c>
      <c r="O15" t="s">
        <v>383</v>
      </c>
      <c r="P15" t="s">
        <v>384</v>
      </c>
      <c r="Q15" t="s">
        <v>385</v>
      </c>
      <c r="R15">
        <v>3.1280000000000001</v>
      </c>
      <c r="S15">
        <v>44109</v>
      </c>
      <c r="T15" t="s">
        <v>311</v>
      </c>
      <c r="U15" t="s">
        <v>266</v>
      </c>
      <c r="V15" t="s">
        <v>267</v>
      </c>
      <c r="W15" t="s">
        <v>268</v>
      </c>
      <c r="X15" t="s">
        <v>269</v>
      </c>
      <c r="Y15">
        <v>8883022894</v>
      </c>
      <c r="Z15" t="s">
        <v>270</v>
      </c>
      <c r="AA15" t="s">
        <v>271</v>
      </c>
      <c r="AB15" t="s">
        <v>386</v>
      </c>
      <c r="AC15">
        <v>0</v>
      </c>
      <c r="AD15" t="s">
        <v>387</v>
      </c>
      <c r="AE15" t="s">
        <v>301</v>
      </c>
      <c r="AF15">
        <v>1</v>
      </c>
      <c r="AG15" t="s">
        <v>275</v>
      </c>
      <c r="AH15" s="43" t="s">
        <v>3214</v>
      </c>
      <c r="AI15" s="43" t="s">
        <v>3215</v>
      </c>
      <c r="AJ15" s="43" t="s">
        <v>3207</v>
      </c>
      <c r="AK15" s="43" t="s">
        <v>3208</v>
      </c>
      <c r="AL15" s="43" t="s">
        <v>3209</v>
      </c>
      <c r="AO15" s="23"/>
      <c r="AP15" s="23"/>
      <c r="AQ15" s="23"/>
      <c r="BD15" s="43" t="s">
        <v>2018</v>
      </c>
      <c r="BE15" s="43" t="s">
        <v>2018</v>
      </c>
      <c r="BF15" s="43" t="s">
        <v>2018</v>
      </c>
      <c r="BG15" s="43" t="s">
        <v>2018</v>
      </c>
      <c r="BH15" s="43" t="s">
        <v>2018</v>
      </c>
      <c r="BI15" s="43" t="s">
        <v>2018</v>
      </c>
      <c r="BJ15">
        <v>0</v>
      </c>
      <c r="BK15">
        <v>44109</v>
      </c>
      <c r="BL15">
        <v>44356</v>
      </c>
      <c r="BM15">
        <v>8505</v>
      </c>
      <c r="BN15">
        <v>8505</v>
      </c>
      <c r="BO15">
        <v>8505</v>
      </c>
      <c r="BP15">
        <v>25515</v>
      </c>
      <c r="BQ15">
        <v>3300</v>
      </c>
      <c r="BR15">
        <v>400</v>
      </c>
      <c r="BS15">
        <v>400</v>
      </c>
      <c r="BT15">
        <v>4100</v>
      </c>
      <c r="BU15">
        <v>2100</v>
      </c>
      <c r="BV15">
        <v>2100</v>
      </c>
      <c r="BW15">
        <v>2100</v>
      </c>
      <c r="BX15">
        <v>6300</v>
      </c>
      <c r="BY15">
        <v>1200</v>
      </c>
      <c r="BZ15">
        <v>1200</v>
      </c>
      <c r="CA15">
        <v>1200</v>
      </c>
      <c r="CB15">
        <v>3600</v>
      </c>
      <c r="CC15">
        <v>0</v>
      </c>
      <c r="CD15">
        <v>0</v>
      </c>
      <c r="CE15">
        <v>0</v>
      </c>
      <c r="CF15">
        <v>0</v>
      </c>
      <c r="CG15">
        <v>39515</v>
      </c>
      <c r="CK15">
        <v>0</v>
      </c>
      <c r="CL15">
        <v>1715</v>
      </c>
      <c r="CM15">
        <v>1715</v>
      </c>
      <c r="CN15">
        <v>1715</v>
      </c>
      <c r="CO15">
        <v>5145</v>
      </c>
      <c r="CP15">
        <v>500</v>
      </c>
      <c r="CQ15">
        <v>500</v>
      </c>
      <c r="CR15">
        <v>500</v>
      </c>
      <c r="CS15">
        <v>1500</v>
      </c>
      <c r="CT15">
        <v>1700</v>
      </c>
      <c r="CU15">
        <v>1700</v>
      </c>
      <c r="CV15">
        <v>1700</v>
      </c>
      <c r="CW15">
        <v>5100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11745</v>
      </c>
      <c r="EH15">
        <v>0</v>
      </c>
      <c r="EI15">
        <v>1154</v>
      </c>
      <c r="EJ15">
        <v>1154</v>
      </c>
      <c r="EK15">
        <v>1155</v>
      </c>
      <c r="EL15">
        <v>3500</v>
      </c>
      <c r="EM15">
        <v>37.065000000000005</v>
      </c>
      <c r="EN15">
        <v>660</v>
      </c>
      <c r="EO15">
        <v>660</v>
      </c>
      <c r="EP15">
        <v>659</v>
      </c>
      <c r="EQ15">
        <v>2000</v>
      </c>
      <c r="ER15">
        <v>21.18</v>
      </c>
      <c r="ES15">
        <v>0</v>
      </c>
      <c r="ET15">
        <v>0</v>
      </c>
      <c r="EU15">
        <v>0</v>
      </c>
      <c r="EV15">
        <v>0</v>
      </c>
      <c r="EW15">
        <v>0</v>
      </c>
      <c r="FA15">
        <v>0</v>
      </c>
      <c r="FE15">
        <v>0</v>
      </c>
      <c r="FI15">
        <v>0</v>
      </c>
      <c r="FJ15">
        <v>5441.7550000000001</v>
      </c>
      <c r="FK15">
        <v>27770</v>
      </c>
      <c r="FL15">
        <v>23318.828849527945</v>
      </c>
      <c r="FM15">
        <v>22328.244999999999</v>
      </c>
    </row>
    <row r="16" spans="1:172" x14ac:dyDescent="0.35">
      <c r="A16">
        <v>196712</v>
      </c>
      <c r="B16" t="s">
        <v>388</v>
      </c>
      <c r="C16" t="s">
        <v>389</v>
      </c>
      <c r="D16" t="s">
        <v>390</v>
      </c>
      <c r="E16" s="43" t="s">
        <v>391</v>
      </c>
      <c r="F16">
        <v>1</v>
      </c>
      <c r="G16" s="23">
        <v>43780</v>
      </c>
      <c r="H16" s="23">
        <v>43781</v>
      </c>
      <c r="I16" s="23">
        <v>43781</v>
      </c>
      <c r="J16" t="s">
        <v>3581</v>
      </c>
      <c r="K16" t="s">
        <v>3307</v>
      </c>
      <c r="L16" s="43" t="s">
        <v>3204</v>
      </c>
      <c r="M16" t="s">
        <v>392</v>
      </c>
      <c r="N16" t="s">
        <v>393</v>
      </c>
      <c r="O16" t="s">
        <v>394</v>
      </c>
      <c r="P16" t="s">
        <v>263</v>
      </c>
      <c r="Q16" t="s">
        <v>395</v>
      </c>
      <c r="R16">
        <v>3.4</v>
      </c>
      <c r="S16">
        <v>44109</v>
      </c>
      <c r="T16" t="s">
        <v>285</v>
      </c>
      <c r="U16" t="s">
        <v>266</v>
      </c>
      <c r="V16" t="s">
        <v>267</v>
      </c>
      <c r="W16" t="s">
        <v>268</v>
      </c>
      <c r="X16" t="s">
        <v>269</v>
      </c>
      <c r="Y16">
        <v>8883022894</v>
      </c>
      <c r="Z16" t="s">
        <v>270</v>
      </c>
      <c r="AA16" t="s">
        <v>271</v>
      </c>
      <c r="AB16">
        <v>0</v>
      </c>
      <c r="AC16">
        <v>0</v>
      </c>
      <c r="AD16" t="s">
        <v>313</v>
      </c>
      <c r="AE16" t="s">
        <v>274</v>
      </c>
      <c r="AF16">
        <v>9</v>
      </c>
      <c r="AG16" t="s">
        <v>275</v>
      </c>
      <c r="AH16" s="43" t="s">
        <v>3216</v>
      </c>
      <c r="AI16" s="43" t="s">
        <v>3217</v>
      </c>
      <c r="AJ16" s="43" t="s">
        <v>3207</v>
      </c>
      <c r="AK16" s="43" t="s">
        <v>1715</v>
      </c>
      <c r="AL16" s="43" t="s">
        <v>259</v>
      </c>
      <c r="AM16">
        <v>43781</v>
      </c>
      <c r="AN16">
        <v>43781</v>
      </c>
      <c r="AO16" s="23">
        <v>43781</v>
      </c>
      <c r="AP16" s="23">
        <v>43781</v>
      </c>
      <c r="AQ16" s="23">
        <v>43781</v>
      </c>
      <c r="BD16" s="43" t="s">
        <v>259</v>
      </c>
      <c r="BE16" s="43" t="s">
        <v>259</v>
      </c>
      <c r="BF16" s="43" t="s">
        <v>2018</v>
      </c>
      <c r="BG16" s="43" t="s">
        <v>2018</v>
      </c>
      <c r="BH16" s="43" t="s">
        <v>2018</v>
      </c>
      <c r="BI16" s="43" t="s">
        <v>259</v>
      </c>
      <c r="BJ16">
        <v>0.25</v>
      </c>
      <c r="BK16">
        <v>44109</v>
      </c>
      <c r="BL16">
        <v>44356</v>
      </c>
      <c r="BM16">
        <v>8505</v>
      </c>
      <c r="BN16">
        <v>8505</v>
      </c>
      <c r="BO16">
        <v>8505</v>
      </c>
      <c r="BP16">
        <v>25515</v>
      </c>
      <c r="BQ16">
        <v>3300</v>
      </c>
      <c r="BR16">
        <v>400</v>
      </c>
      <c r="BS16">
        <v>400</v>
      </c>
      <c r="BT16">
        <v>4100</v>
      </c>
      <c r="BU16">
        <v>2100</v>
      </c>
      <c r="BV16">
        <v>2100</v>
      </c>
      <c r="BW16">
        <v>2100</v>
      </c>
      <c r="BX16">
        <v>6300</v>
      </c>
      <c r="BY16">
        <v>1200</v>
      </c>
      <c r="BZ16">
        <v>1200</v>
      </c>
      <c r="CA16">
        <v>1200</v>
      </c>
      <c r="CB16">
        <v>3600</v>
      </c>
      <c r="CC16">
        <v>0</v>
      </c>
      <c r="CD16">
        <v>0</v>
      </c>
      <c r="CE16">
        <v>0</v>
      </c>
      <c r="CF16">
        <v>0</v>
      </c>
      <c r="CG16">
        <v>39515</v>
      </c>
      <c r="CK16">
        <v>0</v>
      </c>
      <c r="CL16">
        <v>1649</v>
      </c>
      <c r="CM16">
        <v>1648</v>
      </c>
      <c r="CN16">
        <v>1648</v>
      </c>
      <c r="CO16">
        <v>4945</v>
      </c>
      <c r="CP16">
        <v>500</v>
      </c>
      <c r="CQ16">
        <v>500</v>
      </c>
      <c r="CR16">
        <v>500</v>
      </c>
      <c r="CS16">
        <v>1500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6445</v>
      </c>
      <c r="EH16">
        <v>0</v>
      </c>
      <c r="EI16">
        <v>1154</v>
      </c>
      <c r="EJ16">
        <v>1154</v>
      </c>
      <c r="EK16">
        <v>1155</v>
      </c>
      <c r="EL16">
        <v>3500</v>
      </c>
      <c r="EM16">
        <v>37.065000000000005</v>
      </c>
      <c r="EN16">
        <v>660</v>
      </c>
      <c r="EO16">
        <v>660</v>
      </c>
      <c r="EP16">
        <v>659</v>
      </c>
      <c r="EQ16">
        <v>2000</v>
      </c>
      <c r="ER16">
        <v>21.18</v>
      </c>
      <c r="ES16">
        <v>9227</v>
      </c>
      <c r="ET16">
        <v>9227</v>
      </c>
      <c r="EU16">
        <v>9227</v>
      </c>
      <c r="EV16">
        <v>28854</v>
      </c>
      <c r="EW16">
        <v>1226</v>
      </c>
      <c r="FA16">
        <v>0</v>
      </c>
      <c r="FE16">
        <v>0</v>
      </c>
      <c r="FI16">
        <v>0</v>
      </c>
      <c r="FJ16">
        <v>33070.037080000002</v>
      </c>
      <c r="FK16">
        <v>33070</v>
      </c>
      <c r="FL16">
        <v>-3.8725039687817424E-2</v>
      </c>
      <c r="FM16">
        <v>-3.7080000001878943E-2</v>
      </c>
    </row>
    <row r="17" spans="1:169" x14ac:dyDescent="0.35">
      <c r="A17">
        <v>196762</v>
      </c>
      <c r="B17" t="s">
        <v>396</v>
      </c>
      <c r="C17" t="s">
        <v>397</v>
      </c>
      <c r="D17" t="s">
        <v>398</v>
      </c>
      <c r="E17" s="43" t="s">
        <v>399</v>
      </c>
      <c r="L17" s="43" t="s">
        <v>259</v>
      </c>
      <c r="M17" t="s">
        <v>400</v>
      </c>
      <c r="N17" t="s">
        <v>401</v>
      </c>
      <c r="O17" t="s">
        <v>402</v>
      </c>
      <c r="P17" t="s">
        <v>403</v>
      </c>
      <c r="Q17" t="s">
        <v>404</v>
      </c>
      <c r="R17">
        <v>2.5127999999999999</v>
      </c>
      <c r="S17">
        <v>44109</v>
      </c>
      <c r="T17" t="s">
        <v>311</v>
      </c>
      <c r="U17" t="s">
        <v>266</v>
      </c>
      <c r="V17" t="s">
        <v>267</v>
      </c>
      <c r="W17" t="s">
        <v>268</v>
      </c>
      <c r="X17" t="s">
        <v>269</v>
      </c>
      <c r="Y17">
        <v>8883022894</v>
      </c>
      <c r="Z17" t="s">
        <v>270</v>
      </c>
      <c r="AA17" t="s">
        <v>271</v>
      </c>
      <c r="AB17">
        <v>0</v>
      </c>
      <c r="AC17" t="s">
        <v>352</v>
      </c>
      <c r="AD17" t="s">
        <v>273</v>
      </c>
      <c r="AE17" t="s">
        <v>274</v>
      </c>
      <c r="AF17">
        <v>9</v>
      </c>
      <c r="AG17" t="s">
        <v>275</v>
      </c>
      <c r="AH17" s="43" t="s">
        <v>259</v>
      </c>
      <c r="AI17" s="43" t="s">
        <v>259</v>
      </c>
      <c r="AJ17" s="43" t="s">
        <v>259</v>
      </c>
      <c r="AK17" s="43" t="s">
        <v>259</v>
      </c>
      <c r="AL17" s="43" t="s">
        <v>259</v>
      </c>
      <c r="AO17" s="23"/>
      <c r="AP17" s="23"/>
      <c r="AQ17" s="23"/>
      <c r="BD17" s="43" t="s">
        <v>259</v>
      </c>
      <c r="BE17" s="43" t="s">
        <v>259</v>
      </c>
      <c r="BF17" s="43" t="s">
        <v>259</v>
      </c>
      <c r="BG17" s="43" t="s">
        <v>259</v>
      </c>
      <c r="BH17" s="43" t="s">
        <v>259</v>
      </c>
      <c r="BI17" s="43" t="s">
        <v>259</v>
      </c>
      <c r="BJ17">
        <v>0</v>
      </c>
      <c r="BK17">
        <v>44109</v>
      </c>
      <c r="BL17">
        <v>44356</v>
      </c>
      <c r="BM17">
        <v>8505</v>
      </c>
      <c r="BN17">
        <v>8505</v>
      </c>
      <c r="BO17">
        <v>8505</v>
      </c>
      <c r="BP17">
        <v>25515</v>
      </c>
      <c r="BQ17">
        <v>3300</v>
      </c>
      <c r="BR17">
        <v>400</v>
      </c>
      <c r="BS17">
        <v>400</v>
      </c>
      <c r="BT17">
        <v>4100</v>
      </c>
      <c r="BU17">
        <v>2100</v>
      </c>
      <c r="BV17">
        <v>2100</v>
      </c>
      <c r="BW17">
        <v>2100</v>
      </c>
      <c r="BX17">
        <v>6300</v>
      </c>
      <c r="BY17">
        <v>1200</v>
      </c>
      <c r="BZ17">
        <v>1200</v>
      </c>
      <c r="CA17">
        <v>1200</v>
      </c>
      <c r="CB17">
        <v>3600</v>
      </c>
      <c r="CC17">
        <v>0</v>
      </c>
      <c r="CD17">
        <v>0</v>
      </c>
      <c r="CE17">
        <v>0</v>
      </c>
      <c r="CF17">
        <v>0</v>
      </c>
      <c r="CG17">
        <v>39515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H17">
        <v>0</v>
      </c>
      <c r="EI17">
        <v>1154</v>
      </c>
      <c r="EJ17">
        <v>1154</v>
      </c>
      <c r="EK17">
        <v>1155</v>
      </c>
      <c r="EL17">
        <v>3500</v>
      </c>
      <c r="EM17">
        <v>37.065000000000005</v>
      </c>
      <c r="EN17">
        <v>660</v>
      </c>
      <c r="EO17">
        <v>660</v>
      </c>
      <c r="EP17">
        <v>659</v>
      </c>
      <c r="EQ17">
        <v>2000</v>
      </c>
      <c r="ER17">
        <v>21.18</v>
      </c>
      <c r="ES17">
        <v>0</v>
      </c>
      <c r="ET17">
        <v>0</v>
      </c>
      <c r="EU17">
        <v>0</v>
      </c>
      <c r="EV17">
        <v>0</v>
      </c>
      <c r="EW17">
        <v>0</v>
      </c>
      <c r="FA17">
        <v>0</v>
      </c>
      <c r="FE17">
        <v>0</v>
      </c>
      <c r="FI17">
        <v>0</v>
      </c>
      <c r="FJ17">
        <v>5441.7550000000001</v>
      </c>
      <c r="FK17">
        <v>39515</v>
      </c>
      <c r="FL17">
        <v>35584.891177207784</v>
      </c>
      <c r="FM17">
        <v>34073.245000000003</v>
      </c>
    </row>
    <row r="18" spans="1:169" x14ac:dyDescent="0.35">
      <c r="A18">
        <v>197824</v>
      </c>
      <c r="B18" t="s">
        <v>405</v>
      </c>
      <c r="C18" t="s">
        <v>406</v>
      </c>
      <c r="D18" t="s">
        <v>407</v>
      </c>
      <c r="E18" s="43" t="s">
        <v>408</v>
      </c>
      <c r="F18">
        <v>1</v>
      </c>
      <c r="G18" s="23">
        <v>43780</v>
      </c>
      <c r="H18" s="23">
        <v>43780</v>
      </c>
      <c r="I18" s="23">
        <v>43780</v>
      </c>
      <c r="L18" s="43" t="s">
        <v>3204</v>
      </c>
      <c r="M18" t="s">
        <v>409</v>
      </c>
      <c r="N18" t="s">
        <v>410</v>
      </c>
      <c r="O18" t="s">
        <v>411</v>
      </c>
      <c r="P18" t="s">
        <v>412</v>
      </c>
      <c r="Q18" t="s">
        <v>413</v>
      </c>
      <c r="R18">
        <v>3.1</v>
      </c>
      <c r="S18">
        <v>44109</v>
      </c>
      <c r="T18" t="s">
        <v>311</v>
      </c>
      <c r="U18" t="s">
        <v>266</v>
      </c>
      <c r="V18" t="s">
        <v>267</v>
      </c>
      <c r="W18" t="s">
        <v>268</v>
      </c>
      <c r="X18" t="s">
        <v>269</v>
      </c>
      <c r="Y18">
        <v>8883022894</v>
      </c>
      <c r="Z18" t="s">
        <v>270</v>
      </c>
      <c r="AA18" t="s">
        <v>271</v>
      </c>
      <c r="AB18">
        <v>0</v>
      </c>
      <c r="AC18" t="s">
        <v>3218</v>
      </c>
      <c r="AD18" t="s">
        <v>903</v>
      </c>
      <c r="AE18" t="s">
        <v>445</v>
      </c>
      <c r="AF18">
        <v>4</v>
      </c>
      <c r="AG18" t="s">
        <v>275</v>
      </c>
      <c r="AH18" s="43" t="s">
        <v>3219</v>
      </c>
      <c r="AI18" s="43" t="s">
        <v>3220</v>
      </c>
      <c r="AJ18" s="43" t="s">
        <v>3207</v>
      </c>
      <c r="AK18" s="43" t="s">
        <v>3208</v>
      </c>
      <c r="AL18" s="43" t="s">
        <v>3209</v>
      </c>
      <c r="AO18" s="23"/>
      <c r="AP18" s="23"/>
      <c r="AQ18" s="23"/>
      <c r="BD18" s="43" t="s">
        <v>2018</v>
      </c>
      <c r="BE18" s="43" t="s">
        <v>2018</v>
      </c>
      <c r="BF18" s="43" t="s">
        <v>2018</v>
      </c>
      <c r="BG18" s="43" t="s">
        <v>2018</v>
      </c>
      <c r="BH18" s="43" t="s">
        <v>2018</v>
      </c>
      <c r="BI18" s="43" t="s">
        <v>2018</v>
      </c>
      <c r="BJ18">
        <v>0</v>
      </c>
      <c r="BK18">
        <v>44109</v>
      </c>
      <c r="BL18">
        <v>44356</v>
      </c>
      <c r="BM18">
        <v>8505</v>
      </c>
      <c r="BN18">
        <v>8505</v>
      </c>
      <c r="BO18">
        <v>8505</v>
      </c>
      <c r="BP18">
        <v>25515</v>
      </c>
      <c r="BQ18">
        <v>3300</v>
      </c>
      <c r="BR18">
        <v>400</v>
      </c>
      <c r="BS18">
        <v>400</v>
      </c>
      <c r="BT18">
        <v>4100</v>
      </c>
      <c r="BU18">
        <v>2100</v>
      </c>
      <c r="BV18">
        <v>2100</v>
      </c>
      <c r="BW18">
        <v>2100</v>
      </c>
      <c r="BX18">
        <v>6300</v>
      </c>
      <c r="BY18">
        <v>1200</v>
      </c>
      <c r="BZ18">
        <v>1200</v>
      </c>
      <c r="CA18">
        <v>1200</v>
      </c>
      <c r="CB18">
        <v>3600</v>
      </c>
      <c r="CC18">
        <v>0</v>
      </c>
      <c r="CD18">
        <v>0</v>
      </c>
      <c r="CE18">
        <v>0</v>
      </c>
      <c r="CF18">
        <v>0</v>
      </c>
      <c r="CG18">
        <v>39515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1250</v>
      </c>
      <c r="CU18">
        <v>1250</v>
      </c>
      <c r="CV18">
        <v>1250</v>
      </c>
      <c r="CW18">
        <v>3750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3750</v>
      </c>
      <c r="EH18">
        <v>0</v>
      </c>
      <c r="EI18">
        <v>1154</v>
      </c>
      <c r="EJ18">
        <v>1154</v>
      </c>
      <c r="EK18">
        <v>1155</v>
      </c>
      <c r="EL18">
        <v>3500</v>
      </c>
      <c r="EM18">
        <v>37.065000000000005</v>
      </c>
      <c r="EN18">
        <v>660</v>
      </c>
      <c r="EO18">
        <v>660</v>
      </c>
      <c r="EP18">
        <v>659</v>
      </c>
      <c r="EQ18">
        <v>2000</v>
      </c>
      <c r="ER18">
        <v>21.18</v>
      </c>
      <c r="ES18">
        <v>0</v>
      </c>
      <c r="ET18">
        <v>0</v>
      </c>
      <c r="EU18">
        <v>0</v>
      </c>
      <c r="EV18">
        <v>0</v>
      </c>
      <c r="EW18">
        <v>0</v>
      </c>
      <c r="FA18">
        <v>0</v>
      </c>
      <c r="FE18">
        <v>0</v>
      </c>
      <c r="FI18">
        <v>0</v>
      </c>
      <c r="FJ18">
        <v>5441.7550000000001</v>
      </c>
      <c r="FK18">
        <v>35765</v>
      </c>
      <c r="FL18">
        <v>31668.523895062241</v>
      </c>
      <c r="FM18">
        <v>30323.244999999999</v>
      </c>
    </row>
    <row r="19" spans="1:169" x14ac:dyDescent="0.35">
      <c r="A19">
        <v>197233</v>
      </c>
      <c r="B19" t="s">
        <v>3438</v>
      </c>
      <c r="C19" t="s">
        <v>3439</v>
      </c>
      <c r="D19" t="s">
        <v>3440</v>
      </c>
      <c r="E19" s="43" t="s">
        <v>4170</v>
      </c>
      <c r="F19">
        <v>1</v>
      </c>
      <c r="G19" s="23">
        <v>43782</v>
      </c>
      <c r="H19" s="23">
        <v>43782</v>
      </c>
      <c r="I19" s="23">
        <v>43782</v>
      </c>
      <c r="L19" s="43" t="s">
        <v>3204</v>
      </c>
      <c r="M19" t="s">
        <v>3441</v>
      </c>
      <c r="N19" t="s">
        <v>3442</v>
      </c>
      <c r="O19" t="s">
        <v>3443</v>
      </c>
      <c r="P19" t="s">
        <v>542</v>
      </c>
      <c r="Q19" t="s">
        <v>3444</v>
      </c>
      <c r="R19">
        <v>3.94</v>
      </c>
      <c r="S19">
        <v>44109</v>
      </c>
      <c r="T19" t="s">
        <v>544</v>
      </c>
      <c r="U19" t="s">
        <v>266</v>
      </c>
      <c r="V19" t="s">
        <v>267</v>
      </c>
      <c r="W19" t="s">
        <v>268</v>
      </c>
      <c r="X19" t="s">
        <v>269</v>
      </c>
      <c r="Y19">
        <v>8883022894</v>
      </c>
      <c r="Z19" t="s">
        <v>270</v>
      </c>
      <c r="AA19" t="s">
        <v>271</v>
      </c>
      <c r="AB19" t="s">
        <v>1174</v>
      </c>
      <c r="AC19">
        <v>0</v>
      </c>
      <c r="AD19" t="s">
        <v>3445</v>
      </c>
      <c r="AE19" t="s">
        <v>301</v>
      </c>
      <c r="AF19">
        <v>1</v>
      </c>
      <c r="AG19" t="s">
        <v>3345</v>
      </c>
      <c r="AH19" s="43" t="s">
        <v>3586</v>
      </c>
      <c r="AI19" s="43" t="s">
        <v>3587</v>
      </c>
      <c r="AJ19" s="43" t="s">
        <v>3309</v>
      </c>
      <c r="AK19" s="43" t="s">
        <v>3208</v>
      </c>
      <c r="AL19" s="43" t="s">
        <v>3209</v>
      </c>
      <c r="AO19" s="23">
        <v>43780</v>
      </c>
      <c r="AP19" s="23"/>
      <c r="AQ19" s="23"/>
      <c r="BD19" s="43" t="s">
        <v>2018</v>
      </c>
      <c r="BE19" s="43" t="s">
        <v>2018</v>
      </c>
      <c r="BF19" s="43" t="s">
        <v>2018</v>
      </c>
      <c r="BG19" s="43" t="s">
        <v>2018</v>
      </c>
      <c r="BH19" s="43" t="s">
        <v>2018</v>
      </c>
      <c r="BI19" s="43" t="s">
        <v>2018</v>
      </c>
      <c r="BJ19">
        <v>5.8823529411764719E-2</v>
      </c>
      <c r="BK19">
        <v>44109</v>
      </c>
      <c r="BL19">
        <v>44356</v>
      </c>
      <c r="BM19">
        <v>8505</v>
      </c>
      <c r="BN19">
        <v>8505</v>
      </c>
      <c r="BO19">
        <v>8505</v>
      </c>
      <c r="BP19">
        <v>25515</v>
      </c>
      <c r="BQ19">
        <v>3300</v>
      </c>
      <c r="BR19">
        <v>400</v>
      </c>
      <c r="BS19">
        <v>400</v>
      </c>
      <c r="BT19">
        <v>4100</v>
      </c>
      <c r="BU19">
        <v>2100</v>
      </c>
      <c r="BV19">
        <v>2100</v>
      </c>
      <c r="BW19">
        <v>2100</v>
      </c>
      <c r="BX19">
        <v>6300</v>
      </c>
      <c r="BY19">
        <v>1200</v>
      </c>
      <c r="BZ19">
        <v>1200</v>
      </c>
      <c r="CA19">
        <v>1200</v>
      </c>
      <c r="CB19">
        <v>3600</v>
      </c>
      <c r="CF19">
        <v>0</v>
      </c>
      <c r="CG19">
        <v>39515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1700</v>
      </c>
      <c r="CU19">
        <v>1700</v>
      </c>
      <c r="CV19">
        <v>1700</v>
      </c>
      <c r="CW19">
        <v>5100</v>
      </c>
      <c r="CX19">
        <v>3000</v>
      </c>
      <c r="CY19">
        <v>3000</v>
      </c>
      <c r="CZ19">
        <v>3000</v>
      </c>
      <c r="DA19">
        <v>9000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N19">
        <v>0</v>
      </c>
      <c r="DO19">
        <v>0</v>
      </c>
      <c r="DP19">
        <v>0</v>
      </c>
      <c r="DR19">
        <v>0</v>
      </c>
      <c r="DS19">
        <v>0</v>
      </c>
      <c r="DT19">
        <v>0</v>
      </c>
      <c r="DY19">
        <v>0</v>
      </c>
      <c r="EC19">
        <v>0</v>
      </c>
      <c r="ED19">
        <v>14100</v>
      </c>
      <c r="EH19">
        <v>0</v>
      </c>
      <c r="EI19">
        <v>0</v>
      </c>
      <c r="EJ19">
        <v>0</v>
      </c>
      <c r="EK19">
        <v>0</v>
      </c>
      <c r="EM19">
        <v>0</v>
      </c>
      <c r="EN19">
        <v>660</v>
      </c>
      <c r="EO19">
        <v>660</v>
      </c>
      <c r="EP19">
        <v>659</v>
      </c>
      <c r="EQ19">
        <v>2000</v>
      </c>
      <c r="ER19">
        <v>21.24</v>
      </c>
      <c r="ES19">
        <v>0</v>
      </c>
      <c r="ET19">
        <v>0</v>
      </c>
      <c r="EU19">
        <v>0</v>
      </c>
      <c r="EW19">
        <v>0</v>
      </c>
      <c r="FA19">
        <v>0</v>
      </c>
      <c r="FE19">
        <v>0</v>
      </c>
      <c r="FI19">
        <v>0</v>
      </c>
      <c r="FJ19">
        <v>1978.76</v>
      </c>
      <c r="FK19">
        <v>25415</v>
      </c>
      <c r="FL19">
        <v>24475.979614002841</v>
      </c>
      <c r="FM19">
        <v>23436.240000000002</v>
      </c>
    </row>
    <row r="20" spans="1:169" x14ac:dyDescent="0.35">
      <c r="A20">
        <v>198357</v>
      </c>
      <c r="B20" t="s">
        <v>417</v>
      </c>
      <c r="C20" t="s">
        <v>418</v>
      </c>
      <c r="D20" t="s">
        <v>419</v>
      </c>
      <c r="E20" s="43" t="s">
        <v>420</v>
      </c>
      <c r="F20">
        <v>1</v>
      </c>
      <c r="I20" s="23">
        <v>43780</v>
      </c>
      <c r="L20" s="43" t="s">
        <v>3204</v>
      </c>
      <c r="M20" t="s">
        <v>421</v>
      </c>
      <c r="N20" t="s">
        <v>422</v>
      </c>
      <c r="O20" t="s">
        <v>423</v>
      </c>
      <c r="P20" t="s">
        <v>342</v>
      </c>
      <c r="Q20" t="s">
        <v>424</v>
      </c>
      <c r="R20">
        <v>3.54</v>
      </c>
      <c r="S20">
        <v>44109</v>
      </c>
      <c r="T20" t="s">
        <v>311</v>
      </c>
      <c r="U20" t="s">
        <v>286</v>
      </c>
      <c r="V20" t="s">
        <v>267</v>
      </c>
      <c r="W20" t="s">
        <v>268</v>
      </c>
      <c r="X20" t="s">
        <v>269</v>
      </c>
      <c r="Y20">
        <v>8883022894</v>
      </c>
      <c r="Z20" t="s">
        <v>270</v>
      </c>
      <c r="AA20" t="s">
        <v>271</v>
      </c>
      <c r="AB20">
        <v>0</v>
      </c>
      <c r="AC20">
        <v>0</v>
      </c>
      <c r="AD20" t="s">
        <v>313</v>
      </c>
      <c r="AE20" t="s">
        <v>376</v>
      </c>
      <c r="AF20">
        <v>7</v>
      </c>
      <c r="AG20" t="s">
        <v>275</v>
      </c>
      <c r="AH20" s="43" t="s">
        <v>3312</v>
      </c>
      <c r="AI20" s="43" t="s">
        <v>3313</v>
      </c>
      <c r="AJ20" s="43" t="s">
        <v>3309</v>
      </c>
      <c r="AK20" s="43" t="s">
        <v>1715</v>
      </c>
      <c r="AL20" s="43" t="s">
        <v>259</v>
      </c>
      <c r="AO20" s="23"/>
      <c r="AP20" s="23"/>
      <c r="AQ20" s="23"/>
      <c r="BD20" s="43" t="s">
        <v>259</v>
      </c>
      <c r="BE20" s="43" t="s">
        <v>259</v>
      </c>
      <c r="BF20" s="43" t="s">
        <v>259</v>
      </c>
      <c r="BG20" s="43" t="s">
        <v>259</v>
      </c>
      <c r="BH20" s="43" t="s">
        <v>259</v>
      </c>
      <c r="BI20" s="43" t="s">
        <v>259</v>
      </c>
      <c r="BJ20">
        <v>0</v>
      </c>
      <c r="BK20">
        <v>44109</v>
      </c>
      <c r="BL20">
        <v>44356</v>
      </c>
      <c r="BM20">
        <v>8505</v>
      </c>
      <c r="BN20">
        <v>8505</v>
      </c>
      <c r="BO20">
        <v>8505</v>
      </c>
      <c r="BP20">
        <v>25515</v>
      </c>
      <c r="BQ20">
        <v>3300</v>
      </c>
      <c r="BR20">
        <v>400</v>
      </c>
      <c r="BS20">
        <v>400</v>
      </c>
      <c r="BT20">
        <v>4100</v>
      </c>
      <c r="BU20">
        <v>2100</v>
      </c>
      <c r="BV20">
        <v>2100</v>
      </c>
      <c r="BW20">
        <v>2100</v>
      </c>
      <c r="BX20">
        <v>6300</v>
      </c>
      <c r="BY20">
        <v>1200</v>
      </c>
      <c r="BZ20">
        <v>1200</v>
      </c>
      <c r="CA20">
        <v>1200</v>
      </c>
      <c r="CB20">
        <v>3600</v>
      </c>
      <c r="CC20">
        <v>0</v>
      </c>
      <c r="CD20">
        <v>0</v>
      </c>
      <c r="CE20">
        <v>0</v>
      </c>
      <c r="CF20">
        <v>0</v>
      </c>
      <c r="CG20">
        <v>39515</v>
      </c>
      <c r="CK20">
        <v>0</v>
      </c>
      <c r="CL20">
        <v>249</v>
      </c>
      <c r="CM20">
        <v>248</v>
      </c>
      <c r="CN20">
        <v>248</v>
      </c>
      <c r="CO20">
        <v>745</v>
      </c>
      <c r="CP20">
        <v>500</v>
      </c>
      <c r="CQ20">
        <v>500</v>
      </c>
      <c r="CR20">
        <v>500</v>
      </c>
      <c r="CS20">
        <v>1500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1000</v>
      </c>
      <c r="DC20">
        <v>1000</v>
      </c>
      <c r="DD20">
        <v>1000</v>
      </c>
      <c r="DE20">
        <v>3000</v>
      </c>
      <c r="DF20">
        <v>0</v>
      </c>
      <c r="DG20">
        <v>0</v>
      </c>
      <c r="DH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5245</v>
      </c>
      <c r="EH20">
        <v>0</v>
      </c>
      <c r="EI20">
        <v>1154</v>
      </c>
      <c r="EJ20">
        <v>1154</v>
      </c>
      <c r="EK20">
        <v>1155</v>
      </c>
      <c r="EL20">
        <v>3500</v>
      </c>
      <c r="EM20">
        <v>37.065000000000005</v>
      </c>
      <c r="EN20">
        <v>660</v>
      </c>
      <c r="EO20">
        <v>660</v>
      </c>
      <c r="EP20">
        <v>659</v>
      </c>
      <c r="EQ20">
        <v>2000</v>
      </c>
      <c r="ER20">
        <v>21.18</v>
      </c>
      <c r="ES20">
        <v>0</v>
      </c>
      <c r="ET20">
        <v>0</v>
      </c>
      <c r="EU20">
        <v>0</v>
      </c>
      <c r="EV20">
        <v>0</v>
      </c>
      <c r="EW20">
        <v>0</v>
      </c>
      <c r="FA20">
        <v>0</v>
      </c>
      <c r="FE20">
        <v>0</v>
      </c>
      <c r="FI20">
        <v>0</v>
      </c>
      <c r="FJ20">
        <v>5441.7550000000001</v>
      </c>
      <c r="FK20">
        <v>34270</v>
      </c>
      <c r="FL20">
        <v>30107.198805246884</v>
      </c>
      <c r="FM20">
        <v>28828.244999999999</v>
      </c>
    </row>
    <row r="21" spans="1:169" x14ac:dyDescent="0.35">
      <c r="A21">
        <v>194287</v>
      </c>
      <c r="B21" t="s">
        <v>425</v>
      </c>
      <c r="C21" t="s">
        <v>426</v>
      </c>
      <c r="D21" t="s">
        <v>427</v>
      </c>
      <c r="E21" s="43" t="s">
        <v>428</v>
      </c>
      <c r="F21">
        <v>1</v>
      </c>
      <c r="I21" s="23">
        <v>43781</v>
      </c>
      <c r="L21" s="43" t="s">
        <v>3204</v>
      </c>
      <c r="M21" t="s">
        <v>429</v>
      </c>
      <c r="N21" t="s">
        <v>430</v>
      </c>
      <c r="O21" t="s">
        <v>431</v>
      </c>
      <c r="P21" t="s">
        <v>403</v>
      </c>
      <c r="Q21" t="s">
        <v>432</v>
      </c>
      <c r="R21">
        <v>3.5209000000000001</v>
      </c>
      <c r="S21">
        <v>44109</v>
      </c>
      <c r="T21" t="s">
        <v>265</v>
      </c>
      <c r="U21" t="s">
        <v>266</v>
      </c>
      <c r="V21" t="s">
        <v>267</v>
      </c>
      <c r="W21" t="s">
        <v>268</v>
      </c>
      <c r="X21" t="s">
        <v>269</v>
      </c>
      <c r="Y21">
        <v>8883022894</v>
      </c>
      <c r="Z21" t="s">
        <v>508</v>
      </c>
      <c r="AA21" t="s">
        <v>271</v>
      </c>
      <c r="AB21">
        <v>0</v>
      </c>
      <c r="AC21" t="s">
        <v>433</v>
      </c>
      <c r="AD21" t="s">
        <v>434</v>
      </c>
      <c r="AE21" t="s">
        <v>301</v>
      </c>
      <c r="AF21">
        <v>1</v>
      </c>
      <c r="AG21" t="s">
        <v>275</v>
      </c>
      <c r="AH21" s="43" t="s">
        <v>3221</v>
      </c>
      <c r="AI21" s="43" t="s">
        <v>3222</v>
      </c>
      <c r="AJ21" s="43" t="s">
        <v>3207</v>
      </c>
      <c r="AK21" s="43" t="s">
        <v>3208</v>
      </c>
      <c r="AL21" s="43" t="s">
        <v>3209</v>
      </c>
      <c r="AO21" s="23">
        <v>43784</v>
      </c>
      <c r="AP21" s="23"/>
      <c r="AQ21" s="23"/>
      <c r="BD21" s="43" t="s">
        <v>2018</v>
      </c>
      <c r="BE21" s="43" t="s">
        <v>2018</v>
      </c>
      <c r="BF21" s="43" t="s">
        <v>2018</v>
      </c>
      <c r="BG21" s="43" t="s">
        <v>2018</v>
      </c>
      <c r="BH21" s="43" t="s">
        <v>2018</v>
      </c>
      <c r="BI21" s="43" t="s">
        <v>2018</v>
      </c>
      <c r="BJ21">
        <v>5.8823529411764719E-2</v>
      </c>
      <c r="BK21">
        <v>44109</v>
      </c>
      <c r="BL21">
        <v>44356</v>
      </c>
      <c r="BM21">
        <v>8505</v>
      </c>
      <c r="BN21">
        <v>8505</v>
      </c>
      <c r="BO21">
        <v>8505</v>
      </c>
      <c r="BP21">
        <v>25515</v>
      </c>
      <c r="BQ21">
        <v>3300</v>
      </c>
      <c r="BR21">
        <v>400</v>
      </c>
      <c r="BS21">
        <v>400</v>
      </c>
      <c r="BT21">
        <v>4100</v>
      </c>
      <c r="BU21">
        <v>2100</v>
      </c>
      <c r="BV21">
        <v>2100</v>
      </c>
      <c r="BW21">
        <v>2100</v>
      </c>
      <c r="BX21">
        <v>6300</v>
      </c>
      <c r="BY21">
        <v>1200</v>
      </c>
      <c r="BZ21">
        <v>1200</v>
      </c>
      <c r="CA21">
        <v>1200</v>
      </c>
      <c r="CB21">
        <v>3600</v>
      </c>
      <c r="CC21">
        <v>0</v>
      </c>
      <c r="CD21">
        <v>0</v>
      </c>
      <c r="CE21">
        <v>0</v>
      </c>
      <c r="CF21">
        <v>0</v>
      </c>
      <c r="CG21">
        <v>39515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1700</v>
      </c>
      <c r="CU21">
        <v>1700</v>
      </c>
      <c r="CV21">
        <v>1700</v>
      </c>
      <c r="CW21">
        <v>5100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5100</v>
      </c>
      <c r="EH21">
        <v>0</v>
      </c>
      <c r="EI21">
        <v>1154</v>
      </c>
      <c r="EJ21">
        <v>1154</v>
      </c>
      <c r="EK21">
        <v>1155</v>
      </c>
      <c r="EL21">
        <v>3500</v>
      </c>
      <c r="EM21">
        <v>37.065000000000005</v>
      </c>
      <c r="EN21">
        <v>660</v>
      </c>
      <c r="EO21">
        <v>660</v>
      </c>
      <c r="EP21">
        <v>659</v>
      </c>
      <c r="EQ21">
        <v>2000</v>
      </c>
      <c r="ER21">
        <v>21.18</v>
      </c>
      <c r="ES21">
        <v>0</v>
      </c>
      <c r="ET21">
        <v>0</v>
      </c>
      <c r="EU21">
        <v>0</v>
      </c>
      <c r="EV21">
        <v>0</v>
      </c>
      <c r="EW21">
        <v>0</v>
      </c>
      <c r="FA21">
        <v>0</v>
      </c>
      <c r="FE21">
        <v>0</v>
      </c>
      <c r="FI21">
        <v>0</v>
      </c>
      <c r="FJ21">
        <v>5441.7550000000001</v>
      </c>
      <c r="FK21">
        <v>34415</v>
      </c>
      <c r="FL21">
        <v>30258.631673489846</v>
      </c>
      <c r="FM21">
        <v>28973.244999999999</v>
      </c>
    </row>
    <row r="22" spans="1:169" x14ac:dyDescent="0.35">
      <c r="A22">
        <v>197827</v>
      </c>
      <c r="B22" t="s">
        <v>435</v>
      </c>
      <c r="C22" t="s">
        <v>436</v>
      </c>
      <c r="D22" t="s">
        <v>437</v>
      </c>
      <c r="E22" s="43" t="s">
        <v>438</v>
      </c>
      <c r="L22" s="43" t="s">
        <v>259</v>
      </c>
      <c r="M22" t="s">
        <v>439</v>
      </c>
      <c r="N22" t="s">
        <v>440</v>
      </c>
      <c r="O22" t="s">
        <v>441</v>
      </c>
      <c r="P22" t="s">
        <v>442</v>
      </c>
      <c r="Q22" t="s">
        <v>443</v>
      </c>
      <c r="R22">
        <v>3.5</v>
      </c>
      <c r="S22">
        <v>44109</v>
      </c>
      <c r="T22" t="s">
        <v>285</v>
      </c>
      <c r="U22" t="s">
        <v>266</v>
      </c>
      <c r="V22" t="s">
        <v>267</v>
      </c>
      <c r="W22" t="s">
        <v>268</v>
      </c>
      <c r="X22" t="s">
        <v>269</v>
      </c>
      <c r="Y22">
        <v>8883022894</v>
      </c>
      <c r="Z22" t="s">
        <v>270</v>
      </c>
      <c r="AA22" t="s">
        <v>271</v>
      </c>
      <c r="AB22" t="s">
        <v>444</v>
      </c>
      <c r="AC22">
        <v>0</v>
      </c>
      <c r="AD22" t="s">
        <v>363</v>
      </c>
      <c r="AE22" t="s">
        <v>445</v>
      </c>
      <c r="AF22">
        <v>4</v>
      </c>
      <c r="AG22" t="s">
        <v>446</v>
      </c>
      <c r="AH22" s="43" t="s">
        <v>259</v>
      </c>
      <c r="AI22" s="43" t="s">
        <v>259</v>
      </c>
      <c r="AJ22" s="43" t="s">
        <v>259</v>
      </c>
      <c r="AK22" s="43" t="s">
        <v>259</v>
      </c>
      <c r="AL22" s="43" t="s">
        <v>259</v>
      </c>
      <c r="AO22" s="23"/>
      <c r="AP22" s="23"/>
      <c r="AQ22" s="23"/>
      <c r="BD22" s="43" t="s">
        <v>259</v>
      </c>
      <c r="BE22" s="43" t="s">
        <v>259</v>
      </c>
      <c r="BF22" s="43" t="s">
        <v>259</v>
      </c>
      <c r="BG22" s="43" t="s">
        <v>259</v>
      </c>
      <c r="BH22" s="43" t="s">
        <v>259</v>
      </c>
      <c r="BI22" s="43" t="s">
        <v>259</v>
      </c>
      <c r="BJ22">
        <v>0</v>
      </c>
      <c r="BK22">
        <v>44109</v>
      </c>
      <c r="BL22">
        <v>44356</v>
      </c>
      <c r="BM22">
        <v>8505</v>
      </c>
      <c r="BN22">
        <v>8505</v>
      </c>
      <c r="BO22">
        <v>8505</v>
      </c>
      <c r="BP22">
        <v>25515</v>
      </c>
      <c r="BQ22">
        <v>3300</v>
      </c>
      <c r="BR22">
        <v>400</v>
      </c>
      <c r="BS22">
        <v>400</v>
      </c>
      <c r="BT22">
        <v>4100</v>
      </c>
      <c r="BU22">
        <v>2100</v>
      </c>
      <c r="BV22">
        <v>2100</v>
      </c>
      <c r="BW22">
        <v>2100</v>
      </c>
      <c r="BX22">
        <v>6300</v>
      </c>
      <c r="BY22">
        <v>1200</v>
      </c>
      <c r="BZ22">
        <v>1200</v>
      </c>
      <c r="CA22">
        <v>1200</v>
      </c>
      <c r="CB22">
        <v>3600</v>
      </c>
      <c r="CC22">
        <v>0</v>
      </c>
      <c r="CD22">
        <v>0</v>
      </c>
      <c r="CE22">
        <v>0</v>
      </c>
      <c r="CF22">
        <v>0</v>
      </c>
      <c r="CG22">
        <v>39515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1250</v>
      </c>
      <c r="CU22">
        <v>1250</v>
      </c>
      <c r="CV22">
        <v>1250</v>
      </c>
      <c r="CW22">
        <v>3750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3750</v>
      </c>
      <c r="EE22">
        <v>0</v>
      </c>
      <c r="EF22">
        <v>0</v>
      </c>
      <c r="EG22">
        <v>0</v>
      </c>
      <c r="EH22">
        <v>0</v>
      </c>
      <c r="EI22">
        <v>1154</v>
      </c>
      <c r="EJ22">
        <v>1154</v>
      </c>
      <c r="EK22">
        <v>1155</v>
      </c>
      <c r="EL22">
        <v>3500</v>
      </c>
      <c r="EM22">
        <v>37.065000000000005</v>
      </c>
      <c r="EN22">
        <v>660</v>
      </c>
      <c r="EO22">
        <v>660</v>
      </c>
      <c r="EP22">
        <v>659</v>
      </c>
      <c r="EQ22">
        <v>2000</v>
      </c>
      <c r="ER22">
        <v>21.18</v>
      </c>
      <c r="ES22">
        <v>0</v>
      </c>
      <c r="ET22">
        <v>0</v>
      </c>
      <c r="EU22">
        <v>0</v>
      </c>
      <c r="EV22">
        <v>0</v>
      </c>
      <c r="EW22">
        <v>0</v>
      </c>
      <c r="FA22">
        <v>0</v>
      </c>
      <c r="FE22">
        <v>0</v>
      </c>
      <c r="FI22">
        <v>0</v>
      </c>
      <c r="FJ22">
        <v>5441.7550000000001</v>
      </c>
      <c r="FK22">
        <v>35765</v>
      </c>
      <c r="FL22">
        <v>31664.555574119709</v>
      </c>
      <c r="FM22">
        <v>30323.244999999999</v>
      </c>
    </row>
    <row r="23" spans="1:169" x14ac:dyDescent="0.35">
      <c r="A23">
        <v>196234</v>
      </c>
      <c r="B23" t="s">
        <v>447</v>
      </c>
      <c r="C23" t="s">
        <v>448</v>
      </c>
      <c r="D23" t="s">
        <v>449</v>
      </c>
      <c r="E23" s="43" t="s">
        <v>450</v>
      </c>
      <c r="L23" s="43" t="s">
        <v>259</v>
      </c>
      <c r="M23" t="s">
        <v>451</v>
      </c>
      <c r="N23" t="s">
        <v>452</v>
      </c>
      <c r="O23" t="s">
        <v>453</v>
      </c>
      <c r="P23" t="s">
        <v>454</v>
      </c>
      <c r="Q23" t="s">
        <v>455</v>
      </c>
      <c r="R23">
        <v>3.4</v>
      </c>
      <c r="S23">
        <v>44109</v>
      </c>
      <c r="T23" t="s">
        <v>285</v>
      </c>
      <c r="U23" t="s">
        <v>266</v>
      </c>
      <c r="V23" t="s">
        <v>267</v>
      </c>
      <c r="W23" t="s">
        <v>268</v>
      </c>
      <c r="X23" t="s">
        <v>269</v>
      </c>
      <c r="Y23">
        <v>8883022894</v>
      </c>
      <c r="Z23" t="s">
        <v>270</v>
      </c>
      <c r="AA23" t="s">
        <v>271</v>
      </c>
      <c r="AB23">
        <v>0</v>
      </c>
      <c r="AC23">
        <v>0</v>
      </c>
      <c r="AD23" t="s">
        <v>313</v>
      </c>
      <c r="AE23" t="s">
        <v>354</v>
      </c>
      <c r="AF23">
        <v>6</v>
      </c>
      <c r="AG23" t="s">
        <v>446</v>
      </c>
      <c r="AH23" s="43" t="s">
        <v>259</v>
      </c>
      <c r="AI23" s="43" t="s">
        <v>259</v>
      </c>
      <c r="AJ23" s="43" t="s">
        <v>259</v>
      </c>
      <c r="AK23" s="43" t="s">
        <v>259</v>
      </c>
      <c r="AL23" s="43" t="s">
        <v>259</v>
      </c>
      <c r="AO23" s="23"/>
      <c r="AP23" s="23"/>
      <c r="AQ23" s="23"/>
      <c r="BD23" s="43" t="s">
        <v>259</v>
      </c>
      <c r="BE23" s="43" t="s">
        <v>259</v>
      </c>
      <c r="BF23" s="43" t="s">
        <v>259</v>
      </c>
      <c r="BG23" s="43" t="s">
        <v>259</v>
      </c>
      <c r="BH23" s="43" t="s">
        <v>259</v>
      </c>
      <c r="BI23" s="43" t="s">
        <v>259</v>
      </c>
      <c r="BJ23">
        <v>0</v>
      </c>
      <c r="BK23">
        <v>44109</v>
      </c>
      <c r="BL23">
        <v>44356</v>
      </c>
      <c r="BM23">
        <v>8505</v>
      </c>
      <c r="BN23">
        <v>8505</v>
      </c>
      <c r="BO23">
        <v>8505</v>
      </c>
      <c r="BP23">
        <v>25515</v>
      </c>
      <c r="BQ23">
        <v>3300</v>
      </c>
      <c r="BR23">
        <v>400</v>
      </c>
      <c r="BS23">
        <v>400</v>
      </c>
      <c r="BT23">
        <v>4100</v>
      </c>
      <c r="BU23">
        <v>2100</v>
      </c>
      <c r="BV23">
        <v>2100</v>
      </c>
      <c r="BW23">
        <v>2100</v>
      </c>
      <c r="BX23">
        <v>6300</v>
      </c>
      <c r="BY23">
        <v>1200</v>
      </c>
      <c r="BZ23">
        <v>1200</v>
      </c>
      <c r="CA23">
        <v>1200</v>
      </c>
      <c r="CB23">
        <v>3600</v>
      </c>
      <c r="CC23">
        <v>0</v>
      </c>
      <c r="CD23">
        <v>0</v>
      </c>
      <c r="CE23">
        <v>0</v>
      </c>
      <c r="CF23">
        <v>0</v>
      </c>
      <c r="CG23">
        <v>39515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750</v>
      </c>
      <c r="CU23">
        <v>750</v>
      </c>
      <c r="CV23">
        <v>750</v>
      </c>
      <c r="CW23">
        <v>2250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2250</v>
      </c>
      <c r="EH23">
        <v>0</v>
      </c>
      <c r="EI23">
        <v>1154</v>
      </c>
      <c r="EJ23">
        <v>1154</v>
      </c>
      <c r="EK23">
        <v>1155</v>
      </c>
      <c r="EL23">
        <v>3500</v>
      </c>
      <c r="EM23">
        <v>37.065000000000005</v>
      </c>
      <c r="EN23">
        <v>660</v>
      </c>
      <c r="EO23">
        <v>660</v>
      </c>
      <c r="EP23">
        <v>659</v>
      </c>
      <c r="EQ23">
        <v>2000</v>
      </c>
      <c r="ER23">
        <v>21.18</v>
      </c>
      <c r="ES23">
        <v>0</v>
      </c>
      <c r="ET23">
        <v>0</v>
      </c>
      <c r="EU23">
        <v>0</v>
      </c>
      <c r="EV23">
        <v>0</v>
      </c>
      <c r="EW23">
        <v>0</v>
      </c>
      <c r="FA23">
        <v>0</v>
      </c>
      <c r="FE23">
        <v>0</v>
      </c>
      <c r="FI23">
        <v>0</v>
      </c>
      <c r="FJ23">
        <v>5441.7550000000001</v>
      </c>
      <c r="FK23">
        <v>37265</v>
      </c>
      <c r="FL23">
        <v>33235.070807920463</v>
      </c>
      <c r="FM23">
        <v>31823.245000000003</v>
      </c>
    </row>
    <row r="24" spans="1:169" x14ac:dyDescent="0.35">
      <c r="A24">
        <v>198388</v>
      </c>
      <c r="B24" t="s">
        <v>456</v>
      </c>
      <c r="C24" t="s">
        <v>457</v>
      </c>
      <c r="D24" t="s">
        <v>458</v>
      </c>
      <c r="E24" s="43" t="s">
        <v>459</v>
      </c>
      <c r="F24">
        <v>1</v>
      </c>
      <c r="I24" s="23">
        <v>43782</v>
      </c>
      <c r="L24" s="43" t="s">
        <v>344</v>
      </c>
      <c r="M24" t="s">
        <v>460</v>
      </c>
      <c r="N24" t="s">
        <v>461</v>
      </c>
      <c r="O24" t="s">
        <v>462</v>
      </c>
      <c r="P24" t="s">
        <v>342</v>
      </c>
      <c r="Q24" t="s">
        <v>463</v>
      </c>
      <c r="R24">
        <v>3.65</v>
      </c>
      <c r="S24">
        <v>44109</v>
      </c>
      <c r="T24" t="s">
        <v>265</v>
      </c>
      <c r="U24" t="s">
        <v>266</v>
      </c>
      <c r="V24" t="s">
        <v>267</v>
      </c>
      <c r="W24" t="s">
        <v>268</v>
      </c>
      <c r="X24" t="s">
        <v>269</v>
      </c>
      <c r="Y24">
        <v>8883022894</v>
      </c>
      <c r="Z24" t="s">
        <v>270</v>
      </c>
      <c r="AA24" t="s">
        <v>271</v>
      </c>
      <c r="AB24">
        <v>0</v>
      </c>
      <c r="AC24" t="s">
        <v>464</v>
      </c>
      <c r="AD24" t="s">
        <v>300</v>
      </c>
      <c r="AE24" t="s">
        <v>301</v>
      </c>
      <c r="AF24">
        <v>1</v>
      </c>
      <c r="AG24" t="s">
        <v>446</v>
      </c>
      <c r="AH24" s="43" t="s">
        <v>313</v>
      </c>
      <c r="AI24" s="43" t="s">
        <v>313</v>
      </c>
      <c r="AJ24" s="43" t="s">
        <v>3821</v>
      </c>
      <c r="AK24" s="43" t="s">
        <v>1715</v>
      </c>
      <c r="AL24" s="43" t="s">
        <v>259</v>
      </c>
      <c r="AO24" s="23"/>
      <c r="AP24" s="23"/>
      <c r="AQ24" s="23"/>
      <c r="BD24" s="43" t="s">
        <v>259</v>
      </c>
      <c r="BE24" s="43" t="s">
        <v>259</v>
      </c>
      <c r="BF24" s="43" t="s">
        <v>259</v>
      </c>
      <c r="BG24" s="43" t="s">
        <v>259</v>
      </c>
      <c r="BH24" s="43" t="s">
        <v>259</v>
      </c>
      <c r="BI24" s="43" t="s">
        <v>259</v>
      </c>
      <c r="BJ24">
        <v>0</v>
      </c>
      <c r="BK24">
        <v>44109</v>
      </c>
      <c r="BL24">
        <v>44356</v>
      </c>
      <c r="BM24">
        <v>8505</v>
      </c>
      <c r="BN24">
        <v>8505</v>
      </c>
      <c r="BO24">
        <v>8505</v>
      </c>
      <c r="BP24">
        <v>25515</v>
      </c>
      <c r="BQ24">
        <v>3300</v>
      </c>
      <c r="BR24">
        <v>400</v>
      </c>
      <c r="BS24">
        <v>400</v>
      </c>
      <c r="BT24">
        <v>4100</v>
      </c>
      <c r="BU24">
        <v>2100</v>
      </c>
      <c r="BV24">
        <v>2100</v>
      </c>
      <c r="BW24">
        <v>2100</v>
      </c>
      <c r="BX24">
        <v>6300</v>
      </c>
      <c r="BY24">
        <v>1200</v>
      </c>
      <c r="BZ24">
        <v>1200</v>
      </c>
      <c r="CA24">
        <v>1200</v>
      </c>
      <c r="CB24">
        <v>3600</v>
      </c>
      <c r="CC24">
        <v>0</v>
      </c>
      <c r="CD24">
        <v>0</v>
      </c>
      <c r="CE24">
        <v>0</v>
      </c>
      <c r="CF24">
        <v>0</v>
      </c>
      <c r="CG24">
        <v>39515</v>
      </c>
      <c r="CK24">
        <v>0</v>
      </c>
      <c r="CL24">
        <v>2065</v>
      </c>
      <c r="CM24">
        <v>2065</v>
      </c>
      <c r="CN24">
        <v>2065</v>
      </c>
      <c r="CO24">
        <v>6195</v>
      </c>
      <c r="CP24">
        <v>500</v>
      </c>
      <c r="CQ24">
        <v>500</v>
      </c>
      <c r="CR24">
        <v>500</v>
      </c>
      <c r="CS24">
        <v>1500</v>
      </c>
      <c r="CT24">
        <v>1700</v>
      </c>
      <c r="CU24">
        <v>1700</v>
      </c>
      <c r="CV24">
        <v>1700</v>
      </c>
      <c r="CW24">
        <v>5100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12795</v>
      </c>
      <c r="EH24">
        <v>0</v>
      </c>
      <c r="EI24">
        <v>1154</v>
      </c>
      <c r="EJ24">
        <v>1154</v>
      </c>
      <c r="EK24">
        <v>1155</v>
      </c>
      <c r="EL24">
        <v>3500</v>
      </c>
      <c r="EM24">
        <v>37.065000000000005</v>
      </c>
      <c r="EN24">
        <v>660</v>
      </c>
      <c r="EO24">
        <v>660</v>
      </c>
      <c r="EP24">
        <v>659</v>
      </c>
      <c r="EQ24">
        <v>2000</v>
      </c>
      <c r="ER24">
        <v>21.18</v>
      </c>
      <c r="ES24">
        <v>0</v>
      </c>
      <c r="ET24">
        <v>0</v>
      </c>
      <c r="EU24">
        <v>0</v>
      </c>
      <c r="EV24">
        <v>0</v>
      </c>
      <c r="EW24">
        <v>0</v>
      </c>
      <c r="FA24">
        <v>0</v>
      </c>
      <c r="FE24">
        <v>0</v>
      </c>
      <c r="FI24">
        <v>0</v>
      </c>
      <c r="FJ24">
        <v>5441.7550000000001</v>
      </c>
      <c r="FK24">
        <v>26720</v>
      </c>
      <c r="FL24">
        <v>22222.246010527193</v>
      </c>
      <c r="FM24">
        <v>21278.244999999999</v>
      </c>
    </row>
    <row r="25" spans="1:169" x14ac:dyDescent="0.35">
      <c r="A25">
        <v>195571</v>
      </c>
      <c r="B25" t="s">
        <v>465</v>
      </c>
      <c r="C25" t="s">
        <v>291</v>
      </c>
      <c r="D25" t="s">
        <v>466</v>
      </c>
      <c r="E25" s="43" t="s">
        <v>467</v>
      </c>
      <c r="F25">
        <v>2</v>
      </c>
      <c r="G25" s="23">
        <v>43782</v>
      </c>
      <c r="H25" s="23">
        <v>43782</v>
      </c>
      <c r="I25" s="23">
        <v>43782</v>
      </c>
      <c r="L25" s="43" t="s">
        <v>3204</v>
      </c>
      <c r="M25" t="s">
        <v>468</v>
      </c>
      <c r="N25" t="s">
        <v>469</v>
      </c>
      <c r="O25" t="s">
        <v>470</v>
      </c>
      <c r="P25" t="s">
        <v>342</v>
      </c>
      <c r="Q25" t="s">
        <v>471</v>
      </c>
      <c r="R25">
        <v>3.4</v>
      </c>
      <c r="S25">
        <v>44109</v>
      </c>
      <c r="T25" t="s">
        <v>285</v>
      </c>
      <c r="U25" t="s">
        <v>266</v>
      </c>
      <c r="V25" t="s">
        <v>267</v>
      </c>
      <c r="W25" t="s">
        <v>268</v>
      </c>
      <c r="X25" t="s">
        <v>269</v>
      </c>
      <c r="Y25">
        <v>8883022894</v>
      </c>
      <c r="Z25" t="s">
        <v>270</v>
      </c>
      <c r="AA25" t="s">
        <v>271</v>
      </c>
      <c r="AB25">
        <v>0</v>
      </c>
      <c r="AC25">
        <v>0</v>
      </c>
      <c r="AD25" t="s">
        <v>313</v>
      </c>
      <c r="AE25" t="s">
        <v>324</v>
      </c>
      <c r="AF25">
        <v>8</v>
      </c>
      <c r="AG25" t="s">
        <v>275</v>
      </c>
      <c r="AH25" s="43" t="s">
        <v>3822</v>
      </c>
      <c r="AI25" s="43" t="s">
        <v>3823</v>
      </c>
      <c r="AJ25" s="43" t="s">
        <v>3821</v>
      </c>
      <c r="AK25" s="43" t="s">
        <v>1715</v>
      </c>
      <c r="AL25" s="43" t="s">
        <v>259</v>
      </c>
      <c r="AO25" s="23">
        <v>43772</v>
      </c>
      <c r="AP25" s="23">
        <v>43772</v>
      </c>
      <c r="AQ25" s="23">
        <v>43772</v>
      </c>
      <c r="BD25" s="43" t="s">
        <v>259</v>
      </c>
      <c r="BE25" s="43" t="s">
        <v>259</v>
      </c>
      <c r="BF25" s="43" t="s">
        <v>259</v>
      </c>
      <c r="BG25" s="43" t="s">
        <v>259</v>
      </c>
      <c r="BH25" s="43" t="s">
        <v>259</v>
      </c>
      <c r="BI25" s="43" t="s">
        <v>259</v>
      </c>
      <c r="BJ25">
        <v>0.13043478260869568</v>
      </c>
      <c r="BK25">
        <v>44109</v>
      </c>
      <c r="BL25">
        <v>44356</v>
      </c>
      <c r="BM25">
        <v>8505</v>
      </c>
      <c r="BN25">
        <v>8505</v>
      </c>
      <c r="BO25">
        <v>8505</v>
      </c>
      <c r="BP25">
        <v>25515</v>
      </c>
      <c r="BQ25">
        <v>3300</v>
      </c>
      <c r="BR25">
        <v>400</v>
      </c>
      <c r="BS25">
        <v>400</v>
      </c>
      <c r="BT25">
        <v>4100</v>
      </c>
      <c r="BU25">
        <v>2100</v>
      </c>
      <c r="BV25">
        <v>2100</v>
      </c>
      <c r="BW25">
        <v>2100</v>
      </c>
      <c r="BX25">
        <v>6300</v>
      </c>
      <c r="BY25">
        <v>1200</v>
      </c>
      <c r="BZ25">
        <v>1200</v>
      </c>
      <c r="CA25">
        <v>1200</v>
      </c>
      <c r="CB25">
        <v>3600</v>
      </c>
      <c r="CC25">
        <v>0</v>
      </c>
      <c r="CD25">
        <v>0</v>
      </c>
      <c r="CE25">
        <v>0</v>
      </c>
      <c r="CF25">
        <v>0</v>
      </c>
      <c r="CG25">
        <v>39515</v>
      </c>
      <c r="CK25">
        <v>0</v>
      </c>
      <c r="CL25">
        <v>315</v>
      </c>
      <c r="CM25">
        <v>315</v>
      </c>
      <c r="CN25">
        <v>315</v>
      </c>
      <c r="CO25">
        <v>945</v>
      </c>
      <c r="CP25">
        <v>500</v>
      </c>
      <c r="CQ25">
        <v>500</v>
      </c>
      <c r="CR25">
        <v>500</v>
      </c>
      <c r="CS25">
        <v>1500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2445</v>
      </c>
      <c r="EH25">
        <v>0</v>
      </c>
      <c r="EI25">
        <v>1154</v>
      </c>
      <c r="EJ25">
        <v>1154</v>
      </c>
      <c r="EK25">
        <v>1155</v>
      </c>
      <c r="EL25">
        <v>3500</v>
      </c>
      <c r="EM25">
        <v>37.065000000000005</v>
      </c>
      <c r="EN25">
        <v>660</v>
      </c>
      <c r="EO25">
        <v>660</v>
      </c>
      <c r="EP25">
        <v>659</v>
      </c>
      <c r="EQ25">
        <v>2000</v>
      </c>
      <c r="ER25">
        <v>21.18</v>
      </c>
      <c r="ES25">
        <v>0</v>
      </c>
      <c r="ET25">
        <v>0</v>
      </c>
      <c r="EU25">
        <v>0</v>
      </c>
      <c r="EV25">
        <v>0</v>
      </c>
      <c r="EW25">
        <v>0</v>
      </c>
      <c r="FA25">
        <v>0</v>
      </c>
      <c r="FE25">
        <v>0</v>
      </c>
      <c r="FI25">
        <v>0</v>
      </c>
      <c r="FJ25">
        <v>5441.7550000000001</v>
      </c>
      <c r="FK25">
        <v>37070</v>
      </c>
      <c r="FL25">
        <v>33031.419709248898</v>
      </c>
      <c r="FM25">
        <v>31628.245000000003</v>
      </c>
    </row>
    <row r="26" spans="1:169" x14ac:dyDescent="0.35">
      <c r="A26">
        <v>195768</v>
      </c>
      <c r="B26" t="s">
        <v>3446</v>
      </c>
      <c r="C26" t="s">
        <v>3447</v>
      </c>
      <c r="D26" t="s">
        <v>3448</v>
      </c>
      <c r="E26" s="43" t="s">
        <v>4199</v>
      </c>
      <c r="J26" t="s">
        <v>3425</v>
      </c>
      <c r="L26" s="43" t="s">
        <v>259</v>
      </c>
      <c r="M26" t="s">
        <v>3449</v>
      </c>
      <c r="N26" t="s">
        <v>3450</v>
      </c>
      <c r="O26" t="s">
        <v>3451</v>
      </c>
      <c r="P26" t="s">
        <v>524</v>
      </c>
      <c r="Q26" t="s">
        <v>3452</v>
      </c>
      <c r="R26">
        <v>3.12</v>
      </c>
      <c r="S26">
        <v>44109</v>
      </c>
      <c r="T26" t="s">
        <v>311</v>
      </c>
      <c r="U26" t="s">
        <v>286</v>
      </c>
      <c r="V26" t="s">
        <v>267</v>
      </c>
      <c r="W26" t="s">
        <v>268</v>
      </c>
      <c r="X26" t="s">
        <v>269</v>
      </c>
      <c r="Y26">
        <v>8883022894</v>
      </c>
      <c r="Z26" t="s">
        <v>270</v>
      </c>
      <c r="AA26" t="s">
        <v>271</v>
      </c>
      <c r="AB26" t="s">
        <v>374</v>
      </c>
      <c r="AC26">
        <v>0</v>
      </c>
      <c r="AD26" t="s">
        <v>637</v>
      </c>
      <c r="AE26" t="s">
        <v>416</v>
      </c>
      <c r="AF26">
        <v>5</v>
      </c>
      <c r="AG26" t="s">
        <v>3345</v>
      </c>
      <c r="AH26" s="43" t="s">
        <v>259</v>
      </c>
      <c r="AI26" s="43" t="s">
        <v>259</v>
      </c>
      <c r="AJ26" s="43" t="s">
        <v>259</v>
      </c>
      <c r="AK26" s="43" t="s">
        <v>259</v>
      </c>
      <c r="AL26" s="43" t="s">
        <v>259</v>
      </c>
      <c r="AO26" s="23"/>
      <c r="AP26" s="23"/>
      <c r="AQ26" s="23"/>
      <c r="BD26" s="43" t="s">
        <v>259</v>
      </c>
      <c r="BE26" s="43" t="s">
        <v>259</v>
      </c>
      <c r="BF26" s="43" t="s">
        <v>259</v>
      </c>
      <c r="BG26" s="43" t="s">
        <v>259</v>
      </c>
      <c r="BH26" s="43" t="s">
        <v>259</v>
      </c>
      <c r="BI26" s="43" t="s">
        <v>259</v>
      </c>
      <c r="BJ26">
        <v>0</v>
      </c>
      <c r="BK26">
        <v>44109</v>
      </c>
      <c r="BL26">
        <v>44356</v>
      </c>
      <c r="BM26">
        <v>8505</v>
      </c>
      <c r="BN26">
        <v>8505</v>
      </c>
      <c r="BO26">
        <v>8505</v>
      </c>
      <c r="BP26">
        <v>25515</v>
      </c>
      <c r="BQ26">
        <v>3300</v>
      </c>
      <c r="BR26">
        <v>400</v>
      </c>
      <c r="BS26">
        <v>400</v>
      </c>
      <c r="BT26">
        <v>4100</v>
      </c>
      <c r="BU26">
        <v>2100</v>
      </c>
      <c r="BV26">
        <v>2100</v>
      </c>
      <c r="BW26">
        <v>2100</v>
      </c>
      <c r="BX26">
        <v>6300</v>
      </c>
      <c r="BY26">
        <v>1200</v>
      </c>
      <c r="BZ26">
        <v>1200</v>
      </c>
      <c r="CA26">
        <v>1200</v>
      </c>
      <c r="CB26">
        <v>3600</v>
      </c>
      <c r="CF26">
        <v>0</v>
      </c>
      <c r="CG26">
        <v>39515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1000</v>
      </c>
      <c r="CU26">
        <v>1000</v>
      </c>
      <c r="CV26">
        <v>1000</v>
      </c>
      <c r="CW26">
        <v>3000</v>
      </c>
      <c r="CX26">
        <v>0</v>
      </c>
      <c r="CY26">
        <v>0</v>
      </c>
      <c r="CZ26">
        <v>0</v>
      </c>
      <c r="DA26">
        <v>0</v>
      </c>
      <c r="DB26">
        <v>1000</v>
      </c>
      <c r="DC26">
        <v>1000</v>
      </c>
      <c r="DD26">
        <v>1000</v>
      </c>
      <c r="DE26">
        <v>3000</v>
      </c>
      <c r="DF26">
        <v>0</v>
      </c>
      <c r="DG26">
        <v>0</v>
      </c>
      <c r="DH26">
        <v>0</v>
      </c>
      <c r="DN26">
        <v>0</v>
      </c>
      <c r="DO26">
        <v>0</v>
      </c>
      <c r="DP26">
        <v>0</v>
      </c>
      <c r="DR26">
        <v>0</v>
      </c>
      <c r="DS26">
        <v>0</v>
      </c>
      <c r="DT26">
        <v>0</v>
      </c>
      <c r="DY26">
        <v>0</v>
      </c>
      <c r="EC26">
        <v>0</v>
      </c>
      <c r="ED26">
        <v>6000</v>
      </c>
      <c r="EH26">
        <v>0</v>
      </c>
      <c r="EI26">
        <v>0</v>
      </c>
      <c r="EJ26">
        <v>0</v>
      </c>
      <c r="EK26">
        <v>0</v>
      </c>
      <c r="EM26">
        <v>0</v>
      </c>
      <c r="EN26">
        <v>660</v>
      </c>
      <c r="EO26">
        <v>660</v>
      </c>
      <c r="EP26">
        <v>659</v>
      </c>
      <c r="EQ26">
        <v>2000</v>
      </c>
      <c r="ER26">
        <v>21.24</v>
      </c>
      <c r="ES26">
        <v>0</v>
      </c>
      <c r="ET26">
        <v>0</v>
      </c>
      <c r="EU26">
        <v>0</v>
      </c>
      <c r="EW26">
        <v>0</v>
      </c>
      <c r="FA26">
        <v>0</v>
      </c>
      <c r="FE26">
        <v>0</v>
      </c>
      <c r="FI26">
        <v>0</v>
      </c>
      <c r="FJ26">
        <v>1978.76</v>
      </c>
      <c r="FK26">
        <v>33515</v>
      </c>
      <c r="FL26">
        <v>32935.332943437214</v>
      </c>
      <c r="FM26">
        <v>31536.240000000002</v>
      </c>
    </row>
    <row r="27" spans="1:169" x14ac:dyDescent="0.35">
      <c r="A27">
        <v>194764</v>
      </c>
      <c r="B27" t="s">
        <v>472</v>
      </c>
      <c r="C27" t="s">
        <v>473</v>
      </c>
      <c r="D27" t="s">
        <v>474</v>
      </c>
      <c r="E27" s="43" t="s">
        <v>475</v>
      </c>
      <c r="L27" s="43" t="s">
        <v>259</v>
      </c>
      <c r="M27" t="s">
        <v>476</v>
      </c>
      <c r="N27" t="s">
        <v>477</v>
      </c>
      <c r="O27" t="s">
        <v>478</v>
      </c>
      <c r="P27" t="s">
        <v>309</v>
      </c>
      <c r="Q27" t="s">
        <v>479</v>
      </c>
      <c r="R27">
        <v>4</v>
      </c>
      <c r="S27">
        <v>44109</v>
      </c>
      <c r="T27" t="s">
        <v>311</v>
      </c>
      <c r="U27" t="s">
        <v>286</v>
      </c>
      <c r="V27" t="s">
        <v>267</v>
      </c>
      <c r="W27" t="s">
        <v>268</v>
      </c>
      <c r="X27" t="s">
        <v>269</v>
      </c>
      <c r="Y27">
        <v>8883022894</v>
      </c>
      <c r="Z27" t="s">
        <v>270</v>
      </c>
      <c r="AA27" t="s">
        <v>271</v>
      </c>
      <c r="AB27">
        <v>0</v>
      </c>
      <c r="AC27" t="s">
        <v>480</v>
      </c>
      <c r="AD27" t="s">
        <v>481</v>
      </c>
      <c r="AE27" t="s">
        <v>301</v>
      </c>
      <c r="AF27">
        <v>1</v>
      </c>
      <c r="AG27" t="s">
        <v>275</v>
      </c>
      <c r="AH27" s="43" t="s">
        <v>259</v>
      </c>
      <c r="AI27" s="43" t="s">
        <v>259</v>
      </c>
      <c r="AJ27" s="43" t="s">
        <v>259</v>
      </c>
      <c r="AK27" s="43" t="s">
        <v>259</v>
      </c>
      <c r="AL27" s="43" t="s">
        <v>259</v>
      </c>
      <c r="AO27" s="23"/>
      <c r="AP27" s="23"/>
      <c r="AQ27" s="23"/>
      <c r="BD27" s="43" t="s">
        <v>259</v>
      </c>
      <c r="BE27" s="43" t="s">
        <v>259</v>
      </c>
      <c r="BF27" s="43" t="s">
        <v>259</v>
      </c>
      <c r="BG27" s="43" t="s">
        <v>259</v>
      </c>
      <c r="BH27" s="43" t="s">
        <v>259</v>
      </c>
      <c r="BI27" s="43" t="s">
        <v>259</v>
      </c>
      <c r="BJ27">
        <v>0</v>
      </c>
      <c r="BK27">
        <v>44109</v>
      </c>
      <c r="BL27">
        <v>44356</v>
      </c>
      <c r="BM27">
        <v>8505</v>
      </c>
      <c r="BN27">
        <v>8505</v>
      </c>
      <c r="BO27">
        <v>8505</v>
      </c>
      <c r="BP27">
        <v>25515</v>
      </c>
      <c r="BQ27">
        <v>3300</v>
      </c>
      <c r="BR27">
        <v>400</v>
      </c>
      <c r="BS27">
        <v>400</v>
      </c>
      <c r="BT27">
        <v>4100</v>
      </c>
      <c r="BU27">
        <v>2100</v>
      </c>
      <c r="BV27">
        <v>2100</v>
      </c>
      <c r="BW27">
        <v>2100</v>
      </c>
      <c r="BX27">
        <v>6300</v>
      </c>
      <c r="BY27">
        <v>1200</v>
      </c>
      <c r="BZ27">
        <v>1200</v>
      </c>
      <c r="CA27">
        <v>1200</v>
      </c>
      <c r="CB27">
        <v>3600</v>
      </c>
      <c r="CC27">
        <v>0</v>
      </c>
      <c r="CD27">
        <v>0</v>
      </c>
      <c r="CE27">
        <v>0</v>
      </c>
      <c r="CF27">
        <v>0</v>
      </c>
      <c r="CG27">
        <v>39515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1700</v>
      </c>
      <c r="CU27">
        <v>1700</v>
      </c>
      <c r="CV27">
        <v>1700</v>
      </c>
      <c r="CW27">
        <v>5100</v>
      </c>
      <c r="CX27">
        <v>0</v>
      </c>
      <c r="CY27">
        <v>0</v>
      </c>
      <c r="CZ27">
        <v>0</v>
      </c>
      <c r="DA27">
        <v>0</v>
      </c>
      <c r="DB27">
        <v>1000</v>
      </c>
      <c r="DC27">
        <v>1000</v>
      </c>
      <c r="DD27">
        <v>1000</v>
      </c>
      <c r="DE27">
        <v>3000</v>
      </c>
      <c r="DF27">
        <v>0</v>
      </c>
      <c r="DG27">
        <v>0</v>
      </c>
      <c r="DH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8100</v>
      </c>
      <c r="EH27">
        <v>0</v>
      </c>
      <c r="EI27">
        <v>1154</v>
      </c>
      <c r="EJ27">
        <v>1154</v>
      </c>
      <c r="EK27">
        <v>1155</v>
      </c>
      <c r="EL27">
        <v>3500</v>
      </c>
      <c r="EM27">
        <v>37.065000000000005</v>
      </c>
      <c r="EN27">
        <v>660</v>
      </c>
      <c r="EO27">
        <v>660</v>
      </c>
      <c r="EP27">
        <v>659</v>
      </c>
      <c r="EQ27">
        <v>2000</v>
      </c>
      <c r="ER27">
        <v>21.18</v>
      </c>
      <c r="ES27">
        <v>0</v>
      </c>
      <c r="ET27">
        <v>0</v>
      </c>
      <c r="EU27">
        <v>0</v>
      </c>
      <c r="EV27">
        <v>0</v>
      </c>
      <c r="EW27">
        <v>0</v>
      </c>
      <c r="FA27">
        <v>0</v>
      </c>
      <c r="FE27">
        <v>0</v>
      </c>
      <c r="FI27">
        <v>0</v>
      </c>
      <c r="FJ27">
        <v>5441.7550000000001</v>
      </c>
      <c r="FK27">
        <v>31415</v>
      </c>
      <c r="FL27">
        <v>27125.537847773412</v>
      </c>
      <c r="FM27">
        <v>25973.244999999999</v>
      </c>
    </row>
    <row r="28" spans="1:169" x14ac:dyDescent="0.35">
      <c r="A28">
        <v>197750</v>
      </c>
      <c r="B28" t="s">
        <v>482</v>
      </c>
      <c r="C28" t="s">
        <v>483</v>
      </c>
      <c r="D28" t="s">
        <v>484</v>
      </c>
      <c r="E28" s="43" t="s">
        <v>485</v>
      </c>
      <c r="L28" s="43" t="s">
        <v>259</v>
      </c>
      <c r="M28" t="s">
        <v>486</v>
      </c>
      <c r="N28" t="s">
        <v>487</v>
      </c>
      <c r="O28" t="s">
        <v>488</v>
      </c>
      <c r="P28" t="s">
        <v>372</v>
      </c>
      <c r="Q28" t="s">
        <v>489</v>
      </c>
      <c r="R28">
        <v>3.8</v>
      </c>
      <c r="S28">
        <v>44109</v>
      </c>
      <c r="T28" t="s">
        <v>285</v>
      </c>
      <c r="U28" t="s">
        <v>286</v>
      </c>
      <c r="V28" t="s">
        <v>267</v>
      </c>
      <c r="W28" t="s">
        <v>268</v>
      </c>
      <c r="X28" t="s">
        <v>269</v>
      </c>
      <c r="Y28">
        <v>8883022894</v>
      </c>
      <c r="Z28" t="s">
        <v>270</v>
      </c>
      <c r="AA28" t="s">
        <v>271</v>
      </c>
      <c r="AB28">
        <v>0</v>
      </c>
      <c r="AC28">
        <v>0</v>
      </c>
      <c r="AD28" t="s">
        <v>313</v>
      </c>
      <c r="AE28" t="s">
        <v>364</v>
      </c>
      <c r="AF28">
        <v>3</v>
      </c>
      <c r="AG28" t="s">
        <v>275</v>
      </c>
      <c r="AH28" s="43" t="s">
        <v>259</v>
      </c>
      <c r="AI28" s="43" t="s">
        <v>259</v>
      </c>
      <c r="AJ28" s="43" t="s">
        <v>259</v>
      </c>
      <c r="AK28" s="43" t="s">
        <v>259</v>
      </c>
      <c r="AL28" s="43" t="s">
        <v>259</v>
      </c>
      <c r="AO28" s="23"/>
      <c r="AP28" s="23"/>
      <c r="AQ28" s="23"/>
      <c r="BD28" s="43" t="s">
        <v>259</v>
      </c>
      <c r="BE28" s="43" t="s">
        <v>259</v>
      </c>
      <c r="BF28" s="43" t="s">
        <v>259</v>
      </c>
      <c r="BG28" s="43" t="s">
        <v>259</v>
      </c>
      <c r="BH28" s="43" t="s">
        <v>259</v>
      </c>
      <c r="BI28" s="43" t="s">
        <v>259</v>
      </c>
      <c r="BJ28">
        <v>0</v>
      </c>
      <c r="BK28">
        <v>44109</v>
      </c>
      <c r="BL28">
        <v>44356</v>
      </c>
      <c r="BM28">
        <v>8505</v>
      </c>
      <c r="BN28">
        <v>8505</v>
      </c>
      <c r="BO28">
        <v>8505</v>
      </c>
      <c r="BP28">
        <v>25515</v>
      </c>
      <c r="BQ28">
        <v>3300</v>
      </c>
      <c r="BR28">
        <v>400</v>
      </c>
      <c r="BS28">
        <v>400</v>
      </c>
      <c r="BT28">
        <v>4100</v>
      </c>
      <c r="BU28">
        <v>2100</v>
      </c>
      <c r="BV28">
        <v>2100</v>
      </c>
      <c r="BW28">
        <v>2100</v>
      </c>
      <c r="BX28">
        <v>6300</v>
      </c>
      <c r="BY28">
        <v>1200</v>
      </c>
      <c r="BZ28">
        <v>1200</v>
      </c>
      <c r="CA28">
        <v>1200</v>
      </c>
      <c r="CB28">
        <v>3600</v>
      </c>
      <c r="CC28">
        <v>0</v>
      </c>
      <c r="CD28">
        <v>0</v>
      </c>
      <c r="CE28">
        <v>0</v>
      </c>
      <c r="CF28">
        <v>0</v>
      </c>
      <c r="CG28">
        <v>39515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1300</v>
      </c>
      <c r="CU28">
        <v>1300</v>
      </c>
      <c r="CV28">
        <v>1300</v>
      </c>
      <c r="CW28">
        <v>3900</v>
      </c>
      <c r="CX28">
        <v>0</v>
      </c>
      <c r="CY28">
        <v>0</v>
      </c>
      <c r="CZ28">
        <v>0</v>
      </c>
      <c r="DA28">
        <v>0</v>
      </c>
      <c r="DB28">
        <v>1000</v>
      </c>
      <c r="DC28">
        <v>1000</v>
      </c>
      <c r="DD28">
        <v>1000</v>
      </c>
      <c r="DE28">
        <v>3000</v>
      </c>
      <c r="DF28">
        <v>0</v>
      </c>
      <c r="DG28">
        <v>0</v>
      </c>
      <c r="DH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6900</v>
      </c>
      <c r="EH28">
        <v>0</v>
      </c>
      <c r="EI28">
        <v>1154</v>
      </c>
      <c r="EJ28">
        <v>1154</v>
      </c>
      <c r="EK28">
        <v>1155</v>
      </c>
      <c r="EL28">
        <v>3500</v>
      </c>
      <c r="EM28">
        <v>37.065000000000005</v>
      </c>
      <c r="EN28">
        <v>660</v>
      </c>
      <c r="EO28">
        <v>660</v>
      </c>
      <c r="EP28">
        <v>659</v>
      </c>
      <c r="EQ28">
        <v>2000</v>
      </c>
      <c r="ER28">
        <v>21.18</v>
      </c>
      <c r="ES28">
        <v>0</v>
      </c>
      <c r="ET28">
        <v>0</v>
      </c>
      <c r="EU28">
        <v>0</v>
      </c>
      <c r="EV28">
        <v>0</v>
      </c>
      <c r="EW28">
        <v>0</v>
      </c>
      <c r="FA28">
        <v>0</v>
      </c>
      <c r="FE28">
        <v>0</v>
      </c>
      <c r="FI28">
        <v>0</v>
      </c>
      <c r="FJ28">
        <v>5441.7550000000001</v>
      </c>
      <c r="FK28">
        <v>32615</v>
      </c>
      <c r="FL28">
        <v>28378.775378059985</v>
      </c>
      <c r="FM28">
        <v>27173.244999999999</v>
      </c>
    </row>
    <row r="29" spans="1:169" x14ac:dyDescent="0.35">
      <c r="A29">
        <v>195955</v>
      </c>
      <c r="B29" t="s">
        <v>490</v>
      </c>
      <c r="C29" t="s">
        <v>491</v>
      </c>
      <c r="D29" t="s">
        <v>492</v>
      </c>
      <c r="E29" s="43" t="s">
        <v>493</v>
      </c>
      <c r="F29">
        <v>1</v>
      </c>
      <c r="I29" s="23">
        <v>43776</v>
      </c>
      <c r="L29" s="43" t="s">
        <v>3204</v>
      </c>
      <c r="M29" t="s">
        <v>494</v>
      </c>
      <c r="N29" t="s">
        <v>495</v>
      </c>
      <c r="O29" t="s">
        <v>496</v>
      </c>
      <c r="P29" t="s">
        <v>454</v>
      </c>
      <c r="Q29" t="s">
        <v>497</v>
      </c>
      <c r="R29">
        <v>3.6665999999999999</v>
      </c>
      <c r="S29">
        <v>44109</v>
      </c>
      <c r="T29" t="s">
        <v>265</v>
      </c>
      <c r="U29" t="s">
        <v>266</v>
      </c>
      <c r="V29" t="s">
        <v>267</v>
      </c>
      <c r="W29" t="s">
        <v>268</v>
      </c>
      <c r="X29" t="s">
        <v>269</v>
      </c>
      <c r="Y29">
        <v>8883022894</v>
      </c>
      <c r="Z29" t="s">
        <v>270</v>
      </c>
      <c r="AA29" t="s">
        <v>271</v>
      </c>
      <c r="AB29">
        <v>0</v>
      </c>
      <c r="AC29" t="s">
        <v>498</v>
      </c>
      <c r="AD29" t="s">
        <v>499</v>
      </c>
      <c r="AE29" t="s">
        <v>301</v>
      </c>
      <c r="AF29">
        <v>1</v>
      </c>
      <c r="AG29" t="s">
        <v>275</v>
      </c>
      <c r="AH29" s="43" t="s">
        <v>3223</v>
      </c>
      <c r="AI29" s="43" t="s">
        <v>3223</v>
      </c>
      <c r="AJ29" s="43" t="s">
        <v>3207</v>
      </c>
      <c r="AK29" s="43" t="s">
        <v>3208</v>
      </c>
      <c r="AL29" s="43" t="s">
        <v>3209</v>
      </c>
      <c r="AO29" s="23"/>
      <c r="AP29" s="23"/>
      <c r="AQ29" s="23"/>
      <c r="BD29" s="43" t="s">
        <v>2018</v>
      </c>
      <c r="BE29" s="43" t="s">
        <v>2018</v>
      </c>
      <c r="BF29" s="43" t="s">
        <v>2018</v>
      </c>
      <c r="BG29" s="43" t="s">
        <v>2018</v>
      </c>
      <c r="BH29" s="43" t="s">
        <v>2018</v>
      </c>
      <c r="BI29" s="43" t="s">
        <v>2018</v>
      </c>
      <c r="BJ29">
        <v>0</v>
      </c>
      <c r="BK29">
        <v>44109</v>
      </c>
      <c r="BL29">
        <v>44356</v>
      </c>
      <c r="BM29">
        <v>8505</v>
      </c>
      <c r="BN29">
        <v>8505</v>
      </c>
      <c r="BO29">
        <v>8505</v>
      </c>
      <c r="BP29">
        <v>25515</v>
      </c>
      <c r="BQ29">
        <v>3300</v>
      </c>
      <c r="BR29">
        <v>400</v>
      </c>
      <c r="BS29">
        <v>400</v>
      </c>
      <c r="BT29">
        <v>4100</v>
      </c>
      <c r="BU29">
        <v>2100</v>
      </c>
      <c r="BV29">
        <v>2100</v>
      </c>
      <c r="BW29">
        <v>2100</v>
      </c>
      <c r="BX29">
        <v>6300</v>
      </c>
      <c r="BY29">
        <v>1200</v>
      </c>
      <c r="BZ29">
        <v>1200</v>
      </c>
      <c r="CA29">
        <v>1200</v>
      </c>
      <c r="CB29">
        <v>3600</v>
      </c>
      <c r="CC29">
        <v>0</v>
      </c>
      <c r="CD29">
        <v>0</v>
      </c>
      <c r="CE29">
        <v>0</v>
      </c>
      <c r="CF29">
        <v>0</v>
      </c>
      <c r="CG29">
        <v>39515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1700</v>
      </c>
      <c r="CU29">
        <v>1700</v>
      </c>
      <c r="CV29">
        <v>1700</v>
      </c>
      <c r="CW29">
        <v>5100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5100</v>
      </c>
      <c r="EH29">
        <v>0</v>
      </c>
      <c r="EI29">
        <v>1154</v>
      </c>
      <c r="EJ29">
        <v>1154</v>
      </c>
      <c r="EK29">
        <v>1155</v>
      </c>
      <c r="EL29">
        <v>3500</v>
      </c>
      <c r="EM29">
        <v>37.065000000000005</v>
      </c>
      <c r="EN29">
        <v>660</v>
      </c>
      <c r="EO29">
        <v>660</v>
      </c>
      <c r="EP29">
        <v>659</v>
      </c>
      <c r="EQ29">
        <v>2000</v>
      </c>
      <c r="ER29">
        <v>21.18</v>
      </c>
      <c r="ES29">
        <v>0</v>
      </c>
      <c r="ET29">
        <v>0</v>
      </c>
      <c r="EU29">
        <v>0</v>
      </c>
      <c r="EV29">
        <v>0</v>
      </c>
      <c r="EW29">
        <v>0</v>
      </c>
      <c r="FA29">
        <v>0</v>
      </c>
      <c r="FE29">
        <v>0</v>
      </c>
      <c r="FI29">
        <v>0</v>
      </c>
      <c r="FJ29">
        <v>5441.7550000000001</v>
      </c>
      <c r="FK29">
        <v>34415</v>
      </c>
      <c r="FL29">
        <v>30258.631673489846</v>
      </c>
      <c r="FM29">
        <v>28973.244999999999</v>
      </c>
    </row>
    <row r="30" spans="1:169" x14ac:dyDescent="0.35">
      <c r="A30">
        <v>196102</v>
      </c>
      <c r="B30" t="s">
        <v>500</v>
      </c>
      <c r="C30" t="s">
        <v>501</v>
      </c>
      <c r="D30" t="s">
        <v>502</v>
      </c>
      <c r="E30" s="43" t="s">
        <v>503</v>
      </c>
      <c r="L30" s="43" t="s">
        <v>259</v>
      </c>
      <c r="M30" t="s">
        <v>504</v>
      </c>
      <c r="N30" t="s">
        <v>505</v>
      </c>
      <c r="O30" t="s">
        <v>506</v>
      </c>
      <c r="P30" t="s">
        <v>342</v>
      </c>
      <c r="Q30" t="s">
        <v>507</v>
      </c>
      <c r="R30">
        <v>3.2608999999999999</v>
      </c>
      <c r="S30">
        <v>44109</v>
      </c>
      <c r="T30" t="s">
        <v>265</v>
      </c>
      <c r="U30" t="s">
        <v>266</v>
      </c>
      <c r="V30" t="s">
        <v>267</v>
      </c>
      <c r="W30" t="s">
        <v>268</v>
      </c>
      <c r="X30" t="s">
        <v>269</v>
      </c>
      <c r="Y30">
        <v>8883022894</v>
      </c>
      <c r="Z30" t="s">
        <v>508</v>
      </c>
      <c r="AA30" t="s">
        <v>271</v>
      </c>
      <c r="AB30">
        <v>0</v>
      </c>
      <c r="AC30">
        <v>0</v>
      </c>
      <c r="AD30" t="s">
        <v>313</v>
      </c>
      <c r="AE30" t="s">
        <v>416</v>
      </c>
      <c r="AF30">
        <v>5</v>
      </c>
      <c r="AG30" t="s">
        <v>275</v>
      </c>
      <c r="AH30" s="43" t="s">
        <v>259</v>
      </c>
      <c r="AI30" s="43" t="s">
        <v>259</v>
      </c>
      <c r="AJ30" s="43" t="s">
        <v>259</v>
      </c>
      <c r="AK30" s="43" t="s">
        <v>259</v>
      </c>
      <c r="AL30" s="43" t="s">
        <v>259</v>
      </c>
      <c r="AO30" s="23"/>
      <c r="AP30" s="23"/>
      <c r="AQ30" s="23"/>
      <c r="BD30" s="43" t="s">
        <v>259</v>
      </c>
      <c r="BE30" s="43" t="s">
        <v>259</v>
      </c>
      <c r="BF30" s="43" t="s">
        <v>259</v>
      </c>
      <c r="BG30" s="43" t="s">
        <v>259</v>
      </c>
      <c r="BH30" s="43" t="s">
        <v>259</v>
      </c>
      <c r="BI30" s="43" t="s">
        <v>259</v>
      </c>
      <c r="BJ30">
        <v>0</v>
      </c>
      <c r="BK30">
        <v>44109</v>
      </c>
      <c r="BL30">
        <v>44356</v>
      </c>
      <c r="BM30">
        <v>8505</v>
      </c>
      <c r="BN30">
        <v>8505</v>
      </c>
      <c r="BO30">
        <v>8505</v>
      </c>
      <c r="BP30">
        <v>25515</v>
      </c>
      <c r="BQ30">
        <v>3300</v>
      </c>
      <c r="BR30">
        <v>400</v>
      </c>
      <c r="BS30">
        <v>400</v>
      </c>
      <c r="BT30">
        <v>4100</v>
      </c>
      <c r="BU30">
        <v>2100</v>
      </c>
      <c r="BV30">
        <v>2100</v>
      </c>
      <c r="BW30">
        <v>2100</v>
      </c>
      <c r="BX30">
        <v>6300</v>
      </c>
      <c r="BY30">
        <v>1200</v>
      </c>
      <c r="BZ30">
        <v>1200</v>
      </c>
      <c r="CA30">
        <v>1200</v>
      </c>
      <c r="CB30">
        <v>3600</v>
      </c>
      <c r="CC30">
        <v>0</v>
      </c>
      <c r="CD30">
        <v>0</v>
      </c>
      <c r="CE30">
        <v>0</v>
      </c>
      <c r="CF30">
        <v>0</v>
      </c>
      <c r="CG30">
        <v>39515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1000</v>
      </c>
      <c r="CU30">
        <v>1000</v>
      </c>
      <c r="CV30">
        <v>1000</v>
      </c>
      <c r="CW30">
        <v>3000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3000</v>
      </c>
      <c r="EH30">
        <v>0</v>
      </c>
      <c r="EI30">
        <v>1154</v>
      </c>
      <c r="EJ30">
        <v>1154</v>
      </c>
      <c r="EK30">
        <v>1155</v>
      </c>
      <c r="EL30">
        <v>3500</v>
      </c>
      <c r="EM30">
        <v>37.065000000000005</v>
      </c>
      <c r="EN30">
        <v>660</v>
      </c>
      <c r="EO30">
        <v>660</v>
      </c>
      <c r="EP30">
        <v>659</v>
      </c>
      <c r="EQ30">
        <v>2000</v>
      </c>
      <c r="ER30">
        <v>21.18</v>
      </c>
      <c r="ES30">
        <v>0</v>
      </c>
      <c r="ET30">
        <v>0</v>
      </c>
      <c r="EU30">
        <v>0</v>
      </c>
      <c r="EV30">
        <v>0</v>
      </c>
      <c r="EW30">
        <v>0</v>
      </c>
      <c r="FA30">
        <v>0</v>
      </c>
      <c r="FE30">
        <v>0</v>
      </c>
      <c r="FI30">
        <v>0</v>
      </c>
      <c r="FJ30">
        <v>5441.7550000000001</v>
      </c>
      <c r="FK30">
        <v>36515</v>
      </c>
      <c r="FL30">
        <v>32451.797351491354</v>
      </c>
      <c r="FM30">
        <v>31073.245000000003</v>
      </c>
    </row>
    <row r="31" spans="1:169" x14ac:dyDescent="0.35">
      <c r="A31">
        <v>193933</v>
      </c>
      <c r="B31" t="s">
        <v>509</v>
      </c>
      <c r="C31" t="s">
        <v>510</v>
      </c>
      <c r="D31" t="s">
        <v>511</v>
      </c>
      <c r="E31" s="43" t="s">
        <v>512</v>
      </c>
      <c r="F31">
        <v>1</v>
      </c>
      <c r="G31" s="23">
        <v>43776</v>
      </c>
      <c r="H31" s="23">
        <v>43776</v>
      </c>
      <c r="I31" s="23">
        <v>43776</v>
      </c>
      <c r="K31" t="s">
        <v>3307</v>
      </c>
      <c r="L31" s="43" t="s">
        <v>259</v>
      </c>
      <c r="M31" t="s">
        <v>513</v>
      </c>
      <c r="N31" t="s">
        <v>514</v>
      </c>
      <c r="O31" t="s">
        <v>515</v>
      </c>
      <c r="P31" t="s">
        <v>283</v>
      </c>
      <c r="Q31" t="s">
        <v>516</v>
      </c>
      <c r="R31">
        <v>3.6</v>
      </c>
      <c r="S31">
        <v>44109</v>
      </c>
      <c r="T31" t="s">
        <v>285</v>
      </c>
      <c r="U31" t="s">
        <v>286</v>
      </c>
      <c r="V31" t="s">
        <v>267</v>
      </c>
      <c r="W31" t="s">
        <v>268</v>
      </c>
      <c r="X31" t="s">
        <v>269</v>
      </c>
      <c r="Y31">
        <v>8883022894</v>
      </c>
      <c r="Z31" t="s">
        <v>270</v>
      </c>
      <c r="AA31" t="s">
        <v>271</v>
      </c>
      <c r="AB31" t="s">
        <v>287</v>
      </c>
      <c r="AC31">
        <v>0</v>
      </c>
      <c r="AD31" t="s">
        <v>288</v>
      </c>
      <c r="AE31" t="s">
        <v>364</v>
      </c>
      <c r="AF31">
        <v>3</v>
      </c>
      <c r="AG31" t="s">
        <v>275</v>
      </c>
      <c r="AH31" s="43" t="s">
        <v>259</v>
      </c>
      <c r="AI31" s="43" t="s">
        <v>259</v>
      </c>
      <c r="AJ31" s="43" t="s">
        <v>259</v>
      </c>
      <c r="AK31" s="43" t="s">
        <v>259</v>
      </c>
      <c r="AL31" s="43" t="s">
        <v>259</v>
      </c>
      <c r="AO31" s="23"/>
      <c r="AP31" s="23"/>
      <c r="AQ31" s="23"/>
      <c r="BD31" s="43" t="s">
        <v>259</v>
      </c>
      <c r="BE31" s="43" t="s">
        <v>259</v>
      </c>
      <c r="BF31" s="43" t="s">
        <v>259</v>
      </c>
      <c r="BG31" s="43" t="s">
        <v>259</v>
      </c>
      <c r="BH31" s="43" t="s">
        <v>259</v>
      </c>
      <c r="BI31" s="43" t="s">
        <v>259</v>
      </c>
      <c r="BJ31">
        <v>0</v>
      </c>
      <c r="BK31">
        <v>44109</v>
      </c>
      <c r="BL31">
        <v>44356</v>
      </c>
      <c r="BM31">
        <v>8505</v>
      </c>
      <c r="BN31">
        <v>8505</v>
      </c>
      <c r="BO31">
        <v>8505</v>
      </c>
      <c r="BP31">
        <v>25515</v>
      </c>
      <c r="BQ31">
        <v>3300</v>
      </c>
      <c r="BR31">
        <v>400</v>
      </c>
      <c r="BS31">
        <v>400</v>
      </c>
      <c r="BT31">
        <v>4100</v>
      </c>
      <c r="BU31">
        <v>2100</v>
      </c>
      <c r="BV31">
        <v>2100</v>
      </c>
      <c r="BW31">
        <v>2100</v>
      </c>
      <c r="BX31">
        <v>6300</v>
      </c>
      <c r="BY31">
        <v>1200</v>
      </c>
      <c r="BZ31">
        <v>1200</v>
      </c>
      <c r="CA31">
        <v>1200</v>
      </c>
      <c r="CB31">
        <v>3600</v>
      </c>
      <c r="CC31">
        <v>0</v>
      </c>
      <c r="CD31">
        <v>0</v>
      </c>
      <c r="CE31">
        <v>0</v>
      </c>
      <c r="CF31">
        <v>0</v>
      </c>
      <c r="CG31">
        <v>39515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1300</v>
      </c>
      <c r="CU31">
        <v>1300</v>
      </c>
      <c r="CV31">
        <v>1300</v>
      </c>
      <c r="CW31">
        <v>3900</v>
      </c>
      <c r="CX31">
        <v>0</v>
      </c>
      <c r="CY31">
        <v>0</v>
      </c>
      <c r="CZ31">
        <v>0</v>
      </c>
      <c r="DA31">
        <v>0</v>
      </c>
      <c r="DB31">
        <v>1000</v>
      </c>
      <c r="DC31">
        <v>1000</v>
      </c>
      <c r="DD31">
        <v>1000</v>
      </c>
      <c r="DE31">
        <v>3000</v>
      </c>
      <c r="DF31">
        <v>0</v>
      </c>
      <c r="DG31">
        <v>0</v>
      </c>
      <c r="DH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6900</v>
      </c>
      <c r="EH31">
        <v>0</v>
      </c>
      <c r="EI31">
        <v>1154</v>
      </c>
      <c r="EJ31">
        <v>1154</v>
      </c>
      <c r="EK31">
        <v>1155</v>
      </c>
      <c r="EL31">
        <v>3500</v>
      </c>
      <c r="EM31">
        <v>37.065000000000005</v>
      </c>
      <c r="EN31">
        <v>660</v>
      </c>
      <c r="EO31">
        <v>660</v>
      </c>
      <c r="EP31">
        <v>659</v>
      </c>
      <c r="EQ31">
        <v>2000</v>
      </c>
      <c r="ER31">
        <v>21.18</v>
      </c>
      <c r="ES31">
        <v>0</v>
      </c>
      <c r="ET31">
        <v>0</v>
      </c>
      <c r="EU31">
        <v>0</v>
      </c>
      <c r="EV31">
        <v>0</v>
      </c>
      <c r="EW31">
        <v>0</v>
      </c>
      <c r="FA31">
        <v>0</v>
      </c>
      <c r="FE31">
        <v>0</v>
      </c>
      <c r="FI31">
        <v>0</v>
      </c>
      <c r="FJ31">
        <v>5441.7550000000001</v>
      </c>
      <c r="FK31">
        <v>32615</v>
      </c>
      <c r="FL31">
        <v>28378.775378059985</v>
      </c>
      <c r="FM31">
        <v>27173.244999999999</v>
      </c>
    </row>
    <row r="32" spans="1:169" x14ac:dyDescent="0.35">
      <c r="A32">
        <v>193767</v>
      </c>
      <c r="B32" t="s">
        <v>517</v>
      </c>
      <c r="C32" t="s">
        <v>518</v>
      </c>
      <c r="D32" t="s">
        <v>519</v>
      </c>
      <c r="E32" s="43" t="s">
        <v>520</v>
      </c>
      <c r="F32">
        <v>1</v>
      </c>
      <c r="I32" s="23">
        <v>43781</v>
      </c>
      <c r="L32" s="43" t="s">
        <v>3204</v>
      </c>
      <c r="M32" t="s">
        <v>521</v>
      </c>
      <c r="N32" t="s">
        <v>522</v>
      </c>
      <c r="O32" t="s">
        <v>523</v>
      </c>
      <c r="P32" t="s">
        <v>524</v>
      </c>
      <c r="Q32" t="s">
        <v>525</v>
      </c>
      <c r="R32">
        <v>3.65</v>
      </c>
      <c r="S32">
        <v>44109</v>
      </c>
      <c r="T32" t="s">
        <v>311</v>
      </c>
      <c r="U32" t="s">
        <v>266</v>
      </c>
      <c r="V32" t="s">
        <v>267</v>
      </c>
      <c r="W32" t="s">
        <v>268</v>
      </c>
      <c r="X32" t="s">
        <v>269</v>
      </c>
      <c r="Y32">
        <v>8883022894</v>
      </c>
      <c r="Z32" t="s">
        <v>270</v>
      </c>
      <c r="AA32" t="s">
        <v>271</v>
      </c>
      <c r="AB32" t="s">
        <v>526</v>
      </c>
      <c r="AC32">
        <v>0</v>
      </c>
      <c r="AD32" t="s">
        <v>527</v>
      </c>
      <c r="AE32" t="s">
        <v>301</v>
      </c>
      <c r="AF32">
        <v>1</v>
      </c>
      <c r="AG32" t="s">
        <v>275</v>
      </c>
      <c r="AH32" s="43" t="s">
        <v>3224</v>
      </c>
      <c r="AI32" s="43" t="s">
        <v>3225</v>
      </c>
      <c r="AJ32" s="43" t="s">
        <v>3207</v>
      </c>
      <c r="AK32" s="43" t="s">
        <v>3208</v>
      </c>
      <c r="AL32" s="43" t="s">
        <v>3209</v>
      </c>
      <c r="AO32" s="23"/>
      <c r="AP32" s="23"/>
      <c r="AQ32" s="23"/>
      <c r="BD32" s="43" t="s">
        <v>2018</v>
      </c>
      <c r="BE32" s="43" t="s">
        <v>2018</v>
      </c>
      <c r="BF32" s="43" t="s">
        <v>2018</v>
      </c>
      <c r="BG32" s="43" t="s">
        <v>2018</v>
      </c>
      <c r="BH32" s="43" t="s">
        <v>2018</v>
      </c>
      <c r="BI32" s="43" t="s">
        <v>2018</v>
      </c>
      <c r="BJ32">
        <v>0</v>
      </c>
      <c r="BK32">
        <v>44109</v>
      </c>
      <c r="BL32">
        <v>44356</v>
      </c>
      <c r="BM32">
        <v>8505</v>
      </c>
      <c r="BN32">
        <v>8505</v>
      </c>
      <c r="BO32">
        <v>8505</v>
      </c>
      <c r="BP32">
        <v>25515</v>
      </c>
      <c r="BQ32">
        <v>3300</v>
      </c>
      <c r="BR32">
        <v>400</v>
      </c>
      <c r="BS32">
        <v>400</v>
      </c>
      <c r="BT32">
        <v>4100</v>
      </c>
      <c r="BU32">
        <v>2100</v>
      </c>
      <c r="BV32">
        <v>2100</v>
      </c>
      <c r="BW32">
        <v>2100</v>
      </c>
      <c r="BX32">
        <v>6300</v>
      </c>
      <c r="BY32">
        <v>1200</v>
      </c>
      <c r="BZ32">
        <v>1200</v>
      </c>
      <c r="CA32">
        <v>1200</v>
      </c>
      <c r="CB32">
        <v>3600</v>
      </c>
      <c r="CC32">
        <v>0</v>
      </c>
      <c r="CD32">
        <v>0</v>
      </c>
      <c r="CE32">
        <v>0</v>
      </c>
      <c r="CF32">
        <v>0</v>
      </c>
      <c r="CG32">
        <v>39515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1700</v>
      </c>
      <c r="CU32">
        <v>1700</v>
      </c>
      <c r="CV32">
        <v>1700</v>
      </c>
      <c r="CW32">
        <v>5100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5100</v>
      </c>
      <c r="EH32">
        <v>0</v>
      </c>
      <c r="EI32">
        <v>1154</v>
      </c>
      <c r="EJ32">
        <v>1154</v>
      </c>
      <c r="EK32">
        <v>1155</v>
      </c>
      <c r="EL32">
        <v>3500</v>
      </c>
      <c r="EM32">
        <v>37.065000000000005</v>
      </c>
      <c r="EN32">
        <v>660</v>
      </c>
      <c r="EO32">
        <v>660</v>
      </c>
      <c r="EP32">
        <v>659</v>
      </c>
      <c r="EQ32">
        <v>2000</v>
      </c>
      <c r="ER32">
        <v>21.18</v>
      </c>
      <c r="ES32">
        <v>0</v>
      </c>
      <c r="ET32">
        <v>0</v>
      </c>
      <c r="EU32">
        <v>0</v>
      </c>
      <c r="EV32">
        <v>0</v>
      </c>
      <c r="EW32">
        <v>0</v>
      </c>
      <c r="FA32">
        <v>0</v>
      </c>
      <c r="FE32">
        <v>0</v>
      </c>
      <c r="FI32">
        <v>0</v>
      </c>
      <c r="FJ32">
        <v>5441.7550000000001</v>
      </c>
      <c r="FK32">
        <v>34415</v>
      </c>
      <c r="FL32">
        <v>30258.631673489846</v>
      </c>
      <c r="FM32">
        <v>28973.244999999999</v>
      </c>
    </row>
    <row r="33" spans="1:169" x14ac:dyDescent="0.35">
      <c r="A33">
        <v>197837</v>
      </c>
      <c r="B33" t="s">
        <v>528</v>
      </c>
      <c r="C33" t="s">
        <v>529</v>
      </c>
      <c r="D33" t="s">
        <v>530</v>
      </c>
      <c r="E33" s="43" t="s">
        <v>531</v>
      </c>
      <c r="L33" s="43" t="s">
        <v>3204</v>
      </c>
      <c r="M33" t="s">
        <v>532</v>
      </c>
      <c r="N33" t="s">
        <v>533</v>
      </c>
      <c r="O33" t="s">
        <v>534</v>
      </c>
      <c r="P33" t="s">
        <v>442</v>
      </c>
      <c r="Q33" t="s">
        <v>535</v>
      </c>
      <c r="R33">
        <v>3.1363599999999998</v>
      </c>
      <c r="S33">
        <v>44109</v>
      </c>
      <c r="T33" t="s">
        <v>265</v>
      </c>
      <c r="U33" t="s">
        <v>266</v>
      </c>
      <c r="V33" t="s">
        <v>267</v>
      </c>
      <c r="W33" t="s">
        <v>268</v>
      </c>
      <c r="X33" t="s">
        <v>269</v>
      </c>
      <c r="Y33">
        <v>8883022894</v>
      </c>
      <c r="Z33" t="s">
        <v>270</v>
      </c>
      <c r="AA33" t="s">
        <v>271</v>
      </c>
      <c r="AB33">
        <v>0</v>
      </c>
      <c r="AC33">
        <v>0</v>
      </c>
      <c r="AD33" t="s">
        <v>313</v>
      </c>
      <c r="AE33" t="s">
        <v>274</v>
      </c>
      <c r="AF33">
        <v>9</v>
      </c>
      <c r="AG33" t="s">
        <v>275</v>
      </c>
      <c r="AH33" s="43" t="s">
        <v>4235</v>
      </c>
      <c r="AI33" s="43" t="s">
        <v>4236</v>
      </c>
      <c r="AJ33" s="43" t="s">
        <v>4237</v>
      </c>
      <c r="AK33" s="43" t="s">
        <v>3208</v>
      </c>
      <c r="AL33" s="43" t="s">
        <v>3209</v>
      </c>
      <c r="AO33" s="23"/>
      <c r="AP33" s="23"/>
      <c r="AQ33" s="23"/>
      <c r="BD33" s="43" t="s">
        <v>2018</v>
      </c>
      <c r="BE33" s="43" t="s">
        <v>2018</v>
      </c>
      <c r="BF33" s="43" t="s">
        <v>2018</v>
      </c>
      <c r="BG33" s="43" t="s">
        <v>2018</v>
      </c>
      <c r="BH33" s="43" t="s">
        <v>2018</v>
      </c>
      <c r="BI33" s="43" t="s">
        <v>2018</v>
      </c>
      <c r="BJ33">
        <v>0</v>
      </c>
      <c r="BK33">
        <v>44109</v>
      </c>
      <c r="BL33">
        <v>44356</v>
      </c>
      <c r="BM33">
        <v>8505</v>
      </c>
      <c r="BN33">
        <v>8505</v>
      </c>
      <c r="BO33">
        <v>8505</v>
      </c>
      <c r="BP33">
        <v>25515</v>
      </c>
      <c r="BQ33">
        <v>3300</v>
      </c>
      <c r="BR33">
        <v>400</v>
      </c>
      <c r="BS33">
        <v>400</v>
      </c>
      <c r="BT33">
        <v>4100</v>
      </c>
      <c r="BU33">
        <v>2100</v>
      </c>
      <c r="BV33">
        <v>2100</v>
      </c>
      <c r="BW33">
        <v>2100</v>
      </c>
      <c r="BX33">
        <v>6300</v>
      </c>
      <c r="BY33">
        <v>1200</v>
      </c>
      <c r="BZ33">
        <v>1200</v>
      </c>
      <c r="CA33">
        <v>1200</v>
      </c>
      <c r="CB33">
        <v>3600</v>
      </c>
      <c r="CC33">
        <v>0</v>
      </c>
      <c r="CD33">
        <v>0</v>
      </c>
      <c r="CE33">
        <v>0</v>
      </c>
      <c r="CF33">
        <v>0</v>
      </c>
      <c r="CG33">
        <v>39515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H33">
        <v>0</v>
      </c>
      <c r="EI33">
        <v>1154</v>
      </c>
      <c r="EJ33">
        <v>1154</v>
      </c>
      <c r="EK33">
        <v>1155</v>
      </c>
      <c r="EL33">
        <v>3500</v>
      </c>
      <c r="EM33">
        <v>37.065000000000005</v>
      </c>
      <c r="EN33">
        <v>660</v>
      </c>
      <c r="EO33">
        <v>660</v>
      </c>
      <c r="EP33">
        <v>659</v>
      </c>
      <c r="EQ33">
        <v>2000</v>
      </c>
      <c r="ER33">
        <v>21.18</v>
      </c>
      <c r="ES33">
        <v>0</v>
      </c>
      <c r="ET33">
        <v>0</v>
      </c>
      <c r="EU33">
        <v>0</v>
      </c>
      <c r="EV33">
        <v>0</v>
      </c>
      <c r="EW33">
        <v>0</v>
      </c>
      <c r="FA33">
        <v>0</v>
      </c>
      <c r="FE33">
        <v>0</v>
      </c>
      <c r="FI33">
        <v>0</v>
      </c>
      <c r="FJ33">
        <v>5441.7550000000001</v>
      </c>
      <c r="FK33">
        <v>39515</v>
      </c>
      <c r="FL33">
        <v>35584.891177207784</v>
      </c>
      <c r="FM33">
        <v>34073.245000000003</v>
      </c>
    </row>
    <row r="34" spans="1:169" x14ac:dyDescent="0.35">
      <c r="A34">
        <v>198550</v>
      </c>
      <c r="B34" t="s">
        <v>536</v>
      </c>
      <c r="C34" t="s">
        <v>537</v>
      </c>
      <c r="D34" t="s">
        <v>538</v>
      </c>
      <c r="E34" s="43" t="s">
        <v>3280</v>
      </c>
      <c r="L34" s="43" t="s">
        <v>259</v>
      </c>
      <c r="M34" t="s">
        <v>539</v>
      </c>
      <c r="N34" t="s">
        <v>540</v>
      </c>
      <c r="O34" t="s">
        <v>541</v>
      </c>
      <c r="P34" t="s">
        <v>542</v>
      </c>
      <c r="Q34" t="s">
        <v>543</v>
      </c>
      <c r="R34">
        <v>0</v>
      </c>
      <c r="S34">
        <v>44109</v>
      </c>
      <c r="T34" t="s">
        <v>544</v>
      </c>
      <c r="U34" t="s">
        <v>266</v>
      </c>
      <c r="V34" t="s">
        <v>267</v>
      </c>
      <c r="W34" t="s">
        <v>268</v>
      </c>
      <c r="X34" t="s">
        <v>269</v>
      </c>
      <c r="Y34">
        <v>8883022894</v>
      </c>
      <c r="Z34" t="s">
        <v>270</v>
      </c>
      <c r="AA34" t="s">
        <v>271</v>
      </c>
      <c r="AB34" t="s">
        <v>545</v>
      </c>
      <c r="AC34">
        <v>0</v>
      </c>
      <c r="AD34" t="s">
        <v>313</v>
      </c>
      <c r="AE34" t="s">
        <v>274</v>
      </c>
      <c r="AF34">
        <v>9</v>
      </c>
      <c r="AG34" t="s">
        <v>446</v>
      </c>
      <c r="AH34" s="43" t="s">
        <v>259</v>
      </c>
      <c r="AI34" s="43" t="s">
        <v>259</v>
      </c>
      <c r="AJ34" s="43" t="s">
        <v>259</v>
      </c>
      <c r="AK34" s="43" t="s">
        <v>259</v>
      </c>
      <c r="AL34" s="43" t="s">
        <v>259</v>
      </c>
      <c r="AO34" s="23"/>
      <c r="AP34" s="23"/>
      <c r="AQ34" s="23"/>
      <c r="BD34" s="43" t="s">
        <v>259</v>
      </c>
      <c r="BE34" s="43" t="s">
        <v>259</v>
      </c>
      <c r="BF34" s="43" t="s">
        <v>259</v>
      </c>
      <c r="BG34" s="43" t="s">
        <v>259</v>
      </c>
      <c r="BH34" s="43" t="s">
        <v>259</v>
      </c>
      <c r="BI34" s="43" t="s">
        <v>259</v>
      </c>
      <c r="BJ34">
        <v>0</v>
      </c>
      <c r="BK34">
        <v>44109</v>
      </c>
      <c r="BL34">
        <v>44356</v>
      </c>
      <c r="BM34">
        <v>8505</v>
      </c>
      <c r="BN34">
        <v>8505</v>
      </c>
      <c r="BO34">
        <v>8505</v>
      </c>
      <c r="BP34">
        <v>25515</v>
      </c>
      <c r="BQ34">
        <v>3300</v>
      </c>
      <c r="BR34">
        <v>400</v>
      </c>
      <c r="BS34">
        <v>400</v>
      </c>
      <c r="BT34">
        <v>4100</v>
      </c>
      <c r="BU34">
        <v>2100</v>
      </c>
      <c r="BV34">
        <v>2100</v>
      </c>
      <c r="BW34">
        <v>2100</v>
      </c>
      <c r="BX34">
        <v>6300</v>
      </c>
      <c r="BY34">
        <v>1200</v>
      </c>
      <c r="BZ34">
        <v>1200</v>
      </c>
      <c r="CA34">
        <v>1200</v>
      </c>
      <c r="CB34">
        <v>3600</v>
      </c>
      <c r="CF34">
        <v>0</v>
      </c>
      <c r="CG34">
        <v>39515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3000</v>
      </c>
      <c r="CY34">
        <v>3000</v>
      </c>
      <c r="CZ34">
        <v>3000</v>
      </c>
      <c r="DA34">
        <v>9000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N34">
        <v>0</v>
      </c>
      <c r="DO34">
        <v>0</v>
      </c>
      <c r="DP34">
        <v>0</v>
      </c>
      <c r="DR34">
        <v>0</v>
      </c>
      <c r="DS34">
        <v>0</v>
      </c>
      <c r="DT34">
        <v>0</v>
      </c>
      <c r="DY34">
        <v>0</v>
      </c>
      <c r="EC34">
        <v>0</v>
      </c>
      <c r="ED34">
        <v>9000</v>
      </c>
      <c r="EH34">
        <v>0</v>
      </c>
      <c r="EI34">
        <v>0</v>
      </c>
      <c r="EJ34">
        <v>0</v>
      </c>
      <c r="EK34">
        <v>0</v>
      </c>
      <c r="EM34">
        <v>0</v>
      </c>
      <c r="EN34">
        <v>660</v>
      </c>
      <c r="EO34">
        <v>660</v>
      </c>
      <c r="EP34">
        <v>659</v>
      </c>
      <c r="EQ34">
        <v>2000</v>
      </c>
      <c r="ER34">
        <v>21.24</v>
      </c>
      <c r="ES34">
        <v>0</v>
      </c>
      <c r="ET34">
        <v>0</v>
      </c>
      <c r="EU34">
        <v>0</v>
      </c>
      <c r="EW34">
        <v>0</v>
      </c>
      <c r="FA34">
        <v>0</v>
      </c>
      <c r="FE34">
        <v>0</v>
      </c>
      <c r="FI34">
        <v>0</v>
      </c>
      <c r="FJ34">
        <v>1978.76</v>
      </c>
      <c r="FK34">
        <v>30515</v>
      </c>
      <c r="FL34">
        <v>29802.239117720779</v>
      </c>
      <c r="FM34">
        <v>28536.240000000002</v>
      </c>
    </row>
    <row r="35" spans="1:169" x14ac:dyDescent="0.35">
      <c r="A35">
        <v>196589</v>
      </c>
      <c r="B35" t="s">
        <v>546</v>
      </c>
      <c r="C35" t="s">
        <v>3053</v>
      </c>
      <c r="D35" t="s">
        <v>3877</v>
      </c>
      <c r="E35" s="43" t="s">
        <v>4200</v>
      </c>
      <c r="J35" t="s">
        <v>3830</v>
      </c>
      <c r="L35" s="43" t="s">
        <v>259</v>
      </c>
      <c r="M35" t="s">
        <v>3878</v>
      </c>
      <c r="N35" t="s">
        <v>3879</v>
      </c>
      <c r="O35" t="s">
        <v>3880</v>
      </c>
      <c r="P35" t="s">
        <v>1046</v>
      </c>
      <c r="Q35" t="s">
        <v>3881</v>
      </c>
      <c r="R35">
        <v>3.5552000000000001</v>
      </c>
      <c r="S35">
        <v>44109</v>
      </c>
      <c r="T35" t="s">
        <v>265</v>
      </c>
      <c r="U35" t="s">
        <v>286</v>
      </c>
      <c r="V35" t="s">
        <v>267</v>
      </c>
      <c r="W35" t="s">
        <v>268</v>
      </c>
      <c r="X35" t="s">
        <v>269</v>
      </c>
      <c r="Y35">
        <v>8883022894</v>
      </c>
      <c r="Z35" t="s">
        <v>270</v>
      </c>
      <c r="AA35" t="s">
        <v>271</v>
      </c>
      <c r="AB35" t="s">
        <v>287</v>
      </c>
      <c r="AC35">
        <v>0</v>
      </c>
      <c r="AD35" t="s">
        <v>288</v>
      </c>
      <c r="AE35" t="s">
        <v>445</v>
      </c>
      <c r="AF35">
        <v>4</v>
      </c>
      <c r="AG35" t="s">
        <v>3345</v>
      </c>
      <c r="AH35" s="43" t="s">
        <v>259</v>
      </c>
      <c r="AI35" s="43" t="s">
        <v>259</v>
      </c>
      <c r="AJ35" s="43" t="s">
        <v>259</v>
      </c>
      <c r="AK35" s="43" t="s">
        <v>259</v>
      </c>
      <c r="AL35" s="43" t="s">
        <v>259</v>
      </c>
      <c r="AO35" s="23"/>
      <c r="AP35" s="23"/>
      <c r="AQ35" s="23"/>
      <c r="BD35" s="43" t="s">
        <v>259</v>
      </c>
      <c r="BE35" s="43" t="s">
        <v>259</v>
      </c>
      <c r="BF35" s="43" t="s">
        <v>259</v>
      </c>
      <c r="BG35" s="43" t="s">
        <v>259</v>
      </c>
      <c r="BH35" s="43" t="s">
        <v>259</v>
      </c>
      <c r="BI35" s="43" t="s">
        <v>259</v>
      </c>
      <c r="BJ35">
        <v>0</v>
      </c>
      <c r="BK35">
        <v>44109</v>
      </c>
      <c r="BL35">
        <v>44356</v>
      </c>
      <c r="BM35">
        <v>8505</v>
      </c>
      <c r="BN35">
        <v>8505</v>
      </c>
      <c r="BO35">
        <v>8505</v>
      </c>
      <c r="BP35">
        <v>25515</v>
      </c>
      <c r="BQ35">
        <v>3300</v>
      </c>
      <c r="BR35">
        <v>400</v>
      </c>
      <c r="BS35">
        <v>400</v>
      </c>
      <c r="BT35">
        <v>4100</v>
      </c>
      <c r="BU35">
        <v>2100</v>
      </c>
      <c r="BV35">
        <v>2100</v>
      </c>
      <c r="BW35">
        <v>2100</v>
      </c>
      <c r="BX35">
        <v>6300</v>
      </c>
      <c r="BY35">
        <v>1200</v>
      </c>
      <c r="BZ35">
        <v>1200</v>
      </c>
      <c r="CA35">
        <v>1200</v>
      </c>
      <c r="CB35">
        <v>3600</v>
      </c>
      <c r="CF35">
        <v>0</v>
      </c>
      <c r="CG35">
        <v>39515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1250</v>
      </c>
      <c r="CU35">
        <v>1250</v>
      </c>
      <c r="CV35">
        <v>1250</v>
      </c>
      <c r="CW35">
        <v>3750</v>
      </c>
      <c r="CX35">
        <v>0</v>
      </c>
      <c r="CY35">
        <v>0</v>
      </c>
      <c r="CZ35">
        <v>0</v>
      </c>
      <c r="DA35">
        <v>0</v>
      </c>
      <c r="DB35">
        <v>1000</v>
      </c>
      <c r="DC35">
        <v>1000</v>
      </c>
      <c r="DD35">
        <v>1000</v>
      </c>
      <c r="DE35">
        <v>3000</v>
      </c>
      <c r="DF35">
        <v>0</v>
      </c>
      <c r="DG35">
        <v>0</v>
      </c>
      <c r="DH35">
        <v>0</v>
      </c>
      <c r="DN35">
        <v>0</v>
      </c>
      <c r="DO35">
        <v>0</v>
      </c>
      <c r="DP35">
        <v>0</v>
      </c>
      <c r="DR35">
        <v>0</v>
      </c>
      <c r="DS35">
        <v>0</v>
      </c>
      <c r="DT35">
        <v>0</v>
      </c>
      <c r="DY35">
        <v>0</v>
      </c>
      <c r="EC35">
        <v>0</v>
      </c>
      <c r="ED35">
        <v>6750</v>
      </c>
      <c r="EH35">
        <v>0</v>
      </c>
      <c r="EI35">
        <v>0</v>
      </c>
      <c r="EJ35">
        <v>0</v>
      </c>
      <c r="EK35">
        <v>0</v>
      </c>
      <c r="EM35">
        <v>0</v>
      </c>
      <c r="EN35">
        <v>660</v>
      </c>
      <c r="EO35">
        <v>660</v>
      </c>
      <c r="EP35">
        <v>659</v>
      </c>
      <c r="EQ35">
        <v>2000</v>
      </c>
      <c r="ER35">
        <v>21.24</v>
      </c>
      <c r="ES35">
        <v>0</v>
      </c>
      <c r="ET35">
        <v>0</v>
      </c>
      <c r="EU35">
        <v>0</v>
      </c>
      <c r="EW35">
        <v>0</v>
      </c>
      <c r="FA35">
        <v>0</v>
      </c>
      <c r="FE35">
        <v>0</v>
      </c>
      <c r="FI35">
        <v>0</v>
      </c>
      <c r="FJ35">
        <v>1978.76</v>
      </c>
      <c r="FK35">
        <v>32765</v>
      </c>
      <c r="FL35">
        <v>32152.059487008104</v>
      </c>
      <c r="FM35">
        <v>30786.240000000002</v>
      </c>
    </row>
    <row r="36" spans="1:169" x14ac:dyDescent="0.35">
      <c r="A36">
        <v>195417</v>
      </c>
      <c r="B36" t="s">
        <v>546</v>
      </c>
      <c r="C36" t="s">
        <v>547</v>
      </c>
      <c r="D36" t="s">
        <v>548</v>
      </c>
      <c r="E36" s="43" t="s">
        <v>549</v>
      </c>
      <c r="F36">
        <v>1</v>
      </c>
      <c r="G36" s="23">
        <v>43776</v>
      </c>
      <c r="H36" s="23">
        <v>43782</v>
      </c>
      <c r="I36" s="23">
        <v>43782</v>
      </c>
      <c r="K36" t="s">
        <v>1715</v>
      </c>
      <c r="L36" s="43" t="s">
        <v>3204</v>
      </c>
      <c r="M36" t="s">
        <v>550</v>
      </c>
      <c r="N36" t="s">
        <v>551</v>
      </c>
      <c r="O36" t="s">
        <v>552</v>
      </c>
      <c r="P36" t="s">
        <v>553</v>
      </c>
      <c r="Q36" t="s">
        <v>554</v>
      </c>
      <c r="R36">
        <v>3.1667000000000001</v>
      </c>
      <c r="S36">
        <v>44109</v>
      </c>
      <c r="T36" t="s">
        <v>265</v>
      </c>
      <c r="U36" t="s">
        <v>266</v>
      </c>
      <c r="V36" t="s">
        <v>267</v>
      </c>
      <c r="W36" t="s">
        <v>268</v>
      </c>
      <c r="X36" t="s">
        <v>269</v>
      </c>
      <c r="Y36">
        <v>8883022894</v>
      </c>
      <c r="Z36" t="s">
        <v>270</v>
      </c>
      <c r="AA36" t="s">
        <v>271</v>
      </c>
      <c r="AB36">
        <v>0</v>
      </c>
      <c r="AC36">
        <v>0</v>
      </c>
      <c r="AD36" t="s">
        <v>313</v>
      </c>
      <c r="AE36" t="s">
        <v>324</v>
      </c>
      <c r="AF36">
        <v>8</v>
      </c>
      <c r="AG36" t="s">
        <v>275</v>
      </c>
      <c r="AH36" s="43" t="s">
        <v>3226</v>
      </c>
      <c r="AI36" s="43" t="s">
        <v>313</v>
      </c>
      <c r="AJ36" s="43" t="s">
        <v>3309</v>
      </c>
      <c r="AK36" s="43" t="s">
        <v>3208</v>
      </c>
      <c r="AL36" s="43" t="s">
        <v>3209</v>
      </c>
      <c r="AM36">
        <v>43782</v>
      </c>
      <c r="AN36">
        <v>43782</v>
      </c>
      <c r="AO36" s="23">
        <v>43782</v>
      </c>
      <c r="AP36" s="23"/>
      <c r="AQ36" s="23"/>
      <c r="BD36" s="43" t="s">
        <v>2018</v>
      </c>
      <c r="BE36" s="43" t="s">
        <v>2018</v>
      </c>
      <c r="BF36" s="43" t="s">
        <v>2018</v>
      </c>
      <c r="BG36" s="43" t="s">
        <v>2018</v>
      </c>
      <c r="BH36" s="43" t="s">
        <v>2018</v>
      </c>
      <c r="BI36" s="43" t="s">
        <v>2018</v>
      </c>
      <c r="BJ36">
        <v>0.17647058823529416</v>
      </c>
      <c r="BK36">
        <v>44109</v>
      </c>
      <c r="BL36">
        <v>44356</v>
      </c>
      <c r="BM36">
        <v>8505</v>
      </c>
      <c r="BN36">
        <v>8505</v>
      </c>
      <c r="BO36">
        <v>8505</v>
      </c>
      <c r="BP36">
        <v>25515</v>
      </c>
      <c r="BQ36">
        <v>3300</v>
      </c>
      <c r="BR36">
        <v>400</v>
      </c>
      <c r="BS36">
        <v>400</v>
      </c>
      <c r="BT36">
        <v>4100</v>
      </c>
      <c r="BU36">
        <v>2100</v>
      </c>
      <c r="BV36">
        <v>2100</v>
      </c>
      <c r="BW36">
        <v>2100</v>
      </c>
      <c r="BX36">
        <v>6300</v>
      </c>
      <c r="BY36">
        <v>1200</v>
      </c>
      <c r="BZ36">
        <v>1200</v>
      </c>
      <c r="CA36">
        <v>1200</v>
      </c>
      <c r="CB36">
        <v>3600</v>
      </c>
      <c r="CC36">
        <v>0</v>
      </c>
      <c r="CD36">
        <v>0</v>
      </c>
      <c r="CE36">
        <v>0</v>
      </c>
      <c r="CF36">
        <v>0</v>
      </c>
      <c r="CG36">
        <v>39515</v>
      </c>
      <c r="CK36">
        <v>0</v>
      </c>
      <c r="CL36">
        <v>2065</v>
      </c>
      <c r="CM36">
        <v>2065</v>
      </c>
      <c r="CN36">
        <v>2065</v>
      </c>
      <c r="CO36">
        <v>6195</v>
      </c>
      <c r="CP36">
        <v>500</v>
      </c>
      <c r="CQ36">
        <v>500</v>
      </c>
      <c r="CR36">
        <v>500</v>
      </c>
      <c r="CS36">
        <v>1500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7695</v>
      </c>
      <c r="EH36">
        <v>0</v>
      </c>
      <c r="EI36">
        <v>1154</v>
      </c>
      <c r="EJ36">
        <v>1154</v>
      </c>
      <c r="EK36">
        <v>1155</v>
      </c>
      <c r="EL36">
        <v>3500</v>
      </c>
      <c r="EM36">
        <v>37.065000000000005</v>
      </c>
      <c r="EN36">
        <v>660</v>
      </c>
      <c r="EO36">
        <v>660</v>
      </c>
      <c r="EP36">
        <v>659</v>
      </c>
      <c r="EQ36">
        <v>2000</v>
      </c>
      <c r="ER36">
        <v>21.18</v>
      </c>
      <c r="ES36">
        <v>8810</v>
      </c>
      <c r="ET36">
        <v>8810</v>
      </c>
      <c r="EU36">
        <v>8810</v>
      </c>
      <c r="EV36">
        <v>27549</v>
      </c>
      <c r="EW36">
        <v>1170</v>
      </c>
      <c r="FA36">
        <v>0</v>
      </c>
      <c r="FE36">
        <v>0</v>
      </c>
      <c r="FI36">
        <v>0</v>
      </c>
      <c r="FJ36">
        <v>31820.473480000001</v>
      </c>
      <c r="FK36">
        <v>31820</v>
      </c>
      <c r="FL36">
        <v>-0.49448575486732754</v>
      </c>
      <c r="FM36">
        <v>-0.47348000000056345</v>
      </c>
    </row>
    <row r="37" spans="1:169" x14ac:dyDescent="0.35">
      <c r="A37">
        <v>193609</v>
      </c>
      <c r="B37" t="s">
        <v>555</v>
      </c>
      <c r="C37" t="s">
        <v>556</v>
      </c>
      <c r="D37" t="s">
        <v>557</v>
      </c>
      <c r="E37" s="43" t="s">
        <v>558</v>
      </c>
      <c r="L37" s="43" t="s">
        <v>259</v>
      </c>
      <c r="M37" t="s">
        <v>559</v>
      </c>
      <c r="N37" t="s">
        <v>560</v>
      </c>
      <c r="O37" t="s">
        <v>425</v>
      </c>
      <c r="P37" t="s">
        <v>297</v>
      </c>
      <c r="Q37" t="s">
        <v>561</v>
      </c>
      <c r="R37">
        <v>3.0889000000000002</v>
      </c>
      <c r="S37">
        <v>44109</v>
      </c>
      <c r="T37" t="s">
        <v>265</v>
      </c>
      <c r="U37" t="s">
        <v>266</v>
      </c>
      <c r="V37" t="s">
        <v>267</v>
      </c>
      <c r="W37" t="s">
        <v>268</v>
      </c>
      <c r="X37" t="s">
        <v>269</v>
      </c>
      <c r="Y37">
        <v>8883022894</v>
      </c>
      <c r="Z37" t="s">
        <v>270</v>
      </c>
      <c r="AA37" t="s">
        <v>271</v>
      </c>
      <c r="AB37" t="s">
        <v>562</v>
      </c>
      <c r="AC37" t="s">
        <v>563</v>
      </c>
      <c r="AD37" t="s">
        <v>415</v>
      </c>
      <c r="AE37" t="s">
        <v>289</v>
      </c>
      <c r="AF37">
        <v>2</v>
      </c>
      <c r="AG37" t="s">
        <v>275</v>
      </c>
      <c r="AH37" s="43" t="s">
        <v>259</v>
      </c>
      <c r="AI37" s="43" t="s">
        <v>259</v>
      </c>
      <c r="AJ37" s="43" t="s">
        <v>259</v>
      </c>
      <c r="AK37" s="43" t="s">
        <v>259</v>
      </c>
      <c r="AL37" s="43" t="s">
        <v>259</v>
      </c>
      <c r="AO37" s="23"/>
      <c r="AP37" s="23"/>
      <c r="AQ37" s="23"/>
      <c r="BD37" s="43" t="s">
        <v>259</v>
      </c>
      <c r="BE37" s="43" t="s">
        <v>259</v>
      </c>
      <c r="BF37" s="43" t="s">
        <v>259</v>
      </c>
      <c r="BG37" s="43" t="s">
        <v>259</v>
      </c>
      <c r="BH37" s="43" t="s">
        <v>259</v>
      </c>
      <c r="BI37" s="43" t="s">
        <v>259</v>
      </c>
      <c r="BJ37">
        <v>0</v>
      </c>
      <c r="BK37">
        <v>44109</v>
      </c>
      <c r="BL37">
        <v>44356</v>
      </c>
      <c r="BM37">
        <v>8505</v>
      </c>
      <c r="BN37">
        <v>8505</v>
      </c>
      <c r="BO37">
        <v>8505</v>
      </c>
      <c r="BP37">
        <v>25515</v>
      </c>
      <c r="BQ37">
        <v>3300</v>
      </c>
      <c r="BR37">
        <v>400</v>
      </c>
      <c r="BS37">
        <v>400</v>
      </c>
      <c r="BT37">
        <v>4100</v>
      </c>
      <c r="BU37">
        <v>2100</v>
      </c>
      <c r="BV37">
        <v>2100</v>
      </c>
      <c r="BW37">
        <v>2100</v>
      </c>
      <c r="BX37">
        <v>6300</v>
      </c>
      <c r="BY37">
        <v>1200</v>
      </c>
      <c r="BZ37">
        <v>1200</v>
      </c>
      <c r="CA37">
        <v>1200</v>
      </c>
      <c r="CB37">
        <v>3600</v>
      </c>
      <c r="CC37">
        <v>0</v>
      </c>
      <c r="CD37">
        <v>0</v>
      </c>
      <c r="CE37">
        <v>0</v>
      </c>
      <c r="CF37">
        <v>0</v>
      </c>
      <c r="CG37">
        <v>39515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1500</v>
      </c>
      <c r="CU37">
        <v>1500</v>
      </c>
      <c r="CV37">
        <v>1500</v>
      </c>
      <c r="CW37">
        <v>4500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4500</v>
      </c>
      <c r="EH37">
        <v>0</v>
      </c>
      <c r="EI37">
        <v>1154</v>
      </c>
      <c r="EJ37">
        <v>1154</v>
      </c>
      <c r="EK37">
        <v>1155</v>
      </c>
      <c r="EL37">
        <v>3500</v>
      </c>
      <c r="EM37">
        <v>37.065000000000005</v>
      </c>
      <c r="EN37">
        <v>660</v>
      </c>
      <c r="EO37">
        <v>660</v>
      </c>
      <c r="EP37">
        <v>659</v>
      </c>
      <c r="EQ37">
        <v>2000</v>
      </c>
      <c r="ER37">
        <v>21.18</v>
      </c>
      <c r="ES37">
        <v>0</v>
      </c>
      <c r="ET37">
        <v>0</v>
      </c>
      <c r="EU37">
        <v>0</v>
      </c>
      <c r="EV37">
        <v>0</v>
      </c>
      <c r="EW37">
        <v>0</v>
      </c>
      <c r="FA37">
        <v>0</v>
      </c>
      <c r="FE37">
        <v>0</v>
      </c>
      <c r="FI37">
        <v>0</v>
      </c>
      <c r="FJ37">
        <v>5441.7550000000001</v>
      </c>
      <c r="FK37">
        <v>35015</v>
      </c>
      <c r="FL37">
        <v>30885.250438633135</v>
      </c>
      <c r="FM37">
        <v>29573.244999999999</v>
      </c>
    </row>
    <row r="38" spans="1:169" x14ac:dyDescent="0.35">
      <c r="A38">
        <v>193841</v>
      </c>
      <c r="B38" t="s">
        <v>555</v>
      </c>
      <c r="C38" t="s">
        <v>564</v>
      </c>
      <c r="D38" t="s">
        <v>565</v>
      </c>
      <c r="E38" s="43" t="s">
        <v>566</v>
      </c>
      <c r="F38">
        <v>1</v>
      </c>
      <c r="I38" s="23">
        <v>43776</v>
      </c>
      <c r="L38" s="43" t="s">
        <v>3204</v>
      </c>
      <c r="M38" t="s">
        <v>567</v>
      </c>
      <c r="N38" t="s">
        <v>568</v>
      </c>
      <c r="O38" t="s">
        <v>569</v>
      </c>
      <c r="P38" t="s">
        <v>553</v>
      </c>
      <c r="Q38" t="s">
        <v>570</v>
      </c>
      <c r="R38">
        <v>4</v>
      </c>
      <c r="S38">
        <v>44109</v>
      </c>
      <c r="T38" t="s">
        <v>285</v>
      </c>
      <c r="U38" t="s">
        <v>286</v>
      </c>
      <c r="V38" t="s">
        <v>267</v>
      </c>
      <c r="W38" t="s">
        <v>268</v>
      </c>
      <c r="X38" t="s">
        <v>269</v>
      </c>
      <c r="Y38">
        <v>8883022894</v>
      </c>
      <c r="Z38" t="s">
        <v>270</v>
      </c>
      <c r="AA38" t="s">
        <v>271</v>
      </c>
      <c r="AB38" t="s">
        <v>571</v>
      </c>
      <c r="AC38">
        <v>0</v>
      </c>
      <c r="AD38" t="s">
        <v>313</v>
      </c>
      <c r="AE38" t="s">
        <v>301</v>
      </c>
      <c r="AF38">
        <v>1</v>
      </c>
      <c r="AG38" t="s">
        <v>275</v>
      </c>
      <c r="AH38" s="43" t="s">
        <v>3227</v>
      </c>
      <c r="AI38" s="43" t="s">
        <v>3228</v>
      </c>
      <c r="AJ38" s="43" t="s">
        <v>3207</v>
      </c>
      <c r="AK38" s="43" t="s">
        <v>3208</v>
      </c>
      <c r="AL38" s="43" t="s">
        <v>3209</v>
      </c>
      <c r="AO38" s="23"/>
      <c r="AP38" s="23"/>
      <c r="AQ38" s="23"/>
      <c r="BD38" s="43" t="s">
        <v>2018</v>
      </c>
      <c r="BE38" s="43" t="s">
        <v>2018</v>
      </c>
      <c r="BF38" s="43" t="s">
        <v>2018</v>
      </c>
      <c r="BG38" s="43" t="s">
        <v>2018</v>
      </c>
      <c r="BH38" s="43" t="s">
        <v>2018</v>
      </c>
      <c r="BI38" s="43" t="s">
        <v>2018</v>
      </c>
      <c r="BJ38">
        <v>0</v>
      </c>
      <c r="BK38">
        <v>44109</v>
      </c>
      <c r="BL38">
        <v>44356</v>
      </c>
      <c r="BM38">
        <v>8505</v>
      </c>
      <c r="BN38">
        <v>8505</v>
      </c>
      <c r="BO38">
        <v>8505</v>
      </c>
      <c r="BP38">
        <v>25515</v>
      </c>
      <c r="BQ38">
        <v>3300</v>
      </c>
      <c r="BR38">
        <v>400</v>
      </c>
      <c r="BS38">
        <v>400</v>
      </c>
      <c r="BT38">
        <v>4100</v>
      </c>
      <c r="BU38">
        <v>2100</v>
      </c>
      <c r="BV38">
        <v>2100</v>
      </c>
      <c r="BW38">
        <v>2100</v>
      </c>
      <c r="BX38">
        <v>6300</v>
      </c>
      <c r="BY38">
        <v>1200</v>
      </c>
      <c r="BZ38">
        <v>1200</v>
      </c>
      <c r="CA38">
        <v>1200</v>
      </c>
      <c r="CB38">
        <v>3600</v>
      </c>
      <c r="CC38">
        <v>0</v>
      </c>
      <c r="CD38">
        <v>0</v>
      </c>
      <c r="CE38">
        <v>0</v>
      </c>
      <c r="CF38">
        <v>0</v>
      </c>
      <c r="CG38">
        <v>39515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1700</v>
      </c>
      <c r="CU38">
        <v>1700</v>
      </c>
      <c r="CV38">
        <v>1700</v>
      </c>
      <c r="CW38">
        <v>5100</v>
      </c>
      <c r="CX38">
        <v>0</v>
      </c>
      <c r="CY38">
        <v>0</v>
      </c>
      <c r="CZ38">
        <v>0</v>
      </c>
      <c r="DA38">
        <v>0</v>
      </c>
      <c r="DB38">
        <v>1000</v>
      </c>
      <c r="DC38">
        <v>1000</v>
      </c>
      <c r="DD38">
        <v>1000</v>
      </c>
      <c r="DE38">
        <v>3000</v>
      </c>
      <c r="DF38">
        <v>0</v>
      </c>
      <c r="DG38">
        <v>0</v>
      </c>
      <c r="DH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8100</v>
      </c>
      <c r="EH38">
        <v>0</v>
      </c>
      <c r="EI38">
        <v>1154</v>
      </c>
      <c r="EJ38">
        <v>1154</v>
      </c>
      <c r="EK38">
        <v>1155</v>
      </c>
      <c r="EL38">
        <v>3500</v>
      </c>
      <c r="EM38">
        <v>37.065000000000005</v>
      </c>
      <c r="EN38">
        <v>660</v>
      </c>
      <c r="EO38">
        <v>660</v>
      </c>
      <c r="EP38">
        <v>659</v>
      </c>
      <c r="EQ38">
        <v>2000</v>
      </c>
      <c r="ER38">
        <v>21.18</v>
      </c>
      <c r="ES38">
        <v>0</v>
      </c>
      <c r="ET38">
        <v>0</v>
      </c>
      <c r="EU38">
        <v>0</v>
      </c>
      <c r="EV38">
        <v>0</v>
      </c>
      <c r="EW38">
        <v>0</v>
      </c>
      <c r="FA38">
        <v>0</v>
      </c>
      <c r="FE38">
        <v>0</v>
      </c>
      <c r="FI38">
        <v>0</v>
      </c>
      <c r="FJ38">
        <v>5441.7550000000001</v>
      </c>
      <c r="FK38">
        <v>31415</v>
      </c>
      <c r="FL38">
        <v>27125.537847773412</v>
      </c>
      <c r="FM38">
        <v>25973.244999999999</v>
      </c>
    </row>
    <row r="39" spans="1:169" x14ac:dyDescent="0.35">
      <c r="A39">
        <v>198641</v>
      </c>
      <c r="B39" t="s">
        <v>3882</v>
      </c>
      <c r="C39" t="s">
        <v>1955</v>
      </c>
      <c r="D39" t="s">
        <v>3883</v>
      </c>
      <c r="E39" s="43" t="s">
        <v>4201</v>
      </c>
      <c r="J39" t="s">
        <v>3830</v>
      </c>
      <c r="L39" s="43" t="s">
        <v>259</v>
      </c>
      <c r="M39" t="s">
        <v>3884</v>
      </c>
      <c r="N39" t="s">
        <v>3885</v>
      </c>
      <c r="O39" t="s">
        <v>3886</v>
      </c>
      <c r="P39" t="s">
        <v>831</v>
      </c>
      <c r="Q39" t="s">
        <v>3887</v>
      </c>
      <c r="R39">
        <v>1.8</v>
      </c>
      <c r="S39">
        <v>44109</v>
      </c>
      <c r="T39" t="s">
        <v>311</v>
      </c>
      <c r="U39" t="s">
        <v>266</v>
      </c>
      <c r="V39" t="s">
        <v>267</v>
      </c>
      <c r="W39" t="s">
        <v>268</v>
      </c>
      <c r="X39" t="s">
        <v>269</v>
      </c>
      <c r="Y39">
        <v>8883022894</v>
      </c>
      <c r="Z39" t="s">
        <v>270</v>
      </c>
      <c r="AA39" t="s">
        <v>271</v>
      </c>
      <c r="AB39">
        <v>0</v>
      </c>
      <c r="AC39" t="s">
        <v>761</v>
      </c>
      <c r="AD39" t="s">
        <v>3888</v>
      </c>
      <c r="AE39" t="s">
        <v>344</v>
      </c>
      <c r="AF39">
        <v>10</v>
      </c>
      <c r="AG39" t="s">
        <v>3345</v>
      </c>
      <c r="AH39" s="43" t="s">
        <v>259</v>
      </c>
      <c r="AI39" s="43" t="s">
        <v>259</v>
      </c>
      <c r="AJ39" s="43" t="s">
        <v>259</v>
      </c>
      <c r="AK39" s="43" t="s">
        <v>259</v>
      </c>
      <c r="AL39" s="43" t="s">
        <v>259</v>
      </c>
      <c r="AO39" s="23"/>
      <c r="AP39" s="23"/>
      <c r="AQ39" s="23"/>
      <c r="BD39" s="43" t="s">
        <v>259</v>
      </c>
      <c r="BE39" s="43" t="s">
        <v>259</v>
      </c>
      <c r="BF39" s="43" t="s">
        <v>259</v>
      </c>
      <c r="BG39" s="43" t="s">
        <v>259</v>
      </c>
      <c r="BH39" s="43" t="s">
        <v>259</v>
      </c>
      <c r="BI39" s="43" t="s">
        <v>259</v>
      </c>
      <c r="BJ39">
        <v>0</v>
      </c>
      <c r="BK39">
        <v>44109</v>
      </c>
      <c r="BL39">
        <v>44356</v>
      </c>
      <c r="BM39">
        <v>8505</v>
      </c>
      <c r="BN39">
        <v>8505</v>
      </c>
      <c r="BO39">
        <v>8505</v>
      </c>
      <c r="BP39">
        <v>25515</v>
      </c>
      <c r="BQ39">
        <v>3300</v>
      </c>
      <c r="BR39">
        <v>400</v>
      </c>
      <c r="BS39">
        <v>400</v>
      </c>
      <c r="BT39">
        <v>4100</v>
      </c>
      <c r="BU39">
        <v>2100</v>
      </c>
      <c r="BV39">
        <v>2100</v>
      </c>
      <c r="BW39">
        <v>2100</v>
      </c>
      <c r="BX39">
        <v>6300</v>
      </c>
      <c r="BY39">
        <v>1200</v>
      </c>
      <c r="BZ39">
        <v>1200</v>
      </c>
      <c r="CA39">
        <v>1200</v>
      </c>
      <c r="CB39">
        <v>3600</v>
      </c>
      <c r="CF39">
        <v>0</v>
      </c>
      <c r="CG39">
        <v>39515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N39">
        <v>0</v>
      </c>
      <c r="DO39">
        <v>0</v>
      </c>
      <c r="DP39">
        <v>0</v>
      </c>
      <c r="DR39">
        <v>0</v>
      </c>
      <c r="DS39">
        <v>0</v>
      </c>
      <c r="DT39">
        <v>0</v>
      </c>
      <c r="DY39">
        <v>0</v>
      </c>
      <c r="EC39">
        <v>0</v>
      </c>
      <c r="ED39">
        <v>0</v>
      </c>
      <c r="EH39">
        <v>0</v>
      </c>
      <c r="EI39">
        <v>0</v>
      </c>
      <c r="EJ39">
        <v>0</v>
      </c>
      <c r="EK39">
        <v>0</v>
      </c>
      <c r="EM39">
        <v>0</v>
      </c>
      <c r="EN39">
        <v>660</v>
      </c>
      <c r="EO39">
        <v>660</v>
      </c>
      <c r="EP39">
        <v>659</v>
      </c>
      <c r="EQ39">
        <v>2000</v>
      </c>
      <c r="ER39">
        <v>21.24</v>
      </c>
      <c r="ES39">
        <v>0</v>
      </c>
      <c r="ET39">
        <v>0</v>
      </c>
      <c r="EU39">
        <v>0</v>
      </c>
      <c r="EW39">
        <v>0</v>
      </c>
      <c r="FA39">
        <v>0</v>
      </c>
      <c r="FE39">
        <v>0</v>
      </c>
      <c r="FI39">
        <v>0</v>
      </c>
      <c r="FJ39">
        <v>1978.76</v>
      </c>
      <c r="FK39">
        <v>39515</v>
      </c>
      <c r="FL39">
        <v>39201.520594870075</v>
      </c>
      <c r="FM39">
        <v>37536.239999999998</v>
      </c>
    </row>
    <row r="40" spans="1:169" x14ac:dyDescent="0.35">
      <c r="A40">
        <v>197893</v>
      </c>
      <c r="B40" t="s">
        <v>572</v>
      </c>
      <c r="C40" t="s">
        <v>573</v>
      </c>
      <c r="D40" t="s">
        <v>574</v>
      </c>
      <c r="E40" s="43" t="s">
        <v>575</v>
      </c>
      <c r="F40">
        <v>1</v>
      </c>
      <c r="I40" s="23">
        <v>43776</v>
      </c>
      <c r="L40" s="43" t="s">
        <v>3204</v>
      </c>
      <c r="M40" t="s">
        <v>576</v>
      </c>
      <c r="N40" t="s">
        <v>577</v>
      </c>
      <c r="O40" t="s">
        <v>578</v>
      </c>
      <c r="P40" t="s">
        <v>579</v>
      </c>
      <c r="Q40" t="s">
        <v>580</v>
      </c>
      <c r="R40">
        <v>3.8</v>
      </c>
      <c r="S40">
        <v>44109</v>
      </c>
      <c r="T40" t="s">
        <v>285</v>
      </c>
      <c r="U40" t="s">
        <v>286</v>
      </c>
      <c r="V40" t="s">
        <v>267</v>
      </c>
      <c r="W40" t="s">
        <v>268</v>
      </c>
      <c r="X40" t="s">
        <v>269</v>
      </c>
      <c r="Y40">
        <v>8883022894</v>
      </c>
      <c r="Z40" t="s">
        <v>270</v>
      </c>
      <c r="AA40" t="s">
        <v>271</v>
      </c>
      <c r="AB40" t="s">
        <v>526</v>
      </c>
      <c r="AC40">
        <v>0</v>
      </c>
      <c r="AD40" t="s">
        <v>581</v>
      </c>
      <c r="AE40" t="s">
        <v>301</v>
      </c>
      <c r="AF40">
        <v>1</v>
      </c>
      <c r="AG40" t="s">
        <v>275</v>
      </c>
      <c r="AH40" s="43" t="s">
        <v>3229</v>
      </c>
      <c r="AI40" s="43" t="s">
        <v>3230</v>
      </c>
      <c r="AJ40" s="43" t="s">
        <v>3207</v>
      </c>
      <c r="AK40" s="43" t="s">
        <v>3208</v>
      </c>
      <c r="AL40" s="43" t="s">
        <v>3209</v>
      </c>
      <c r="AO40" s="23">
        <v>43755</v>
      </c>
      <c r="AP40" s="23"/>
      <c r="AQ40" s="23"/>
      <c r="BD40" s="43" t="s">
        <v>2018</v>
      </c>
      <c r="BE40" s="43" t="s">
        <v>2018</v>
      </c>
      <c r="BF40" s="43" t="s">
        <v>2018</v>
      </c>
      <c r="BG40" s="43" t="s">
        <v>2018</v>
      </c>
      <c r="BH40" s="43" t="s">
        <v>2018</v>
      </c>
      <c r="BI40" s="43" t="s">
        <v>2018</v>
      </c>
      <c r="BJ40">
        <v>5.8823529411764719E-2</v>
      </c>
      <c r="BK40">
        <v>44109</v>
      </c>
      <c r="BL40">
        <v>44356</v>
      </c>
      <c r="BM40">
        <v>8505</v>
      </c>
      <c r="BN40">
        <v>8505</v>
      </c>
      <c r="BO40">
        <v>8505</v>
      </c>
      <c r="BP40">
        <v>25515</v>
      </c>
      <c r="BQ40">
        <v>3300</v>
      </c>
      <c r="BR40">
        <v>400</v>
      </c>
      <c r="BS40">
        <v>400</v>
      </c>
      <c r="BT40">
        <v>4100</v>
      </c>
      <c r="BU40">
        <v>2100</v>
      </c>
      <c r="BV40">
        <v>2100</v>
      </c>
      <c r="BW40">
        <v>2100</v>
      </c>
      <c r="BX40">
        <v>6300</v>
      </c>
      <c r="BY40">
        <v>1200</v>
      </c>
      <c r="BZ40">
        <v>1200</v>
      </c>
      <c r="CA40">
        <v>1200</v>
      </c>
      <c r="CB40">
        <v>3600</v>
      </c>
      <c r="CC40">
        <v>0</v>
      </c>
      <c r="CD40">
        <v>0</v>
      </c>
      <c r="CE40">
        <v>0</v>
      </c>
      <c r="CF40">
        <v>0</v>
      </c>
      <c r="CG40">
        <v>39515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1700</v>
      </c>
      <c r="CU40">
        <v>1700</v>
      </c>
      <c r="CV40">
        <v>1700</v>
      </c>
      <c r="CW40">
        <v>5100</v>
      </c>
      <c r="CX40">
        <v>0</v>
      </c>
      <c r="CY40">
        <v>0</v>
      </c>
      <c r="CZ40">
        <v>0</v>
      </c>
      <c r="DA40">
        <v>0</v>
      </c>
      <c r="DB40">
        <v>1000</v>
      </c>
      <c r="DC40">
        <v>1000</v>
      </c>
      <c r="DD40">
        <v>1000</v>
      </c>
      <c r="DE40">
        <v>3000</v>
      </c>
      <c r="DF40">
        <v>0</v>
      </c>
      <c r="DG40">
        <v>0</v>
      </c>
      <c r="DH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8100</v>
      </c>
      <c r="EH40">
        <v>0</v>
      </c>
      <c r="EI40">
        <v>1154</v>
      </c>
      <c r="EJ40">
        <v>1154</v>
      </c>
      <c r="EK40">
        <v>1155</v>
      </c>
      <c r="EL40">
        <v>3500</v>
      </c>
      <c r="EM40">
        <v>37.065000000000005</v>
      </c>
      <c r="EN40">
        <v>660</v>
      </c>
      <c r="EO40">
        <v>660</v>
      </c>
      <c r="EP40">
        <v>659</v>
      </c>
      <c r="EQ40">
        <v>2000</v>
      </c>
      <c r="ER40">
        <v>21.18</v>
      </c>
      <c r="ES40">
        <v>0</v>
      </c>
      <c r="ET40">
        <v>0</v>
      </c>
      <c r="EU40">
        <v>0</v>
      </c>
      <c r="EV40">
        <v>0</v>
      </c>
      <c r="EW40">
        <v>0</v>
      </c>
      <c r="FA40">
        <v>0</v>
      </c>
      <c r="FE40">
        <v>0</v>
      </c>
      <c r="FI40">
        <v>0</v>
      </c>
      <c r="FJ40">
        <v>5441.7550000000001</v>
      </c>
      <c r="FK40">
        <v>31415</v>
      </c>
      <c r="FL40">
        <v>27125.537847773412</v>
      </c>
      <c r="FM40">
        <v>25973.244999999999</v>
      </c>
    </row>
    <row r="41" spans="1:169" x14ac:dyDescent="0.35">
      <c r="A41">
        <v>197736</v>
      </c>
      <c r="B41" t="s">
        <v>582</v>
      </c>
      <c r="C41" t="s">
        <v>583</v>
      </c>
      <c r="D41" t="s">
        <v>584</v>
      </c>
      <c r="E41" s="43" t="s">
        <v>3281</v>
      </c>
      <c r="L41" s="43" t="s">
        <v>259</v>
      </c>
      <c r="M41" t="s">
        <v>585</v>
      </c>
      <c r="N41" t="s">
        <v>586</v>
      </c>
      <c r="O41" t="s">
        <v>587</v>
      </c>
      <c r="P41" t="s">
        <v>263</v>
      </c>
      <c r="Q41" t="s">
        <v>588</v>
      </c>
      <c r="R41">
        <v>3.8</v>
      </c>
      <c r="S41">
        <v>44109</v>
      </c>
      <c r="T41" t="s">
        <v>285</v>
      </c>
      <c r="U41" t="s">
        <v>266</v>
      </c>
      <c r="V41" t="s">
        <v>267</v>
      </c>
      <c r="W41" t="s">
        <v>268</v>
      </c>
      <c r="X41" t="s">
        <v>269</v>
      </c>
      <c r="Y41">
        <v>8883022894</v>
      </c>
      <c r="Z41" t="s">
        <v>270</v>
      </c>
      <c r="AA41" t="s">
        <v>271</v>
      </c>
      <c r="AB41" t="s">
        <v>374</v>
      </c>
      <c r="AC41">
        <v>0</v>
      </c>
      <c r="AD41" t="s">
        <v>288</v>
      </c>
      <c r="AE41" t="s">
        <v>289</v>
      </c>
      <c r="AF41">
        <v>2</v>
      </c>
      <c r="AG41" t="s">
        <v>446</v>
      </c>
      <c r="AH41" s="43" t="s">
        <v>259</v>
      </c>
      <c r="AI41" s="43" t="s">
        <v>259</v>
      </c>
      <c r="AJ41" s="43" t="s">
        <v>259</v>
      </c>
      <c r="AK41" s="43" t="s">
        <v>259</v>
      </c>
      <c r="AL41" s="43" t="s">
        <v>259</v>
      </c>
      <c r="AO41" s="23"/>
      <c r="AP41" s="23"/>
      <c r="AQ41" s="23"/>
      <c r="BD41" s="43" t="s">
        <v>259</v>
      </c>
      <c r="BE41" s="43" t="s">
        <v>259</v>
      </c>
      <c r="BF41" s="43" t="s">
        <v>259</v>
      </c>
      <c r="BG41" s="43" t="s">
        <v>259</v>
      </c>
      <c r="BH41" s="43" t="s">
        <v>259</v>
      </c>
      <c r="BI41" s="43" t="s">
        <v>259</v>
      </c>
      <c r="BJ41">
        <v>0</v>
      </c>
      <c r="BK41">
        <v>44109</v>
      </c>
      <c r="BL41">
        <v>44356</v>
      </c>
      <c r="BM41">
        <v>8505</v>
      </c>
      <c r="BN41">
        <v>8505</v>
      </c>
      <c r="BO41">
        <v>8505</v>
      </c>
      <c r="BP41">
        <v>25515</v>
      </c>
      <c r="BQ41">
        <v>3300</v>
      </c>
      <c r="BR41">
        <v>400</v>
      </c>
      <c r="BS41">
        <v>400</v>
      </c>
      <c r="BT41">
        <v>4100</v>
      </c>
      <c r="BU41">
        <v>2100</v>
      </c>
      <c r="BV41">
        <v>2100</v>
      </c>
      <c r="BW41">
        <v>2100</v>
      </c>
      <c r="BX41">
        <v>6300</v>
      </c>
      <c r="BY41">
        <v>1200</v>
      </c>
      <c r="BZ41">
        <v>1200</v>
      </c>
      <c r="CA41">
        <v>1200</v>
      </c>
      <c r="CB41">
        <v>3600</v>
      </c>
      <c r="CF41">
        <v>0</v>
      </c>
      <c r="CG41">
        <v>39515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1500</v>
      </c>
      <c r="CU41">
        <v>1500</v>
      </c>
      <c r="CV41">
        <v>1500</v>
      </c>
      <c r="CW41">
        <v>4500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N41">
        <v>0</v>
      </c>
      <c r="DO41">
        <v>0</v>
      </c>
      <c r="DP41">
        <v>0</v>
      </c>
      <c r="DR41">
        <v>0</v>
      </c>
      <c r="DS41">
        <v>0</v>
      </c>
      <c r="DT41">
        <v>0</v>
      </c>
      <c r="DY41">
        <v>0</v>
      </c>
      <c r="EC41">
        <v>0</v>
      </c>
      <c r="ED41">
        <v>4500</v>
      </c>
      <c r="EH41">
        <v>0</v>
      </c>
      <c r="EI41">
        <v>0</v>
      </c>
      <c r="EJ41">
        <v>0</v>
      </c>
      <c r="EK41">
        <v>0</v>
      </c>
      <c r="EM41">
        <v>0</v>
      </c>
      <c r="EN41">
        <v>660</v>
      </c>
      <c r="EO41">
        <v>660</v>
      </c>
      <c r="EP41">
        <v>659</v>
      </c>
      <c r="EQ41">
        <v>2000</v>
      </c>
      <c r="ER41">
        <v>21.24</v>
      </c>
      <c r="ES41">
        <v>0</v>
      </c>
      <c r="ET41">
        <v>0</v>
      </c>
      <c r="EU41">
        <v>0</v>
      </c>
      <c r="EW41">
        <v>0</v>
      </c>
      <c r="FA41">
        <v>0</v>
      </c>
      <c r="FE41">
        <v>0</v>
      </c>
      <c r="FI41">
        <v>0</v>
      </c>
      <c r="FJ41">
        <v>1978.76</v>
      </c>
      <c r="FK41">
        <v>35015</v>
      </c>
      <c r="FL41">
        <v>34501.879856295425</v>
      </c>
      <c r="FM41">
        <v>33036.239999999998</v>
      </c>
    </row>
    <row r="42" spans="1:169" x14ac:dyDescent="0.35">
      <c r="A42">
        <v>196440</v>
      </c>
      <c r="B42" t="s">
        <v>589</v>
      </c>
      <c r="C42" t="s">
        <v>590</v>
      </c>
      <c r="D42" t="s">
        <v>591</v>
      </c>
      <c r="E42" s="43" t="s">
        <v>592</v>
      </c>
      <c r="F42">
        <v>1</v>
      </c>
      <c r="I42" s="23">
        <v>43801</v>
      </c>
      <c r="L42" s="43" t="s">
        <v>3204</v>
      </c>
      <c r="M42" t="s">
        <v>593</v>
      </c>
      <c r="N42" t="s">
        <v>594</v>
      </c>
      <c r="O42" t="s">
        <v>595</v>
      </c>
      <c r="P42" t="s">
        <v>596</v>
      </c>
      <c r="Q42" t="s">
        <v>597</v>
      </c>
      <c r="R42">
        <v>3.7</v>
      </c>
      <c r="S42">
        <v>44109</v>
      </c>
      <c r="T42" t="s">
        <v>285</v>
      </c>
      <c r="U42" t="s">
        <v>266</v>
      </c>
      <c r="V42" t="s">
        <v>267</v>
      </c>
      <c r="W42" t="s">
        <v>268</v>
      </c>
      <c r="X42" t="s">
        <v>269</v>
      </c>
      <c r="Y42">
        <v>8883022894</v>
      </c>
      <c r="Z42" t="s">
        <v>270</v>
      </c>
      <c r="AA42" t="s">
        <v>271</v>
      </c>
      <c r="AB42" t="s">
        <v>598</v>
      </c>
      <c r="AC42" t="s">
        <v>599</v>
      </c>
      <c r="AD42" t="s">
        <v>600</v>
      </c>
      <c r="AE42" t="s">
        <v>301</v>
      </c>
      <c r="AF42">
        <v>1</v>
      </c>
      <c r="AG42" t="s">
        <v>275</v>
      </c>
      <c r="AH42" s="43" t="s">
        <v>3314</v>
      </c>
      <c r="AI42" s="43" t="s">
        <v>3315</v>
      </c>
      <c r="AJ42" s="43" t="s">
        <v>3309</v>
      </c>
      <c r="AK42" s="43" t="s">
        <v>3208</v>
      </c>
      <c r="AL42" s="43" t="s">
        <v>3209</v>
      </c>
      <c r="AO42" s="23"/>
      <c r="AP42" s="23"/>
      <c r="AQ42" s="23"/>
      <c r="BD42" s="43" t="s">
        <v>2018</v>
      </c>
      <c r="BE42" s="43" t="s">
        <v>2018</v>
      </c>
      <c r="BF42" s="43" t="s">
        <v>2018</v>
      </c>
      <c r="BG42" s="43" t="s">
        <v>2018</v>
      </c>
      <c r="BH42" s="43" t="s">
        <v>2018</v>
      </c>
      <c r="BI42" s="43" t="s">
        <v>2018</v>
      </c>
      <c r="BJ42">
        <v>0</v>
      </c>
      <c r="BK42">
        <v>44109</v>
      </c>
      <c r="BL42">
        <v>44356</v>
      </c>
      <c r="BM42">
        <v>8505</v>
      </c>
      <c r="BN42">
        <v>8505</v>
      </c>
      <c r="BO42">
        <v>8505</v>
      </c>
      <c r="BP42">
        <v>25515</v>
      </c>
      <c r="BQ42">
        <v>3300</v>
      </c>
      <c r="BR42">
        <v>400</v>
      </c>
      <c r="BS42">
        <v>400</v>
      </c>
      <c r="BT42">
        <v>4100</v>
      </c>
      <c r="BU42">
        <v>2100</v>
      </c>
      <c r="BV42">
        <v>2100</v>
      </c>
      <c r="BW42">
        <v>2100</v>
      </c>
      <c r="BX42">
        <v>6300</v>
      </c>
      <c r="BY42">
        <v>1200</v>
      </c>
      <c r="BZ42">
        <v>1200</v>
      </c>
      <c r="CA42">
        <v>1200</v>
      </c>
      <c r="CB42">
        <v>3600</v>
      </c>
      <c r="CC42">
        <v>0</v>
      </c>
      <c r="CD42">
        <v>0</v>
      </c>
      <c r="CE42">
        <v>0</v>
      </c>
      <c r="CF42">
        <v>0</v>
      </c>
      <c r="CG42">
        <v>39515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1700</v>
      </c>
      <c r="CU42">
        <v>1700</v>
      </c>
      <c r="CV42">
        <v>1700</v>
      </c>
      <c r="CW42">
        <v>5100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5100</v>
      </c>
      <c r="EH42">
        <v>0</v>
      </c>
      <c r="EI42">
        <v>1154</v>
      </c>
      <c r="EJ42">
        <v>1154</v>
      </c>
      <c r="EK42">
        <v>1155</v>
      </c>
      <c r="EL42">
        <v>3500</v>
      </c>
      <c r="EM42">
        <v>37.065000000000005</v>
      </c>
      <c r="EN42">
        <v>660</v>
      </c>
      <c r="EO42">
        <v>660</v>
      </c>
      <c r="EP42">
        <v>659</v>
      </c>
      <c r="EQ42">
        <v>2000</v>
      </c>
      <c r="ER42">
        <v>21.18</v>
      </c>
      <c r="ES42">
        <v>0</v>
      </c>
      <c r="ET42">
        <v>0</v>
      </c>
      <c r="EU42">
        <v>0</v>
      </c>
      <c r="EV42">
        <v>0</v>
      </c>
      <c r="EW42">
        <v>0</v>
      </c>
      <c r="FA42">
        <v>0</v>
      </c>
      <c r="FE42">
        <v>0</v>
      </c>
      <c r="FI42">
        <v>0</v>
      </c>
      <c r="FJ42">
        <v>5441.7550000000001</v>
      </c>
      <c r="FK42">
        <v>34415</v>
      </c>
      <c r="FL42">
        <v>30258.631673489846</v>
      </c>
      <c r="FM42">
        <v>28973.244999999999</v>
      </c>
    </row>
    <row r="43" spans="1:169" x14ac:dyDescent="0.35">
      <c r="A43">
        <v>197064</v>
      </c>
      <c r="B43" t="s">
        <v>1131</v>
      </c>
      <c r="C43" t="s">
        <v>3453</v>
      </c>
      <c r="D43" t="s">
        <v>3454</v>
      </c>
      <c r="E43" s="43" t="s">
        <v>4202</v>
      </c>
      <c r="J43" t="s">
        <v>3425</v>
      </c>
      <c r="L43" s="43" t="s">
        <v>259</v>
      </c>
      <c r="M43" t="s">
        <v>3455</v>
      </c>
      <c r="N43" t="s">
        <v>3456</v>
      </c>
      <c r="O43" t="s">
        <v>3457</v>
      </c>
      <c r="P43" t="s">
        <v>384</v>
      </c>
      <c r="Q43" t="s">
        <v>3458</v>
      </c>
      <c r="R43">
        <v>3.1</v>
      </c>
      <c r="S43">
        <v>44109</v>
      </c>
      <c r="T43" t="s">
        <v>285</v>
      </c>
      <c r="U43" t="s">
        <v>266</v>
      </c>
      <c r="V43" t="s">
        <v>267</v>
      </c>
      <c r="W43" t="s">
        <v>268</v>
      </c>
      <c r="X43" t="s">
        <v>269</v>
      </c>
      <c r="Y43">
        <v>8883022894</v>
      </c>
      <c r="Z43" t="s">
        <v>270</v>
      </c>
      <c r="AA43" t="s">
        <v>271</v>
      </c>
      <c r="AB43">
        <v>0</v>
      </c>
      <c r="AC43">
        <v>0</v>
      </c>
      <c r="AD43" t="s">
        <v>313</v>
      </c>
      <c r="AE43" t="s">
        <v>344</v>
      </c>
      <c r="AF43">
        <v>10</v>
      </c>
      <c r="AG43" t="s">
        <v>3345</v>
      </c>
      <c r="AH43" s="43" t="s">
        <v>259</v>
      </c>
      <c r="AI43" s="43" t="s">
        <v>259</v>
      </c>
      <c r="AJ43" s="43" t="s">
        <v>259</v>
      </c>
      <c r="AK43" s="43" t="s">
        <v>259</v>
      </c>
      <c r="AL43" s="43" t="s">
        <v>259</v>
      </c>
      <c r="AO43" s="23"/>
      <c r="AP43" s="23"/>
      <c r="AQ43" s="23"/>
      <c r="BD43" s="43" t="s">
        <v>259</v>
      </c>
      <c r="BE43" s="43" t="s">
        <v>259</v>
      </c>
      <c r="BF43" s="43" t="s">
        <v>259</v>
      </c>
      <c r="BG43" s="43" t="s">
        <v>259</v>
      </c>
      <c r="BH43" s="43" t="s">
        <v>259</v>
      </c>
      <c r="BI43" s="43" t="s">
        <v>259</v>
      </c>
      <c r="BJ43">
        <v>0</v>
      </c>
      <c r="BK43">
        <v>44109</v>
      </c>
      <c r="BL43">
        <v>44356</v>
      </c>
      <c r="BM43">
        <v>8505</v>
      </c>
      <c r="BN43">
        <v>8505</v>
      </c>
      <c r="BO43">
        <v>8505</v>
      </c>
      <c r="BP43">
        <v>25515</v>
      </c>
      <c r="BQ43">
        <v>3300</v>
      </c>
      <c r="BR43">
        <v>400</v>
      </c>
      <c r="BS43">
        <v>400</v>
      </c>
      <c r="BT43">
        <v>4100</v>
      </c>
      <c r="BU43">
        <v>2100</v>
      </c>
      <c r="BV43">
        <v>2100</v>
      </c>
      <c r="BW43">
        <v>2100</v>
      </c>
      <c r="BX43">
        <v>6300</v>
      </c>
      <c r="BY43">
        <v>1200</v>
      </c>
      <c r="BZ43">
        <v>1200</v>
      </c>
      <c r="CA43">
        <v>1200</v>
      </c>
      <c r="CB43">
        <v>3600</v>
      </c>
      <c r="CF43">
        <v>0</v>
      </c>
      <c r="CG43">
        <v>39515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N43">
        <v>0</v>
      </c>
      <c r="DO43">
        <v>0</v>
      </c>
      <c r="DP43">
        <v>0</v>
      </c>
      <c r="DR43">
        <v>0</v>
      </c>
      <c r="DS43">
        <v>0</v>
      </c>
      <c r="DT43">
        <v>0</v>
      </c>
      <c r="DY43">
        <v>0</v>
      </c>
      <c r="EC43">
        <v>0</v>
      </c>
      <c r="ED43">
        <v>0</v>
      </c>
      <c r="EH43">
        <v>0</v>
      </c>
      <c r="EI43">
        <v>1154</v>
      </c>
      <c r="EJ43">
        <v>1154</v>
      </c>
      <c r="EK43">
        <v>1155</v>
      </c>
      <c r="EL43">
        <v>3500</v>
      </c>
      <c r="EM43">
        <v>37.065000000000005</v>
      </c>
      <c r="EN43">
        <v>660</v>
      </c>
      <c r="EO43">
        <v>660</v>
      </c>
      <c r="EP43">
        <v>659</v>
      </c>
      <c r="EQ43">
        <v>2000</v>
      </c>
      <c r="ER43">
        <v>21.24</v>
      </c>
      <c r="ES43">
        <v>0</v>
      </c>
      <c r="ET43">
        <v>0</v>
      </c>
      <c r="EU43">
        <v>0</v>
      </c>
      <c r="EW43">
        <v>0</v>
      </c>
      <c r="FA43">
        <v>0</v>
      </c>
      <c r="FE43">
        <v>0</v>
      </c>
      <c r="FI43">
        <v>0</v>
      </c>
      <c r="FJ43">
        <v>5441.6949999999997</v>
      </c>
      <c r="FK43">
        <v>39515</v>
      </c>
      <c r="FL43">
        <v>35584.953839084301</v>
      </c>
      <c r="FM43">
        <v>34073.305</v>
      </c>
    </row>
    <row r="44" spans="1:169" x14ac:dyDescent="0.35">
      <c r="A44">
        <v>199502</v>
      </c>
      <c r="B44" t="s">
        <v>1131</v>
      </c>
      <c r="C44" t="s">
        <v>3846</v>
      </c>
      <c r="D44" t="s">
        <v>3847</v>
      </c>
      <c r="E44" s="43" t="s">
        <v>4185</v>
      </c>
      <c r="J44" t="s">
        <v>3830</v>
      </c>
      <c r="L44" s="43" t="s">
        <v>344</v>
      </c>
      <c r="M44" t="s">
        <v>3848</v>
      </c>
      <c r="N44" t="s">
        <v>3849</v>
      </c>
      <c r="O44" t="s">
        <v>3850</v>
      </c>
      <c r="P44" t="s">
        <v>372</v>
      </c>
      <c r="Q44" t="s">
        <v>3851</v>
      </c>
      <c r="R44">
        <v>2.59</v>
      </c>
      <c r="S44">
        <v>44109</v>
      </c>
      <c r="T44" t="s">
        <v>311</v>
      </c>
      <c r="U44" t="s">
        <v>266</v>
      </c>
      <c r="V44" t="s">
        <v>267</v>
      </c>
      <c r="W44" t="s">
        <v>268</v>
      </c>
      <c r="X44" t="s">
        <v>269</v>
      </c>
      <c r="Y44">
        <v>8883022894</v>
      </c>
      <c r="Z44" t="s">
        <v>270</v>
      </c>
      <c r="AA44" t="s">
        <v>271</v>
      </c>
      <c r="AB44">
        <v>0</v>
      </c>
      <c r="AC44">
        <v>0</v>
      </c>
      <c r="AD44" t="s">
        <v>313</v>
      </c>
      <c r="AE44" t="s">
        <v>324</v>
      </c>
      <c r="AF44">
        <v>8</v>
      </c>
      <c r="AG44" t="s">
        <v>3345</v>
      </c>
      <c r="AH44" s="43" t="s">
        <v>313</v>
      </c>
      <c r="AI44" s="43" t="s">
        <v>313</v>
      </c>
      <c r="AJ44" s="43" t="s">
        <v>3309</v>
      </c>
      <c r="AK44" s="43" t="s">
        <v>1715</v>
      </c>
      <c r="AL44" s="43" t="s">
        <v>259</v>
      </c>
      <c r="AO44" s="23"/>
      <c r="AP44" s="23"/>
      <c r="AQ44" s="23"/>
      <c r="BD44" s="43" t="s">
        <v>259</v>
      </c>
      <c r="BE44" s="43" t="s">
        <v>259</v>
      </c>
      <c r="BF44" s="43" t="s">
        <v>259</v>
      </c>
      <c r="BG44" s="43" t="s">
        <v>259</v>
      </c>
      <c r="BH44" s="43" t="s">
        <v>259</v>
      </c>
      <c r="BI44" s="43" t="s">
        <v>259</v>
      </c>
      <c r="BJ44">
        <v>0</v>
      </c>
      <c r="BK44">
        <v>44109</v>
      </c>
      <c r="BL44">
        <v>44356</v>
      </c>
      <c r="BM44">
        <v>8505</v>
      </c>
      <c r="BN44">
        <v>8505</v>
      </c>
      <c r="BO44">
        <v>8505</v>
      </c>
      <c r="BP44">
        <v>25515</v>
      </c>
      <c r="BQ44">
        <v>3300</v>
      </c>
      <c r="BR44">
        <v>400</v>
      </c>
      <c r="BS44">
        <v>400</v>
      </c>
      <c r="BT44">
        <v>4100</v>
      </c>
      <c r="BU44">
        <v>2100</v>
      </c>
      <c r="BV44">
        <v>2100</v>
      </c>
      <c r="BW44">
        <v>2100</v>
      </c>
      <c r="BX44">
        <v>6300</v>
      </c>
      <c r="BY44">
        <v>1200</v>
      </c>
      <c r="BZ44">
        <v>1200</v>
      </c>
      <c r="CA44">
        <v>1200</v>
      </c>
      <c r="CB44">
        <v>3600</v>
      </c>
      <c r="CF44">
        <v>0</v>
      </c>
      <c r="CG44">
        <v>39515</v>
      </c>
      <c r="CK44">
        <v>0</v>
      </c>
      <c r="CL44">
        <v>2065</v>
      </c>
      <c r="CM44">
        <v>2065</v>
      </c>
      <c r="CN44">
        <v>2065</v>
      </c>
      <c r="CO44">
        <v>6195</v>
      </c>
      <c r="CP44">
        <v>500</v>
      </c>
      <c r="CQ44">
        <v>500</v>
      </c>
      <c r="CR44">
        <v>500</v>
      </c>
      <c r="CS44">
        <v>1500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N44">
        <v>0</v>
      </c>
      <c r="DO44">
        <v>0</v>
      </c>
      <c r="DP44">
        <v>0</v>
      </c>
      <c r="DR44">
        <v>0</v>
      </c>
      <c r="DS44">
        <v>0</v>
      </c>
      <c r="DT44">
        <v>0</v>
      </c>
      <c r="DY44">
        <v>0</v>
      </c>
      <c r="EC44">
        <v>0</v>
      </c>
      <c r="ED44">
        <v>7695</v>
      </c>
      <c r="EH44">
        <v>0</v>
      </c>
      <c r="EI44">
        <v>1154</v>
      </c>
      <c r="EJ44">
        <v>1154</v>
      </c>
      <c r="EK44">
        <v>1155</v>
      </c>
      <c r="EL44">
        <v>3500</v>
      </c>
      <c r="EM44">
        <v>37.065000000000005</v>
      </c>
      <c r="EN44">
        <v>660</v>
      </c>
      <c r="EO44">
        <v>660</v>
      </c>
      <c r="EP44">
        <v>659</v>
      </c>
      <c r="EQ44">
        <v>2000</v>
      </c>
      <c r="ER44">
        <v>21.24</v>
      </c>
      <c r="ES44">
        <v>0</v>
      </c>
      <c r="ET44">
        <v>0</v>
      </c>
      <c r="EU44">
        <v>0</v>
      </c>
      <c r="EW44">
        <v>0</v>
      </c>
      <c r="FA44">
        <v>0</v>
      </c>
      <c r="FE44">
        <v>0</v>
      </c>
      <c r="FI44">
        <v>0</v>
      </c>
      <c r="FJ44">
        <v>5441.6949999999997</v>
      </c>
      <c r="FK44">
        <v>31820</v>
      </c>
      <c r="FL44">
        <v>27548.568176121647</v>
      </c>
      <c r="FM44">
        <v>26378.305</v>
      </c>
    </row>
    <row r="45" spans="1:169" x14ac:dyDescent="0.35">
      <c r="A45">
        <v>199330</v>
      </c>
      <c r="B45" t="s">
        <v>3828</v>
      </c>
      <c r="C45" t="s">
        <v>2264</v>
      </c>
      <c r="D45" t="s">
        <v>3829</v>
      </c>
      <c r="E45" s="43" t="s">
        <v>4180</v>
      </c>
      <c r="F45">
        <v>1</v>
      </c>
      <c r="G45" s="23">
        <v>43801</v>
      </c>
      <c r="H45" s="23">
        <v>43802</v>
      </c>
      <c r="I45" s="23">
        <v>43802</v>
      </c>
      <c r="K45" t="s">
        <v>1715</v>
      </c>
      <c r="L45" s="43" t="s">
        <v>3204</v>
      </c>
      <c r="M45" t="s">
        <v>3831</v>
      </c>
      <c r="N45" t="s">
        <v>3832</v>
      </c>
      <c r="O45" t="s">
        <v>3833</v>
      </c>
      <c r="P45" t="s">
        <v>1370</v>
      </c>
      <c r="Q45" t="s">
        <v>3834</v>
      </c>
      <c r="R45">
        <v>3.11</v>
      </c>
      <c r="S45">
        <v>44109</v>
      </c>
      <c r="T45" t="s">
        <v>311</v>
      </c>
      <c r="U45" t="s">
        <v>266</v>
      </c>
      <c r="V45" t="s">
        <v>267</v>
      </c>
      <c r="W45" t="s">
        <v>268</v>
      </c>
      <c r="X45" t="s">
        <v>269</v>
      </c>
      <c r="Y45">
        <v>8883022894</v>
      </c>
      <c r="Z45" t="s">
        <v>270</v>
      </c>
      <c r="AA45" t="s">
        <v>271</v>
      </c>
      <c r="AB45">
        <v>0</v>
      </c>
      <c r="AC45" t="s">
        <v>1321</v>
      </c>
      <c r="AD45" t="s">
        <v>771</v>
      </c>
      <c r="AE45" t="s">
        <v>416</v>
      </c>
      <c r="AF45">
        <v>5</v>
      </c>
      <c r="AG45" t="s">
        <v>3345</v>
      </c>
      <c r="AH45" s="43" t="s">
        <v>3835</v>
      </c>
      <c r="AI45" s="43" t="s">
        <v>3836</v>
      </c>
      <c r="AJ45" s="43" t="s">
        <v>3207</v>
      </c>
      <c r="AK45" s="43" t="s">
        <v>1715</v>
      </c>
      <c r="AL45" s="43" t="s">
        <v>259</v>
      </c>
      <c r="AM45">
        <v>43802</v>
      </c>
      <c r="AN45">
        <v>43802</v>
      </c>
      <c r="AO45" s="23">
        <v>43802</v>
      </c>
      <c r="AP45" s="23"/>
      <c r="AQ45" s="23"/>
      <c r="BD45" s="43" t="s">
        <v>259</v>
      </c>
      <c r="BE45" s="43" t="s">
        <v>259</v>
      </c>
      <c r="BF45" s="43" t="s">
        <v>2018</v>
      </c>
      <c r="BG45" s="43" t="s">
        <v>2018</v>
      </c>
      <c r="BH45" s="43" t="s">
        <v>3207</v>
      </c>
      <c r="BI45" s="43" t="s">
        <v>2018</v>
      </c>
      <c r="BJ45">
        <v>0.19999999999999996</v>
      </c>
      <c r="BK45">
        <v>44109</v>
      </c>
      <c r="BL45">
        <v>44356</v>
      </c>
      <c r="BM45">
        <v>8505</v>
      </c>
      <c r="BN45">
        <v>8505</v>
      </c>
      <c r="BO45">
        <v>8505</v>
      </c>
      <c r="BP45">
        <v>25515</v>
      </c>
      <c r="BQ45">
        <v>3300</v>
      </c>
      <c r="BR45">
        <v>400</v>
      </c>
      <c r="BS45">
        <v>400</v>
      </c>
      <c r="BT45">
        <v>4100</v>
      </c>
      <c r="BU45">
        <v>2100</v>
      </c>
      <c r="BV45">
        <v>2100</v>
      </c>
      <c r="BW45">
        <v>2100</v>
      </c>
      <c r="BX45">
        <v>6300</v>
      </c>
      <c r="BY45">
        <v>1050</v>
      </c>
      <c r="BZ45">
        <v>1050</v>
      </c>
      <c r="CA45">
        <v>1050</v>
      </c>
      <c r="CB45">
        <v>3150</v>
      </c>
      <c r="CF45">
        <v>0</v>
      </c>
      <c r="CG45">
        <v>39065</v>
      </c>
      <c r="CK45">
        <v>0</v>
      </c>
      <c r="CL45">
        <v>1915</v>
      </c>
      <c r="CM45">
        <v>1915</v>
      </c>
      <c r="CN45">
        <v>1915</v>
      </c>
      <c r="CO45">
        <v>5745</v>
      </c>
      <c r="CP45">
        <v>500</v>
      </c>
      <c r="CQ45">
        <v>500</v>
      </c>
      <c r="CR45">
        <v>500</v>
      </c>
      <c r="CS45">
        <v>1500</v>
      </c>
      <c r="CT45">
        <v>1000</v>
      </c>
      <c r="CU45">
        <v>1000</v>
      </c>
      <c r="CV45">
        <v>1000</v>
      </c>
      <c r="CW45">
        <v>3000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N45">
        <v>0</v>
      </c>
      <c r="DO45">
        <v>0</v>
      </c>
      <c r="DP45">
        <v>0</v>
      </c>
      <c r="DR45">
        <v>0</v>
      </c>
      <c r="DS45">
        <v>0</v>
      </c>
      <c r="DT45">
        <v>0</v>
      </c>
      <c r="DY45">
        <v>0</v>
      </c>
      <c r="EC45">
        <v>0</v>
      </c>
      <c r="ED45">
        <v>10245</v>
      </c>
      <c r="EH45">
        <v>0</v>
      </c>
      <c r="EI45">
        <v>1154</v>
      </c>
      <c r="EJ45">
        <v>1154</v>
      </c>
      <c r="EK45">
        <v>1155</v>
      </c>
      <c r="EL45">
        <v>3500</v>
      </c>
      <c r="EM45">
        <v>37.065000000000005</v>
      </c>
      <c r="EN45">
        <v>660</v>
      </c>
      <c r="EO45">
        <v>660</v>
      </c>
      <c r="EP45">
        <v>659</v>
      </c>
      <c r="EQ45">
        <v>2000</v>
      </c>
      <c r="ER45">
        <v>21.24</v>
      </c>
      <c r="ES45">
        <v>7807</v>
      </c>
      <c r="ET45">
        <v>7807</v>
      </c>
      <c r="EU45">
        <v>7807</v>
      </c>
      <c r="EV45">
        <v>24415</v>
      </c>
      <c r="EW45">
        <v>1037</v>
      </c>
      <c r="FA45">
        <v>0</v>
      </c>
      <c r="FE45">
        <v>0</v>
      </c>
      <c r="FI45">
        <v>0</v>
      </c>
      <c r="FJ45">
        <v>28819.5458</v>
      </c>
      <c r="FK45">
        <v>28820</v>
      </c>
      <c r="FL45">
        <v>0.47435040521360183</v>
      </c>
      <c r="FM45">
        <v>0.45420000000012806</v>
      </c>
    </row>
    <row r="46" spans="1:169" x14ac:dyDescent="0.35">
      <c r="A46">
        <v>198217</v>
      </c>
      <c r="B46" t="s">
        <v>601</v>
      </c>
      <c r="C46" t="s">
        <v>602</v>
      </c>
      <c r="D46" t="s">
        <v>603</v>
      </c>
      <c r="E46" s="43" t="s">
        <v>604</v>
      </c>
      <c r="F46">
        <v>1</v>
      </c>
      <c r="G46" s="23">
        <v>43781</v>
      </c>
      <c r="H46" s="23">
        <v>43781</v>
      </c>
      <c r="I46" s="23">
        <v>43781</v>
      </c>
      <c r="L46" s="43" t="s">
        <v>3204</v>
      </c>
      <c r="M46" t="s">
        <v>605</v>
      </c>
      <c r="N46" t="s">
        <v>606</v>
      </c>
      <c r="O46" t="s">
        <v>607</v>
      </c>
      <c r="P46" t="s">
        <v>608</v>
      </c>
      <c r="Q46" t="s">
        <v>609</v>
      </c>
      <c r="R46">
        <v>3.3</v>
      </c>
      <c r="S46">
        <v>44109</v>
      </c>
      <c r="T46" t="s">
        <v>285</v>
      </c>
      <c r="U46" t="s">
        <v>266</v>
      </c>
      <c r="V46" t="s">
        <v>267</v>
      </c>
      <c r="W46" t="s">
        <v>268</v>
      </c>
      <c r="X46" t="s">
        <v>269</v>
      </c>
      <c r="Y46">
        <v>8883022894</v>
      </c>
      <c r="Z46" t="s">
        <v>270</v>
      </c>
      <c r="AA46" t="s">
        <v>271</v>
      </c>
      <c r="AB46" t="s">
        <v>610</v>
      </c>
      <c r="AC46">
        <v>0</v>
      </c>
      <c r="AD46" t="s">
        <v>611</v>
      </c>
      <c r="AE46" t="s">
        <v>364</v>
      </c>
      <c r="AF46">
        <v>3</v>
      </c>
      <c r="AG46" t="s">
        <v>275</v>
      </c>
      <c r="AH46" s="43" t="s">
        <v>3231</v>
      </c>
      <c r="AI46" s="43" t="s">
        <v>3232</v>
      </c>
      <c r="AJ46" s="43" t="s">
        <v>3207</v>
      </c>
      <c r="AK46" s="43" t="s">
        <v>3208</v>
      </c>
      <c r="AL46" s="43" t="s">
        <v>3209</v>
      </c>
      <c r="AO46" s="23"/>
      <c r="AP46" s="23"/>
      <c r="AQ46" s="23"/>
      <c r="BD46" s="43" t="s">
        <v>2018</v>
      </c>
      <c r="BE46" s="43" t="s">
        <v>2018</v>
      </c>
      <c r="BF46" s="43" t="s">
        <v>2018</v>
      </c>
      <c r="BG46" s="43" t="s">
        <v>2018</v>
      </c>
      <c r="BH46" s="43" t="s">
        <v>2018</v>
      </c>
      <c r="BI46" s="43" t="s">
        <v>2018</v>
      </c>
      <c r="BJ46">
        <v>0</v>
      </c>
      <c r="BK46">
        <v>44109</v>
      </c>
      <c r="BL46">
        <v>44356</v>
      </c>
      <c r="BM46">
        <v>8505</v>
      </c>
      <c r="BN46">
        <v>8505</v>
      </c>
      <c r="BO46">
        <v>8505</v>
      </c>
      <c r="BP46">
        <v>25515</v>
      </c>
      <c r="BQ46">
        <v>3300</v>
      </c>
      <c r="BR46">
        <v>400</v>
      </c>
      <c r="BS46">
        <v>400</v>
      </c>
      <c r="BT46">
        <v>4100</v>
      </c>
      <c r="BU46">
        <v>2100</v>
      </c>
      <c r="BV46">
        <v>2100</v>
      </c>
      <c r="BW46">
        <v>2100</v>
      </c>
      <c r="BX46">
        <v>6300</v>
      </c>
      <c r="BY46">
        <v>1200</v>
      </c>
      <c r="BZ46">
        <v>1200</v>
      </c>
      <c r="CA46">
        <v>1200</v>
      </c>
      <c r="CB46">
        <v>3600</v>
      </c>
      <c r="CC46">
        <v>0</v>
      </c>
      <c r="CD46">
        <v>0</v>
      </c>
      <c r="CE46">
        <v>0</v>
      </c>
      <c r="CF46">
        <v>0</v>
      </c>
      <c r="CG46">
        <v>39515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1300</v>
      </c>
      <c r="CU46">
        <v>1300</v>
      </c>
      <c r="CV46">
        <v>1300</v>
      </c>
      <c r="CW46">
        <v>3900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3900</v>
      </c>
      <c r="EH46">
        <v>0</v>
      </c>
      <c r="EI46">
        <v>1154</v>
      </c>
      <c r="EJ46">
        <v>1154</v>
      </c>
      <c r="EK46">
        <v>1155</v>
      </c>
      <c r="EL46">
        <v>3500</v>
      </c>
      <c r="EM46">
        <v>37.065000000000005</v>
      </c>
      <c r="EN46">
        <v>660</v>
      </c>
      <c r="EO46">
        <v>660</v>
      </c>
      <c r="EP46">
        <v>659</v>
      </c>
      <c r="EQ46">
        <v>2000</v>
      </c>
      <c r="ER46">
        <v>21.18</v>
      </c>
      <c r="ES46">
        <v>0</v>
      </c>
      <c r="ET46">
        <v>0</v>
      </c>
      <c r="EU46">
        <v>0</v>
      </c>
      <c r="EV46">
        <v>0</v>
      </c>
      <c r="EW46">
        <v>0</v>
      </c>
      <c r="FA46">
        <v>0</v>
      </c>
      <c r="FE46">
        <v>0</v>
      </c>
      <c r="FI46">
        <v>0</v>
      </c>
      <c r="FJ46">
        <v>5441.7550000000001</v>
      </c>
      <c r="FK46">
        <v>35615</v>
      </c>
      <c r="FL46">
        <v>31511.869203776419</v>
      </c>
      <c r="FM46">
        <v>30173.244999999999</v>
      </c>
    </row>
    <row r="47" spans="1:169" x14ac:dyDescent="0.35">
      <c r="A47">
        <v>199233</v>
      </c>
      <c r="B47" t="s">
        <v>3742</v>
      </c>
      <c r="C47" t="s">
        <v>3743</v>
      </c>
      <c r="D47" t="s">
        <v>3744</v>
      </c>
      <c r="E47" s="43" t="s">
        <v>4203</v>
      </c>
      <c r="J47" t="s">
        <v>3745</v>
      </c>
      <c r="L47" s="43" t="s">
        <v>259</v>
      </c>
      <c r="M47" t="s">
        <v>3746</v>
      </c>
      <c r="N47" t="s">
        <v>3747</v>
      </c>
      <c r="O47" t="s">
        <v>3748</v>
      </c>
      <c r="P47" t="s">
        <v>542</v>
      </c>
      <c r="Q47" t="s">
        <v>3749</v>
      </c>
      <c r="R47">
        <v>3.1219999999999999</v>
      </c>
      <c r="S47">
        <v>44109</v>
      </c>
      <c r="T47" t="s">
        <v>544</v>
      </c>
      <c r="U47" t="s">
        <v>286</v>
      </c>
      <c r="V47" t="s">
        <v>267</v>
      </c>
      <c r="W47" t="s">
        <v>268</v>
      </c>
      <c r="X47" t="s">
        <v>269</v>
      </c>
      <c r="Y47">
        <v>8883022894</v>
      </c>
      <c r="Z47" t="s">
        <v>270</v>
      </c>
      <c r="AA47" t="s">
        <v>271</v>
      </c>
      <c r="AB47" t="s">
        <v>526</v>
      </c>
      <c r="AC47">
        <v>0</v>
      </c>
      <c r="AD47" t="s">
        <v>288</v>
      </c>
      <c r="AE47" t="s">
        <v>301</v>
      </c>
      <c r="AF47">
        <v>1</v>
      </c>
      <c r="AG47" t="s">
        <v>3345</v>
      </c>
      <c r="AH47" s="43" t="s">
        <v>259</v>
      </c>
      <c r="AI47" s="43" t="s">
        <v>259</v>
      </c>
      <c r="AJ47" s="43" t="s">
        <v>259</v>
      </c>
      <c r="AK47" s="43" t="s">
        <v>259</v>
      </c>
      <c r="AL47" s="43" t="s">
        <v>259</v>
      </c>
      <c r="AO47" s="23"/>
      <c r="AP47" s="23"/>
      <c r="AQ47" s="23"/>
      <c r="BD47" s="43" t="s">
        <v>259</v>
      </c>
      <c r="BE47" s="43" t="s">
        <v>259</v>
      </c>
      <c r="BF47" s="43" t="s">
        <v>259</v>
      </c>
      <c r="BG47" s="43" t="s">
        <v>259</v>
      </c>
      <c r="BH47" s="43" t="s">
        <v>259</v>
      </c>
      <c r="BI47" s="43" t="s">
        <v>259</v>
      </c>
      <c r="BJ47">
        <v>0</v>
      </c>
      <c r="BK47">
        <v>44109</v>
      </c>
      <c r="BL47">
        <v>44356</v>
      </c>
      <c r="BM47">
        <v>8505</v>
      </c>
      <c r="BN47">
        <v>8505</v>
      </c>
      <c r="BO47">
        <v>8505</v>
      </c>
      <c r="BP47">
        <v>25515</v>
      </c>
      <c r="BQ47">
        <v>3300</v>
      </c>
      <c r="BR47">
        <v>400</v>
      </c>
      <c r="BS47">
        <v>400</v>
      </c>
      <c r="BT47">
        <v>4100</v>
      </c>
      <c r="BU47">
        <v>2100</v>
      </c>
      <c r="BV47">
        <v>2100</v>
      </c>
      <c r="BW47">
        <v>2100</v>
      </c>
      <c r="BX47">
        <v>6300</v>
      </c>
      <c r="BY47">
        <v>1200</v>
      </c>
      <c r="BZ47">
        <v>1200</v>
      </c>
      <c r="CA47">
        <v>1200</v>
      </c>
      <c r="CB47">
        <v>3600</v>
      </c>
      <c r="CF47">
        <v>0</v>
      </c>
      <c r="CG47">
        <v>39515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1700</v>
      </c>
      <c r="CU47">
        <v>1700</v>
      </c>
      <c r="CV47">
        <v>1700</v>
      </c>
      <c r="CW47">
        <v>5100</v>
      </c>
      <c r="CX47">
        <v>3000</v>
      </c>
      <c r="CY47">
        <v>3000</v>
      </c>
      <c r="CZ47">
        <v>3000</v>
      </c>
      <c r="DA47">
        <v>9000</v>
      </c>
      <c r="DB47">
        <v>1000</v>
      </c>
      <c r="DC47">
        <v>1000</v>
      </c>
      <c r="DD47">
        <v>1000</v>
      </c>
      <c r="DE47">
        <v>3000</v>
      </c>
      <c r="DF47">
        <v>0</v>
      </c>
      <c r="DG47">
        <v>0</v>
      </c>
      <c r="DH47">
        <v>0</v>
      </c>
      <c r="DN47">
        <v>0</v>
      </c>
      <c r="DO47">
        <v>0</v>
      </c>
      <c r="DP47">
        <v>0</v>
      </c>
      <c r="DR47">
        <v>0</v>
      </c>
      <c r="DS47">
        <v>0</v>
      </c>
      <c r="DT47">
        <v>0</v>
      </c>
      <c r="DY47">
        <v>0</v>
      </c>
      <c r="EC47">
        <v>0</v>
      </c>
      <c r="ED47">
        <v>17100</v>
      </c>
      <c r="EH47">
        <v>0</v>
      </c>
      <c r="EI47">
        <v>1154</v>
      </c>
      <c r="EJ47">
        <v>1154</v>
      </c>
      <c r="EK47">
        <v>1155</v>
      </c>
      <c r="EL47">
        <v>3500</v>
      </c>
      <c r="EM47">
        <v>37.065000000000005</v>
      </c>
      <c r="EN47">
        <v>660</v>
      </c>
      <c r="EO47">
        <v>660</v>
      </c>
      <c r="EP47">
        <v>659</v>
      </c>
      <c r="EQ47">
        <v>2000</v>
      </c>
      <c r="ER47">
        <v>21.24</v>
      </c>
      <c r="ES47">
        <v>0</v>
      </c>
      <c r="ET47">
        <v>0</v>
      </c>
      <c r="EU47">
        <v>0</v>
      </c>
      <c r="EW47">
        <v>0</v>
      </c>
      <c r="FA47">
        <v>0</v>
      </c>
      <c r="FE47">
        <v>0</v>
      </c>
      <c r="FI47">
        <v>0</v>
      </c>
      <c r="FJ47">
        <v>5441.6949999999997</v>
      </c>
      <c r="FK47">
        <v>22415</v>
      </c>
      <c r="FL47">
        <v>17726.319032500625</v>
      </c>
      <c r="FM47">
        <v>16973.305</v>
      </c>
    </row>
    <row r="48" spans="1:169" x14ac:dyDescent="0.35">
      <c r="A48">
        <v>197799</v>
      </c>
      <c r="B48" t="s">
        <v>612</v>
      </c>
      <c r="C48" t="s">
        <v>613</v>
      </c>
      <c r="D48" t="s">
        <v>614</v>
      </c>
      <c r="E48" s="43" t="s">
        <v>615</v>
      </c>
      <c r="F48">
        <v>1</v>
      </c>
      <c r="I48" s="23">
        <v>43776</v>
      </c>
      <c r="L48" s="43" t="s">
        <v>259</v>
      </c>
      <c r="M48" t="s">
        <v>616</v>
      </c>
      <c r="N48" t="s">
        <v>617</v>
      </c>
      <c r="O48" t="s">
        <v>618</v>
      </c>
      <c r="P48" t="s">
        <v>342</v>
      </c>
      <c r="Q48" t="s">
        <v>619</v>
      </c>
      <c r="R48">
        <v>3.13</v>
      </c>
      <c r="S48">
        <v>44109</v>
      </c>
      <c r="T48" t="s">
        <v>311</v>
      </c>
      <c r="U48" t="s">
        <v>266</v>
      </c>
      <c r="V48" t="s">
        <v>267</v>
      </c>
      <c r="W48" t="s">
        <v>268</v>
      </c>
      <c r="X48" t="s">
        <v>269</v>
      </c>
      <c r="Y48">
        <v>8883022894</v>
      </c>
      <c r="Z48" t="s">
        <v>270</v>
      </c>
      <c r="AA48" t="s">
        <v>271</v>
      </c>
      <c r="AB48">
        <v>0</v>
      </c>
      <c r="AC48">
        <v>0</v>
      </c>
      <c r="AD48" t="s">
        <v>313</v>
      </c>
      <c r="AE48" t="s">
        <v>274</v>
      </c>
      <c r="AF48">
        <v>9</v>
      </c>
      <c r="AG48" t="s">
        <v>275</v>
      </c>
      <c r="AH48" s="43" t="s">
        <v>259</v>
      </c>
      <c r="AI48" s="43" t="s">
        <v>259</v>
      </c>
      <c r="AJ48" s="43" t="s">
        <v>259</v>
      </c>
      <c r="AK48" s="43" t="s">
        <v>259</v>
      </c>
      <c r="AL48" s="43" t="s">
        <v>259</v>
      </c>
      <c r="AO48" s="23">
        <v>43767</v>
      </c>
      <c r="AP48" s="23"/>
      <c r="AQ48" s="23"/>
      <c r="BD48" s="43" t="s">
        <v>259</v>
      </c>
      <c r="BE48" s="43" t="s">
        <v>259</v>
      </c>
      <c r="BF48" s="43" t="s">
        <v>259</v>
      </c>
      <c r="BG48" s="43" t="s">
        <v>259</v>
      </c>
      <c r="BH48" s="43" t="s">
        <v>259</v>
      </c>
      <c r="BI48" s="43" t="s">
        <v>259</v>
      </c>
      <c r="BJ48">
        <v>4.3478260869565188E-2</v>
      </c>
      <c r="BK48">
        <v>44109</v>
      </c>
      <c r="BL48">
        <v>44356</v>
      </c>
      <c r="BM48">
        <v>8505</v>
      </c>
      <c r="BN48">
        <v>8505</v>
      </c>
      <c r="BO48">
        <v>8505</v>
      </c>
      <c r="BP48">
        <v>25515</v>
      </c>
      <c r="BQ48">
        <v>3300</v>
      </c>
      <c r="BR48">
        <v>400</v>
      </c>
      <c r="BS48">
        <v>400</v>
      </c>
      <c r="BT48">
        <v>4100</v>
      </c>
      <c r="BU48">
        <v>2100</v>
      </c>
      <c r="BV48">
        <v>2100</v>
      </c>
      <c r="BW48">
        <v>2100</v>
      </c>
      <c r="BX48">
        <v>6300</v>
      </c>
      <c r="BY48">
        <v>1200</v>
      </c>
      <c r="BZ48">
        <v>1200</v>
      </c>
      <c r="CA48">
        <v>1200</v>
      </c>
      <c r="CB48">
        <v>3600</v>
      </c>
      <c r="CC48">
        <v>0</v>
      </c>
      <c r="CD48">
        <v>0</v>
      </c>
      <c r="CE48">
        <v>0</v>
      </c>
      <c r="CF48">
        <v>0</v>
      </c>
      <c r="CG48">
        <v>39515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H48">
        <v>0</v>
      </c>
      <c r="EI48">
        <v>1154</v>
      </c>
      <c r="EJ48">
        <v>1154</v>
      </c>
      <c r="EK48">
        <v>1155</v>
      </c>
      <c r="EL48">
        <v>3500</v>
      </c>
      <c r="EM48">
        <v>37.065000000000005</v>
      </c>
      <c r="EN48">
        <v>660</v>
      </c>
      <c r="EO48">
        <v>660</v>
      </c>
      <c r="EP48">
        <v>659</v>
      </c>
      <c r="EQ48">
        <v>2000</v>
      </c>
      <c r="ER48">
        <v>21.18</v>
      </c>
      <c r="ES48">
        <v>0</v>
      </c>
      <c r="ET48">
        <v>0</v>
      </c>
      <c r="EU48">
        <v>0</v>
      </c>
      <c r="EV48">
        <v>0</v>
      </c>
      <c r="EW48">
        <v>0</v>
      </c>
      <c r="FA48">
        <v>0</v>
      </c>
      <c r="FE48">
        <v>0</v>
      </c>
      <c r="FI48">
        <v>0</v>
      </c>
      <c r="FJ48">
        <v>5441.7550000000001</v>
      </c>
      <c r="FK48">
        <v>39515</v>
      </c>
      <c r="FL48">
        <v>35584.891177207784</v>
      </c>
      <c r="FM48">
        <v>34073.245000000003</v>
      </c>
    </row>
    <row r="49" spans="1:169" x14ac:dyDescent="0.35">
      <c r="A49">
        <v>197675</v>
      </c>
      <c r="B49" t="s">
        <v>620</v>
      </c>
      <c r="C49" t="s">
        <v>621</v>
      </c>
      <c r="D49" t="s">
        <v>622</v>
      </c>
      <c r="E49" s="43" t="s">
        <v>623</v>
      </c>
      <c r="F49">
        <v>2</v>
      </c>
      <c r="G49" s="23">
        <v>43776</v>
      </c>
      <c r="H49" s="23">
        <v>43776</v>
      </c>
      <c r="I49" s="23">
        <v>43776</v>
      </c>
      <c r="K49" t="s">
        <v>1715</v>
      </c>
      <c r="L49" s="43" t="s">
        <v>3204</v>
      </c>
      <c r="M49" t="s">
        <v>624</v>
      </c>
      <c r="N49" t="s">
        <v>625</v>
      </c>
      <c r="O49" t="s">
        <v>626</v>
      </c>
      <c r="P49" t="s">
        <v>454</v>
      </c>
      <c r="Q49" t="s">
        <v>627</v>
      </c>
      <c r="R49">
        <v>2.9</v>
      </c>
      <c r="S49">
        <v>44109</v>
      </c>
      <c r="T49" t="s">
        <v>311</v>
      </c>
      <c r="U49" t="s">
        <v>266</v>
      </c>
      <c r="V49" t="s">
        <v>267</v>
      </c>
      <c r="W49" t="s">
        <v>268</v>
      </c>
      <c r="X49" t="s">
        <v>269</v>
      </c>
      <c r="Y49">
        <v>8883022894</v>
      </c>
      <c r="Z49" t="s">
        <v>270</v>
      </c>
      <c r="AA49" t="s">
        <v>271</v>
      </c>
      <c r="AB49">
        <v>0</v>
      </c>
      <c r="AC49" t="s">
        <v>1346</v>
      </c>
      <c r="AD49" t="s">
        <v>1011</v>
      </c>
      <c r="AE49" t="s">
        <v>354</v>
      </c>
      <c r="AF49">
        <v>6</v>
      </c>
      <c r="AG49" t="s">
        <v>275</v>
      </c>
      <c r="AH49" s="43" t="s">
        <v>3588</v>
      </c>
      <c r="AI49" s="43" t="s">
        <v>3589</v>
      </c>
      <c r="AJ49" s="43" t="s">
        <v>3590</v>
      </c>
      <c r="AK49" s="43" t="s">
        <v>3208</v>
      </c>
      <c r="AL49" s="43" t="s">
        <v>3209</v>
      </c>
      <c r="AO49" s="23"/>
      <c r="AP49" s="23"/>
      <c r="AQ49" s="23"/>
      <c r="BD49" s="43" t="s">
        <v>2018</v>
      </c>
      <c r="BE49" s="43" t="s">
        <v>2018</v>
      </c>
      <c r="BF49" s="43" t="s">
        <v>2018</v>
      </c>
      <c r="BG49" s="43" t="s">
        <v>2018</v>
      </c>
      <c r="BH49" s="43" t="s">
        <v>2018</v>
      </c>
      <c r="BI49" s="43" t="s">
        <v>2018</v>
      </c>
      <c r="BJ49">
        <v>0</v>
      </c>
      <c r="BK49">
        <v>44109</v>
      </c>
      <c r="BL49">
        <v>44356</v>
      </c>
      <c r="BM49">
        <v>8505</v>
      </c>
      <c r="BN49">
        <v>8505</v>
      </c>
      <c r="BO49">
        <v>8505</v>
      </c>
      <c r="BP49">
        <v>25515</v>
      </c>
      <c r="BQ49">
        <v>3300</v>
      </c>
      <c r="BR49">
        <v>400</v>
      </c>
      <c r="BS49">
        <v>400</v>
      </c>
      <c r="BT49">
        <v>4100</v>
      </c>
      <c r="BU49">
        <v>2100</v>
      </c>
      <c r="BV49">
        <v>2100</v>
      </c>
      <c r="BW49">
        <v>2100</v>
      </c>
      <c r="BX49">
        <v>6300</v>
      </c>
      <c r="BY49">
        <v>1200</v>
      </c>
      <c r="BZ49">
        <v>1200</v>
      </c>
      <c r="CA49">
        <v>1200</v>
      </c>
      <c r="CB49">
        <v>3600</v>
      </c>
      <c r="CC49">
        <v>0</v>
      </c>
      <c r="CD49">
        <v>0</v>
      </c>
      <c r="CE49">
        <v>0</v>
      </c>
      <c r="CF49">
        <v>0</v>
      </c>
      <c r="CG49">
        <v>39515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750</v>
      </c>
      <c r="CU49">
        <v>750</v>
      </c>
      <c r="CV49">
        <v>750</v>
      </c>
      <c r="CW49">
        <v>2250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2250</v>
      </c>
      <c r="EH49">
        <v>0</v>
      </c>
      <c r="EI49">
        <v>1154</v>
      </c>
      <c r="EJ49">
        <v>1154</v>
      </c>
      <c r="EK49">
        <v>1155</v>
      </c>
      <c r="EL49">
        <v>3500</v>
      </c>
      <c r="EM49">
        <v>37.065000000000005</v>
      </c>
      <c r="EN49">
        <v>660</v>
      </c>
      <c r="EO49">
        <v>660</v>
      </c>
      <c r="EP49">
        <v>659</v>
      </c>
      <c r="EQ49">
        <v>2000</v>
      </c>
      <c r="ER49">
        <v>21.18</v>
      </c>
      <c r="ES49">
        <v>0</v>
      </c>
      <c r="ET49">
        <v>0</v>
      </c>
      <c r="EU49">
        <v>0</v>
      </c>
      <c r="EV49">
        <v>0</v>
      </c>
      <c r="EW49">
        <v>0</v>
      </c>
      <c r="FA49">
        <v>0</v>
      </c>
      <c r="FE49">
        <v>0</v>
      </c>
      <c r="FI49">
        <v>0</v>
      </c>
      <c r="FJ49">
        <v>5441.7550000000001</v>
      </c>
      <c r="FK49">
        <v>37265</v>
      </c>
      <c r="FL49">
        <v>33235.070807920463</v>
      </c>
      <c r="FM49">
        <v>31823.245000000003</v>
      </c>
    </row>
    <row r="50" spans="1:169" x14ac:dyDescent="0.35">
      <c r="A50">
        <v>197783</v>
      </c>
      <c r="B50" t="s">
        <v>628</v>
      </c>
      <c r="C50" t="s">
        <v>629</v>
      </c>
      <c r="D50" t="s">
        <v>630</v>
      </c>
      <c r="E50" s="43" t="s">
        <v>631</v>
      </c>
      <c r="L50" s="43" t="s">
        <v>259</v>
      </c>
      <c r="M50" t="s">
        <v>632</v>
      </c>
      <c r="N50" t="s">
        <v>633</v>
      </c>
      <c r="O50" t="s">
        <v>634</v>
      </c>
      <c r="P50" t="s">
        <v>297</v>
      </c>
      <c r="Q50" t="s">
        <v>635</v>
      </c>
      <c r="R50">
        <v>3.1</v>
      </c>
      <c r="S50">
        <v>44109</v>
      </c>
      <c r="T50" t="s">
        <v>311</v>
      </c>
      <c r="U50" t="s">
        <v>266</v>
      </c>
      <c r="V50" t="s">
        <v>267</v>
      </c>
      <c r="W50" t="s">
        <v>268</v>
      </c>
      <c r="X50" t="s">
        <v>269</v>
      </c>
      <c r="Y50">
        <v>8883022894</v>
      </c>
      <c r="Z50" t="s">
        <v>270</v>
      </c>
      <c r="AA50" t="s">
        <v>271</v>
      </c>
      <c r="AB50">
        <v>0</v>
      </c>
      <c r="AC50" t="s">
        <v>636</v>
      </c>
      <c r="AD50" t="s">
        <v>637</v>
      </c>
      <c r="AE50" t="s">
        <v>445</v>
      </c>
      <c r="AF50">
        <v>4</v>
      </c>
      <c r="AG50" t="s">
        <v>275</v>
      </c>
      <c r="AH50" s="43" t="s">
        <v>259</v>
      </c>
      <c r="AI50" s="43" t="s">
        <v>259</v>
      </c>
      <c r="AJ50" s="43" t="s">
        <v>259</v>
      </c>
      <c r="AK50" s="43" t="s">
        <v>259</v>
      </c>
      <c r="AL50" s="43" t="s">
        <v>259</v>
      </c>
      <c r="AO50" s="23"/>
      <c r="AP50" s="23"/>
      <c r="AQ50" s="23"/>
      <c r="BD50" s="43" t="s">
        <v>259</v>
      </c>
      <c r="BE50" s="43" t="s">
        <v>259</v>
      </c>
      <c r="BF50" s="43" t="s">
        <v>259</v>
      </c>
      <c r="BG50" s="43" t="s">
        <v>259</v>
      </c>
      <c r="BH50" s="43" t="s">
        <v>259</v>
      </c>
      <c r="BI50" s="43" t="s">
        <v>259</v>
      </c>
      <c r="BJ50">
        <v>0</v>
      </c>
      <c r="BK50">
        <v>44109</v>
      </c>
      <c r="BL50">
        <v>44356</v>
      </c>
      <c r="BM50">
        <v>8505</v>
      </c>
      <c r="BN50">
        <v>8505</v>
      </c>
      <c r="BO50">
        <v>8505</v>
      </c>
      <c r="BP50">
        <v>25515</v>
      </c>
      <c r="BQ50">
        <v>3300</v>
      </c>
      <c r="BR50">
        <v>400</v>
      </c>
      <c r="BS50">
        <v>400</v>
      </c>
      <c r="BT50">
        <v>4100</v>
      </c>
      <c r="BU50">
        <v>2100</v>
      </c>
      <c r="BV50">
        <v>2100</v>
      </c>
      <c r="BW50">
        <v>2100</v>
      </c>
      <c r="BX50">
        <v>6300</v>
      </c>
      <c r="BY50">
        <v>1200</v>
      </c>
      <c r="BZ50">
        <v>1200</v>
      </c>
      <c r="CA50">
        <v>1200</v>
      </c>
      <c r="CB50">
        <v>3600</v>
      </c>
      <c r="CC50">
        <v>0</v>
      </c>
      <c r="CD50">
        <v>0</v>
      </c>
      <c r="CE50">
        <v>0</v>
      </c>
      <c r="CF50">
        <v>0</v>
      </c>
      <c r="CG50">
        <v>39515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1250</v>
      </c>
      <c r="CU50">
        <v>1250</v>
      </c>
      <c r="CV50">
        <v>1250</v>
      </c>
      <c r="CW50">
        <v>3750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3750</v>
      </c>
      <c r="EH50">
        <v>0</v>
      </c>
      <c r="EI50">
        <v>1154</v>
      </c>
      <c r="EJ50">
        <v>1154</v>
      </c>
      <c r="EK50">
        <v>1155</v>
      </c>
      <c r="EL50">
        <v>3500</v>
      </c>
      <c r="EM50">
        <v>37.065000000000005</v>
      </c>
      <c r="EN50">
        <v>660</v>
      </c>
      <c r="EO50">
        <v>660</v>
      </c>
      <c r="EP50">
        <v>659</v>
      </c>
      <c r="EQ50">
        <v>2000</v>
      </c>
      <c r="ER50">
        <v>21.18</v>
      </c>
      <c r="ES50">
        <v>0</v>
      </c>
      <c r="ET50">
        <v>0</v>
      </c>
      <c r="EU50">
        <v>0</v>
      </c>
      <c r="EV50">
        <v>0</v>
      </c>
      <c r="EW50">
        <v>0</v>
      </c>
      <c r="FA50">
        <v>0</v>
      </c>
      <c r="FE50">
        <v>0</v>
      </c>
      <c r="FI50">
        <v>0</v>
      </c>
      <c r="FJ50">
        <v>5441.7550000000001</v>
      </c>
      <c r="FK50">
        <v>35765</v>
      </c>
      <c r="FL50">
        <v>31668.523895062241</v>
      </c>
      <c r="FM50">
        <v>30323.244999999999</v>
      </c>
    </row>
    <row r="51" spans="1:169" x14ac:dyDescent="0.35">
      <c r="A51">
        <v>194868</v>
      </c>
      <c r="B51" t="s">
        <v>638</v>
      </c>
      <c r="C51" t="s">
        <v>639</v>
      </c>
      <c r="D51" t="s">
        <v>640</v>
      </c>
      <c r="E51" s="43" t="s">
        <v>641</v>
      </c>
      <c r="L51" s="43" t="s">
        <v>259</v>
      </c>
      <c r="M51" t="s">
        <v>642</v>
      </c>
      <c r="N51" t="s">
        <v>643</v>
      </c>
      <c r="O51" t="s">
        <v>644</v>
      </c>
      <c r="P51" t="s">
        <v>608</v>
      </c>
      <c r="Q51" t="s">
        <v>645</v>
      </c>
      <c r="R51">
        <v>3.524</v>
      </c>
      <c r="S51">
        <v>44109</v>
      </c>
      <c r="T51" t="s">
        <v>311</v>
      </c>
      <c r="U51" t="s">
        <v>286</v>
      </c>
      <c r="V51" t="s">
        <v>267</v>
      </c>
      <c r="W51" t="s">
        <v>268</v>
      </c>
      <c r="X51" t="s">
        <v>269</v>
      </c>
      <c r="Y51">
        <v>8883022894</v>
      </c>
      <c r="Z51" t="s">
        <v>270</v>
      </c>
      <c r="AA51" t="s">
        <v>271</v>
      </c>
      <c r="AB51" t="s">
        <v>287</v>
      </c>
      <c r="AC51">
        <v>0</v>
      </c>
      <c r="AD51" t="s">
        <v>415</v>
      </c>
      <c r="AE51" t="s">
        <v>445</v>
      </c>
      <c r="AF51">
        <v>4</v>
      </c>
      <c r="AG51" t="s">
        <v>275</v>
      </c>
      <c r="AH51" s="43" t="s">
        <v>259</v>
      </c>
      <c r="AI51" s="43" t="s">
        <v>259</v>
      </c>
      <c r="AJ51" s="43" t="s">
        <v>259</v>
      </c>
      <c r="AK51" s="43" t="s">
        <v>259</v>
      </c>
      <c r="AL51" s="43" t="s">
        <v>259</v>
      </c>
      <c r="AO51" s="23"/>
      <c r="AP51" s="23"/>
      <c r="AQ51" s="23"/>
      <c r="BD51" s="43" t="s">
        <v>259</v>
      </c>
      <c r="BE51" s="43" t="s">
        <v>259</v>
      </c>
      <c r="BF51" s="43" t="s">
        <v>259</v>
      </c>
      <c r="BG51" s="43" t="s">
        <v>259</v>
      </c>
      <c r="BH51" s="43" t="s">
        <v>259</v>
      </c>
      <c r="BI51" s="43" t="s">
        <v>259</v>
      </c>
      <c r="BJ51">
        <v>0</v>
      </c>
      <c r="BK51">
        <v>44109</v>
      </c>
      <c r="BL51">
        <v>44356</v>
      </c>
      <c r="BM51">
        <v>8505</v>
      </c>
      <c r="BN51">
        <v>8505</v>
      </c>
      <c r="BO51">
        <v>8505</v>
      </c>
      <c r="BP51">
        <v>25515</v>
      </c>
      <c r="BQ51">
        <v>3300</v>
      </c>
      <c r="BR51">
        <v>400</v>
      </c>
      <c r="BS51">
        <v>400</v>
      </c>
      <c r="BT51">
        <v>4100</v>
      </c>
      <c r="BU51">
        <v>2100</v>
      </c>
      <c r="BV51">
        <v>2100</v>
      </c>
      <c r="BW51">
        <v>2100</v>
      </c>
      <c r="BX51">
        <v>6300</v>
      </c>
      <c r="BY51">
        <v>1200</v>
      </c>
      <c r="BZ51">
        <v>1200</v>
      </c>
      <c r="CA51">
        <v>1200</v>
      </c>
      <c r="CB51">
        <v>3600</v>
      </c>
      <c r="CC51">
        <v>0</v>
      </c>
      <c r="CD51">
        <v>0</v>
      </c>
      <c r="CE51">
        <v>0</v>
      </c>
      <c r="CF51">
        <v>0</v>
      </c>
      <c r="CG51">
        <v>39515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1250</v>
      </c>
      <c r="CU51">
        <v>1250</v>
      </c>
      <c r="CV51">
        <v>1250</v>
      </c>
      <c r="CW51">
        <v>3750</v>
      </c>
      <c r="CX51">
        <v>0</v>
      </c>
      <c r="CY51">
        <v>0</v>
      </c>
      <c r="CZ51">
        <v>0</v>
      </c>
      <c r="DA51">
        <v>0</v>
      </c>
      <c r="DB51">
        <v>1000</v>
      </c>
      <c r="DC51">
        <v>1000</v>
      </c>
      <c r="DD51">
        <v>1000</v>
      </c>
      <c r="DE51">
        <v>3000</v>
      </c>
      <c r="DF51">
        <v>0</v>
      </c>
      <c r="DG51">
        <v>0</v>
      </c>
      <c r="DH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6750</v>
      </c>
      <c r="EH51">
        <v>0</v>
      </c>
      <c r="EI51">
        <v>1154</v>
      </c>
      <c r="EJ51">
        <v>1154</v>
      </c>
      <c r="EK51">
        <v>1155</v>
      </c>
      <c r="EL51">
        <v>3500</v>
      </c>
      <c r="EM51">
        <v>37.065000000000005</v>
      </c>
      <c r="EN51">
        <v>660</v>
      </c>
      <c r="EO51">
        <v>660</v>
      </c>
      <c r="EP51">
        <v>659</v>
      </c>
      <c r="EQ51">
        <v>2000</v>
      </c>
      <c r="ER51">
        <v>21.18</v>
      </c>
      <c r="ES51">
        <v>0</v>
      </c>
      <c r="ET51">
        <v>0</v>
      </c>
      <c r="EU51">
        <v>0</v>
      </c>
      <c r="EV51">
        <v>0</v>
      </c>
      <c r="EW51">
        <v>0</v>
      </c>
      <c r="FA51">
        <v>0</v>
      </c>
      <c r="FE51">
        <v>0</v>
      </c>
      <c r="FI51">
        <v>0</v>
      </c>
      <c r="FJ51">
        <v>5441.7550000000001</v>
      </c>
      <c r="FK51">
        <v>32765</v>
      </c>
      <c r="FL51">
        <v>28535.430069345806</v>
      </c>
      <c r="FM51">
        <v>27323.244999999999</v>
      </c>
    </row>
    <row r="52" spans="1:169" x14ac:dyDescent="0.35">
      <c r="A52">
        <v>198556</v>
      </c>
      <c r="B52" t="s">
        <v>3459</v>
      </c>
      <c r="C52" t="s">
        <v>3460</v>
      </c>
      <c r="D52" t="s">
        <v>3461</v>
      </c>
      <c r="E52" s="43" t="s">
        <v>4193</v>
      </c>
      <c r="F52">
        <v>1</v>
      </c>
      <c r="I52" s="23">
        <v>43803</v>
      </c>
      <c r="L52" s="43" t="s">
        <v>3204</v>
      </c>
      <c r="M52" t="s">
        <v>3462</v>
      </c>
      <c r="N52" t="s">
        <v>3463</v>
      </c>
      <c r="O52" t="s">
        <v>3464</v>
      </c>
      <c r="P52" t="s">
        <v>542</v>
      </c>
      <c r="Q52" t="s">
        <v>3465</v>
      </c>
      <c r="R52">
        <v>3.996</v>
      </c>
      <c r="S52">
        <v>44109</v>
      </c>
      <c r="T52" t="s">
        <v>544</v>
      </c>
      <c r="U52" t="s">
        <v>266</v>
      </c>
      <c r="V52" t="s">
        <v>267</v>
      </c>
      <c r="W52" t="s">
        <v>268</v>
      </c>
      <c r="X52" t="s">
        <v>269</v>
      </c>
      <c r="Y52">
        <v>8883022894</v>
      </c>
      <c r="Z52" t="s">
        <v>270</v>
      </c>
      <c r="AA52" t="s">
        <v>271</v>
      </c>
      <c r="AB52" t="s">
        <v>287</v>
      </c>
      <c r="AC52">
        <v>0</v>
      </c>
      <c r="AD52" t="s">
        <v>1381</v>
      </c>
      <c r="AE52" t="s">
        <v>301</v>
      </c>
      <c r="AF52">
        <v>1</v>
      </c>
      <c r="AG52" t="s">
        <v>3345</v>
      </c>
      <c r="AH52" s="43" t="s">
        <v>3226</v>
      </c>
      <c r="AI52" s="43" t="s">
        <v>313</v>
      </c>
      <c r="AJ52" s="43" t="s">
        <v>3821</v>
      </c>
      <c r="AK52" s="43" t="s">
        <v>1715</v>
      </c>
      <c r="AL52" s="43" t="s">
        <v>259</v>
      </c>
      <c r="AO52" s="23"/>
      <c r="AP52" s="23"/>
      <c r="AQ52" s="23"/>
      <c r="BD52" s="43" t="s">
        <v>259</v>
      </c>
      <c r="BE52" s="43" t="s">
        <v>259</v>
      </c>
      <c r="BF52" s="43" t="s">
        <v>259</v>
      </c>
      <c r="BG52" s="43" t="s">
        <v>259</v>
      </c>
      <c r="BH52" s="43" t="s">
        <v>259</v>
      </c>
      <c r="BI52" s="43" t="s">
        <v>259</v>
      </c>
      <c r="BJ52">
        <v>0</v>
      </c>
      <c r="BK52">
        <v>44109</v>
      </c>
      <c r="BL52">
        <v>44356</v>
      </c>
      <c r="BM52">
        <v>8505</v>
      </c>
      <c r="BN52">
        <v>8505</v>
      </c>
      <c r="BO52">
        <v>8505</v>
      </c>
      <c r="BP52">
        <v>25515</v>
      </c>
      <c r="BQ52">
        <v>3300</v>
      </c>
      <c r="BR52">
        <v>400</v>
      </c>
      <c r="BS52">
        <v>400</v>
      </c>
      <c r="BT52">
        <v>4100</v>
      </c>
      <c r="BU52">
        <v>2100</v>
      </c>
      <c r="BV52">
        <v>2100</v>
      </c>
      <c r="BW52">
        <v>2100</v>
      </c>
      <c r="BX52">
        <v>6300</v>
      </c>
      <c r="BY52">
        <v>1200</v>
      </c>
      <c r="BZ52">
        <v>1200</v>
      </c>
      <c r="CA52">
        <v>1200</v>
      </c>
      <c r="CB52">
        <v>3600</v>
      </c>
      <c r="CF52">
        <v>0</v>
      </c>
      <c r="CG52">
        <v>39515</v>
      </c>
      <c r="CK52">
        <v>0</v>
      </c>
      <c r="CL52">
        <v>2065</v>
      </c>
      <c r="CM52">
        <v>2065</v>
      </c>
      <c r="CN52">
        <v>2065</v>
      </c>
      <c r="CO52">
        <v>6195</v>
      </c>
      <c r="CP52">
        <v>500</v>
      </c>
      <c r="CQ52">
        <v>500</v>
      </c>
      <c r="CR52">
        <v>500</v>
      </c>
      <c r="CS52">
        <v>1500</v>
      </c>
      <c r="CT52">
        <v>1700</v>
      </c>
      <c r="CU52">
        <v>1700</v>
      </c>
      <c r="CV52">
        <v>1700</v>
      </c>
      <c r="CW52">
        <v>5100</v>
      </c>
      <c r="CX52">
        <v>3000</v>
      </c>
      <c r="CY52">
        <v>3000</v>
      </c>
      <c r="CZ52">
        <v>3000</v>
      </c>
      <c r="DA52">
        <v>9000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N52">
        <v>0</v>
      </c>
      <c r="DO52">
        <v>0</v>
      </c>
      <c r="DP52">
        <v>0</v>
      </c>
      <c r="DR52">
        <v>0</v>
      </c>
      <c r="DS52">
        <v>0</v>
      </c>
      <c r="DT52">
        <v>0</v>
      </c>
      <c r="DY52">
        <v>0</v>
      </c>
      <c r="EC52">
        <v>0</v>
      </c>
      <c r="ED52">
        <v>21795</v>
      </c>
      <c r="EH52">
        <v>0</v>
      </c>
      <c r="EI52">
        <v>0</v>
      </c>
      <c r="EJ52">
        <v>0</v>
      </c>
      <c r="EK52">
        <v>0</v>
      </c>
      <c r="EM52">
        <v>0</v>
      </c>
      <c r="EN52">
        <v>660</v>
      </c>
      <c r="EO52">
        <v>660</v>
      </c>
      <c r="EP52">
        <v>659</v>
      </c>
      <c r="EQ52">
        <v>2000</v>
      </c>
      <c r="ER52">
        <v>21.24</v>
      </c>
      <c r="ES52">
        <v>0</v>
      </c>
      <c r="ET52">
        <v>0</v>
      </c>
      <c r="EU52">
        <v>0</v>
      </c>
      <c r="EW52">
        <v>0</v>
      </c>
      <c r="FA52">
        <v>0</v>
      </c>
      <c r="FE52">
        <v>0</v>
      </c>
      <c r="FI52">
        <v>0</v>
      </c>
      <c r="FJ52">
        <v>1978.76</v>
      </c>
      <c r="FK52">
        <v>17720</v>
      </c>
      <c r="FL52">
        <v>16439.593951040188</v>
      </c>
      <c r="FM52">
        <v>15741.24</v>
      </c>
    </row>
    <row r="53" spans="1:169" x14ac:dyDescent="0.35">
      <c r="A53">
        <v>196776</v>
      </c>
      <c r="B53" t="s">
        <v>646</v>
      </c>
      <c r="C53" t="s">
        <v>647</v>
      </c>
      <c r="D53" t="s">
        <v>648</v>
      </c>
      <c r="E53" s="43" t="s">
        <v>649</v>
      </c>
      <c r="F53">
        <v>1</v>
      </c>
      <c r="I53" s="23">
        <v>43776</v>
      </c>
      <c r="L53" s="43" t="s">
        <v>259</v>
      </c>
      <c r="M53" t="s">
        <v>3466</v>
      </c>
      <c r="N53" t="s">
        <v>650</v>
      </c>
      <c r="O53" t="s">
        <v>651</v>
      </c>
      <c r="P53" t="s">
        <v>454</v>
      </c>
      <c r="Q53" t="s">
        <v>652</v>
      </c>
      <c r="R53">
        <v>3.0652200000000001</v>
      </c>
      <c r="S53">
        <v>44109</v>
      </c>
      <c r="T53" t="s">
        <v>265</v>
      </c>
      <c r="U53" t="s">
        <v>266</v>
      </c>
      <c r="V53" t="s">
        <v>267</v>
      </c>
      <c r="W53" t="s">
        <v>268</v>
      </c>
      <c r="X53" t="s">
        <v>269</v>
      </c>
      <c r="Y53">
        <v>8883022894</v>
      </c>
      <c r="Z53" t="s">
        <v>270</v>
      </c>
      <c r="AA53" t="s">
        <v>271</v>
      </c>
      <c r="AB53">
        <v>0</v>
      </c>
      <c r="AC53" t="s">
        <v>653</v>
      </c>
      <c r="AD53" t="s">
        <v>654</v>
      </c>
      <c r="AE53" t="s">
        <v>445</v>
      </c>
      <c r="AF53">
        <v>4</v>
      </c>
      <c r="AG53" t="s">
        <v>275</v>
      </c>
      <c r="AH53" s="43" t="s">
        <v>259</v>
      </c>
      <c r="AI53" s="43" t="s">
        <v>259</v>
      </c>
      <c r="AJ53" s="43" t="s">
        <v>259</v>
      </c>
      <c r="AK53" s="43" t="s">
        <v>259</v>
      </c>
      <c r="AL53" s="43" t="s">
        <v>259</v>
      </c>
      <c r="AO53" s="23"/>
      <c r="AP53" s="23"/>
      <c r="AQ53" s="23"/>
      <c r="BD53" s="43" t="s">
        <v>259</v>
      </c>
      <c r="BE53" s="43" t="s">
        <v>259</v>
      </c>
      <c r="BF53" s="43" t="s">
        <v>259</v>
      </c>
      <c r="BG53" s="43" t="s">
        <v>259</v>
      </c>
      <c r="BH53" s="43" t="s">
        <v>259</v>
      </c>
      <c r="BI53" s="43" t="s">
        <v>259</v>
      </c>
      <c r="BJ53">
        <v>0</v>
      </c>
      <c r="BK53">
        <v>44109</v>
      </c>
      <c r="BL53">
        <v>44356</v>
      </c>
      <c r="BM53">
        <v>8505</v>
      </c>
      <c r="BN53">
        <v>8505</v>
      </c>
      <c r="BO53">
        <v>8505</v>
      </c>
      <c r="BP53">
        <v>25515</v>
      </c>
      <c r="BQ53">
        <v>3300</v>
      </c>
      <c r="BR53">
        <v>400</v>
      </c>
      <c r="BS53">
        <v>400</v>
      </c>
      <c r="BT53">
        <v>4100</v>
      </c>
      <c r="BU53">
        <v>2100</v>
      </c>
      <c r="BV53">
        <v>2100</v>
      </c>
      <c r="BW53">
        <v>2100</v>
      </c>
      <c r="BX53">
        <v>6300</v>
      </c>
      <c r="BY53">
        <v>1200</v>
      </c>
      <c r="BZ53">
        <v>1200</v>
      </c>
      <c r="CA53">
        <v>1200</v>
      </c>
      <c r="CB53">
        <v>3600</v>
      </c>
      <c r="CC53">
        <v>0</v>
      </c>
      <c r="CD53">
        <v>0</v>
      </c>
      <c r="CE53">
        <v>0</v>
      </c>
      <c r="CF53">
        <v>0</v>
      </c>
      <c r="CG53">
        <v>39515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1250</v>
      </c>
      <c r="CU53">
        <v>1250</v>
      </c>
      <c r="CV53">
        <v>1250</v>
      </c>
      <c r="CW53">
        <v>3750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3750</v>
      </c>
      <c r="EH53">
        <v>0</v>
      </c>
      <c r="EI53">
        <v>1154</v>
      </c>
      <c r="EJ53">
        <v>1154</v>
      </c>
      <c r="EK53">
        <v>1155</v>
      </c>
      <c r="EL53">
        <v>3500</v>
      </c>
      <c r="EM53">
        <v>37.065000000000005</v>
      </c>
      <c r="EN53">
        <v>660</v>
      </c>
      <c r="EO53">
        <v>660</v>
      </c>
      <c r="EP53">
        <v>659</v>
      </c>
      <c r="EQ53">
        <v>2000</v>
      </c>
      <c r="ER53">
        <v>21.18</v>
      </c>
      <c r="ES53">
        <v>0</v>
      </c>
      <c r="ET53">
        <v>0</v>
      </c>
      <c r="EU53">
        <v>0</v>
      </c>
      <c r="EV53">
        <v>0</v>
      </c>
      <c r="EW53">
        <v>0</v>
      </c>
      <c r="FA53">
        <v>0</v>
      </c>
      <c r="FE53">
        <v>0</v>
      </c>
      <c r="FI53">
        <v>0</v>
      </c>
      <c r="FJ53">
        <v>5441.7550000000001</v>
      </c>
      <c r="FK53">
        <v>35765</v>
      </c>
      <c r="FL53">
        <v>31668.523895062241</v>
      </c>
      <c r="FM53">
        <v>30323.244999999999</v>
      </c>
    </row>
    <row r="54" spans="1:169" x14ac:dyDescent="0.35">
      <c r="A54">
        <v>198092</v>
      </c>
      <c r="B54" t="s">
        <v>655</v>
      </c>
      <c r="C54" t="s">
        <v>547</v>
      </c>
      <c r="D54" t="s">
        <v>656</v>
      </c>
      <c r="E54" s="43" t="s">
        <v>657</v>
      </c>
      <c r="L54" s="43" t="s">
        <v>259</v>
      </c>
      <c r="M54" t="s">
        <v>658</v>
      </c>
      <c r="N54" t="s">
        <v>659</v>
      </c>
      <c r="O54" t="s">
        <v>660</v>
      </c>
      <c r="P54" t="s">
        <v>596</v>
      </c>
      <c r="Q54" t="s">
        <v>661</v>
      </c>
      <c r="R54">
        <v>3.8571399999999998</v>
      </c>
      <c r="S54">
        <v>44109</v>
      </c>
      <c r="T54" t="s">
        <v>311</v>
      </c>
      <c r="U54" t="s">
        <v>266</v>
      </c>
      <c r="V54" t="s">
        <v>267</v>
      </c>
      <c r="W54" t="s">
        <v>268</v>
      </c>
      <c r="X54" t="s">
        <v>269</v>
      </c>
      <c r="Y54">
        <v>8883022894</v>
      </c>
      <c r="Z54" t="s">
        <v>270</v>
      </c>
      <c r="AA54" t="s">
        <v>271</v>
      </c>
      <c r="AB54">
        <v>0</v>
      </c>
      <c r="AC54">
        <v>0</v>
      </c>
      <c r="AD54" t="s">
        <v>313</v>
      </c>
      <c r="AE54" t="s">
        <v>416</v>
      </c>
      <c r="AF54">
        <v>5</v>
      </c>
      <c r="AG54" t="s">
        <v>275</v>
      </c>
      <c r="AH54" s="43" t="s">
        <v>259</v>
      </c>
      <c r="AI54" s="43" t="s">
        <v>259</v>
      </c>
      <c r="AJ54" s="43" t="s">
        <v>259</v>
      </c>
      <c r="AK54" s="43" t="s">
        <v>259</v>
      </c>
      <c r="AL54" s="43" t="s">
        <v>259</v>
      </c>
      <c r="AO54" s="23"/>
      <c r="AP54" s="23"/>
      <c r="AQ54" s="23"/>
      <c r="BD54" s="43" t="s">
        <v>259</v>
      </c>
      <c r="BE54" s="43" t="s">
        <v>259</v>
      </c>
      <c r="BF54" s="43" t="s">
        <v>259</v>
      </c>
      <c r="BG54" s="43" t="s">
        <v>259</v>
      </c>
      <c r="BH54" s="43" t="s">
        <v>259</v>
      </c>
      <c r="BI54" s="43" t="s">
        <v>259</v>
      </c>
      <c r="BJ54">
        <v>0</v>
      </c>
      <c r="BK54">
        <v>44109</v>
      </c>
      <c r="BL54">
        <v>44356</v>
      </c>
      <c r="BM54">
        <v>8505</v>
      </c>
      <c r="BN54">
        <v>8505</v>
      </c>
      <c r="BO54">
        <v>8505</v>
      </c>
      <c r="BP54">
        <v>25515</v>
      </c>
      <c r="BQ54">
        <v>3300</v>
      </c>
      <c r="BR54">
        <v>400</v>
      </c>
      <c r="BS54">
        <v>400</v>
      </c>
      <c r="BT54">
        <v>4100</v>
      </c>
      <c r="BU54">
        <v>2100</v>
      </c>
      <c r="BV54">
        <v>2100</v>
      </c>
      <c r="BW54">
        <v>2100</v>
      </c>
      <c r="BX54">
        <v>6300</v>
      </c>
      <c r="BY54">
        <v>1200</v>
      </c>
      <c r="BZ54">
        <v>1200</v>
      </c>
      <c r="CA54">
        <v>1200</v>
      </c>
      <c r="CB54">
        <v>3600</v>
      </c>
      <c r="CC54">
        <v>0</v>
      </c>
      <c r="CD54">
        <v>0</v>
      </c>
      <c r="CE54">
        <v>0</v>
      </c>
      <c r="CF54">
        <v>0</v>
      </c>
      <c r="CG54">
        <v>39515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1000</v>
      </c>
      <c r="CU54">
        <v>1000</v>
      </c>
      <c r="CV54">
        <v>1000</v>
      </c>
      <c r="CW54">
        <v>3000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3000</v>
      </c>
      <c r="EH54">
        <v>0</v>
      </c>
      <c r="EI54">
        <v>1154</v>
      </c>
      <c r="EJ54">
        <v>1154</v>
      </c>
      <c r="EK54">
        <v>1155</v>
      </c>
      <c r="EL54">
        <v>3500</v>
      </c>
      <c r="EM54">
        <v>37.065000000000005</v>
      </c>
      <c r="EN54">
        <v>660</v>
      </c>
      <c r="EO54">
        <v>660</v>
      </c>
      <c r="EP54">
        <v>659</v>
      </c>
      <c r="EQ54">
        <v>2000</v>
      </c>
      <c r="ER54">
        <v>21.18</v>
      </c>
      <c r="ES54">
        <v>0</v>
      </c>
      <c r="ET54">
        <v>0</v>
      </c>
      <c r="EU54">
        <v>0</v>
      </c>
      <c r="EV54">
        <v>0</v>
      </c>
      <c r="EW54">
        <v>0</v>
      </c>
      <c r="FA54">
        <v>0</v>
      </c>
      <c r="FE54">
        <v>0</v>
      </c>
      <c r="FI54">
        <v>0</v>
      </c>
      <c r="FJ54">
        <v>5441.7550000000001</v>
      </c>
      <c r="FK54">
        <v>36515</v>
      </c>
      <c r="FL54">
        <v>32451.797351491354</v>
      </c>
      <c r="FM54">
        <v>31073.245000000003</v>
      </c>
    </row>
    <row r="55" spans="1:169" x14ac:dyDescent="0.35">
      <c r="A55">
        <v>194131</v>
      </c>
      <c r="B55" t="s">
        <v>662</v>
      </c>
      <c r="C55" t="s">
        <v>366</v>
      </c>
      <c r="D55" t="s">
        <v>663</v>
      </c>
      <c r="E55" s="43" t="s">
        <v>664</v>
      </c>
      <c r="L55" s="43" t="s">
        <v>259</v>
      </c>
      <c r="M55" t="s">
        <v>665</v>
      </c>
      <c r="N55" t="s">
        <v>666</v>
      </c>
      <c r="O55" t="s">
        <v>667</v>
      </c>
      <c r="P55" t="s">
        <v>342</v>
      </c>
      <c r="Q55" t="s">
        <v>668</v>
      </c>
      <c r="R55">
        <v>3.5</v>
      </c>
      <c r="S55">
        <v>44109</v>
      </c>
      <c r="T55" t="s">
        <v>285</v>
      </c>
      <c r="U55" t="s">
        <v>266</v>
      </c>
      <c r="V55" t="s">
        <v>267</v>
      </c>
      <c r="W55" t="s">
        <v>268</v>
      </c>
      <c r="X55" t="s">
        <v>269</v>
      </c>
      <c r="Y55">
        <v>8883022894</v>
      </c>
      <c r="Z55" t="s">
        <v>270</v>
      </c>
      <c r="AA55" t="s">
        <v>271</v>
      </c>
      <c r="AB55">
        <v>0</v>
      </c>
      <c r="AC55" t="s">
        <v>669</v>
      </c>
      <c r="AD55" t="s">
        <v>670</v>
      </c>
      <c r="AE55" t="s">
        <v>364</v>
      </c>
      <c r="AF55">
        <v>3</v>
      </c>
      <c r="AG55" t="s">
        <v>275</v>
      </c>
      <c r="AH55" s="43" t="s">
        <v>259</v>
      </c>
      <c r="AI55" s="43" t="s">
        <v>259</v>
      </c>
      <c r="AJ55" s="43" t="s">
        <v>259</v>
      </c>
      <c r="AK55" s="43" t="s">
        <v>259</v>
      </c>
      <c r="AL55" s="43" t="s">
        <v>259</v>
      </c>
      <c r="AO55" s="23"/>
      <c r="AP55" s="23"/>
      <c r="AQ55" s="23"/>
      <c r="BD55" s="43" t="s">
        <v>259</v>
      </c>
      <c r="BE55" s="43" t="s">
        <v>259</v>
      </c>
      <c r="BF55" s="43" t="s">
        <v>259</v>
      </c>
      <c r="BG55" s="43" t="s">
        <v>259</v>
      </c>
      <c r="BH55" s="43" t="s">
        <v>259</v>
      </c>
      <c r="BI55" s="43" t="s">
        <v>259</v>
      </c>
      <c r="BJ55">
        <v>0</v>
      </c>
      <c r="BK55">
        <v>44109</v>
      </c>
      <c r="BL55">
        <v>44356</v>
      </c>
      <c r="BM55">
        <v>8505</v>
      </c>
      <c r="BN55">
        <v>8505</v>
      </c>
      <c r="BO55">
        <v>8505</v>
      </c>
      <c r="BP55">
        <v>25515</v>
      </c>
      <c r="BQ55">
        <v>3300</v>
      </c>
      <c r="BR55">
        <v>400</v>
      </c>
      <c r="BS55">
        <v>400</v>
      </c>
      <c r="BT55">
        <v>4100</v>
      </c>
      <c r="BU55">
        <v>2100</v>
      </c>
      <c r="BV55">
        <v>2100</v>
      </c>
      <c r="BW55">
        <v>2100</v>
      </c>
      <c r="BX55">
        <v>6300</v>
      </c>
      <c r="BY55">
        <v>1200</v>
      </c>
      <c r="BZ55">
        <v>1200</v>
      </c>
      <c r="CA55">
        <v>1200</v>
      </c>
      <c r="CB55">
        <v>3600</v>
      </c>
      <c r="CC55">
        <v>0</v>
      </c>
      <c r="CD55">
        <v>0</v>
      </c>
      <c r="CE55">
        <v>0</v>
      </c>
      <c r="CF55">
        <v>0</v>
      </c>
      <c r="CG55">
        <v>39515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1300</v>
      </c>
      <c r="CU55">
        <v>1300</v>
      </c>
      <c r="CV55">
        <v>1300</v>
      </c>
      <c r="CW55">
        <v>3900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3900</v>
      </c>
      <c r="EH55">
        <v>0</v>
      </c>
      <c r="EI55">
        <v>1154</v>
      </c>
      <c r="EJ55">
        <v>1154</v>
      </c>
      <c r="EK55">
        <v>1155</v>
      </c>
      <c r="EL55">
        <v>3500</v>
      </c>
      <c r="EM55">
        <v>37.065000000000005</v>
      </c>
      <c r="EN55">
        <v>660</v>
      </c>
      <c r="EO55">
        <v>660</v>
      </c>
      <c r="EP55">
        <v>659</v>
      </c>
      <c r="EQ55">
        <v>2000</v>
      </c>
      <c r="ER55">
        <v>21.18</v>
      </c>
      <c r="ES55">
        <v>0</v>
      </c>
      <c r="ET55">
        <v>0</v>
      </c>
      <c r="EU55">
        <v>0</v>
      </c>
      <c r="EV55">
        <v>0</v>
      </c>
      <c r="EW55">
        <v>0</v>
      </c>
      <c r="FA55">
        <v>0</v>
      </c>
      <c r="FE55">
        <v>0</v>
      </c>
      <c r="FI55">
        <v>0</v>
      </c>
      <c r="FJ55">
        <v>5441.7550000000001</v>
      </c>
      <c r="FK55">
        <v>35615</v>
      </c>
      <c r="FL55">
        <v>31511.869203776419</v>
      </c>
      <c r="FM55">
        <v>30173.244999999999</v>
      </c>
    </row>
    <row r="56" spans="1:169" x14ac:dyDescent="0.35">
      <c r="A56">
        <v>198890</v>
      </c>
      <c r="B56" t="s">
        <v>671</v>
      </c>
      <c r="C56" t="s">
        <v>672</v>
      </c>
      <c r="D56" t="s">
        <v>673</v>
      </c>
      <c r="E56" s="43" t="s">
        <v>3282</v>
      </c>
      <c r="L56" s="43" t="s">
        <v>259</v>
      </c>
      <c r="M56" t="s">
        <v>674</v>
      </c>
      <c r="N56" t="s">
        <v>675</v>
      </c>
      <c r="O56" t="s">
        <v>676</v>
      </c>
      <c r="P56" t="s">
        <v>677</v>
      </c>
      <c r="Q56" t="s">
        <v>678</v>
      </c>
      <c r="R56">
        <v>2.5419999999999998</v>
      </c>
      <c r="S56">
        <v>44109</v>
      </c>
      <c r="T56" t="s">
        <v>311</v>
      </c>
      <c r="U56" t="s">
        <v>266</v>
      </c>
      <c r="V56" t="s">
        <v>267</v>
      </c>
      <c r="W56" t="s">
        <v>268</v>
      </c>
      <c r="X56" t="s">
        <v>269</v>
      </c>
      <c r="Y56">
        <v>8883022894</v>
      </c>
      <c r="Z56" t="s">
        <v>270</v>
      </c>
      <c r="AA56" t="s">
        <v>271</v>
      </c>
      <c r="AB56" t="s">
        <v>679</v>
      </c>
      <c r="AC56">
        <v>0</v>
      </c>
      <c r="AD56" t="s">
        <v>375</v>
      </c>
      <c r="AE56" t="s">
        <v>274</v>
      </c>
      <c r="AF56">
        <v>9</v>
      </c>
      <c r="AG56" t="s">
        <v>446</v>
      </c>
      <c r="AH56" s="43" t="s">
        <v>259</v>
      </c>
      <c r="AI56" s="43" t="s">
        <v>259</v>
      </c>
      <c r="AJ56" s="43" t="s">
        <v>259</v>
      </c>
      <c r="AK56" s="43" t="s">
        <v>259</v>
      </c>
      <c r="AL56" s="43" t="s">
        <v>259</v>
      </c>
      <c r="AO56" s="23"/>
      <c r="AP56" s="23"/>
      <c r="AQ56" s="23"/>
      <c r="BD56" s="43" t="s">
        <v>259</v>
      </c>
      <c r="BE56" s="43" t="s">
        <v>259</v>
      </c>
      <c r="BF56" s="43" t="s">
        <v>259</v>
      </c>
      <c r="BG56" s="43" t="s">
        <v>259</v>
      </c>
      <c r="BH56" s="43" t="s">
        <v>259</v>
      </c>
      <c r="BI56" s="43" t="s">
        <v>259</v>
      </c>
      <c r="BJ56">
        <v>0</v>
      </c>
      <c r="BK56">
        <v>44109</v>
      </c>
      <c r="BL56">
        <v>44356</v>
      </c>
      <c r="BM56">
        <v>8505</v>
      </c>
      <c r="BN56">
        <v>8505</v>
      </c>
      <c r="BO56">
        <v>8505</v>
      </c>
      <c r="BP56">
        <v>25515</v>
      </c>
      <c r="BQ56">
        <v>3300</v>
      </c>
      <c r="BR56">
        <v>400</v>
      </c>
      <c r="BS56">
        <v>400</v>
      </c>
      <c r="BT56">
        <v>4100</v>
      </c>
      <c r="BU56">
        <v>2100</v>
      </c>
      <c r="BV56">
        <v>2100</v>
      </c>
      <c r="BW56">
        <v>2100</v>
      </c>
      <c r="BX56">
        <v>6300</v>
      </c>
      <c r="BY56">
        <v>1200</v>
      </c>
      <c r="BZ56">
        <v>1200</v>
      </c>
      <c r="CA56">
        <v>1200</v>
      </c>
      <c r="CB56">
        <v>3600</v>
      </c>
      <c r="CF56">
        <v>0</v>
      </c>
      <c r="CG56">
        <v>39515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N56">
        <v>0</v>
      </c>
      <c r="DO56">
        <v>0</v>
      </c>
      <c r="DP56">
        <v>0</v>
      </c>
      <c r="DR56">
        <v>0</v>
      </c>
      <c r="DS56">
        <v>0</v>
      </c>
      <c r="DT56">
        <v>0</v>
      </c>
      <c r="DY56">
        <v>0</v>
      </c>
      <c r="EC56">
        <v>0</v>
      </c>
      <c r="ED56">
        <v>0</v>
      </c>
      <c r="EH56">
        <v>0</v>
      </c>
      <c r="EI56">
        <v>0</v>
      </c>
      <c r="EJ56">
        <v>0</v>
      </c>
      <c r="EK56">
        <v>0</v>
      </c>
      <c r="EM56">
        <v>0</v>
      </c>
      <c r="EN56">
        <v>660</v>
      </c>
      <c r="EO56">
        <v>660</v>
      </c>
      <c r="EP56">
        <v>659</v>
      </c>
      <c r="EQ56">
        <v>2000</v>
      </c>
      <c r="ER56">
        <v>21.24</v>
      </c>
      <c r="ES56">
        <v>0</v>
      </c>
      <c r="ET56">
        <v>0</v>
      </c>
      <c r="EU56">
        <v>0</v>
      </c>
      <c r="EW56">
        <v>0</v>
      </c>
      <c r="FA56">
        <v>0</v>
      </c>
      <c r="FE56">
        <v>0</v>
      </c>
      <c r="FI56">
        <v>0</v>
      </c>
      <c r="FJ56">
        <v>1978.76</v>
      </c>
      <c r="FK56">
        <v>39515</v>
      </c>
      <c r="FL56">
        <v>39201.520594870075</v>
      </c>
      <c r="FM56">
        <v>37536.239999999998</v>
      </c>
    </row>
    <row r="57" spans="1:169" x14ac:dyDescent="0.35">
      <c r="A57">
        <v>198179</v>
      </c>
      <c r="B57" t="s">
        <v>680</v>
      </c>
      <c r="C57" t="s">
        <v>681</v>
      </c>
      <c r="D57" t="s">
        <v>682</v>
      </c>
      <c r="E57" s="43" t="s">
        <v>683</v>
      </c>
      <c r="F57">
        <v>1</v>
      </c>
      <c r="I57" s="23">
        <v>43776</v>
      </c>
      <c r="L57" s="43" t="s">
        <v>3204</v>
      </c>
      <c r="M57" t="s">
        <v>684</v>
      </c>
      <c r="N57" t="s">
        <v>685</v>
      </c>
      <c r="O57" t="s">
        <v>686</v>
      </c>
      <c r="P57" t="s">
        <v>687</v>
      </c>
      <c r="Q57" t="s">
        <v>688</v>
      </c>
      <c r="R57">
        <v>3.9169999999999998</v>
      </c>
      <c r="S57">
        <v>44109</v>
      </c>
      <c r="T57" t="s">
        <v>311</v>
      </c>
      <c r="U57" t="s">
        <v>286</v>
      </c>
      <c r="V57" t="s">
        <v>267</v>
      </c>
      <c r="W57" t="s">
        <v>268</v>
      </c>
      <c r="X57" t="s">
        <v>269</v>
      </c>
      <c r="Y57">
        <v>8883022894</v>
      </c>
      <c r="Z57" t="s">
        <v>270</v>
      </c>
      <c r="AA57" t="s">
        <v>271</v>
      </c>
      <c r="AB57">
        <v>0</v>
      </c>
      <c r="AC57" t="s">
        <v>653</v>
      </c>
      <c r="AD57" t="s">
        <v>434</v>
      </c>
      <c r="AE57" t="s">
        <v>301</v>
      </c>
      <c r="AF57">
        <v>1</v>
      </c>
      <c r="AG57" t="s">
        <v>275</v>
      </c>
      <c r="AH57" s="43" t="s">
        <v>3316</v>
      </c>
      <c r="AI57" s="43" t="s">
        <v>3317</v>
      </c>
      <c r="AJ57" s="43" t="s">
        <v>3309</v>
      </c>
      <c r="AK57" s="43" t="s">
        <v>1715</v>
      </c>
      <c r="AL57" s="43" t="s">
        <v>259</v>
      </c>
      <c r="AO57" s="23"/>
      <c r="AP57" s="23"/>
      <c r="AQ57" s="23"/>
      <c r="BD57" s="43" t="s">
        <v>259</v>
      </c>
      <c r="BE57" s="43" t="s">
        <v>259</v>
      </c>
      <c r="BF57" s="43" t="s">
        <v>259</v>
      </c>
      <c r="BG57" s="43" t="s">
        <v>259</v>
      </c>
      <c r="BH57" s="43" t="s">
        <v>259</v>
      </c>
      <c r="BI57" s="43" t="s">
        <v>259</v>
      </c>
      <c r="BJ57">
        <v>0</v>
      </c>
      <c r="BK57">
        <v>44109</v>
      </c>
      <c r="BL57">
        <v>44356</v>
      </c>
      <c r="BM57">
        <v>8505</v>
      </c>
      <c r="BN57">
        <v>8505</v>
      </c>
      <c r="BO57">
        <v>8505</v>
      </c>
      <c r="BP57">
        <v>25515</v>
      </c>
      <c r="BQ57">
        <v>3300</v>
      </c>
      <c r="BR57">
        <v>400</v>
      </c>
      <c r="BS57">
        <v>400</v>
      </c>
      <c r="BT57">
        <v>4100</v>
      </c>
      <c r="BU57">
        <v>2100</v>
      </c>
      <c r="BV57">
        <v>2100</v>
      </c>
      <c r="BW57">
        <v>2100</v>
      </c>
      <c r="BX57">
        <v>6300</v>
      </c>
      <c r="BY57">
        <v>1200</v>
      </c>
      <c r="BZ57">
        <v>1200</v>
      </c>
      <c r="CA57">
        <v>1200</v>
      </c>
      <c r="CB57">
        <v>3600</v>
      </c>
      <c r="CC57">
        <v>0</v>
      </c>
      <c r="CD57">
        <v>0</v>
      </c>
      <c r="CE57">
        <v>0</v>
      </c>
      <c r="CF57">
        <v>0</v>
      </c>
      <c r="CG57">
        <v>39515</v>
      </c>
      <c r="CK57">
        <v>0</v>
      </c>
      <c r="CL57">
        <v>1882</v>
      </c>
      <c r="CM57">
        <v>1882</v>
      </c>
      <c r="CN57">
        <v>1881</v>
      </c>
      <c r="CO57">
        <v>5645</v>
      </c>
      <c r="CP57">
        <v>500</v>
      </c>
      <c r="CQ57">
        <v>500</v>
      </c>
      <c r="CR57">
        <v>500</v>
      </c>
      <c r="CS57">
        <v>1500</v>
      </c>
      <c r="CT57">
        <v>1700</v>
      </c>
      <c r="CU57">
        <v>1700</v>
      </c>
      <c r="CV57">
        <v>1700</v>
      </c>
      <c r="CW57">
        <v>5100</v>
      </c>
      <c r="CX57">
        <v>0</v>
      </c>
      <c r="CY57">
        <v>0</v>
      </c>
      <c r="CZ57">
        <v>0</v>
      </c>
      <c r="DA57">
        <v>0</v>
      </c>
      <c r="DB57">
        <v>1000</v>
      </c>
      <c r="DC57">
        <v>1000</v>
      </c>
      <c r="DD57">
        <v>1000</v>
      </c>
      <c r="DE57">
        <v>3000</v>
      </c>
      <c r="DF57">
        <v>0</v>
      </c>
      <c r="DG57">
        <v>0</v>
      </c>
      <c r="DH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15245</v>
      </c>
      <c r="EH57">
        <v>0</v>
      </c>
      <c r="EI57">
        <v>1154</v>
      </c>
      <c r="EJ57">
        <v>1154</v>
      </c>
      <c r="EK57">
        <v>1155</v>
      </c>
      <c r="EL57">
        <v>3500</v>
      </c>
      <c r="EM57">
        <v>37.065000000000005</v>
      </c>
      <c r="EN57">
        <v>660</v>
      </c>
      <c r="EO57">
        <v>660</v>
      </c>
      <c r="EP57">
        <v>659</v>
      </c>
      <c r="EQ57">
        <v>2000</v>
      </c>
      <c r="ER57">
        <v>21.18</v>
      </c>
      <c r="ES57">
        <v>0</v>
      </c>
      <c r="ET57">
        <v>0</v>
      </c>
      <c r="EU57">
        <v>0</v>
      </c>
      <c r="EV57">
        <v>0</v>
      </c>
      <c r="EW57">
        <v>0</v>
      </c>
      <c r="FA57">
        <v>0</v>
      </c>
      <c r="FE57">
        <v>0</v>
      </c>
      <c r="FI57">
        <v>0</v>
      </c>
      <c r="FJ57">
        <v>5441.7550000000001</v>
      </c>
      <c r="FK57">
        <v>24270</v>
      </c>
      <c r="FL57">
        <v>19663.55271952544</v>
      </c>
      <c r="FM57">
        <v>18828.244999999999</v>
      </c>
    </row>
    <row r="58" spans="1:169" x14ac:dyDescent="0.35">
      <c r="A58">
        <v>197503</v>
      </c>
      <c r="B58" t="s">
        <v>689</v>
      </c>
      <c r="C58" t="s">
        <v>690</v>
      </c>
      <c r="D58" t="s">
        <v>691</v>
      </c>
      <c r="E58" s="43" t="s">
        <v>692</v>
      </c>
      <c r="F58">
        <v>1</v>
      </c>
      <c r="I58" s="23">
        <v>43782</v>
      </c>
      <c r="L58" s="43" t="s">
        <v>3204</v>
      </c>
      <c r="M58" t="s">
        <v>693</v>
      </c>
      <c r="N58" t="s">
        <v>694</v>
      </c>
      <c r="O58" t="s">
        <v>695</v>
      </c>
      <c r="P58" t="s">
        <v>342</v>
      </c>
      <c r="Q58" t="s">
        <v>696</v>
      </c>
      <c r="R58">
        <v>3.6</v>
      </c>
      <c r="S58">
        <v>44109</v>
      </c>
      <c r="T58" t="s">
        <v>285</v>
      </c>
      <c r="U58" t="s">
        <v>266</v>
      </c>
      <c r="V58" t="s">
        <v>267</v>
      </c>
      <c r="W58" t="s">
        <v>268</v>
      </c>
      <c r="X58" t="s">
        <v>269</v>
      </c>
      <c r="Y58">
        <v>8883022894</v>
      </c>
      <c r="Z58" t="s">
        <v>270</v>
      </c>
      <c r="AA58" t="s">
        <v>271</v>
      </c>
      <c r="AB58">
        <v>0</v>
      </c>
      <c r="AC58" t="s">
        <v>697</v>
      </c>
      <c r="AD58" t="s">
        <v>387</v>
      </c>
      <c r="AE58" t="s">
        <v>301</v>
      </c>
      <c r="AF58">
        <v>1</v>
      </c>
      <c r="AG58" t="s">
        <v>275</v>
      </c>
      <c r="AH58" s="43" t="s">
        <v>3233</v>
      </c>
      <c r="AI58" s="43" t="s">
        <v>3234</v>
      </c>
      <c r="AJ58" s="43" t="s">
        <v>3207</v>
      </c>
      <c r="AK58" s="43" t="s">
        <v>3208</v>
      </c>
      <c r="AL58" s="43" t="s">
        <v>3209</v>
      </c>
      <c r="AO58" s="23"/>
      <c r="AP58" s="23"/>
      <c r="AQ58" s="23"/>
      <c r="BD58" s="43" t="s">
        <v>2018</v>
      </c>
      <c r="BE58" s="43" t="s">
        <v>2018</v>
      </c>
      <c r="BF58" s="43" t="s">
        <v>2018</v>
      </c>
      <c r="BG58" s="43" t="s">
        <v>2018</v>
      </c>
      <c r="BH58" s="43" t="s">
        <v>2018</v>
      </c>
      <c r="BI58" s="43" t="s">
        <v>2018</v>
      </c>
      <c r="BJ58">
        <v>0</v>
      </c>
      <c r="BK58">
        <v>44109</v>
      </c>
      <c r="BL58">
        <v>44356</v>
      </c>
      <c r="BM58">
        <v>8505</v>
      </c>
      <c r="BN58">
        <v>8505</v>
      </c>
      <c r="BO58">
        <v>8505</v>
      </c>
      <c r="BP58">
        <v>25515</v>
      </c>
      <c r="BQ58">
        <v>3300</v>
      </c>
      <c r="BR58">
        <v>400</v>
      </c>
      <c r="BS58">
        <v>400</v>
      </c>
      <c r="BT58">
        <v>4100</v>
      </c>
      <c r="BU58">
        <v>2100</v>
      </c>
      <c r="BV58">
        <v>2100</v>
      </c>
      <c r="BW58">
        <v>2100</v>
      </c>
      <c r="BX58">
        <v>6300</v>
      </c>
      <c r="BY58">
        <v>1200</v>
      </c>
      <c r="BZ58">
        <v>1200</v>
      </c>
      <c r="CA58">
        <v>1200</v>
      </c>
      <c r="CB58">
        <v>3600</v>
      </c>
      <c r="CC58">
        <v>0</v>
      </c>
      <c r="CD58">
        <v>0</v>
      </c>
      <c r="CE58">
        <v>0</v>
      </c>
      <c r="CF58">
        <v>0</v>
      </c>
      <c r="CG58">
        <v>39515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1700</v>
      </c>
      <c r="CU58">
        <v>1700</v>
      </c>
      <c r="CV58">
        <v>1700</v>
      </c>
      <c r="CW58">
        <v>5100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5100</v>
      </c>
      <c r="EH58">
        <v>0</v>
      </c>
      <c r="EI58">
        <v>1154</v>
      </c>
      <c r="EJ58">
        <v>1154</v>
      </c>
      <c r="EK58">
        <v>1155</v>
      </c>
      <c r="EL58">
        <v>3500</v>
      </c>
      <c r="EM58">
        <v>37.065000000000005</v>
      </c>
      <c r="EN58">
        <v>660</v>
      </c>
      <c r="EO58">
        <v>660</v>
      </c>
      <c r="EP58">
        <v>659</v>
      </c>
      <c r="EQ58">
        <v>2000</v>
      </c>
      <c r="ER58">
        <v>21.18</v>
      </c>
      <c r="ES58">
        <v>0</v>
      </c>
      <c r="ET58">
        <v>0</v>
      </c>
      <c r="EU58">
        <v>0</v>
      </c>
      <c r="EV58">
        <v>0</v>
      </c>
      <c r="EW58">
        <v>0</v>
      </c>
      <c r="FA58">
        <v>0</v>
      </c>
      <c r="FE58">
        <v>0</v>
      </c>
      <c r="FI58">
        <v>0</v>
      </c>
      <c r="FJ58">
        <v>5441.7550000000001</v>
      </c>
      <c r="FK58">
        <v>34415</v>
      </c>
      <c r="FL58">
        <v>30258.631673489846</v>
      </c>
      <c r="FM58">
        <v>28973.244999999999</v>
      </c>
    </row>
    <row r="59" spans="1:169" x14ac:dyDescent="0.35">
      <c r="A59">
        <v>198277</v>
      </c>
      <c r="B59" t="s">
        <v>698</v>
      </c>
      <c r="C59" t="s">
        <v>699</v>
      </c>
      <c r="D59" t="s">
        <v>700</v>
      </c>
      <c r="E59" s="43" t="s">
        <v>701</v>
      </c>
      <c r="F59">
        <v>1</v>
      </c>
      <c r="I59" s="23">
        <v>43776</v>
      </c>
      <c r="L59" s="43" t="s">
        <v>3204</v>
      </c>
      <c r="M59" t="s">
        <v>702</v>
      </c>
      <c r="N59" t="s">
        <v>703</v>
      </c>
      <c r="O59" t="s">
        <v>704</v>
      </c>
      <c r="P59" t="s">
        <v>705</v>
      </c>
      <c r="Q59" t="s">
        <v>706</v>
      </c>
      <c r="R59">
        <v>4</v>
      </c>
      <c r="S59">
        <v>44109</v>
      </c>
      <c r="T59" t="s">
        <v>311</v>
      </c>
      <c r="U59" t="s">
        <v>266</v>
      </c>
      <c r="V59" t="s">
        <v>267</v>
      </c>
      <c r="W59" t="s">
        <v>268</v>
      </c>
      <c r="X59" t="s">
        <v>269</v>
      </c>
      <c r="Y59">
        <v>8883022894</v>
      </c>
      <c r="Z59" t="s">
        <v>270</v>
      </c>
      <c r="AA59" t="s">
        <v>271</v>
      </c>
      <c r="AB59">
        <v>0</v>
      </c>
      <c r="AC59" t="s">
        <v>707</v>
      </c>
      <c r="AD59" t="s">
        <v>708</v>
      </c>
      <c r="AE59" t="s">
        <v>301</v>
      </c>
      <c r="AF59">
        <v>1</v>
      </c>
      <c r="AG59" t="s">
        <v>275</v>
      </c>
      <c r="AH59" s="43" t="s">
        <v>3591</v>
      </c>
      <c r="AI59" s="43" t="s">
        <v>3592</v>
      </c>
      <c r="AJ59" s="43" t="s">
        <v>3590</v>
      </c>
      <c r="AK59" s="43" t="s">
        <v>1715</v>
      </c>
      <c r="AL59" s="43" t="s">
        <v>259</v>
      </c>
      <c r="AO59" s="23"/>
      <c r="AP59" s="23"/>
      <c r="AQ59" s="23"/>
      <c r="BD59" s="43" t="s">
        <v>259</v>
      </c>
      <c r="BE59" s="43" t="s">
        <v>259</v>
      </c>
      <c r="BF59" s="43" t="s">
        <v>259</v>
      </c>
      <c r="BG59" s="43" t="s">
        <v>259</v>
      </c>
      <c r="BH59" s="43" t="s">
        <v>259</v>
      </c>
      <c r="BI59" s="43" t="s">
        <v>259</v>
      </c>
      <c r="BJ59">
        <v>0</v>
      </c>
      <c r="BK59">
        <v>44109</v>
      </c>
      <c r="BL59">
        <v>44356</v>
      </c>
      <c r="BM59">
        <v>8505</v>
      </c>
      <c r="BN59">
        <v>8505</v>
      </c>
      <c r="BO59">
        <v>8505</v>
      </c>
      <c r="BP59">
        <v>25515</v>
      </c>
      <c r="BQ59">
        <v>3300</v>
      </c>
      <c r="BR59">
        <v>400</v>
      </c>
      <c r="BS59">
        <v>400</v>
      </c>
      <c r="BT59">
        <v>4100</v>
      </c>
      <c r="BU59">
        <v>2100</v>
      </c>
      <c r="BV59">
        <v>2100</v>
      </c>
      <c r="BW59">
        <v>2100</v>
      </c>
      <c r="BX59">
        <v>6300</v>
      </c>
      <c r="BY59">
        <v>1200</v>
      </c>
      <c r="BZ59">
        <v>1200</v>
      </c>
      <c r="CA59">
        <v>1200</v>
      </c>
      <c r="CB59">
        <v>3600</v>
      </c>
      <c r="CC59">
        <v>0</v>
      </c>
      <c r="CD59">
        <v>0</v>
      </c>
      <c r="CE59">
        <v>0</v>
      </c>
      <c r="CF59">
        <v>0</v>
      </c>
      <c r="CG59">
        <v>39515</v>
      </c>
      <c r="CK59">
        <v>0</v>
      </c>
      <c r="CL59">
        <v>415</v>
      </c>
      <c r="CM59">
        <v>415</v>
      </c>
      <c r="CN59">
        <v>415</v>
      </c>
      <c r="CO59">
        <v>1245</v>
      </c>
      <c r="CP59">
        <v>500</v>
      </c>
      <c r="CQ59">
        <v>500</v>
      </c>
      <c r="CR59">
        <v>500</v>
      </c>
      <c r="CS59">
        <v>1500</v>
      </c>
      <c r="CT59">
        <v>1700</v>
      </c>
      <c r="CU59">
        <v>1700</v>
      </c>
      <c r="CV59">
        <v>1700</v>
      </c>
      <c r="CW59">
        <v>5100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7845</v>
      </c>
      <c r="EH59">
        <v>0</v>
      </c>
      <c r="EI59">
        <v>1154</v>
      </c>
      <c r="EJ59">
        <v>1154</v>
      </c>
      <c r="EK59">
        <v>1155</v>
      </c>
      <c r="EL59">
        <v>3500</v>
      </c>
      <c r="EM59">
        <v>37.065000000000005</v>
      </c>
      <c r="EN59">
        <v>660</v>
      </c>
      <c r="EO59">
        <v>660</v>
      </c>
      <c r="EP59">
        <v>659</v>
      </c>
      <c r="EQ59">
        <v>2000</v>
      </c>
      <c r="ER59">
        <v>21.18</v>
      </c>
      <c r="ES59">
        <v>0</v>
      </c>
      <c r="ET59">
        <v>0</v>
      </c>
      <c r="EU59">
        <v>0</v>
      </c>
      <c r="EV59">
        <v>0</v>
      </c>
      <c r="EW59">
        <v>0</v>
      </c>
      <c r="FA59">
        <v>0</v>
      </c>
      <c r="FE59">
        <v>0</v>
      </c>
      <c r="FI59">
        <v>0</v>
      </c>
      <c r="FJ59">
        <v>5441.7550000000001</v>
      </c>
      <c r="FK59">
        <v>31670</v>
      </c>
      <c r="FL59">
        <v>27391.85082295931</v>
      </c>
      <c r="FM59">
        <v>26228.244999999999</v>
      </c>
    </row>
    <row r="60" spans="1:169" x14ac:dyDescent="0.35">
      <c r="A60">
        <v>198029</v>
      </c>
      <c r="B60" t="s">
        <v>709</v>
      </c>
      <c r="C60" t="s">
        <v>710</v>
      </c>
      <c r="D60" t="s">
        <v>711</v>
      </c>
      <c r="E60" s="43" t="s">
        <v>712</v>
      </c>
      <c r="L60" s="43" t="s">
        <v>259</v>
      </c>
      <c r="M60" t="s">
        <v>713</v>
      </c>
      <c r="N60" t="s">
        <v>714</v>
      </c>
      <c r="O60" t="s">
        <v>715</v>
      </c>
      <c r="P60" t="s">
        <v>342</v>
      </c>
      <c r="Q60" t="s">
        <v>716</v>
      </c>
      <c r="R60">
        <v>3.91</v>
      </c>
      <c r="S60">
        <v>44109</v>
      </c>
      <c r="T60" t="s">
        <v>265</v>
      </c>
      <c r="U60" t="s">
        <v>266</v>
      </c>
      <c r="V60" t="s">
        <v>267</v>
      </c>
      <c r="W60" t="s">
        <v>268</v>
      </c>
      <c r="X60" t="s">
        <v>269</v>
      </c>
      <c r="Y60">
        <v>8883022894</v>
      </c>
      <c r="Z60" t="s">
        <v>270</v>
      </c>
      <c r="AA60" t="s">
        <v>271</v>
      </c>
      <c r="AB60">
        <v>0</v>
      </c>
      <c r="AC60" t="s">
        <v>717</v>
      </c>
      <c r="AD60" t="s">
        <v>718</v>
      </c>
      <c r="AE60" t="s">
        <v>301</v>
      </c>
      <c r="AF60">
        <v>1</v>
      </c>
      <c r="AG60" t="s">
        <v>275</v>
      </c>
      <c r="AH60" s="43" t="s">
        <v>259</v>
      </c>
      <c r="AI60" s="43" t="s">
        <v>259</v>
      </c>
      <c r="AJ60" s="43" t="s">
        <v>259</v>
      </c>
      <c r="AK60" s="43" t="s">
        <v>259</v>
      </c>
      <c r="AL60" s="43" t="s">
        <v>259</v>
      </c>
      <c r="AO60" s="23"/>
      <c r="AP60" s="23"/>
      <c r="AQ60" s="23"/>
      <c r="BD60" s="43" t="s">
        <v>259</v>
      </c>
      <c r="BE60" s="43" t="s">
        <v>259</v>
      </c>
      <c r="BF60" s="43" t="s">
        <v>259</v>
      </c>
      <c r="BG60" s="43" t="s">
        <v>259</v>
      </c>
      <c r="BH60" s="43" t="s">
        <v>259</v>
      </c>
      <c r="BI60" s="43" t="s">
        <v>259</v>
      </c>
      <c r="BJ60">
        <v>0</v>
      </c>
      <c r="BK60">
        <v>44109</v>
      </c>
      <c r="BL60">
        <v>44356</v>
      </c>
      <c r="BM60">
        <v>8505</v>
      </c>
      <c r="BN60">
        <v>8505</v>
      </c>
      <c r="BO60">
        <v>8505</v>
      </c>
      <c r="BP60">
        <v>25515</v>
      </c>
      <c r="BQ60">
        <v>3300</v>
      </c>
      <c r="BR60">
        <v>400</v>
      </c>
      <c r="BS60">
        <v>400</v>
      </c>
      <c r="BT60">
        <v>4100</v>
      </c>
      <c r="BU60">
        <v>2100</v>
      </c>
      <c r="BV60">
        <v>2100</v>
      </c>
      <c r="BW60">
        <v>2100</v>
      </c>
      <c r="BX60">
        <v>6300</v>
      </c>
      <c r="BY60">
        <v>1200</v>
      </c>
      <c r="BZ60">
        <v>1200</v>
      </c>
      <c r="CA60">
        <v>1200</v>
      </c>
      <c r="CB60">
        <v>3600</v>
      </c>
      <c r="CC60">
        <v>0</v>
      </c>
      <c r="CD60">
        <v>0</v>
      </c>
      <c r="CE60">
        <v>0</v>
      </c>
      <c r="CF60">
        <v>0</v>
      </c>
      <c r="CG60">
        <v>39515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1700</v>
      </c>
      <c r="CU60">
        <v>1700</v>
      </c>
      <c r="CV60">
        <v>1700</v>
      </c>
      <c r="CW60">
        <v>5100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5100</v>
      </c>
      <c r="EH60">
        <v>0</v>
      </c>
      <c r="EI60">
        <v>1154</v>
      </c>
      <c r="EJ60">
        <v>1154</v>
      </c>
      <c r="EK60">
        <v>1155</v>
      </c>
      <c r="EL60">
        <v>3500</v>
      </c>
      <c r="EM60">
        <v>37.065000000000005</v>
      </c>
      <c r="EN60">
        <v>660</v>
      </c>
      <c r="EO60">
        <v>660</v>
      </c>
      <c r="EP60">
        <v>659</v>
      </c>
      <c r="EQ60">
        <v>2000</v>
      </c>
      <c r="ER60">
        <v>21.18</v>
      </c>
      <c r="ES60">
        <v>0</v>
      </c>
      <c r="ET60">
        <v>0</v>
      </c>
      <c r="EU60">
        <v>0</v>
      </c>
      <c r="EV60">
        <v>0</v>
      </c>
      <c r="EW60">
        <v>0</v>
      </c>
      <c r="FA60">
        <v>0</v>
      </c>
      <c r="FE60">
        <v>0</v>
      </c>
      <c r="FI60">
        <v>0</v>
      </c>
      <c r="FJ60">
        <v>5441.7550000000001</v>
      </c>
      <c r="FK60">
        <v>34415</v>
      </c>
      <c r="FL60">
        <v>30258.631673489846</v>
      </c>
      <c r="FM60">
        <v>28973.244999999999</v>
      </c>
    </row>
    <row r="61" spans="1:169" x14ac:dyDescent="0.35">
      <c r="A61">
        <v>199211</v>
      </c>
      <c r="B61" t="s">
        <v>3889</v>
      </c>
      <c r="C61" t="s">
        <v>3890</v>
      </c>
      <c r="D61" t="s">
        <v>3891</v>
      </c>
      <c r="E61" s="43" t="s">
        <v>4204</v>
      </c>
      <c r="J61" t="s">
        <v>3830</v>
      </c>
      <c r="L61" s="43" t="s">
        <v>259</v>
      </c>
      <c r="M61" t="s">
        <v>3892</v>
      </c>
      <c r="N61" t="s">
        <v>3893</v>
      </c>
      <c r="O61" t="s">
        <v>2473</v>
      </c>
      <c r="P61" t="s">
        <v>309</v>
      </c>
      <c r="Q61" t="s">
        <v>2474</v>
      </c>
      <c r="R61">
        <v>2.931</v>
      </c>
      <c r="S61">
        <v>44109</v>
      </c>
      <c r="T61" t="s">
        <v>311</v>
      </c>
      <c r="U61" t="s">
        <v>286</v>
      </c>
      <c r="V61" t="s">
        <v>1110</v>
      </c>
      <c r="W61" t="s">
        <v>268</v>
      </c>
      <c r="X61" t="s">
        <v>269</v>
      </c>
      <c r="Y61">
        <v>8883022894</v>
      </c>
      <c r="Z61" t="s">
        <v>270</v>
      </c>
      <c r="AA61" t="s">
        <v>271</v>
      </c>
      <c r="AB61">
        <v>0</v>
      </c>
      <c r="AC61" t="s">
        <v>3894</v>
      </c>
      <c r="AD61" t="s">
        <v>273</v>
      </c>
      <c r="AE61" t="s">
        <v>376</v>
      </c>
      <c r="AF61">
        <v>7</v>
      </c>
      <c r="AG61" t="s">
        <v>3345</v>
      </c>
      <c r="AH61" s="43" t="s">
        <v>259</v>
      </c>
      <c r="AI61" s="43" t="s">
        <v>259</v>
      </c>
      <c r="AJ61" s="43" t="s">
        <v>259</v>
      </c>
      <c r="AK61" s="43" t="s">
        <v>259</v>
      </c>
      <c r="AL61" s="43" t="s">
        <v>259</v>
      </c>
      <c r="AO61" s="23"/>
      <c r="AP61" s="23"/>
      <c r="AQ61" s="23"/>
      <c r="BD61" s="43" t="s">
        <v>259</v>
      </c>
      <c r="BE61" s="43" t="s">
        <v>259</v>
      </c>
      <c r="BF61" s="43" t="s">
        <v>259</v>
      </c>
      <c r="BG61" s="43" t="s">
        <v>259</v>
      </c>
      <c r="BH61" s="43" t="s">
        <v>259</v>
      </c>
      <c r="BI61" s="43" t="s">
        <v>259</v>
      </c>
      <c r="BJ61">
        <v>0</v>
      </c>
      <c r="BK61">
        <v>44109</v>
      </c>
      <c r="BL61">
        <v>44356</v>
      </c>
      <c r="BP61">
        <v>0</v>
      </c>
      <c r="BT61">
        <v>0</v>
      </c>
      <c r="BX61">
        <v>0</v>
      </c>
      <c r="CB61">
        <v>0</v>
      </c>
      <c r="CF61">
        <v>0</v>
      </c>
      <c r="CG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1000</v>
      </c>
      <c r="DC61">
        <v>1000</v>
      </c>
      <c r="DD61">
        <v>1000</v>
      </c>
      <c r="DE61">
        <v>3000</v>
      </c>
      <c r="DF61">
        <v>0</v>
      </c>
      <c r="DG61">
        <v>0</v>
      </c>
      <c r="DH61">
        <v>0</v>
      </c>
      <c r="DN61">
        <v>0</v>
      </c>
      <c r="DO61">
        <v>0</v>
      </c>
      <c r="DP61">
        <v>0</v>
      </c>
      <c r="DR61">
        <v>0</v>
      </c>
      <c r="DS61">
        <v>0</v>
      </c>
      <c r="DT61">
        <v>0</v>
      </c>
      <c r="DY61">
        <v>0</v>
      </c>
      <c r="EC61">
        <v>0</v>
      </c>
      <c r="ED61">
        <v>3000</v>
      </c>
      <c r="EH61">
        <v>0</v>
      </c>
      <c r="EI61">
        <v>0</v>
      </c>
      <c r="EJ61">
        <v>0</v>
      </c>
      <c r="EK61">
        <v>0</v>
      </c>
      <c r="EM61">
        <v>0</v>
      </c>
      <c r="EN61">
        <v>660</v>
      </c>
      <c r="EO61">
        <v>660</v>
      </c>
      <c r="EP61">
        <v>659</v>
      </c>
      <c r="EQ61">
        <v>2000</v>
      </c>
      <c r="ER61">
        <v>21.24</v>
      </c>
      <c r="ES61">
        <v>0</v>
      </c>
      <c r="ET61">
        <v>0</v>
      </c>
      <c r="EU61">
        <v>0</v>
      </c>
      <c r="EW61">
        <v>0</v>
      </c>
      <c r="FA61">
        <v>0</v>
      </c>
      <c r="FE61">
        <v>0</v>
      </c>
      <c r="FI61">
        <v>0</v>
      </c>
      <c r="FJ61">
        <v>1978.76</v>
      </c>
      <c r="FK61">
        <v>-3000</v>
      </c>
      <c r="FL61">
        <v>-5199.6407385746516</v>
      </c>
      <c r="FM61">
        <v>-4978.76</v>
      </c>
    </row>
    <row r="62" spans="1:169" x14ac:dyDescent="0.35">
      <c r="A62">
        <v>196002</v>
      </c>
      <c r="B62" t="s">
        <v>719</v>
      </c>
      <c r="C62" t="s">
        <v>720</v>
      </c>
      <c r="D62" t="s">
        <v>721</v>
      </c>
      <c r="E62" s="43" t="s">
        <v>722</v>
      </c>
      <c r="L62" s="43" t="s">
        <v>259</v>
      </c>
      <c r="M62" t="s">
        <v>723</v>
      </c>
      <c r="N62" t="s">
        <v>724</v>
      </c>
      <c r="O62" t="s">
        <v>725</v>
      </c>
      <c r="P62" t="s">
        <v>342</v>
      </c>
      <c r="Q62" t="s">
        <v>726</v>
      </c>
      <c r="R62">
        <v>3.02</v>
      </c>
      <c r="S62">
        <v>44109</v>
      </c>
      <c r="T62" t="s">
        <v>311</v>
      </c>
      <c r="U62" t="s">
        <v>266</v>
      </c>
      <c r="V62" t="s">
        <v>267</v>
      </c>
      <c r="W62" t="s">
        <v>268</v>
      </c>
      <c r="X62" t="s">
        <v>269</v>
      </c>
      <c r="Y62">
        <v>8883022894</v>
      </c>
      <c r="Z62" t="s">
        <v>270</v>
      </c>
      <c r="AA62" t="s">
        <v>271</v>
      </c>
      <c r="AB62">
        <v>0</v>
      </c>
      <c r="AC62" t="s">
        <v>727</v>
      </c>
      <c r="AD62" t="s">
        <v>728</v>
      </c>
      <c r="AE62" t="s">
        <v>445</v>
      </c>
      <c r="AF62">
        <v>4</v>
      </c>
      <c r="AG62" t="s">
        <v>275</v>
      </c>
      <c r="AH62" s="43" t="s">
        <v>259</v>
      </c>
      <c r="AI62" s="43" t="s">
        <v>259</v>
      </c>
      <c r="AJ62" s="43" t="s">
        <v>259</v>
      </c>
      <c r="AK62" s="43" t="s">
        <v>259</v>
      </c>
      <c r="AL62" s="43" t="s">
        <v>259</v>
      </c>
      <c r="AO62" s="23"/>
      <c r="AP62" s="23"/>
      <c r="AQ62" s="23"/>
      <c r="BD62" s="43" t="s">
        <v>259</v>
      </c>
      <c r="BE62" s="43" t="s">
        <v>259</v>
      </c>
      <c r="BF62" s="43" t="s">
        <v>259</v>
      </c>
      <c r="BG62" s="43" t="s">
        <v>259</v>
      </c>
      <c r="BH62" s="43" t="s">
        <v>259</v>
      </c>
      <c r="BI62" s="43" t="s">
        <v>259</v>
      </c>
      <c r="BJ62">
        <v>0</v>
      </c>
      <c r="BK62">
        <v>44109</v>
      </c>
      <c r="BL62">
        <v>44356</v>
      </c>
      <c r="BM62">
        <v>8505</v>
      </c>
      <c r="BN62">
        <v>8505</v>
      </c>
      <c r="BO62">
        <v>8505</v>
      </c>
      <c r="BP62">
        <v>25515</v>
      </c>
      <c r="BQ62">
        <v>3300</v>
      </c>
      <c r="BR62">
        <v>400</v>
      </c>
      <c r="BS62">
        <v>400</v>
      </c>
      <c r="BT62">
        <v>4100</v>
      </c>
      <c r="BU62">
        <v>2100</v>
      </c>
      <c r="BV62">
        <v>2100</v>
      </c>
      <c r="BW62">
        <v>2100</v>
      </c>
      <c r="BX62">
        <v>6300</v>
      </c>
      <c r="BY62">
        <v>1200</v>
      </c>
      <c r="BZ62">
        <v>1200</v>
      </c>
      <c r="CA62">
        <v>1200</v>
      </c>
      <c r="CB62">
        <v>3600</v>
      </c>
      <c r="CC62">
        <v>0</v>
      </c>
      <c r="CD62">
        <v>0</v>
      </c>
      <c r="CE62">
        <v>0</v>
      </c>
      <c r="CF62">
        <v>0</v>
      </c>
      <c r="CG62">
        <v>39515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1250</v>
      </c>
      <c r="CU62">
        <v>1250</v>
      </c>
      <c r="CV62">
        <v>1250</v>
      </c>
      <c r="CW62">
        <v>3750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3750</v>
      </c>
      <c r="EH62">
        <v>0</v>
      </c>
      <c r="EI62">
        <v>1154</v>
      </c>
      <c r="EJ62">
        <v>1154</v>
      </c>
      <c r="EK62">
        <v>1155</v>
      </c>
      <c r="EL62">
        <v>3500</v>
      </c>
      <c r="EM62">
        <v>37.065000000000005</v>
      </c>
      <c r="EN62">
        <v>660</v>
      </c>
      <c r="EO62">
        <v>660</v>
      </c>
      <c r="EP62">
        <v>659</v>
      </c>
      <c r="EQ62">
        <v>2000</v>
      </c>
      <c r="ER62">
        <v>21.18</v>
      </c>
      <c r="ES62">
        <v>0</v>
      </c>
      <c r="ET62">
        <v>0</v>
      </c>
      <c r="EU62">
        <v>0</v>
      </c>
      <c r="EV62">
        <v>0</v>
      </c>
      <c r="EW62">
        <v>0</v>
      </c>
      <c r="FA62">
        <v>0</v>
      </c>
      <c r="FE62">
        <v>0</v>
      </c>
      <c r="FI62">
        <v>0</v>
      </c>
      <c r="FJ62">
        <v>5441.7550000000001</v>
      </c>
      <c r="FK62">
        <v>35765</v>
      </c>
      <c r="FL62">
        <v>31668.523895062241</v>
      </c>
      <c r="FM62">
        <v>30323.244999999999</v>
      </c>
    </row>
    <row r="63" spans="1:169" x14ac:dyDescent="0.35">
      <c r="A63">
        <v>198664</v>
      </c>
      <c r="B63" t="s">
        <v>3467</v>
      </c>
      <c r="C63" t="s">
        <v>904</v>
      </c>
      <c r="D63" t="s">
        <v>3468</v>
      </c>
      <c r="E63" s="43" t="s">
        <v>4186</v>
      </c>
      <c r="J63" t="s">
        <v>3425</v>
      </c>
      <c r="L63" s="43" t="s">
        <v>3204</v>
      </c>
      <c r="M63" t="s">
        <v>3469</v>
      </c>
      <c r="N63" t="s">
        <v>3470</v>
      </c>
      <c r="O63" t="s">
        <v>3471</v>
      </c>
      <c r="P63" t="s">
        <v>297</v>
      </c>
      <c r="Q63" t="s">
        <v>3472</v>
      </c>
      <c r="R63">
        <v>3.4762</v>
      </c>
      <c r="S63">
        <v>44109</v>
      </c>
      <c r="T63" t="s">
        <v>311</v>
      </c>
      <c r="U63" t="s">
        <v>266</v>
      </c>
      <c r="V63" t="s">
        <v>1028</v>
      </c>
      <c r="W63" t="s">
        <v>268</v>
      </c>
      <c r="X63" t="s">
        <v>269</v>
      </c>
      <c r="Y63">
        <v>8883022894</v>
      </c>
      <c r="Z63" t="s">
        <v>270</v>
      </c>
      <c r="AA63" t="s">
        <v>271</v>
      </c>
      <c r="AB63" t="s">
        <v>1228</v>
      </c>
      <c r="AC63" t="s">
        <v>3473</v>
      </c>
      <c r="AD63" t="s">
        <v>708</v>
      </c>
      <c r="AE63" t="s">
        <v>301</v>
      </c>
      <c r="AF63">
        <v>1</v>
      </c>
      <c r="AG63" t="s">
        <v>3345</v>
      </c>
      <c r="AH63" s="43" t="s">
        <v>3593</v>
      </c>
      <c r="AI63" s="43" t="s">
        <v>3594</v>
      </c>
      <c r="AJ63" s="43" t="s">
        <v>3309</v>
      </c>
      <c r="AK63" s="43" t="s">
        <v>3208</v>
      </c>
      <c r="AL63" s="43" t="s">
        <v>3209</v>
      </c>
      <c r="AO63" s="23"/>
      <c r="AP63" s="23"/>
      <c r="AQ63" s="23"/>
      <c r="BD63" s="43" t="s">
        <v>2018</v>
      </c>
      <c r="BE63" s="43" t="s">
        <v>2018</v>
      </c>
      <c r="BF63" s="43" t="s">
        <v>2018</v>
      </c>
      <c r="BG63" s="43" t="s">
        <v>2018</v>
      </c>
      <c r="BH63" s="43" t="s">
        <v>2018</v>
      </c>
      <c r="BI63" s="43" t="s">
        <v>2018</v>
      </c>
      <c r="BJ63">
        <v>0</v>
      </c>
      <c r="BK63">
        <v>44109</v>
      </c>
      <c r="BL63">
        <v>44356</v>
      </c>
      <c r="BM63">
        <v>8505</v>
      </c>
      <c r="BN63">
        <v>8505</v>
      </c>
      <c r="BO63">
        <v>8505</v>
      </c>
      <c r="BP63">
        <v>25515</v>
      </c>
      <c r="BQ63">
        <v>3300</v>
      </c>
      <c r="BR63">
        <v>400</v>
      </c>
      <c r="BS63">
        <v>400</v>
      </c>
      <c r="BT63">
        <v>4100</v>
      </c>
      <c r="BU63">
        <v>2100</v>
      </c>
      <c r="BV63">
        <v>2100</v>
      </c>
      <c r="BW63">
        <v>2100</v>
      </c>
      <c r="BX63">
        <v>6300</v>
      </c>
      <c r="BY63">
        <v>1200</v>
      </c>
      <c r="BZ63">
        <v>1200</v>
      </c>
      <c r="CA63">
        <v>1200</v>
      </c>
      <c r="CB63">
        <v>3600</v>
      </c>
      <c r="CF63">
        <v>0</v>
      </c>
      <c r="CG63">
        <v>39515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1700</v>
      </c>
      <c r="CU63">
        <v>1700</v>
      </c>
      <c r="CV63">
        <v>1700</v>
      </c>
      <c r="CW63">
        <v>5100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N63">
        <v>0</v>
      </c>
      <c r="DO63">
        <v>0</v>
      </c>
      <c r="DP63">
        <v>0</v>
      </c>
      <c r="DR63">
        <v>0</v>
      </c>
      <c r="DS63">
        <v>0</v>
      </c>
      <c r="DT63">
        <v>0</v>
      </c>
      <c r="DY63">
        <v>0</v>
      </c>
      <c r="EC63">
        <v>0</v>
      </c>
      <c r="ED63">
        <v>5100</v>
      </c>
      <c r="EH63">
        <v>0</v>
      </c>
      <c r="EI63">
        <v>0</v>
      </c>
      <c r="EJ63">
        <v>0</v>
      </c>
      <c r="EK63">
        <v>0</v>
      </c>
      <c r="EM63">
        <v>0</v>
      </c>
      <c r="EN63">
        <v>660</v>
      </c>
      <c r="EO63">
        <v>660</v>
      </c>
      <c r="EP63">
        <v>659</v>
      </c>
      <c r="EQ63">
        <v>2000</v>
      </c>
      <c r="ER63">
        <v>21.24</v>
      </c>
      <c r="ES63">
        <v>0</v>
      </c>
      <c r="ET63">
        <v>0</v>
      </c>
      <c r="EU63">
        <v>0</v>
      </c>
      <c r="EW63">
        <v>0</v>
      </c>
      <c r="FA63">
        <v>0</v>
      </c>
      <c r="FE63">
        <v>0</v>
      </c>
      <c r="FI63">
        <v>0</v>
      </c>
      <c r="FJ63">
        <v>1978.76</v>
      </c>
      <c r="FK63">
        <v>34415</v>
      </c>
      <c r="FL63">
        <v>33875.261091152141</v>
      </c>
      <c r="FM63">
        <v>32436.240000000002</v>
      </c>
    </row>
    <row r="64" spans="1:169" x14ac:dyDescent="0.35">
      <c r="A64">
        <v>198106</v>
      </c>
      <c r="B64" t="s">
        <v>3854</v>
      </c>
      <c r="C64" t="s">
        <v>1193</v>
      </c>
      <c r="D64" t="s">
        <v>3855</v>
      </c>
      <c r="E64" s="43" t="s">
        <v>4177</v>
      </c>
      <c r="F64">
        <v>1</v>
      </c>
      <c r="G64" s="23">
        <v>43801</v>
      </c>
      <c r="H64" s="23">
        <v>43801</v>
      </c>
      <c r="I64" s="23">
        <v>43801</v>
      </c>
      <c r="J64" t="s">
        <v>4178</v>
      </c>
      <c r="L64" s="43" t="s">
        <v>3204</v>
      </c>
      <c r="M64" t="s">
        <v>3856</v>
      </c>
      <c r="N64" t="s">
        <v>3857</v>
      </c>
      <c r="O64" t="s">
        <v>3692</v>
      </c>
      <c r="P64" t="s">
        <v>342</v>
      </c>
      <c r="Q64" t="s">
        <v>3858</v>
      </c>
      <c r="R64">
        <v>2.81</v>
      </c>
      <c r="S64">
        <v>44109</v>
      </c>
      <c r="T64" t="s">
        <v>311</v>
      </c>
      <c r="U64" t="s">
        <v>266</v>
      </c>
      <c r="V64" t="s">
        <v>267</v>
      </c>
      <c r="W64" t="s">
        <v>268</v>
      </c>
      <c r="X64" t="s">
        <v>269</v>
      </c>
      <c r="Y64">
        <v>8883022894</v>
      </c>
      <c r="Z64" t="s">
        <v>270</v>
      </c>
      <c r="AA64" t="s">
        <v>271</v>
      </c>
      <c r="AB64">
        <v>0</v>
      </c>
      <c r="AC64">
        <v>0</v>
      </c>
      <c r="AD64" t="s">
        <v>313</v>
      </c>
      <c r="AE64" t="s">
        <v>354</v>
      </c>
      <c r="AF64">
        <v>6</v>
      </c>
      <c r="AG64" t="s">
        <v>3345</v>
      </c>
      <c r="AH64" s="43" t="s">
        <v>3226</v>
      </c>
      <c r="AI64" s="43" t="s">
        <v>313</v>
      </c>
      <c r="AJ64" s="43" t="s">
        <v>4237</v>
      </c>
      <c r="AK64" s="43" t="s">
        <v>3208</v>
      </c>
      <c r="AL64" s="43" t="s">
        <v>3209</v>
      </c>
      <c r="AO64" s="23">
        <v>43801</v>
      </c>
      <c r="AP64" s="23"/>
      <c r="AQ64" s="23"/>
      <c r="BD64" s="43" t="s">
        <v>2018</v>
      </c>
      <c r="BE64" s="43" t="s">
        <v>2018</v>
      </c>
      <c r="BF64" s="43" t="s">
        <v>2018</v>
      </c>
      <c r="BG64" s="43" t="s">
        <v>2018</v>
      </c>
      <c r="BH64" s="43" t="s">
        <v>2018</v>
      </c>
      <c r="BI64" s="43" t="s">
        <v>2018</v>
      </c>
      <c r="BJ64">
        <v>5.8823529411764719E-2</v>
      </c>
      <c r="BK64">
        <v>44109</v>
      </c>
      <c r="BL64">
        <v>44356</v>
      </c>
      <c r="BP64">
        <v>0</v>
      </c>
      <c r="BT64">
        <v>0</v>
      </c>
      <c r="BX64">
        <v>0</v>
      </c>
      <c r="CB64">
        <v>0</v>
      </c>
      <c r="CF64">
        <v>0</v>
      </c>
      <c r="CG64">
        <v>0</v>
      </c>
      <c r="CK64">
        <v>0</v>
      </c>
      <c r="CL64">
        <v>2065</v>
      </c>
      <c r="CM64">
        <v>2065</v>
      </c>
      <c r="CN64">
        <v>2065</v>
      </c>
      <c r="CO64">
        <v>6195</v>
      </c>
      <c r="CP64">
        <v>500</v>
      </c>
      <c r="CQ64">
        <v>500</v>
      </c>
      <c r="CR64">
        <v>500</v>
      </c>
      <c r="CS64">
        <v>1500</v>
      </c>
      <c r="CT64">
        <v>750</v>
      </c>
      <c r="CU64">
        <v>750</v>
      </c>
      <c r="CV64">
        <v>750</v>
      </c>
      <c r="CW64">
        <v>2250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N64">
        <v>0</v>
      </c>
      <c r="DO64">
        <v>0</v>
      </c>
      <c r="DP64">
        <v>0</v>
      </c>
      <c r="DR64">
        <v>0</v>
      </c>
      <c r="DS64">
        <v>0</v>
      </c>
      <c r="DT64">
        <v>0</v>
      </c>
      <c r="DY64">
        <v>0</v>
      </c>
      <c r="EC64">
        <v>0</v>
      </c>
      <c r="ED64">
        <v>9945</v>
      </c>
      <c r="EH64">
        <v>0</v>
      </c>
      <c r="EI64">
        <v>0</v>
      </c>
      <c r="EJ64">
        <v>0</v>
      </c>
      <c r="EK64">
        <v>0</v>
      </c>
      <c r="EM64">
        <v>0</v>
      </c>
      <c r="EN64">
        <v>660</v>
      </c>
      <c r="EO64">
        <v>660</v>
      </c>
      <c r="EP64">
        <v>659</v>
      </c>
      <c r="EQ64">
        <v>2000</v>
      </c>
      <c r="ER64">
        <v>21.24</v>
      </c>
      <c r="ES64">
        <v>0</v>
      </c>
      <c r="ET64">
        <v>0</v>
      </c>
      <c r="EU64">
        <v>0</v>
      </c>
      <c r="EW64">
        <v>0</v>
      </c>
      <c r="FA64">
        <v>0</v>
      </c>
      <c r="FE64">
        <v>0</v>
      </c>
      <c r="FI64">
        <v>0</v>
      </c>
      <c r="FJ64">
        <v>1978.76</v>
      </c>
      <c r="FK64">
        <v>-9945</v>
      </c>
      <c r="FL64">
        <v>-12452.752945108195</v>
      </c>
      <c r="FM64">
        <v>-11923.76</v>
      </c>
    </row>
    <row r="65" spans="1:169" x14ac:dyDescent="0.35">
      <c r="A65">
        <v>199019</v>
      </c>
      <c r="B65" t="s">
        <v>3474</v>
      </c>
      <c r="C65" t="s">
        <v>3475</v>
      </c>
      <c r="D65" t="s">
        <v>3476</v>
      </c>
      <c r="E65" s="43" t="s">
        <v>4205</v>
      </c>
      <c r="J65" t="s">
        <v>3425</v>
      </c>
      <c r="L65" s="43" t="s">
        <v>259</v>
      </c>
      <c r="M65" t="s">
        <v>3477</v>
      </c>
      <c r="N65" t="s">
        <v>3478</v>
      </c>
      <c r="O65" t="s">
        <v>3479</v>
      </c>
      <c r="P65" t="s">
        <v>309</v>
      </c>
      <c r="Q65" t="s">
        <v>3480</v>
      </c>
      <c r="R65">
        <v>3.5</v>
      </c>
      <c r="S65">
        <v>44109</v>
      </c>
      <c r="T65" t="s">
        <v>311</v>
      </c>
      <c r="U65" t="s">
        <v>286</v>
      </c>
      <c r="V65" t="s">
        <v>267</v>
      </c>
      <c r="W65" t="s">
        <v>268</v>
      </c>
      <c r="X65" t="s">
        <v>269</v>
      </c>
      <c r="Y65">
        <v>8883022894</v>
      </c>
      <c r="Z65" t="s">
        <v>270</v>
      </c>
      <c r="AA65" t="s">
        <v>271</v>
      </c>
      <c r="AB65">
        <v>0</v>
      </c>
      <c r="AC65" t="s">
        <v>3481</v>
      </c>
      <c r="AD65" t="s">
        <v>415</v>
      </c>
      <c r="AE65" t="s">
        <v>301</v>
      </c>
      <c r="AF65">
        <v>1</v>
      </c>
      <c r="AG65" t="s">
        <v>3345</v>
      </c>
      <c r="AH65" s="43" t="s">
        <v>259</v>
      </c>
      <c r="AI65" s="43" t="s">
        <v>259</v>
      </c>
      <c r="AJ65" s="43" t="s">
        <v>259</v>
      </c>
      <c r="AK65" s="43" t="s">
        <v>259</v>
      </c>
      <c r="AL65" s="43" t="s">
        <v>259</v>
      </c>
      <c r="AO65" s="23"/>
      <c r="AP65" s="23"/>
      <c r="AQ65" s="23"/>
      <c r="BD65" s="43" t="s">
        <v>259</v>
      </c>
      <c r="BE65" s="43" t="s">
        <v>259</v>
      </c>
      <c r="BF65" s="43" t="s">
        <v>259</v>
      </c>
      <c r="BG65" s="43" t="s">
        <v>259</v>
      </c>
      <c r="BH65" s="43" t="s">
        <v>259</v>
      </c>
      <c r="BI65" s="43" t="s">
        <v>259</v>
      </c>
      <c r="BJ65">
        <v>0</v>
      </c>
      <c r="BK65">
        <v>44109</v>
      </c>
      <c r="BL65">
        <v>44356</v>
      </c>
      <c r="BM65">
        <v>8505</v>
      </c>
      <c r="BN65">
        <v>8505</v>
      </c>
      <c r="BO65">
        <v>8505</v>
      </c>
      <c r="BP65">
        <v>25515</v>
      </c>
      <c r="BQ65">
        <v>3300</v>
      </c>
      <c r="BR65">
        <v>400</v>
      </c>
      <c r="BS65">
        <v>400</v>
      </c>
      <c r="BT65">
        <v>4100</v>
      </c>
      <c r="BU65">
        <v>2100</v>
      </c>
      <c r="BV65">
        <v>2100</v>
      </c>
      <c r="BW65">
        <v>2100</v>
      </c>
      <c r="BX65">
        <v>6300</v>
      </c>
      <c r="BY65">
        <v>1200</v>
      </c>
      <c r="BZ65">
        <v>1200</v>
      </c>
      <c r="CA65">
        <v>1200</v>
      </c>
      <c r="CB65">
        <v>3600</v>
      </c>
      <c r="CF65">
        <v>0</v>
      </c>
      <c r="CG65">
        <v>39515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1700</v>
      </c>
      <c r="CU65">
        <v>1700</v>
      </c>
      <c r="CV65">
        <v>1700</v>
      </c>
      <c r="CW65">
        <v>5100</v>
      </c>
      <c r="CX65">
        <v>0</v>
      </c>
      <c r="CY65">
        <v>0</v>
      </c>
      <c r="CZ65">
        <v>0</v>
      </c>
      <c r="DA65">
        <v>0</v>
      </c>
      <c r="DB65">
        <v>1000</v>
      </c>
      <c r="DC65">
        <v>1000</v>
      </c>
      <c r="DD65">
        <v>1000</v>
      </c>
      <c r="DE65">
        <v>3000</v>
      </c>
      <c r="DF65">
        <v>0</v>
      </c>
      <c r="DG65">
        <v>0</v>
      </c>
      <c r="DH65">
        <v>0</v>
      </c>
      <c r="DN65">
        <v>0</v>
      </c>
      <c r="DO65">
        <v>0</v>
      </c>
      <c r="DP65">
        <v>0</v>
      </c>
      <c r="DR65">
        <v>0</v>
      </c>
      <c r="DS65">
        <v>0</v>
      </c>
      <c r="DT65">
        <v>0</v>
      </c>
      <c r="DY65">
        <v>0</v>
      </c>
      <c r="EC65">
        <v>0</v>
      </c>
      <c r="ED65">
        <v>8100</v>
      </c>
      <c r="EH65">
        <v>0</v>
      </c>
      <c r="EI65">
        <v>0</v>
      </c>
      <c r="EJ65">
        <v>0</v>
      </c>
      <c r="EK65">
        <v>0</v>
      </c>
      <c r="EM65">
        <v>0</v>
      </c>
      <c r="EN65">
        <v>660</v>
      </c>
      <c r="EO65">
        <v>660</v>
      </c>
      <c r="EP65">
        <v>659</v>
      </c>
      <c r="EQ65">
        <v>2000</v>
      </c>
      <c r="ER65">
        <v>21.24</v>
      </c>
      <c r="ES65">
        <v>0</v>
      </c>
      <c r="ET65">
        <v>0</v>
      </c>
      <c r="EU65">
        <v>0</v>
      </c>
      <c r="EW65">
        <v>0</v>
      </c>
      <c r="FA65">
        <v>0</v>
      </c>
      <c r="FE65">
        <v>0</v>
      </c>
      <c r="FI65">
        <v>0</v>
      </c>
      <c r="FJ65">
        <v>1978.76</v>
      </c>
      <c r="FK65">
        <v>31415</v>
      </c>
      <c r="FL65">
        <v>30742.16726543571</v>
      </c>
      <c r="FM65">
        <v>29436.240000000002</v>
      </c>
    </row>
    <row r="66" spans="1:169" x14ac:dyDescent="0.35">
      <c r="A66">
        <v>196408</v>
      </c>
      <c r="B66" t="s">
        <v>729</v>
      </c>
      <c r="C66" t="s">
        <v>730</v>
      </c>
      <c r="D66" t="s">
        <v>731</v>
      </c>
      <c r="E66" s="43" t="s">
        <v>3283</v>
      </c>
      <c r="L66" s="43" t="s">
        <v>3204</v>
      </c>
      <c r="M66" t="s">
        <v>732</v>
      </c>
      <c r="N66" t="s">
        <v>733</v>
      </c>
      <c r="O66" t="s">
        <v>734</v>
      </c>
      <c r="P66" t="s">
        <v>735</v>
      </c>
      <c r="Q66" t="s">
        <v>736</v>
      </c>
      <c r="R66">
        <v>3.8</v>
      </c>
      <c r="S66">
        <v>44109</v>
      </c>
      <c r="T66" t="s">
        <v>285</v>
      </c>
      <c r="U66" t="s">
        <v>286</v>
      </c>
      <c r="V66" t="s">
        <v>267</v>
      </c>
      <c r="W66" t="s">
        <v>268</v>
      </c>
      <c r="X66" t="s">
        <v>269</v>
      </c>
      <c r="Y66">
        <v>8883022894</v>
      </c>
      <c r="Z66" t="s">
        <v>270</v>
      </c>
      <c r="AA66" t="s">
        <v>271</v>
      </c>
      <c r="AB66" t="s">
        <v>571</v>
      </c>
      <c r="AC66" t="s">
        <v>737</v>
      </c>
      <c r="AD66" t="s">
        <v>600</v>
      </c>
      <c r="AE66" t="s">
        <v>301</v>
      </c>
      <c r="AF66">
        <v>1</v>
      </c>
      <c r="AG66" t="s">
        <v>446</v>
      </c>
      <c r="AH66" s="43" t="s">
        <v>4238</v>
      </c>
      <c r="AI66" s="43" t="s">
        <v>4239</v>
      </c>
      <c r="AJ66" s="43" t="s">
        <v>4237</v>
      </c>
      <c r="AK66" s="43" t="s">
        <v>3208</v>
      </c>
      <c r="AL66" s="43" t="s">
        <v>3209</v>
      </c>
      <c r="AO66" s="23"/>
      <c r="AP66" s="23"/>
      <c r="AQ66" s="23"/>
      <c r="BD66" s="43" t="s">
        <v>2018</v>
      </c>
      <c r="BE66" s="43" t="s">
        <v>2018</v>
      </c>
      <c r="BF66" s="43" t="s">
        <v>2018</v>
      </c>
      <c r="BG66" s="43" t="s">
        <v>2018</v>
      </c>
      <c r="BH66" s="43" t="s">
        <v>2018</v>
      </c>
      <c r="BI66" s="43" t="s">
        <v>2018</v>
      </c>
      <c r="BJ66">
        <v>0</v>
      </c>
      <c r="BK66">
        <v>44109</v>
      </c>
      <c r="BL66">
        <v>44356</v>
      </c>
      <c r="BM66">
        <v>8505</v>
      </c>
      <c r="BN66">
        <v>8505</v>
      </c>
      <c r="BO66">
        <v>8505</v>
      </c>
      <c r="BP66">
        <v>25515</v>
      </c>
      <c r="BQ66">
        <v>3300</v>
      </c>
      <c r="BR66">
        <v>400</v>
      </c>
      <c r="BS66">
        <v>400</v>
      </c>
      <c r="BT66">
        <v>4100</v>
      </c>
      <c r="BU66">
        <v>2100</v>
      </c>
      <c r="BV66">
        <v>2100</v>
      </c>
      <c r="BW66">
        <v>2100</v>
      </c>
      <c r="BX66">
        <v>6300</v>
      </c>
      <c r="BY66">
        <v>1200</v>
      </c>
      <c r="BZ66">
        <v>1200</v>
      </c>
      <c r="CA66">
        <v>1200</v>
      </c>
      <c r="CB66">
        <v>3600</v>
      </c>
      <c r="CF66">
        <v>0</v>
      </c>
      <c r="CG66">
        <v>39515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1700</v>
      </c>
      <c r="CU66">
        <v>1700</v>
      </c>
      <c r="CV66">
        <v>1700</v>
      </c>
      <c r="CW66">
        <v>5100</v>
      </c>
      <c r="CX66">
        <v>0</v>
      </c>
      <c r="CY66">
        <v>0</v>
      </c>
      <c r="CZ66">
        <v>0</v>
      </c>
      <c r="DA66">
        <v>0</v>
      </c>
      <c r="DB66">
        <v>1000</v>
      </c>
      <c r="DC66">
        <v>1000</v>
      </c>
      <c r="DD66">
        <v>1000</v>
      </c>
      <c r="DE66">
        <v>3000</v>
      </c>
      <c r="DF66">
        <v>0</v>
      </c>
      <c r="DG66">
        <v>0</v>
      </c>
      <c r="DH66">
        <v>0</v>
      </c>
      <c r="DN66">
        <v>0</v>
      </c>
      <c r="DO66">
        <v>0</v>
      </c>
      <c r="DP66">
        <v>0</v>
      </c>
      <c r="DR66">
        <v>0</v>
      </c>
      <c r="DS66">
        <v>0</v>
      </c>
      <c r="DT66">
        <v>0</v>
      </c>
      <c r="DY66">
        <v>0</v>
      </c>
      <c r="EC66">
        <v>0</v>
      </c>
      <c r="ED66">
        <v>8100</v>
      </c>
      <c r="EH66">
        <v>0</v>
      </c>
      <c r="EI66">
        <v>0</v>
      </c>
      <c r="EJ66">
        <v>0</v>
      </c>
      <c r="EK66">
        <v>0</v>
      </c>
      <c r="EM66">
        <v>0</v>
      </c>
      <c r="EN66">
        <v>660</v>
      </c>
      <c r="EO66">
        <v>660</v>
      </c>
      <c r="EP66">
        <v>659</v>
      </c>
      <c r="EQ66">
        <v>2000</v>
      </c>
      <c r="ER66">
        <v>21.24</v>
      </c>
      <c r="ES66">
        <v>0</v>
      </c>
      <c r="ET66">
        <v>0</v>
      </c>
      <c r="EU66">
        <v>0</v>
      </c>
      <c r="EW66">
        <v>0</v>
      </c>
      <c r="FA66">
        <v>0</v>
      </c>
      <c r="FE66">
        <v>0</v>
      </c>
      <c r="FI66">
        <v>0</v>
      </c>
      <c r="FJ66">
        <v>1978.76</v>
      </c>
      <c r="FK66">
        <v>31415</v>
      </c>
      <c r="FL66">
        <v>30742.16726543571</v>
      </c>
      <c r="FM66">
        <v>29436.240000000002</v>
      </c>
    </row>
    <row r="67" spans="1:169" x14ac:dyDescent="0.35">
      <c r="A67">
        <v>197731</v>
      </c>
      <c r="B67" t="s">
        <v>738</v>
      </c>
      <c r="C67" t="s">
        <v>739</v>
      </c>
      <c r="D67" t="s">
        <v>740</v>
      </c>
      <c r="E67" s="43" t="s">
        <v>3284</v>
      </c>
      <c r="L67" s="43" t="s">
        <v>259</v>
      </c>
      <c r="M67" t="s">
        <v>741</v>
      </c>
      <c r="N67" t="s">
        <v>742</v>
      </c>
      <c r="O67" t="s">
        <v>743</v>
      </c>
      <c r="P67" t="s">
        <v>735</v>
      </c>
      <c r="Q67" t="s">
        <v>744</v>
      </c>
      <c r="R67">
        <v>3.5190000000000001</v>
      </c>
      <c r="S67">
        <v>44109</v>
      </c>
      <c r="T67" t="s">
        <v>265</v>
      </c>
      <c r="U67" t="s">
        <v>286</v>
      </c>
      <c r="V67" t="s">
        <v>267</v>
      </c>
      <c r="W67" t="s">
        <v>268</v>
      </c>
      <c r="X67" t="s">
        <v>269</v>
      </c>
      <c r="Y67">
        <v>8883022894</v>
      </c>
      <c r="Z67" t="s">
        <v>270</v>
      </c>
      <c r="AA67" t="s">
        <v>271</v>
      </c>
      <c r="AB67">
        <v>0</v>
      </c>
      <c r="AC67">
        <v>0</v>
      </c>
      <c r="AD67" t="s">
        <v>313</v>
      </c>
      <c r="AE67" t="s">
        <v>445</v>
      </c>
      <c r="AF67">
        <v>4</v>
      </c>
      <c r="AG67" t="s">
        <v>446</v>
      </c>
      <c r="AH67" s="43" t="s">
        <v>259</v>
      </c>
      <c r="AI67" s="43" t="s">
        <v>259</v>
      </c>
      <c r="AJ67" s="43" t="s">
        <v>259</v>
      </c>
      <c r="AK67" s="43" t="s">
        <v>259</v>
      </c>
      <c r="AL67" s="43" t="s">
        <v>259</v>
      </c>
      <c r="AO67" s="23"/>
      <c r="AP67" s="23"/>
      <c r="AQ67" s="23"/>
      <c r="BD67" s="43" t="s">
        <v>259</v>
      </c>
      <c r="BE67" s="43" t="s">
        <v>259</v>
      </c>
      <c r="BF67" s="43" t="s">
        <v>259</v>
      </c>
      <c r="BG67" s="43" t="s">
        <v>259</v>
      </c>
      <c r="BH67" s="43" t="s">
        <v>259</v>
      </c>
      <c r="BI67" s="43" t="s">
        <v>259</v>
      </c>
      <c r="BJ67">
        <v>0</v>
      </c>
      <c r="BK67">
        <v>44109</v>
      </c>
      <c r="BL67">
        <v>44356</v>
      </c>
      <c r="BM67">
        <v>8505</v>
      </c>
      <c r="BN67">
        <v>8505</v>
      </c>
      <c r="BO67">
        <v>8505</v>
      </c>
      <c r="BP67">
        <v>25515</v>
      </c>
      <c r="BQ67">
        <v>3300</v>
      </c>
      <c r="BR67">
        <v>400</v>
      </c>
      <c r="BS67">
        <v>400</v>
      </c>
      <c r="BT67">
        <v>4100</v>
      </c>
      <c r="BU67">
        <v>2100</v>
      </c>
      <c r="BV67">
        <v>2100</v>
      </c>
      <c r="BW67">
        <v>2100</v>
      </c>
      <c r="BX67">
        <v>6300</v>
      </c>
      <c r="BY67">
        <v>1200</v>
      </c>
      <c r="BZ67">
        <v>1200</v>
      </c>
      <c r="CA67">
        <v>1200</v>
      </c>
      <c r="CB67">
        <v>3600</v>
      </c>
      <c r="CF67">
        <v>0</v>
      </c>
      <c r="CG67">
        <v>39515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1250</v>
      </c>
      <c r="CU67">
        <v>1250</v>
      </c>
      <c r="CV67">
        <v>1250</v>
      </c>
      <c r="CW67">
        <v>3750</v>
      </c>
      <c r="CX67">
        <v>0</v>
      </c>
      <c r="CY67">
        <v>0</v>
      </c>
      <c r="CZ67">
        <v>0</v>
      </c>
      <c r="DA67">
        <v>0</v>
      </c>
      <c r="DB67">
        <v>1000</v>
      </c>
      <c r="DC67">
        <v>1000</v>
      </c>
      <c r="DD67">
        <v>1000</v>
      </c>
      <c r="DE67">
        <v>3000</v>
      </c>
      <c r="DF67">
        <v>0</v>
      </c>
      <c r="DG67">
        <v>0</v>
      </c>
      <c r="DH67">
        <v>0</v>
      </c>
      <c r="DN67">
        <v>0</v>
      </c>
      <c r="DO67">
        <v>0</v>
      </c>
      <c r="DP67">
        <v>0</v>
      </c>
      <c r="DR67">
        <v>0</v>
      </c>
      <c r="DS67">
        <v>0</v>
      </c>
      <c r="DT67">
        <v>0</v>
      </c>
      <c r="DY67">
        <v>0</v>
      </c>
      <c r="EC67">
        <v>0</v>
      </c>
      <c r="ED67">
        <v>6750</v>
      </c>
      <c r="EH67">
        <v>0</v>
      </c>
      <c r="EI67">
        <v>0</v>
      </c>
      <c r="EJ67">
        <v>0</v>
      </c>
      <c r="EK67">
        <v>0</v>
      </c>
      <c r="EM67">
        <v>0</v>
      </c>
      <c r="EN67">
        <v>660</v>
      </c>
      <c r="EO67">
        <v>660</v>
      </c>
      <c r="EP67">
        <v>659</v>
      </c>
      <c r="EQ67">
        <v>2000</v>
      </c>
      <c r="ER67">
        <v>21.24</v>
      </c>
      <c r="ES67">
        <v>0</v>
      </c>
      <c r="ET67">
        <v>0</v>
      </c>
      <c r="EU67">
        <v>0</v>
      </c>
      <c r="EW67">
        <v>0</v>
      </c>
      <c r="FA67">
        <v>0</v>
      </c>
      <c r="FE67">
        <v>0</v>
      </c>
      <c r="FI67">
        <v>0</v>
      </c>
      <c r="FJ67">
        <v>1978.76</v>
      </c>
      <c r="FK67">
        <v>32765</v>
      </c>
      <c r="FL67">
        <v>32152.059487008104</v>
      </c>
      <c r="FM67">
        <v>30786.240000000002</v>
      </c>
    </row>
    <row r="68" spans="1:169" x14ac:dyDescent="0.35">
      <c r="A68">
        <v>198066</v>
      </c>
      <c r="B68" t="s">
        <v>3895</v>
      </c>
      <c r="C68" t="s">
        <v>1987</v>
      </c>
      <c r="D68" t="s">
        <v>3896</v>
      </c>
      <c r="E68" s="43" t="s">
        <v>4206</v>
      </c>
      <c r="J68" t="s">
        <v>3830</v>
      </c>
      <c r="L68" s="43" t="s">
        <v>259</v>
      </c>
      <c r="M68" t="s">
        <v>3897</v>
      </c>
      <c r="N68" t="s">
        <v>3898</v>
      </c>
      <c r="O68" t="s">
        <v>3899</v>
      </c>
      <c r="P68" t="s">
        <v>705</v>
      </c>
      <c r="Q68" t="s">
        <v>3900</v>
      </c>
      <c r="R68">
        <v>3.7</v>
      </c>
      <c r="S68">
        <v>44109</v>
      </c>
      <c r="T68" t="s">
        <v>285</v>
      </c>
      <c r="U68" t="s">
        <v>266</v>
      </c>
      <c r="V68" t="s">
        <v>267</v>
      </c>
      <c r="W68" t="s">
        <v>268</v>
      </c>
      <c r="X68" t="s">
        <v>269</v>
      </c>
      <c r="Y68">
        <v>8883022894</v>
      </c>
      <c r="Z68" t="s">
        <v>270</v>
      </c>
      <c r="AA68" t="s">
        <v>271</v>
      </c>
      <c r="AB68" t="s">
        <v>3901</v>
      </c>
      <c r="AC68" t="s">
        <v>796</v>
      </c>
      <c r="AD68" t="s">
        <v>1141</v>
      </c>
      <c r="AE68" t="s">
        <v>289</v>
      </c>
      <c r="AF68">
        <v>2</v>
      </c>
      <c r="AG68" t="s">
        <v>3345</v>
      </c>
      <c r="AH68" s="43" t="s">
        <v>259</v>
      </c>
      <c r="AI68" s="43" t="s">
        <v>259</v>
      </c>
      <c r="AJ68" s="43" t="s">
        <v>259</v>
      </c>
      <c r="AK68" s="43" t="s">
        <v>259</v>
      </c>
      <c r="AL68" s="43" t="s">
        <v>259</v>
      </c>
      <c r="AO68" s="23"/>
      <c r="AP68" s="23"/>
      <c r="AQ68" s="23"/>
      <c r="BD68" s="43" t="s">
        <v>259</v>
      </c>
      <c r="BE68" s="43" t="s">
        <v>259</v>
      </c>
      <c r="BF68" s="43" t="s">
        <v>259</v>
      </c>
      <c r="BG68" s="43" t="s">
        <v>259</v>
      </c>
      <c r="BH68" s="43" t="s">
        <v>259</v>
      </c>
      <c r="BI68" s="43" t="s">
        <v>259</v>
      </c>
      <c r="BJ68">
        <v>0</v>
      </c>
      <c r="BK68">
        <v>44109</v>
      </c>
      <c r="BL68">
        <v>44356</v>
      </c>
      <c r="BP68">
        <v>0</v>
      </c>
      <c r="BT68">
        <v>0</v>
      </c>
      <c r="BX68">
        <v>0</v>
      </c>
      <c r="CB68">
        <v>0</v>
      </c>
      <c r="CF68">
        <v>0</v>
      </c>
      <c r="CG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1500</v>
      </c>
      <c r="CU68">
        <v>1500</v>
      </c>
      <c r="CV68">
        <v>1500</v>
      </c>
      <c r="CW68">
        <v>4500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N68">
        <v>0</v>
      </c>
      <c r="DO68">
        <v>0</v>
      </c>
      <c r="DP68">
        <v>0</v>
      </c>
      <c r="DR68">
        <v>0</v>
      </c>
      <c r="DS68">
        <v>0</v>
      </c>
      <c r="DT68">
        <v>0</v>
      </c>
      <c r="DY68">
        <v>0</v>
      </c>
      <c r="EC68">
        <v>0</v>
      </c>
      <c r="ED68">
        <v>4500</v>
      </c>
      <c r="EH68">
        <v>0</v>
      </c>
      <c r="EI68">
        <v>0</v>
      </c>
      <c r="EJ68">
        <v>0</v>
      </c>
      <c r="EK68">
        <v>0</v>
      </c>
      <c r="EM68">
        <v>0</v>
      </c>
      <c r="EN68">
        <v>660</v>
      </c>
      <c r="EO68">
        <v>660</v>
      </c>
      <c r="EP68">
        <v>659</v>
      </c>
      <c r="EQ68">
        <v>2000</v>
      </c>
      <c r="ER68">
        <v>21.24</v>
      </c>
      <c r="ES68">
        <v>0</v>
      </c>
      <c r="ET68">
        <v>0</v>
      </c>
      <c r="EU68">
        <v>0</v>
      </c>
      <c r="EW68">
        <v>0</v>
      </c>
      <c r="FA68">
        <v>0</v>
      </c>
      <c r="FE68">
        <v>0</v>
      </c>
      <c r="FI68">
        <v>0</v>
      </c>
      <c r="FJ68">
        <v>1978.76</v>
      </c>
      <c r="FK68">
        <v>-4500</v>
      </c>
      <c r="FL68">
        <v>-6766.1876514328678</v>
      </c>
      <c r="FM68">
        <v>-6478.76</v>
      </c>
    </row>
    <row r="69" spans="1:169" x14ac:dyDescent="0.35">
      <c r="A69">
        <v>198887</v>
      </c>
      <c r="B69" t="s">
        <v>745</v>
      </c>
      <c r="C69" t="s">
        <v>746</v>
      </c>
      <c r="D69" t="s">
        <v>747</v>
      </c>
      <c r="E69" s="43" t="s">
        <v>3285</v>
      </c>
      <c r="L69" s="43" t="s">
        <v>259</v>
      </c>
      <c r="M69" t="s">
        <v>748</v>
      </c>
      <c r="N69" t="s">
        <v>749</v>
      </c>
      <c r="O69" t="s">
        <v>750</v>
      </c>
      <c r="P69" t="s">
        <v>705</v>
      </c>
      <c r="Q69" t="s">
        <v>751</v>
      </c>
      <c r="R69">
        <v>2.52</v>
      </c>
      <c r="S69">
        <v>44109</v>
      </c>
      <c r="T69" t="s">
        <v>311</v>
      </c>
      <c r="U69" t="s">
        <v>266</v>
      </c>
      <c r="V69" t="s">
        <v>267</v>
      </c>
      <c r="W69" t="s">
        <v>268</v>
      </c>
      <c r="X69" t="s">
        <v>269</v>
      </c>
      <c r="Y69">
        <v>8883022894</v>
      </c>
      <c r="Z69" t="s">
        <v>270</v>
      </c>
      <c r="AA69" t="s">
        <v>271</v>
      </c>
      <c r="AB69">
        <v>0</v>
      </c>
      <c r="AC69" t="s">
        <v>752</v>
      </c>
      <c r="AD69" t="s">
        <v>273</v>
      </c>
      <c r="AE69" t="s">
        <v>354</v>
      </c>
      <c r="AF69">
        <v>6</v>
      </c>
      <c r="AG69" t="s">
        <v>446</v>
      </c>
      <c r="AH69" s="43" t="s">
        <v>259</v>
      </c>
      <c r="AI69" s="43" t="s">
        <v>259</v>
      </c>
      <c r="AJ69" s="43" t="s">
        <v>259</v>
      </c>
      <c r="AK69" s="43" t="s">
        <v>259</v>
      </c>
      <c r="AL69" s="43" t="s">
        <v>259</v>
      </c>
      <c r="AO69" s="23"/>
      <c r="AP69" s="23"/>
      <c r="AQ69" s="23"/>
      <c r="BD69" s="43" t="s">
        <v>259</v>
      </c>
      <c r="BE69" s="43" t="s">
        <v>259</v>
      </c>
      <c r="BF69" s="43" t="s">
        <v>259</v>
      </c>
      <c r="BG69" s="43" t="s">
        <v>259</v>
      </c>
      <c r="BH69" s="43" t="s">
        <v>259</v>
      </c>
      <c r="BI69" s="43" t="s">
        <v>259</v>
      </c>
      <c r="BJ69">
        <v>0</v>
      </c>
      <c r="BK69">
        <v>44109</v>
      </c>
      <c r="BL69">
        <v>44356</v>
      </c>
      <c r="BM69">
        <v>8505</v>
      </c>
      <c r="BN69">
        <v>8505</v>
      </c>
      <c r="BO69">
        <v>8505</v>
      </c>
      <c r="BP69">
        <v>25515</v>
      </c>
      <c r="BQ69">
        <v>3300</v>
      </c>
      <c r="BR69">
        <v>400</v>
      </c>
      <c r="BS69">
        <v>400</v>
      </c>
      <c r="BT69">
        <v>4100</v>
      </c>
      <c r="BU69">
        <v>2100</v>
      </c>
      <c r="BV69">
        <v>2100</v>
      </c>
      <c r="BW69">
        <v>2100</v>
      </c>
      <c r="BX69">
        <v>6300</v>
      </c>
      <c r="BY69">
        <v>1200</v>
      </c>
      <c r="BZ69">
        <v>1200</v>
      </c>
      <c r="CA69">
        <v>1200</v>
      </c>
      <c r="CB69">
        <v>3600</v>
      </c>
      <c r="CF69">
        <v>0</v>
      </c>
      <c r="CG69">
        <v>39515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750</v>
      </c>
      <c r="CU69">
        <v>750</v>
      </c>
      <c r="CV69">
        <v>750</v>
      </c>
      <c r="CW69">
        <v>2250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N69">
        <v>0</v>
      </c>
      <c r="DO69">
        <v>0</v>
      </c>
      <c r="DP69">
        <v>0</v>
      </c>
      <c r="DR69">
        <v>0</v>
      </c>
      <c r="DS69">
        <v>0</v>
      </c>
      <c r="DT69">
        <v>0</v>
      </c>
      <c r="DY69">
        <v>0</v>
      </c>
      <c r="EC69">
        <v>0</v>
      </c>
      <c r="ED69">
        <v>2250</v>
      </c>
      <c r="EH69">
        <v>0</v>
      </c>
      <c r="EI69">
        <v>0</v>
      </c>
      <c r="EJ69">
        <v>0</v>
      </c>
      <c r="EK69">
        <v>0</v>
      </c>
      <c r="EM69">
        <v>0</v>
      </c>
      <c r="EN69">
        <v>660</v>
      </c>
      <c r="EO69">
        <v>660</v>
      </c>
      <c r="EP69">
        <v>659</v>
      </c>
      <c r="EQ69">
        <v>2000</v>
      </c>
      <c r="ER69">
        <v>21.24</v>
      </c>
      <c r="ES69">
        <v>0</v>
      </c>
      <c r="ET69">
        <v>0</v>
      </c>
      <c r="EU69">
        <v>0</v>
      </c>
      <c r="EW69">
        <v>0</v>
      </c>
      <c r="FA69">
        <v>0</v>
      </c>
      <c r="FE69">
        <v>0</v>
      </c>
      <c r="FI69">
        <v>0</v>
      </c>
      <c r="FJ69">
        <v>1978.76</v>
      </c>
      <c r="FK69">
        <v>37265</v>
      </c>
      <c r="FL69">
        <v>36851.700225582754</v>
      </c>
      <c r="FM69">
        <v>35286.239999999998</v>
      </c>
    </row>
    <row r="70" spans="1:169" x14ac:dyDescent="0.35">
      <c r="A70">
        <v>198185</v>
      </c>
      <c r="B70" t="s">
        <v>745</v>
      </c>
      <c r="C70" t="s">
        <v>753</v>
      </c>
      <c r="D70" t="s">
        <v>754</v>
      </c>
      <c r="E70" s="43" t="s">
        <v>755</v>
      </c>
      <c r="F70">
        <v>1</v>
      </c>
      <c r="I70" s="23">
        <v>43776</v>
      </c>
      <c r="L70" s="43" t="s">
        <v>259</v>
      </c>
      <c r="M70" t="s">
        <v>756</v>
      </c>
      <c r="N70" t="s">
        <v>757</v>
      </c>
      <c r="O70" t="s">
        <v>758</v>
      </c>
      <c r="P70" t="s">
        <v>759</v>
      </c>
      <c r="Q70" t="s">
        <v>760</v>
      </c>
      <c r="R70">
        <v>2.6858</v>
      </c>
      <c r="S70">
        <v>44109</v>
      </c>
      <c r="T70" t="s">
        <v>265</v>
      </c>
      <c r="U70" t="s">
        <v>266</v>
      </c>
      <c r="V70" t="s">
        <v>267</v>
      </c>
      <c r="W70" t="s">
        <v>268</v>
      </c>
      <c r="X70" t="s">
        <v>269</v>
      </c>
      <c r="Y70">
        <v>8883022894</v>
      </c>
      <c r="Z70" t="s">
        <v>270</v>
      </c>
      <c r="AA70" t="s">
        <v>271</v>
      </c>
      <c r="AB70">
        <v>0</v>
      </c>
      <c r="AC70" t="s">
        <v>761</v>
      </c>
      <c r="AD70" t="s">
        <v>375</v>
      </c>
      <c r="AE70" t="s">
        <v>324</v>
      </c>
      <c r="AF70">
        <v>8</v>
      </c>
      <c r="AG70" t="s">
        <v>275</v>
      </c>
      <c r="AH70" s="43" t="s">
        <v>259</v>
      </c>
      <c r="AI70" s="43" t="s">
        <v>259</v>
      </c>
      <c r="AJ70" s="43" t="s">
        <v>259</v>
      </c>
      <c r="AK70" s="43" t="s">
        <v>259</v>
      </c>
      <c r="AL70" s="43" t="s">
        <v>259</v>
      </c>
      <c r="AO70" s="23"/>
      <c r="AP70" s="23"/>
      <c r="AQ70" s="23"/>
      <c r="BD70" s="43" t="s">
        <v>259</v>
      </c>
      <c r="BE70" s="43" t="s">
        <v>259</v>
      </c>
      <c r="BF70" s="43" t="s">
        <v>259</v>
      </c>
      <c r="BG70" s="43" t="s">
        <v>259</v>
      </c>
      <c r="BH70" s="43" t="s">
        <v>259</v>
      </c>
      <c r="BI70" s="43" t="s">
        <v>259</v>
      </c>
      <c r="BJ70">
        <v>0</v>
      </c>
      <c r="BK70">
        <v>44109</v>
      </c>
      <c r="BL70">
        <v>44356</v>
      </c>
      <c r="BM70">
        <v>8505</v>
      </c>
      <c r="BN70">
        <v>8505</v>
      </c>
      <c r="BO70">
        <v>8505</v>
      </c>
      <c r="BP70">
        <v>25515</v>
      </c>
      <c r="BQ70">
        <v>3300</v>
      </c>
      <c r="BR70">
        <v>400</v>
      </c>
      <c r="BS70">
        <v>400</v>
      </c>
      <c r="BT70">
        <v>4100</v>
      </c>
      <c r="BU70">
        <v>2100</v>
      </c>
      <c r="BV70">
        <v>2100</v>
      </c>
      <c r="BW70">
        <v>2100</v>
      </c>
      <c r="BX70">
        <v>6300</v>
      </c>
      <c r="BY70">
        <v>1200</v>
      </c>
      <c r="BZ70">
        <v>1200</v>
      </c>
      <c r="CA70">
        <v>1200</v>
      </c>
      <c r="CB70">
        <v>3600</v>
      </c>
      <c r="CC70">
        <v>0</v>
      </c>
      <c r="CD70">
        <v>0</v>
      </c>
      <c r="CE70">
        <v>0</v>
      </c>
      <c r="CF70">
        <v>0</v>
      </c>
      <c r="CG70">
        <v>39515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H70">
        <v>0</v>
      </c>
      <c r="EI70">
        <v>1154</v>
      </c>
      <c r="EJ70">
        <v>1154</v>
      </c>
      <c r="EK70">
        <v>1155</v>
      </c>
      <c r="EL70">
        <v>3500</v>
      </c>
      <c r="EM70">
        <v>37.065000000000005</v>
      </c>
      <c r="EN70">
        <v>660</v>
      </c>
      <c r="EO70">
        <v>660</v>
      </c>
      <c r="EP70">
        <v>659</v>
      </c>
      <c r="EQ70">
        <v>2000</v>
      </c>
      <c r="ER70">
        <v>21.18</v>
      </c>
      <c r="ES70">
        <v>0</v>
      </c>
      <c r="ET70">
        <v>0</v>
      </c>
      <c r="EU70">
        <v>0</v>
      </c>
      <c r="EV70">
        <v>0</v>
      </c>
      <c r="EW70">
        <v>0</v>
      </c>
      <c r="FA70">
        <v>0</v>
      </c>
      <c r="FE70">
        <v>0</v>
      </c>
      <c r="FI70">
        <v>0</v>
      </c>
      <c r="FJ70">
        <v>5441.7550000000001</v>
      </c>
      <c r="FK70">
        <v>39515</v>
      </c>
      <c r="FL70">
        <v>35584.891177207784</v>
      </c>
      <c r="FM70">
        <v>34073.245000000003</v>
      </c>
    </row>
    <row r="71" spans="1:169" x14ac:dyDescent="0.35">
      <c r="A71">
        <v>193867</v>
      </c>
      <c r="B71" t="s">
        <v>762</v>
      </c>
      <c r="C71" t="s">
        <v>763</v>
      </c>
      <c r="D71" t="s">
        <v>764</v>
      </c>
      <c r="E71" s="43" t="s">
        <v>765</v>
      </c>
      <c r="F71">
        <v>1</v>
      </c>
      <c r="G71" s="23">
        <v>43783</v>
      </c>
      <c r="H71" s="23">
        <v>43783</v>
      </c>
      <c r="I71" s="23">
        <v>43783</v>
      </c>
      <c r="L71" s="43" t="s">
        <v>3204</v>
      </c>
      <c r="M71" t="s">
        <v>766</v>
      </c>
      <c r="N71" t="s">
        <v>767</v>
      </c>
      <c r="O71" t="s">
        <v>768</v>
      </c>
      <c r="P71" t="s">
        <v>705</v>
      </c>
      <c r="Q71" t="s">
        <v>769</v>
      </c>
      <c r="R71">
        <v>2.4700000000000002</v>
      </c>
      <c r="S71">
        <v>44109</v>
      </c>
      <c r="T71" t="s">
        <v>311</v>
      </c>
      <c r="U71" t="s">
        <v>266</v>
      </c>
      <c r="V71" t="s">
        <v>267</v>
      </c>
      <c r="W71" t="s">
        <v>268</v>
      </c>
      <c r="X71" t="s">
        <v>269</v>
      </c>
      <c r="Y71">
        <v>8883022894</v>
      </c>
      <c r="Z71" t="s">
        <v>270</v>
      </c>
      <c r="AA71" t="s">
        <v>271</v>
      </c>
      <c r="AB71">
        <v>0</v>
      </c>
      <c r="AC71" t="s">
        <v>770</v>
      </c>
      <c r="AD71" t="s">
        <v>771</v>
      </c>
      <c r="AE71" t="s">
        <v>324</v>
      </c>
      <c r="AF71">
        <v>8</v>
      </c>
      <c r="AG71" t="s">
        <v>275</v>
      </c>
      <c r="AH71" s="43" t="s">
        <v>3235</v>
      </c>
      <c r="AI71" s="43" t="s">
        <v>3236</v>
      </c>
      <c r="AJ71" s="43" t="s">
        <v>3207</v>
      </c>
      <c r="AK71" s="43" t="s">
        <v>1715</v>
      </c>
      <c r="AL71" s="43" t="s">
        <v>259</v>
      </c>
      <c r="AO71" s="23"/>
      <c r="AP71" s="23">
        <v>43797</v>
      </c>
      <c r="AQ71" s="23"/>
      <c r="BD71" s="43" t="s">
        <v>259</v>
      </c>
      <c r="BE71" s="43" t="s">
        <v>259</v>
      </c>
      <c r="BF71" s="43" t="s">
        <v>259</v>
      </c>
      <c r="BG71" s="43" t="s">
        <v>259</v>
      </c>
      <c r="BH71" s="43" t="s">
        <v>259</v>
      </c>
      <c r="BI71" s="43" t="s">
        <v>259</v>
      </c>
      <c r="BJ71">
        <v>4.3478260869565188E-2</v>
      </c>
      <c r="BK71">
        <v>44109</v>
      </c>
      <c r="BL71">
        <v>44356</v>
      </c>
      <c r="BM71">
        <v>8505</v>
      </c>
      <c r="BN71">
        <v>8505</v>
      </c>
      <c r="BO71">
        <v>8505</v>
      </c>
      <c r="BP71">
        <v>25515</v>
      </c>
      <c r="BQ71">
        <v>3300</v>
      </c>
      <c r="BR71">
        <v>400</v>
      </c>
      <c r="BS71">
        <v>400</v>
      </c>
      <c r="BT71">
        <v>4100</v>
      </c>
      <c r="BU71">
        <v>2100</v>
      </c>
      <c r="BV71">
        <v>2100</v>
      </c>
      <c r="BW71">
        <v>2100</v>
      </c>
      <c r="BX71">
        <v>6300</v>
      </c>
      <c r="BY71">
        <v>1200</v>
      </c>
      <c r="BZ71">
        <v>1200</v>
      </c>
      <c r="CA71">
        <v>1200</v>
      </c>
      <c r="CB71">
        <v>3600</v>
      </c>
      <c r="CC71">
        <v>0</v>
      </c>
      <c r="CD71">
        <v>0</v>
      </c>
      <c r="CE71">
        <v>0</v>
      </c>
      <c r="CF71">
        <v>0</v>
      </c>
      <c r="CG71">
        <v>39515</v>
      </c>
      <c r="CK71">
        <v>0</v>
      </c>
      <c r="CL71">
        <v>1949</v>
      </c>
      <c r="CM71">
        <v>1948</v>
      </c>
      <c r="CN71">
        <v>1948</v>
      </c>
      <c r="CO71">
        <v>5845</v>
      </c>
      <c r="CP71">
        <v>500</v>
      </c>
      <c r="CQ71">
        <v>500</v>
      </c>
      <c r="CR71">
        <v>500</v>
      </c>
      <c r="CS71">
        <v>1500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7345</v>
      </c>
      <c r="EH71">
        <v>0</v>
      </c>
      <c r="EI71">
        <v>1154</v>
      </c>
      <c r="EJ71">
        <v>1154</v>
      </c>
      <c r="EK71">
        <v>1155</v>
      </c>
      <c r="EL71">
        <v>3500</v>
      </c>
      <c r="EM71">
        <v>37.065000000000005</v>
      </c>
      <c r="EN71">
        <v>660</v>
      </c>
      <c r="EO71">
        <v>660</v>
      </c>
      <c r="EP71">
        <v>659</v>
      </c>
      <c r="EQ71">
        <v>2000</v>
      </c>
      <c r="ER71">
        <v>21.18</v>
      </c>
      <c r="ES71">
        <v>0</v>
      </c>
      <c r="ET71">
        <v>0</v>
      </c>
      <c r="EU71">
        <v>0</v>
      </c>
      <c r="EV71">
        <v>0</v>
      </c>
      <c r="EW71">
        <v>0</v>
      </c>
      <c r="FA71">
        <v>0</v>
      </c>
      <c r="FE71">
        <v>0</v>
      </c>
      <c r="FI71">
        <v>0</v>
      </c>
      <c r="FJ71">
        <v>5441.7550000000001</v>
      </c>
      <c r="FK71">
        <v>32170</v>
      </c>
      <c r="FL71">
        <v>27914.03312724538</v>
      </c>
      <c r="FM71">
        <v>26728.244999999999</v>
      </c>
    </row>
    <row r="72" spans="1:169" x14ac:dyDescent="0.35">
      <c r="A72">
        <v>196488</v>
      </c>
      <c r="B72" t="s">
        <v>3482</v>
      </c>
      <c r="C72" t="s">
        <v>3073</v>
      </c>
      <c r="D72" t="s">
        <v>3483</v>
      </c>
      <c r="E72" s="43" t="s">
        <v>4163</v>
      </c>
      <c r="F72">
        <v>1</v>
      </c>
      <c r="G72" s="23">
        <v>43789</v>
      </c>
      <c r="H72" s="23">
        <v>43796</v>
      </c>
      <c r="I72" s="23">
        <v>43796</v>
      </c>
      <c r="L72" s="43" t="s">
        <v>3204</v>
      </c>
      <c r="M72" t="s">
        <v>3484</v>
      </c>
      <c r="N72" t="s">
        <v>3750</v>
      </c>
      <c r="O72" t="s">
        <v>3485</v>
      </c>
      <c r="P72" t="s">
        <v>342</v>
      </c>
      <c r="Q72" t="s">
        <v>3486</v>
      </c>
      <c r="R72">
        <v>2.38</v>
      </c>
      <c r="S72">
        <v>44109</v>
      </c>
      <c r="T72" t="s">
        <v>311</v>
      </c>
      <c r="U72" t="s">
        <v>266</v>
      </c>
      <c r="V72" t="s">
        <v>267</v>
      </c>
      <c r="W72" t="s">
        <v>268</v>
      </c>
      <c r="X72" t="s">
        <v>269</v>
      </c>
      <c r="Y72">
        <v>8883022894</v>
      </c>
      <c r="Z72" t="s">
        <v>508</v>
      </c>
      <c r="AA72" t="s">
        <v>271</v>
      </c>
      <c r="AB72">
        <v>0</v>
      </c>
      <c r="AC72" t="s">
        <v>913</v>
      </c>
      <c r="AD72" t="s">
        <v>273</v>
      </c>
      <c r="AE72" t="s">
        <v>324</v>
      </c>
      <c r="AF72">
        <v>8</v>
      </c>
      <c r="AG72" t="s">
        <v>3345</v>
      </c>
      <c r="AH72" s="43" t="s">
        <v>3226</v>
      </c>
      <c r="AI72" s="43" t="s">
        <v>313</v>
      </c>
      <c r="AJ72" s="43" t="s">
        <v>3207</v>
      </c>
      <c r="AK72" s="43" t="s">
        <v>3208</v>
      </c>
      <c r="AL72" s="43" t="s">
        <v>3209</v>
      </c>
      <c r="AM72">
        <v>43796</v>
      </c>
      <c r="AN72">
        <v>43796</v>
      </c>
      <c r="AO72" s="23">
        <v>43789</v>
      </c>
      <c r="AP72" s="23"/>
      <c r="AQ72" s="23"/>
      <c r="BD72" s="43" t="s">
        <v>2018</v>
      </c>
      <c r="BE72" s="43" t="s">
        <v>2018</v>
      </c>
      <c r="BF72" s="43" t="s">
        <v>2018</v>
      </c>
      <c r="BG72" s="43" t="s">
        <v>2018</v>
      </c>
      <c r="BH72" s="43" t="s">
        <v>2018</v>
      </c>
      <c r="BI72" s="43" t="s">
        <v>2018</v>
      </c>
      <c r="BJ72">
        <v>0.17647058823529416</v>
      </c>
      <c r="BK72">
        <v>44109</v>
      </c>
      <c r="BL72">
        <v>44356</v>
      </c>
      <c r="BM72">
        <v>8505</v>
      </c>
      <c r="BN72">
        <v>8505</v>
      </c>
      <c r="BO72">
        <v>8505</v>
      </c>
      <c r="BP72">
        <v>25515</v>
      </c>
      <c r="BQ72">
        <v>3300</v>
      </c>
      <c r="BR72">
        <v>400</v>
      </c>
      <c r="BS72">
        <v>400</v>
      </c>
      <c r="BT72">
        <v>4100</v>
      </c>
      <c r="BU72">
        <v>2100</v>
      </c>
      <c r="BV72">
        <v>2100</v>
      </c>
      <c r="BW72">
        <v>2100</v>
      </c>
      <c r="BX72">
        <v>6300</v>
      </c>
      <c r="BY72">
        <v>1050</v>
      </c>
      <c r="BZ72">
        <v>1050</v>
      </c>
      <c r="CA72">
        <v>1050</v>
      </c>
      <c r="CB72">
        <v>3150</v>
      </c>
      <c r="CF72">
        <v>0</v>
      </c>
      <c r="CG72">
        <v>39065</v>
      </c>
      <c r="CK72">
        <v>0</v>
      </c>
      <c r="CL72">
        <v>2065</v>
      </c>
      <c r="CM72">
        <v>2065</v>
      </c>
      <c r="CN72">
        <v>2065</v>
      </c>
      <c r="CO72">
        <v>6195</v>
      </c>
      <c r="CP72">
        <v>500</v>
      </c>
      <c r="CQ72">
        <v>500</v>
      </c>
      <c r="CR72">
        <v>500</v>
      </c>
      <c r="CS72">
        <v>1500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N72">
        <v>0</v>
      </c>
      <c r="DO72">
        <v>0</v>
      </c>
      <c r="DP72">
        <v>0</v>
      </c>
      <c r="DR72">
        <v>0</v>
      </c>
      <c r="DS72">
        <v>0</v>
      </c>
      <c r="DT72">
        <v>0</v>
      </c>
      <c r="DY72">
        <v>0</v>
      </c>
      <c r="EC72">
        <v>0</v>
      </c>
      <c r="ED72">
        <v>7695</v>
      </c>
      <c r="EH72">
        <v>0</v>
      </c>
      <c r="EI72">
        <v>1154</v>
      </c>
      <c r="EJ72">
        <v>1154</v>
      </c>
      <c r="EK72">
        <v>1155</v>
      </c>
      <c r="EL72">
        <v>3500</v>
      </c>
      <c r="EM72">
        <v>37.065000000000005</v>
      </c>
      <c r="EN72">
        <v>1979</v>
      </c>
      <c r="EO72">
        <v>1979</v>
      </c>
      <c r="EP72">
        <v>1978</v>
      </c>
      <c r="EQ72">
        <v>6000</v>
      </c>
      <c r="ER72">
        <v>63.72</v>
      </c>
      <c r="ES72">
        <v>0</v>
      </c>
      <c r="ET72">
        <v>0</v>
      </c>
      <c r="EU72">
        <v>0</v>
      </c>
      <c r="EV72">
        <v>0</v>
      </c>
      <c r="EW72">
        <v>0</v>
      </c>
      <c r="FA72">
        <v>0</v>
      </c>
      <c r="FB72">
        <v>9257</v>
      </c>
      <c r="FC72">
        <v>6357</v>
      </c>
      <c r="FD72">
        <v>6357</v>
      </c>
      <c r="FE72">
        <v>21971</v>
      </c>
      <c r="FI72">
        <v>0</v>
      </c>
      <c r="FJ72">
        <v>31370.215</v>
      </c>
      <c r="FK72">
        <v>31370</v>
      </c>
      <c r="FL72">
        <v>-0.22453839084316307</v>
      </c>
      <c r="FM72">
        <v>-0.21500000000014552</v>
      </c>
    </row>
    <row r="73" spans="1:169" x14ac:dyDescent="0.35">
      <c r="A73">
        <v>195008</v>
      </c>
      <c r="B73" t="s">
        <v>772</v>
      </c>
      <c r="C73" t="s">
        <v>582</v>
      </c>
      <c r="D73" t="s">
        <v>773</v>
      </c>
      <c r="E73" s="43" t="s">
        <v>774</v>
      </c>
      <c r="L73" s="43" t="s">
        <v>259</v>
      </c>
      <c r="M73" t="s">
        <v>775</v>
      </c>
      <c r="N73" t="s">
        <v>776</v>
      </c>
      <c r="O73" t="s">
        <v>777</v>
      </c>
      <c r="P73" t="s">
        <v>297</v>
      </c>
      <c r="Q73" t="s">
        <v>778</v>
      </c>
      <c r="R73">
        <v>2.75</v>
      </c>
      <c r="S73">
        <v>44109</v>
      </c>
      <c r="T73" t="s">
        <v>311</v>
      </c>
      <c r="U73" t="s">
        <v>266</v>
      </c>
      <c r="V73" t="s">
        <v>267</v>
      </c>
      <c r="W73" t="s">
        <v>268</v>
      </c>
      <c r="X73" t="s">
        <v>269</v>
      </c>
      <c r="Y73">
        <v>8883022894</v>
      </c>
      <c r="Z73" t="s">
        <v>270</v>
      </c>
      <c r="AA73" t="s">
        <v>271</v>
      </c>
      <c r="AB73" t="s">
        <v>779</v>
      </c>
      <c r="AC73">
        <v>0</v>
      </c>
      <c r="AD73" t="s">
        <v>780</v>
      </c>
      <c r="AE73" t="s">
        <v>376</v>
      </c>
      <c r="AF73">
        <v>7</v>
      </c>
      <c r="AG73" t="s">
        <v>275</v>
      </c>
      <c r="AH73" s="43" t="s">
        <v>259</v>
      </c>
      <c r="AI73" s="43" t="s">
        <v>259</v>
      </c>
      <c r="AJ73" s="43" t="s">
        <v>259</v>
      </c>
      <c r="AK73" s="43" t="s">
        <v>259</v>
      </c>
      <c r="AL73" s="43" t="s">
        <v>259</v>
      </c>
      <c r="AO73" s="23"/>
      <c r="AP73" s="23"/>
      <c r="AQ73" s="23"/>
      <c r="BD73" s="43" t="s">
        <v>259</v>
      </c>
      <c r="BE73" s="43" t="s">
        <v>259</v>
      </c>
      <c r="BF73" s="43" t="s">
        <v>259</v>
      </c>
      <c r="BG73" s="43" t="s">
        <v>259</v>
      </c>
      <c r="BH73" s="43" t="s">
        <v>259</v>
      </c>
      <c r="BI73" s="43" t="s">
        <v>259</v>
      </c>
      <c r="BJ73">
        <v>0</v>
      </c>
      <c r="BK73">
        <v>44109</v>
      </c>
      <c r="BL73">
        <v>44356</v>
      </c>
      <c r="BM73">
        <v>8505</v>
      </c>
      <c r="BN73">
        <v>8505</v>
      </c>
      <c r="BO73">
        <v>8505</v>
      </c>
      <c r="BP73">
        <v>25515</v>
      </c>
      <c r="BQ73">
        <v>3300</v>
      </c>
      <c r="BR73">
        <v>400</v>
      </c>
      <c r="BS73">
        <v>400</v>
      </c>
      <c r="BT73">
        <v>4100</v>
      </c>
      <c r="BU73">
        <v>2100</v>
      </c>
      <c r="BV73">
        <v>2100</v>
      </c>
      <c r="BW73">
        <v>2100</v>
      </c>
      <c r="BX73">
        <v>6300</v>
      </c>
      <c r="BY73">
        <v>1200</v>
      </c>
      <c r="BZ73">
        <v>1200</v>
      </c>
      <c r="CA73">
        <v>1200</v>
      </c>
      <c r="CB73">
        <v>3600</v>
      </c>
      <c r="CC73">
        <v>0</v>
      </c>
      <c r="CD73">
        <v>0</v>
      </c>
      <c r="CE73">
        <v>0</v>
      </c>
      <c r="CF73">
        <v>0</v>
      </c>
      <c r="CG73">
        <v>39515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H73">
        <v>0</v>
      </c>
      <c r="EI73">
        <v>1154</v>
      </c>
      <c r="EJ73">
        <v>1154</v>
      </c>
      <c r="EK73">
        <v>1155</v>
      </c>
      <c r="EL73">
        <v>3500</v>
      </c>
      <c r="EM73">
        <v>37.065000000000005</v>
      </c>
      <c r="EN73">
        <v>660</v>
      </c>
      <c r="EO73">
        <v>660</v>
      </c>
      <c r="EP73">
        <v>659</v>
      </c>
      <c r="EQ73">
        <v>2000</v>
      </c>
      <c r="ER73">
        <v>21.18</v>
      </c>
      <c r="ES73">
        <v>0</v>
      </c>
      <c r="ET73">
        <v>0</v>
      </c>
      <c r="EU73">
        <v>0</v>
      </c>
      <c r="EV73">
        <v>0</v>
      </c>
      <c r="EW73">
        <v>0</v>
      </c>
      <c r="FA73">
        <v>0</v>
      </c>
      <c r="FE73">
        <v>0</v>
      </c>
      <c r="FI73">
        <v>0</v>
      </c>
      <c r="FJ73">
        <v>5441.7550000000001</v>
      </c>
      <c r="FK73">
        <v>39515</v>
      </c>
      <c r="FL73">
        <v>35584.891177207784</v>
      </c>
      <c r="FM73">
        <v>34073.245000000003</v>
      </c>
    </row>
    <row r="74" spans="1:169" x14ac:dyDescent="0.35">
      <c r="A74">
        <v>199219</v>
      </c>
      <c r="B74" t="s">
        <v>3487</v>
      </c>
      <c r="C74" t="s">
        <v>3488</v>
      </c>
      <c r="D74" t="s">
        <v>3489</v>
      </c>
      <c r="E74" s="43" t="s">
        <v>4164</v>
      </c>
      <c r="J74" t="s">
        <v>3425</v>
      </c>
      <c r="L74" s="43" t="s">
        <v>259</v>
      </c>
      <c r="M74" t="s">
        <v>3490</v>
      </c>
      <c r="N74" t="s">
        <v>3491</v>
      </c>
      <c r="O74" t="s">
        <v>3492</v>
      </c>
      <c r="P74" t="s">
        <v>454</v>
      </c>
      <c r="Q74" t="s">
        <v>3493</v>
      </c>
      <c r="R74">
        <v>3.7044999999999999</v>
      </c>
      <c r="S74">
        <v>44109</v>
      </c>
      <c r="T74" t="s">
        <v>265</v>
      </c>
      <c r="U74" t="s">
        <v>266</v>
      </c>
      <c r="V74" t="s">
        <v>267</v>
      </c>
      <c r="W74" t="s">
        <v>268</v>
      </c>
      <c r="X74" t="s">
        <v>269</v>
      </c>
      <c r="Y74">
        <v>8883022894</v>
      </c>
      <c r="Z74" t="s">
        <v>270</v>
      </c>
      <c r="AA74" t="s">
        <v>271</v>
      </c>
      <c r="AB74" t="s">
        <v>598</v>
      </c>
      <c r="AC74" t="s">
        <v>3751</v>
      </c>
      <c r="AD74" t="s">
        <v>3752</v>
      </c>
      <c r="AE74" t="s">
        <v>301</v>
      </c>
      <c r="AF74">
        <v>1</v>
      </c>
      <c r="AG74" t="s">
        <v>3345</v>
      </c>
      <c r="AH74" s="43" t="s">
        <v>259</v>
      </c>
      <c r="AI74" s="43" t="s">
        <v>259</v>
      </c>
      <c r="AJ74" s="43" t="s">
        <v>259</v>
      </c>
      <c r="AK74" s="43" t="s">
        <v>259</v>
      </c>
      <c r="AL74" s="43" t="s">
        <v>259</v>
      </c>
      <c r="AO74" s="23"/>
      <c r="AP74" s="23"/>
      <c r="AQ74" s="23"/>
      <c r="BD74" s="43" t="s">
        <v>259</v>
      </c>
      <c r="BE74" s="43" t="s">
        <v>259</v>
      </c>
      <c r="BF74" s="43" t="s">
        <v>259</v>
      </c>
      <c r="BG74" s="43" t="s">
        <v>259</v>
      </c>
      <c r="BH74" s="43" t="s">
        <v>259</v>
      </c>
      <c r="BI74" s="43" t="s">
        <v>259</v>
      </c>
      <c r="BJ74">
        <v>0</v>
      </c>
      <c r="BK74">
        <v>44109</v>
      </c>
      <c r="BL74">
        <v>44356</v>
      </c>
      <c r="BM74">
        <v>8505</v>
      </c>
      <c r="BN74">
        <v>8505</v>
      </c>
      <c r="BO74">
        <v>8505</v>
      </c>
      <c r="BP74">
        <v>25515</v>
      </c>
      <c r="BQ74">
        <v>3300</v>
      </c>
      <c r="BR74">
        <v>400</v>
      </c>
      <c r="BS74">
        <v>400</v>
      </c>
      <c r="BT74">
        <v>4100</v>
      </c>
      <c r="BU74">
        <v>2100</v>
      </c>
      <c r="BV74">
        <v>2100</v>
      </c>
      <c r="BW74">
        <v>2100</v>
      </c>
      <c r="BX74">
        <v>6300</v>
      </c>
      <c r="BY74">
        <v>1200</v>
      </c>
      <c r="BZ74">
        <v>1200</v>
      </c>
      <c r="CA74">
        <v>1200</v>
      </c>
      <c r="CB74">
        <v>3600</v>
      </c>
      <c r="CF74">
        <v>0</v>
      </c>
      <c r="CG74">
        <v>39515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1700</v>
      </c>
      <c r="CU74">
        <v>1700</v>
      </c>
      <c r="CV74">
        <v>1700</v>
      </c>
      <c r="CW74">
        <v>5100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N74">
        <v>0</v>
      </c>
      <c r="DO74">
        <v>0</v>
      </c>
      <c r="DP74">
        <v>0</v>
      </c>
      <c r="DR74">
        <v>0</v>
      </c>
      <c r="DS74">
        <v>0</v>
      </c>
      <c r="DT74">
        <v>0</v>
      </c>
      <c r="DY74">
        <v>0</v>
      </c>
      <c r="EC74">
        <v>0</v>
      </c>
      <c r="ED74">
        <v>5100</v>
      </c>
      <c r="EH74">
        <v>0</v>
      </c>
      <c r="EI74">
        <v>1154</v>
      </c>
      <c r="EJ74">
        <v>1154</v>
      </c>
      <c r="EK74">
        <v>1155</v>
      </c>
      <c r="EL74">
        <v>3500</v>
      </c>
      <c r="EM74">
        <v>37.065000000000005</v>
      </c>
      <c r="EN74">
        <v>660</v>
      </c>
      <c r="EO74">
        <v>660</v>
      </c>
      <c r="EP74">
        <v>659</v>
      </c>
      <c r="EQ74">
        <v>2000</v>
      </c>
      <c r="ER74">
        <v>21.24</v>
      </c>
      <c r="ES74">
        <v>0</v>
      </c>
      <c r="ET74">
        <v>0</v>
      </c>
      <c r="EU74">
        <v>0</v>
      </c>
      <c r="EW74">
        <v>0</v>
      </c>
      <c r="FA74">
        <v>0</v>
      </c>
      <c r="FE74">
        <v>0</v>
      </c>
      <c r="FI74">
        <v>0</v>
      </c>
      <c r="FJ74">
        <v>5441.6949999999997</v>
      </c>
      <c r="FK74">
        <v>34415</v>
      </c>
      <c r="FL74">
        <v>30258.694335366363</v>
      </c>
      <c r="FM74">
        <v>28973.305</v>
      </c>
    </row>
    <row r="75" spans="1:169" x14ac:dyDescent="0.35">
      <c r="A75">
        <v>169771</v>
      </c>
      <c r="B75" t="s">
        <v>3902</v>
      </c>
      <c r="C75" t="s">
        <v>1119</v>
      </c>
      <c r="D75" t="s">
        <v>3903</v>
      </c>
      <c r="E75" s="43" t="s">
        <v>4165</v>
      </c>
      <c r="J75" t="s">
        <v>3830</v>
      </c>
      <c r="L75" s="43" t="s">
        <v>344</v>
      </c>
      <c r="M75" t="s">
        <v>3904</v>
      </c>
      <c r="N75" t="s">
        <v>3905</v>
      </c>
      <c r="O75" t="s">
        <v>3906</v>
      </c>
      <c r="P75" t="s">
        <v>542</v>
      </c>
      <c r="Q75" t="s">
        <v>3907</v>
      </c>
      <c r="R75">
        <v>2.41</v>
      </c>
      <c r="S75">
        <v>44109</v>
      </c>
      <c r="T75" t="s">
        <v>265</v>
      </c>
      <c r="U75" t="s">
        <v>266</v>
      </c>
      <c r="V75" t="s">
        <v>267</v>
      </c>
      <c r="W75" t="s">
        <v>268</v>
      </c>
      <c r="X75" t="s">
        <v>269</v>
      </c>
      <c r="Y75">
        <v>8883022894</v>
      </c>
      <c r="Z75" t="s">
        <v>508</v>
      </c>
      <c r="AA75" t="s">
        <v>271</v>
      </c>
      <c r="AB75" t="s">
        <v>545</v>
      </c>
      <c r="AC75">
        <v>0</v>
      </c>
      <c r="AD75" t="s">
        <v>375</v>
      </c>
      <c r="AE75" t="s">
        <v>324</v>
      </c>
      <c r="AF75">
        <v>8</v>
      </c>
      <c r="AG75" t="s">
        <v>3345</v>
      </c>
      <c r="AH75" s="43" t="s">
        <v>313</v>
      </c>
      <c r="AI75" s="43" t="s">
        <v>313</v>
      </c>
      <c r="AJ75" s="43" t="s">
        <v>4237</v>
      </c>
      <c r="AK75" s="43" t="s">
        <v>3208</v>
      </c>
      <c r="AL75" s="43" t="s">
        <v>3209</v>
      </c>
      <c r="AO75" s="23"/>
      <c r="AP75" s="23"/>
      <c r="AQ75" s="23"/>
      <c r="BD75" s="43" t="s">
        <v>2018</v>
      </c>
      <c r="BE75" s="43" t="s">
        <v>2018</v>
      </c>
      <c r="BF75" s="43" t="s">
        <v>2018</v>
      </c>
      <c r="BG75" s="43" t="s">
        <v>2018</v>
      </c>
      <c r="BH75" s="43" t="s">
        <v>2018</v>
      </c>
      <c r="BI75" s="43" t="s">
        <v>2018</v>
      </c>
      <c r="BJ75">
        <v>0</v>
      </c>
      <c r="BK75">
        <v>44109</v>
      </c>
      <c r="BL75">
        <v>44356</v>
      </c>
      <c r="BP75">
        <v>0</v>
      </c>
      <c r="BT75">
        <v>0</v>
      </c>
      <c r="BX75">
        <v>0</v>
      </c>
      <c r="CB75">
        <v>0</v>
      </c>
      <c r="CF75">
        <v>0</v>
      </c>
      <c r="CG75">
        <v>0</v>
      </c>
      <c r="CK75">
        <v>0</v>
      </c>
      <c r="CL75">
        <v>2065</v>
      </c>
      <c r="CM75">
        <v>2065</v>
      </c>
      <c r="CN75">
        <v>2065</v>
      </c>
      <c r="CO75">
        <v>6195</v>
      </c>
      <c r="CP75">
        <v>500</v>
      </c>
      <c r="CQ75">
        <v>500</v>
      </c>
      <c r="CR75">
        <v>500</v>
      </c>
      <c r="CS75">
        <v>1500</v>
      </c>
      <c r="CT75">
        <v>0</v>
      </c>
      <c r="CU75">
        <v>0</v>
      </c>
      <c r="CV75">
        <v>0</v>
      </c>
      <c r="CW75">
        <v>0</v>
      </c>
      <c r="CX75">
        <v>3000</v>
      </c>
      <c r="CY75">
        <v>3000</v>
      </c>
      <c r="CZ75">
        <v>3000</v>
      </c>
      <c r="DA75">
        <v>9000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N75">
        <v>0</v>
      </c>
      <c r="DO75">
        <v>0</v>
      </c>
      <c r="DP75">
        <v>0</v>
      </c>
      <c r="DR75">
        <v>0</v>
      </c>
      <c r="DS75">
        <v>0</v>
      </c>
      <c r="DT75">
        <v>0</v>
      </c>
      <c r="DY75">
        <v>0</v>
      </c>
      <c r="EC75">
        <v>0</v>
      </c>
      <c r="ED75">
        <v>16695</v>
      </c>
      <c r="EH75">
        <v>0</v>
      </c>
      <c r="EI75">
        <v>1154</v>
      </c>
      <c r="EJ75">
        <v>1154</v>
      </c>
      <c r="EK75">
        <v>1155</v>
      </c>
      <c r="EL75">
        <v>3500</v>
      </c>
      <c r="EM75">
        <v>37.065000000000005</v>
      </c>
      <c r="EN75">
        <v>660</v>
      </c>
      <c r="EO75">
        <v>660</v>
      </c>
      <c r="EP75">
        <v>659</v>
      </c>
      <c r="EQ75">
        <v>2000</v>
      </c>
      <c r="ER75">
        <v>21.24</v>
      </c>
      <c r="ES75">
        <v>0</v>
      </c>
      <c r="ET75">
        <v>0</v>
      </c>
      <c r="EU75">
        <v>0</v>
      </c>
      <c r="EW75">
        <v>0</v>
      </c>
      <c r="FA75">
        <v>0</v>
      </c>
      <c r="FE75">
        <v>0</v>
      </c>
      <c r="FI75">
        <v>0</v>
      </c>
      <c r="FJ75">
        <v>5441.6949999999997</v>
      </c>
      <c r="FK75">
        <v>-16695</v>
      </c>
      <c r="FL75">
        <v>-23118.780808755953</v>
      </c>
      <c r="FM75">
        <v>-22136.695</v>
      </c>
    </row>
    <row r="76" spans="1:169" x14ac:dyDescent="0.35">
      <c r="A76">
        <v>198061</v>
      </c>
      <c r="B76" t="s">
        <v>781</v>
      </c>
      <c r="C76" t="s">
        <v>1955</v>
      </c>
      <c r="D76" t="s">
        <v>3753</v>
      </c>
      <c r="E76" s="43" t="s">
        <v>4166</v>
      </c>
      <c r="J76" t="s">
        <v>3745</v>
      </c>
      <c r="L76" s="43" t="s">
        <v>3204</v>
      </c>
      <c r="M76" t="s">
        <v>3754</v>
      </c>
      <c r="N76" t="s">
        <v>3755</v>
      </c>
      <c r="O76" t="s">
        <v>3756</v>
      </c>
      <c r="P76" t="s">
        <v>705</v>
      </c>
      <c r="Q76" t="s">
        <v>3757</v>
      </c>
      <c r="R76">
        <v>3.37</v>
      </c>
      <c r="S76">
        <v>44109</v>
      </c>
      <c r="T76" t="s">
        <v>311</v>
      </c>
      <c r="U76" t="s">
        <v>266</v>
      </c>
      <c r="V76" t="s">
        <v>267</v>
      </c>
      <c r="W76" t="s">
        <v>268</v>
      </c>
      <c r="X76" t="s">
        <v>269</v>
      </c>
      <c r="Y76">
        <v>8883022894</v>
      </c>
      <c r="Z76" t="s">
        <v>270</v>
      </c>
      <c r="AA76" t="s">
        <v>271</v>
      </c>
      <c r="AB76">
        <v>0</v>
      </c>
      <c r="AC76" t="s">
        <v>796</v>
      </c>
      <c r="AD76" t="s">
        <v>3758</v>
      </c>
      <c r="AE76" t="s">
        <v>364</v>
      </c>
      <c r="AF76">
        <v>3</v>
      </c>
      <c r="AG76" t="s">
        <v>3345</v>
      </c>
      <c r="AH76" s="43" t="s">
        <v>3852</v>
      </c>
      <c r="AI76" s="43" t="s">
        <v>3853</v>
      </c>
      <c r="AJ76" s="43" t="s">
        <v>3309</v>
      </c>
      <c r="AK76" s="43" t="s">
        <v>3208</v>
      </c>
      <c r="AL76" s="43" t="s">
        <v>3209</v>
      </c>
      <c r="AO76" s="23"/>
      <c r="AP76" s="23"/>
      <c r="AQ76" s="23"/>
      <c r="BD76" s="43" t="s">
        <v>2018</v>
      </c>
      <c r="BE76" s="43" t="s">
        <v>2018</v>
      </c>
      <c r="BF76" s="43" t="s">
        <v>2018</v>
      </c>
      <c r="BG76" s="43" t="s">
        <v>2018</v>
      </c>
      <c r="BH76" s="43" t="s">
        <v>2018</v>
      </c>
      <c r="BI76" s="43" t="s">
        <v>2018</v>
      </c>
      <c r="BJ76">
        <v>0</v>
      </c>
      <c r="BK76">
        <v>44109</v>
      </c>
      <c r="BL76">
        <v>44356</v>
      </c>
      <c r="BM76">
        <v>8505</v>
      </c>
      <c r="BN76">
        <v>8505</v>
      </c>
      <c r="BO76">
        <v>8505</v>
      </c>
      <c r="BP76">
        <v>25515</v>
      </c>
      <c r="BQ76">
        <v>3300</v>
      </c>
      <c r="BR76">
        <v>400</v>
      </c>
      <c r="BS76">
        <v>400</v>
      </c>
      <c r="BT76">
        <v>4100</v>
      </c>
      <c r="BU76">
        <v>2100</v>
      </c>
      <c r="BV76">
        <v>2100</v>
      </c>
      <c r="BW76">
        <v>2100</v>
      </c>
      <c r="BX76">
        <v>6300</v>
      </c>
      <c r="BY76">
        <v>1200</v>
      </c>
      <c r="BZ76">
        <v>1200</v>
      </c>
      <c r="CA76">
        <v>1200</v>
      </c>
      <c r="CB76">
        <v>3600</v>
      </c>
      <c r="CF76">
        <v>0</v>
      </c>
      <c r="CG76">
        <v>39515</v>
      </c>
      <c r="CK76">
        <v>0</v>
      </c>
      <c r="CL76">
        <v>2015</v>
      </c>
      <c r="CM76">
        <v>2015</v>
      </c>
      <c r="CN76">
        <v>2015</v>
      </c>
      <c r="CO76">
        <v>6045</v>
      </c>
      <c r="CP76">
        <v>500</v>
      </c>
      <c r="CQ76">
        <v>500</v>
      </c>
      <c r="CR76">
        <v>500</v>
      </c>
      <c r="CS76">
        <v>1500</v>
      </c>
      <c r="CT76">
        <v>1300</v>
      </c>
      <c r="CU76">
        <v>1300</v>
      </c>
      <c r="CV76">
        <v>1300</v>
      </c>
      <c r="CW76">
        <v>3900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N76">
        <v>0</v>
      </c>
      <c r="DO76">
        <v>0</v>
      </c>
      <c r="DP76">
        <v>0</v>
      </c>
      <c r="DR76">
        <v>0</v>
      </c>
      <c r="DS76">
        <v>0</v>
      </c>
      <c r="DT76">
        <v>0</v>
      </c>
      <c r="DY76">
        <v>0</v>
      </c>
      <c r="EC76">
        <v>0</v>
      </c>
      <c r="ED76">
        <v>11445</v>
      </c>
      <c r="EH76">
        <v>0</v>
      </c>
      <c r="EI76">
        <v>1154</v>
      </c>
      <c r="EJ76">
        <v>1154</v>
      </c>
      <c r="EK76">
        <v>1155</v>
      </c>
      <c r="EL76">
        <v>3500</v>
      </c>
      <c r="EM76">
        <v>37.065000000000005</v>
      </c>
      <c r="EN76">
        <v>660</v>
      </c>
      <c r="EO76">
        <v>660</v>
      </c>
      <c r="EP76">
        <v>659</v>
      </c>
      <c r="EQ76">
        <v>2000</v>
      </c>
      <c r="ER76">
        <v>21.24</v>
      </c>
      <c r="ES76">
        <v>0</v>
      </c>
      <c r="ET76">
        <v>0</v>
      </c>
      <c r="EU76">
        <v>0</v>
      </c>
      <c r="EW76">
        <v>0</v>
      </c>
      <c r="FA76">
        <v>0</v>
      </c>
      <c r="FE76">
        <v>0</v>
      </c>
      <c r="FI76">
        <v>0</v>
      </c>
      <c r="FJ76">
        <v>5441.6949999999997</v>
      </c>
      <c r="FK76">
        <v>28070</v>
      </c>
      <c r="FL76">
        <v>23632.200893976104</v>
      </c>
      <c r="FM76">
        <v>22628.305</v>
      </c>
    </row>
    <row r="77" spans="1:169" x14ac:dyDescent="0.35">
      <c r="A77">
        <v>199477</v>
      </c>
      <c r="B77" t="s">
        <v>781</v>
      </c>
      <c r="C77" t="s">
        <v>3759</v>
      </c>
      <c r="D77" t="s">
        <v>3760</v>
      </c>
      <c r="E77" s="43" t="s">
        <v>4167</v>
      </c>
      <c r="J77" t="s">
        <v>3745</v>
      </c>
      <c r="L77" s="43" t="s">
        <v>259</v>
      </c>
      <c r="M77" t="s">
        <v>3761</v>
      </c>
      <c r="N77" t="s">
        <v>3762</v>
      </c>
      <c r="O77" t="s">
        <v>3763</v>
      </c>
      <c r="P77" t="s">
        <v>542</v>
      </c>
      <c r="Q77" t="s">
        <v>3764</v>
      </c>
      <c r="R77">
        <v>2.8546999999999998</v>
      </c>
      <c r="S77">
        <v>44109</v>
      </c>
      <c r="T77" t="s">
        <v>265</v>
      </c>
      <c r="U77" t="s">
        <v>286</v>
      </c>
      <c r="V77" t="s">
        <v>893</v>
      </c>
      <c r="W77" t="s">
        <v>268</v>
      </c>
      <c r="X77" t="s">
        <v>269</v>
      </c>
      <c r="Y77">
        <v>8883022894</v>
      </c>
      <c r="Z77" t="s">
        <v>270</v>
      </c>
      <c r="AA77" t="s">
        <v>271</v>
      </c>
      <c r="AB77">
        <v>0</v>
      </c>
      <c r="AC77">
        <v>0</v>
      </c>
      <c r="AD77" t="s">
        <v>313</v>
      </c>
      <c r="AE77" t="s">
        <v>344</v>
      </c>
      <c r="AF77">
        <v>10</v>
      </c>
      <c r="AG77" t="s">
        <v>3345</v>
      </c>
      <c r="AH77" s="43" t="s">
        <v>259</v>
      </c>
      <c r="AI77" s="43" t="s">
        <v>259</v>
      </c>
      <c r="AJ77" s="43" t="s">
        <v>259</v>
      </c>
      <c r="AK77" s="43" t="s">
        <v>259</v>
      </c>
      <c r="AL77" s="43" t="s">
        <v>259</v>
      </c>
      <c r="AO77" s="23"/>
      <c r="AP77" s="23"/>
      <c r="AQ77" s="23"/>
      <c r="BD77" s="43" t="s">
        <v>259</v>
      </c>
      <c r="BE77" s="43" t="s">
        <v>259</v>
      </c>
      <c r="BF77" s="43" t="s">
        <v>259</v>
      </c>
      <c r="BG77" s="43" t="s">
        <v>259</v>
      </c>
      <c r="BH77" s="43" t="s">
        <v>259</v>
      </c>
      <c r="BI77" s="43" t="s">
        <v>259</v>
      </c>
      <c r="BJ77">
        <v>0</v>
      </c>
      <c r="BK77">
        <v>44109</v>
      </c>
      <c r="BL77">
        <v>44356</v>
      </c>
      <c r="BM77">
        <v>8505</v>
      </c>
      <c r="BN77">
        <v>8505</v>
      </c>
      <c r="BO77">
        <v>8505</v>
      </c>
      <c r="BP77">
        <v>25515</v>
      </c>
      <c r="BQ77">
        <v>3300</v>
      </c>
      <c r="BR77">
        <v>400</v>
      </c>
      <c r="BS77">
        <v>400</v>
      </c>
      <c r="BT77">
        <v>4100</v>
      </c>
      <c r="BU77">
        <v>2100</v>
      </c>
      <c r="BV77">
        <v>2100</v>
      </c>
      <c r="BW77">
        <v>2100</v>
      </c>
      <c r="BX77">
        <v>6300</v>
      </c>
      <c r="BY77">
        <v>1200</v>
      </c>
      <c r="BZ77">
        <v>1200</v>
      </c>
      <c r="CA77">
        <v>1200</v>
      </c>
      <c r="CB77">
        <v>3600</v>
      </c>
      <c r="CF77">
        <v>0</v>
      </c>
      <c r="CG77">
        <v>39515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3000</v>
      </c>
      <c r="CY77">
        <v>3000</v>
      </c>
      <c r="CZ77">
        <v>3000</v>
      </c>
      <c r="DA77">
        <v>9000</v>
      </c>
      <c r="DB77">
        <v>1000</v>
      </c>
      <c r="DC77">
        <v>1000</v>
      </c>
      <c r="DD77">
        <v>1000</v>
      </c>
      <c r="DE77">
        <v>3000</v>
      </c>
      <c r="DF77">
        <v>0</v>
      </c>
      <c r="DG77">
        <v>0</v>
      </c>
      <c r="DH77">
        <v>0</v>
      </c>
      <c r="DN77">
        <v>0</v>
      </c>
      <c r="DO77">
        <v>0</v>
      </c>
      <c r="DP77">
        <v>0</v>
      </c>
      <c r="DR77">
        <v>0</v>
      </c>
      <c r="DS77">
        <v>0</v>
      </c>
      <c r="DT77">
        <v>0</v>
      </c>
      <c r="DY77">
        <v>0</v>
      </c>
      <c r="EC77">
        <v>0</v>
      </c>
      <c r="ED77">
        <v>12000</v>
      </c>
      <c r="EH77">
        <v>0</v>
      </c>
      <c r="EI77">
        <v>1154</v>
      </c>
      <c r="EJ77">
        <v>1154</v>
      </c>
      <c r="EK77">
        <v>1155</v>
      </c>
      <c r="EL77">
        <v>3500</v>
      </c>
      <c r="EM77">
        <v>37.065000000000005</v>
      </c>
      <c r="EN77">
        <v>660</v>
      </c>
      <c r="EO77">
        <v>660</v>
      </c>
      <c r="EP77">
        <v>659</v>
      </c>
      <c r="EQ77">
        <v>2000</v>
      </c>
      <c r="ER77">
        <v>21.24</v>
      </c>
      <c r="ES77">
        <v>0</v>
      </c>
      <c r="ET77">
        <v>0</v>
      </c>
      <c r="EU77">
        <v>0</v>
      </c>
      <c r="EW77">
        <v>0</v>
      </c>
      <c r="FA77">
        <v>0</v>
      </c>
      <c r="FE77">
        <v>0</v>
      </c>
      <c r="FI77">
        <v>0</v>
      </c>
      <c r="FJ77">
        <v>5441.6949999999997</v>
      </c>
      <c r="FK77">
        <v>27515</v>
      </c>
      <c r="FL77">
        <v>23052.578536218563</v>
      </c>
      <c r="FM77">
        <v>22073.305</v>
      </c>
    </row>
    <row r="78" spans="1:169" x14ac:dyDescent="0.35">
      <c r="A78">
        <v>195928</v>
      </c>
      <c r="B78" t="s">
        <v>781</v>
      </c>
      <c r="C78" t="s">
        <v>782</v>
      </c>
      <c r="D78" t="s">
        <v>783</v>
      </c>
      <c r="E78" s="43" t="s">
        <v>784</v>
      </c>
      <c r="L78" s="43" t="s">
        <v>259</v>
      </c>
      <c r="M78" t="s">
        <v>785</v>
      </c>
      <c r="N78" t="s">
        <v>786</v>
      </c>
      <c r="O78" t="s">
        <v>462</v>
      </c>
      <c r="P78" t="s">
        <v>342</v>
      </c>
      <c r="Q78" t="s">
        <v>787</v>
      </c>
      <c r="R78">
        <v>3.7919999999999998</v>
      </c>
      <c r="S78">
        <v>44109</v>
      </c>
      <c r="T78" t="s">
        <v>265</v>
      </c>
      <c r="U78" t="s">
        <v>266</v>
      </c>
      <c r="V78" t="s">
        <v>267</v>
      </c>
      <c r="W78" t="s">
        <v>268</v>
      </c>
      <c r="X78" t="s">
        <v>269</v>
      </c>
      <c r="Y78">
        <v>8883022894</v>
      </c>
      <c r="Z78" t="s">
        <v>270</v>
      </c>
      <c r="AA78" t="s">
        <v>271</v>
      </c>
      <c r="AB78">
        <v>0</v>
      </c>
      <c r="AC78" t="s">
        <v>788</v>
      </c>
      <c r="AD78" t="s">
        <v>288</v>
      </c>
      <c r="AE78" t="s">
        <v>364</v>
      </c>
      <c r="AF78">
        <v>3</v>
      </c>
      <c r="AG78" t="s">
        <v>275</v>
      </c>
      <c r="AH78" s="43" t="s">
        <v>259</v>
      </c>
      <c r="AI78" s="43" t="s">
        <v>259</v>
      </c>
      <c r="AJ78" s="43" t="s">
        <v>259</v>
      </c>
      <c r="AK78" s="43" t="s">
        <v>259</v>
      </c>
      <c r="AL78" s="43" t="s">
        <v>259</v>
      </c>
      <c r="AO78" s="23"/>
      <c r="AP78" s="23"/>
      <c r="AQ78" s="23"/>
      <c r="BD78" s="43" t="s">
        <v>259</v>
      </c>
      <c r="BE78" s="43" t="s">
        <v>259</v>
      </c>
      <c r="BF78" s="43" t="s">
        <v>259</v>
      </c>
      <c r="BG78" s="43" t="s">
        <v>259</v>
      </c>
      <c r="BH78" s="43" t="s">
        <v>259</v>
      </c>
      <c r="BI78" s="43" t="s">
        <v>259</v>
      </c>
      <c r="BJ78">
        <v>0</v>
      </c>
      <c r="BK78">
        <v>44109</v>
      </c>
      <c r="BL78">
        <v>44356</v>
      </c>
      <c r="BM78">
        <v>8505</v>
      </c>
      <c r="BN78">
        <v>8505</v>
      </c>
      <c r="BO78">
        <v>8505</v>
      </c>
      <c r="BP78">
        <v>25515</v>
      </c>
      <c r="BQ78">
        <v>3300</v>
      </c>
      <c r="BR78">
        <v>400</v>
      </c>
      <c r="BS78">
        <v>400</v>
      </c>
      <c r="BT78">
        <v>4100</v>
      </c>
      <c r="BU78">
        <v>2100</v>
      </c>
      <c r="BV78">
        <v>2100</v>
      </c>
      <c r="BW78">
        <v>2100</v>
      </c>
      <c r="BX78">
        <v>6300</v>
      </c>
      <c r="BY78">
        <v>1200</v>
      </c>
      <c r="BZ78">
        <v>1200</v>
      </c>
      <c r="CA78">
        <v>1200</v>
      </c>
      <c r="CB78">
        <v>3600</v>
      </c>
      <c r="CC78">
        <v>0</v>
      </c>
      <c r="CD78">
        <v>0</v>
      </c>
      <c r="CE78">
        <v>0</v>
      </c>
      <c r="CF78">
        <v>0</v>
      </c>
      <c r="CG78">
        <v>39515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1300</v>
      </c>
      <c r="CU78">
        <v>1300</v>
      </c>
      <c r="CV78">
        <v>1300</v>
      </c>
      <c r="CW78">
        <v>3900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3900</v>
      </c>
      <c r="EH78">
        <v>0</v>
      </c>
      <c r="EI78">
        <v>1154</v>
      </c>
      <c r="EJ78">
        <v>1154</v>
      </c>
      <c r="EK78">
        <v>1155</v>
      </c>
      <c r="EL78">
        <v>3500</v>
      </c>
      <c r="EM78">
        <v>37.065000000000005</v>
      </c>
      <c r="EN78">
        <v>660</v>
      </c>
      <c r="EO78">
        <v>660</v>
      </c>
      <c r="EP78">
        <v>659</v>
      </c>
      <c r="EQ78">
        <v>2000</v>
      </c>
      <c r="ER78">
        <v>21.18</v>
      </c>
      <c r="ES78">
        <v>0</v>
      </c>
      <c r="ET78">
        <v>0</v>
      </c>
      <c r="EU78">
        <v>0</v>
      </c>
      <c r="EV78">
        <v>0</v>
      </c>
      <c r="EW78">
        <v>0</v>
      </c>
      <c r="FA78">
        <v>0</v>
      </c>
      <c r="FE78">
        <v>0</v>
      </c>
      <c r="FI78">
        <v>0</v>
      </c>
      <c r="FJ78">
        <v>5441.7550000000001</v>
      </c>
      <c r="FK78">
        <v>35615</v>
      </c>
      <c r="FL78">
        <v>31511.869203776419</v>
      </c>
      <c r="FM78">
        <v>30173.244999999999</v>
      </c>
    </row>
    <row r="79" spans="1:169" x14ac:dyDescent="0.35">
      <c r="A79">
        <v>197842</v>
      </c>
      <c r="B79" t="s">
        <v>781</v>
      </c>
      <c r="C79" t="s">
        <v>789</v>
      </c>
      <c r="D79" t="s">
        <v>790</v>
      </c>
      <c r="E79" s="43" t="s">
        <v>791</v>
      </c>
      <c r="L79" s="43" t="s">
        <v>3204</v>
      </c>
      <c r="M79" t="s">
        <v>792</v>
      </c>
      <c r="N79" t="s">
        <v>793</v>
      </c>
      <c r="O79" t="s">
        <v>794</v>
      </c>
      <c r="P79" t="s">
        <v>342</v>
      </c>
      <c r="Q79" t="s">
        <v>795</v>
      </c>
      <c r="R79">
        <v>2.8</v>
      </c>
      <c r="S79">
        <v>44109</v>
      </c>
      <c r="T79" t="s">
        <v>311</v>
      </c>
      <c r="U79" t="s">
        <v>266</v>
      </c>
      <c r="V79" t="s">
        <v>267</v>
      </c>
      <c r="W79" t="s">
        <v>268</v>
      </c>
      <c r="X79" t="s">
        <v>269</v>
      </c>
      <c r="Y79">
        <v>8883022894</v>
      </c>
      <c r="Z79" t="s">
        <v>270</v>
      </c>
      <c r="AA79" t="s">
        <v>271</v>
      </c>
      <c r="AB79">
        <v>0</v>
      </c>
      <c r="AC79" t="s">
        <v>796</v>
      </c>
      <c r="AD79" t="s">
        <v>797</v>
      </c>
      <c r="AE79" t="s">
        <v>364</v>
      </c>
      <c r="AF79">
        <v>3</v>
      </c>
      <c r="AG79" t="s">
        <v>275</v>
      </c>
      <c r="AH79" s="43" t="s">
        <v>3226</v>
      </c>
      <c r="AI79" s="43" t="s">
        <v>313</v>
      </c>
      <c r="AJ79" s="43" t="s">
        <v>4237</v>
      </c>
      <c r="AK79" s="43" t="s">
        <v>3208</v>
      </c>
      <c r="AL79" s="43" t="s">
        <v>3209</v>
      </c>
      <c r="AO79" s="23"/>
      <c r="AP79" s="23"/>
      <c r="AQ79" s="23"/>
      <c r="BD79" s="43" t="s">
        <v>2018</v>
      </c>
      <c r="BE79" s="43" t="s">
        <v>2018</v>
      </c>
      <c r="BF79" s="43" t="s">
        <v>2018</v>
      </c>
      <c r="BG79" s="43" t="s">
        <v>2018</v>
      </c>
      <c r="BH79" s="43" t="s">
        <v>2018</v>
      </c>
      <c r="BI79" s="43" t="s">
        <v>2018</v>
      </c>
      <c r="BJ79">
        <v>0</v>
      </c>
      <c r="BK79">
        <v>44109</v>
      </c>
      <c r="BL79">
        <v>44356</v>
      </c>
      <c r="BM79">
        <v>8505</v>
      </c>
      <c r="BN79">
        <v>8505</v>
      </c>
      <c r="BO79">
        <v>8505</v>
      </c>
      <c r="BP79">
        <v>25515</v>
      </c>
      <c r="BQ79">
        <v>3300</v>
      </c>
      <c r="BR79">
        <v>400</v>
      </c>
      <c r="BS79">
        <v>400</v>
      </c>
      <c r="BT79">
        <v>4100</v>
      </c>
      <c r="BU79">
        <v>2100</v>
      </c>
      <c r="BV79">
        <v>2100</v>
      </c>
      <c r="BW79">
        <v>2100</v>
      </c>
      <c r="BX79">
        <v>6300</v>
      </c>
      <c r="BY79">
        <v>1200</v>
      </c>
      <c r="BZ79">
        <v>1200</v>
      </c>
      <c r="CA79">
        <v>1200</v>
      </c>
      <c r="CB79">
        <v>3600</v>
      </c>
      <c r="CC79">
        <v>0</v>
      </c>
      <c r="CD79">
        <v>0</v>
      </c>
      <c r="CE79">
        <v>0</v>
      </c>
      <c r="CF79">
        <v>0</v>
      </c>
      <c r="CG79">
        <v>39515</v>
      </c>
      <c r="CK79">
        <v>0</v>
      </c>
      <c r="CL79">
        <v>2065</v>
      </c>
      <c r="CM79">
        <v>2065</v>
      </c>
      <c r="CN79">
        <v>2065</v>
      </c>
      <c r="CO79">
        <v>6195</v>
      </c>
      <c r="CP79">
        <v>500</v>
      </c>
      <c r="CQ79">
        <v>500</v>
      </c>
      <c r="CR79">
        <v>500</v>
      </c>
      <c r="CS79">
        <v>1500</v>
      </c>
      <c r="CT79">
        <v>1300</v>
      </c>
      <c r="CU79">
        <v>1300</v>
      </c>
      <c r="CV79">
        <v>1300</v>
      </c>
      <c r="CW79">
        <v>3900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11595</v>
      </c>
      <c r="EH79">
        <v>0</v>
      </c>
      <c r="EI79">
        <v>1154</v>
      </c>
      <c r="EJ79">
        <v>1154</v>
      </c>
      <c r="EK79">
        <v>1155</v>
      </c>
      <c r="EL79">
        <v>3500</v>
      </c>
      <c r="EM79">
        <v>37.065000000000005</v>
      </c>
      <c r="EN79">
        <v>660</v>
      </c>
      <c r="EO79">
        <v>660</v>
      </c>
      <c r="EP79">
        <v>659</v>
      </c>
      <c r="EQ79">
        <v>2000</v>
      </c>
      <c r="ER79">
        <v>21.18</v>
      </c>
      <c r="ES79">
        <v>0</v>
      </c>
      <c r="ET79">
        <v>0</v>
      </c>
      <c r="EU79">
        <v>0</v>
      </c>
      <c r="EV79">
        <v>0</v>
      </c>
      <c r="EW79">
        <v>0</v>
      </c>
      <c r="FA79">
        <v>0</v>
      </c>
      <c r="FE79">
        <v>0</v>
      </c>
      <c r="FI79">
        <v>0</v>
      </c>
      <c r="FJ79">
        <v>5441.7550000000001</v>
      </c>
      <c r="FK79">
        <v>27920</v>
      </c>
      <c r="FL79">
        <v>23475.48354081377</v>
      </c>
      <c r="FM79">
        <v>22478.244999999999</v>
      </c>
    </row>
    <row r="80" spans="1:169" x14ac:dyDescent="0.35">
      <c r="A80">
        <v>196158</v>
      </c>
      <c r="B80" t="s">
        <v>3494</v>
      </c>
      <c r="C80" t="s">
        <v>1193</v>
      </c>
      <c r="D80" t="s">
        <v>3495</v>
      </c>
      <c r="E80" s="43" t="s">
        <v>4207</v>
      </c>
      <c r="J80" t="s">
        <v>3908</v>
      </c>
      <c r="L80" s="43" t="s">
        <v>259</v>
      </c>
      <c r="M80" t="s">
        <v>3496</v>
      </c>
      <c r="N80" t="s">
        <v>3497</v>
      </c>
      <c r="O80" t="s">
        <v>3498</v>
      </c>
      <c r="P80" t="s">
        <v>1046</v>
      </c>
      <c r="Q80" t="s">
        <v>3499</v>
      </c>
      <c r="R80">
        <v>2.71</v>
      </c>
      <c r="S80">
        <v>44109</v>
      </c>
      <c r="T80" t="s">
        <v>311</v>
      </c>
      <c r="U80" t="s">
        <v>266</v>
      </c>
      <c r="V80" t="s">
        <v>267</v>
      </c>
      <c r="W80" t="s">
        <v>268</v>
      </c>
      <c r="X80" t="s">
        <v>269</v>
      </c>
      <c r="Y80">
        <v>8883022894</v>
      </c>
      <c r="Z80" t="s">
        <v>270</v>
      </c>
      <c r="AA80" t="s">
        <v>271</v>
      </c>
      <c r="AB80" t="s">
        <v>3437</v>
      </c>
      <c r="AC80">
        <v>0</v>
      </c>
      <c r="AD80" t="s">
        <v>3500</v>
      </c>
      <c r="AE80" t="s">
        <v>274</v>
      </c>
      <c r="AF80">
        <v>9</v>
      </c>
      <c r="AG80" t="s">
        <v>3345</v>
      </c>
      <c r="AH80" s="43" t="s">
        <v>259</v>
      </c>
      <c r="AI80" s="43" t="s">
        <v>259</v>
      </c>
      <c r="AJ80" s="43" t="s">
        <v>259</v>
      </c>
      <c r="AK80" s="43" t="s">
        <v>259</v>
      </c>
      <c r="AL80" s="43" t="s">
        <v>259</v>
      </c>
      <c r="AO80" s="23"/>
      <c r="AP80" s="23"/>
      <c r="AQ80" s="23"/>
      <c r="BD80" s="43" t="s">
        <v>259</v>
      </c>
      <c r="BE80" s="43" t="s">
        <v>259</v>
      </c>
      <c r="BF80" s="43" t="s">
        <v>259</v>
      </c>
      <c r="BG80" s="43" t="s">
        <v>259</v>
      </c>
      <c r="BH80" s="43" t="s">
        <v>259</v>
      </c>
      <c r="BI80" s="43" t="s">
        <v>259</v>
      </c>
      <c r="BJ80">
        <v>0</v>
      </c>
      <c r="BK80">
        <v>44109</v>
      </c>
      <c r="BL80">
        <v>44356</v>
      </c>
      <c r="BM80">
        <v>8505</v>
      </c>
      <c r="BN80">
        <v>8505</v>
      </c>
      <c r="BO80">
        <v>8505</v>
      </c>
      <c r="BP80">
        <v>25515</v>
      </c>
      <c r="BQ80">
        <v>3300</v>
      </c>
      <c r="BR80">
        <v>400</v>
      </c>
      <c r="BS80">
        <v>400</v>
      </c>
      <c r="BT80">
        <v>4100</v>
      </c>
      <c r="BU80">
        <v>2100</v>
      </c>
      <c r="BV80">
        <v>2100</v>
      </c>
      <c r="BW80">
        <v>2100</v>
      </c>
      <c r="BX80">
        <v>6300</v>
      </c>
      <c r="BY80">
        <v>1200</v>
      </c>
      <c r="BZ80">
        <v>1200</v>
      </c>
      <c r="CA80">
        <v>1200</v>
      </c>
      <c r="CB80">
        <v>3600</v>
      </c>
      <c r="CF80">
        <v>0</v>
      </c>
      <c r="CG80">
        <v>39515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N80">
        <v>0</v>
      </c>
      <c r="DO80">
        <v>0</v>
      </c>
      <c r="DP80">
        <v>0</v>
      </c>
      <c r="DR80">
        <v>0</v>
      </c>
      <c r="DS80">
        <v>0</v>
      </c>
      <c r="DT80">
        <v>0</v>
      </c>
      <c r="DY80">
        <v>0</v>
      </c>
      <c r="EC80">
        <v>0</v>
      </c>
      <c r="ED80">
        <v>0</v>
      </c>
      <c r="EH80">
        <v>0</v>
      </c>
      <c r="EI80">
        <v>1154</v>
      </c>
      <c r="EJ80">
        <v>1154</v>
      </c>
      <c r="EK80">
        <v>1155</v>
      </c>
      <c r="EL80">
        <v>3500</v>
      </c>
      <c r="EM80">
        <v>37.065000000000005</v>
      </c>
      <c r="EN80">
        <v>660</v>
      </c>
      <c r="EO80">
        <v>660</v>
      </c>
      <c r="EP80">
        <v>659</v>
      </c>
      <c r="EQ80">
        <v>2000</v>
      </c>
      <c r="ER80">
        <v>21.24</v>
      </c>
      <c r="ES80">
        <v>0</v>
      </c>
      <c r="ET80">
        <v>0</v>
      </c>
      <c r="EU80">
        <v>0</v>
      </c>
      <c r="EW80">
        <v>0</v>
      </c>
      <c r="FA80">
        <v>0</v>
      </c>
      <c r="FE80">
        <v>0</v>
      </c>
      <c r="FI80">
        <v>0</v>
      </c>
      <c r="FJ80">
        <v>5441.6949999999997</v>
      </c>
      <c r="FK80">
        <v>39515</v>
      </c>
      <c r="FL80">
        <v>35584.953839084301</v>
      </c>
      <c r="FM80">
        <v>34073.305</v>
      </c>
    </row>
    <row r="81" spans="1:169" x14ac:dyDescent="0.35">
      <c r="A81">
        <v>196658</v>
      </c>
      <c r="B81" t="s">
        <v>798</v>
      </c>
      <c r="C81" t="s">
        <v>799</v>
      </c>
      <c r="D81" t="s">
        <v>800</v>
      </c>
      <c r="E81" s="43" t="s">
        <v>801</v>
      </c>
      <c r="L81" s="43" t="s">
        <v>259</v>
      </c>
      <c r="M81" t="s">
        <v>802</v>
      </c>
      <c r="N81" t="s">
        <v>803</v>
      </c>
      <c r="O81" t="s">
        <v>804</v>
      </c>
      <c r="P81" t="s">
        <v>553</v>
      </c>
      <c r="Q81" t="s">
        <v>805</v>
      </c>
      <c r="R81">
        <v>3.875</v>
      </c>
      <c r="S81">
        <v>44109</v>
      </c>
      <c r="T81" t="s">
        <v>311</v>
      </c>
      <c r="U81" t="s">
        <v>266</v>
      </c>
      <c r="V81" t="s">
        <v>267</v>
      </c>
      <c r="W81" t="s">
        <v>268</v>
      </c>
      <c r="X81" t="s">
        <v>269</v>
      </c>
      <c r="Y81">
        <v>8883022894</v>
      </c>
      <c r="Z81" t="s">
        <v>270</v>
      </c>
      <c r="AA81" t="s">
        <v>271</v>
      </c>
      <c r="AB81">
        <v>0</v>
      </c>
      <c r="AC81">
        <v>0</v>
      </c>
      <c r="AD81" t="s">
        <v>313</v>
      </c>
      <c r="AE81" t="s">
        <v>354</v>
      </c>
      <c r="AF81">
        <v>6</v>
      </c>
      <c r="AG81" t="s">
        <v>275</v>
      </c>
      <c r="AH81" s="43" t="s">
        <v>259</v>
      </c>
      <c r="AI81" s="43" t="s">
        <v>259</v>
      </c>
      <c r="AJ81" s="43" t="s">
        <v>259</v>
      </c>
      <c r="AK81" s="43" t="s">
        <v>259</v>
      </c>
      <c r="AL81" s="43" t="s">
        <v>259</v>
      </c>
      <c r="AO81" s="23"/>
      <c r="AP81" s="23"/>
      <c r="AQ81" s="23"/>
      <c r="BD81" s="43" t="s">
        <v>259</v>
      </c>
      <c r="BE81" s="43" t="s">
        <v>259</v>
      </c>
      <c r="BF81" s="43" t="s">
        <v>259</v>
      </c>
      <c r="BG81" s="43" t="s">
        <v>259</v>
      </c>
      <c r="BH81" s="43" t="s">
        <v>259</v>
      </c>
      <c r="BI81" s="43" t="s">
        <v>259</v>
      </c>
      <c r="BJ81">
        <v>0</v>
      </c>
      <c r="BK81">
        <v>44109</v>
      </c>
      <c r="BL81">
        <v>44356</v>
      </c>
      <c r="BM81">
        <v>8505</v>
      </c>
      <c r="BN81">
        <v>8505</v>
      </c>
      <c r="BO81">
        <v>8505</v>
      </c>
      <c r="BP81">
        <v>25515</v>
      </c>
      <c r="BQ81">
        <v>3300</v>
      </c>
      <c r="BR81">
        <v>400</v>
      </c>
      <c r="BS81">
        <v>400</v>
      </c>
      <c r="BT81">
        <v>4100</v>
      </c>
      <c r="BU81">
        <v>2100</v>
      </c>
      <c r="BV81">
        <v>2100</v>
      </c>
      <c r="BW81">
        <v>2100</v>
      </c>
      <c r="BX81">
        <v>6300</v>
      </c>
      <c r="BY81">
        <v>1200</v>
      </c>
      <c r="BZ81">
        <v>1200</v>
      </c>
      <c r="CA81">
        <v>1200</v>
      </c>
      <c r="CB81">
        <v>3600</v>
      </c>
      <c r="CC81">
        <v>0</v>
      </c>
      <c r="CD81">
        <v>0</v>
      </c>
      <c r="CE81">
        <v>0</v>
      </c>
      <c r="CF81">
        <v>0</v>
      </c>
      <c r="CG81">
        <v>39515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750</v>
      </c>
      <c r="CU81">
        <v>750</v>
      </c>
      <c r="CV81">
        <v>750</v>
      </c>
      <c r="CW81">
        <v>2250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2250</v>
      </c>
      <c r="EH81">
        <v>0</v>
      </c>
      <c r="EI81">
        <v>1154</v>
      </c>
      <c r="EJ81">
        <v>1154</v>
      </c>
      <c r="EK81">
        <v>1155</v>
      </c>
      <c r="EL81">
        <v>3500</v>
      </c>
      <c r="EM81">
        <v>37.065000000000005</v>
      </c>
      <c r="EN81">
        <v>660</v>
      </c>
      <c r="EO81">
        <v>660</v>
      </c>
      <c r="EP81">
        <v>659</v>
      </c>
      <c r="EQ81">
        <v>2000</v>
      </c>
      <c r="ER81">
        <v>21.18</v>
      </c>
      <c r="ES81">
        <v>0</v>
      </c>
      <c r="ET81">
        <v>0</v>
      </c>
      <c r="EU81">
        <v>0</v>
      </c>
      <c r="EV81">
        <v>0</v>
      </c>
      <c r="EW81">
        <v>0</v>
      </c>
      <c r="FA81">
        <v>0</v>
      </c>
      <c r="FE81">
        <v>0</v>
      </c>
      <c r="FI81">
        <v>0</v>
      </c>
      <c r="FJ81">
        <v>5441.7550000000001</v>
      </c>
      <c r="FK81">
        <v>37265</v>
      </c>
      <c r="FL81">
        <v>33235.070807920463</v>
      </c>
      <c r="FM81">
        <v>31823.245000000003</v>
      </c>
    </row>
    <row r="82" spans="1:169" x14ac:dyDescent="0.35">
      <c r="A82">
        <v>195988</v>
      </c>
      <c r="B82" t="s">
        <v>806</v>
      </c>
      <c r="C82" t="s">
        <v>807</v>
      </c>
      <c r="D82" t="s">
        <v>808</v>
      </c>
      <c r="E82" s="43" t="s">
        <v>809</v>
      </c>
      <c r="F82">
        <v>1</v>
      </c>
      <c r="I82" s="23">
        <v>43780</v>
      </c>
      <c r="L82" s="43" t="s">
        <v>3204</v>
      </c>
      <c r="M82" t="s">
        <v>810</v>
      </c>
      <c r="N82" t="s">
        <v>811</v>
      </c>
      <c r="O82" t="s">
        <v>812</v>
      </c>
      <c r="P82" t="s">
        <v>813</v>
      </c>
      <c r="Q82" t="s">
        <v>814</v>
      </c>
      <c r="R82">
        <v>3.67</v>
      </c>
      <c r="S82">
        <v>44109</v>
      </c>
      <c r="T82" t="s">
        <v>265</v>
      </c>
      <c r="U82" t="s">
        <v>286</v>
      </c>
      <c r="V82" t="s">
        <v>267</v>
      </c>
      <c r="W82" t="s">
        <v>268</v>
      </c>
      <c r="X82" t="s">
        <v>269</v>
      </c>
      <c r="Y82">
        <v>8883022894</v>
      </c>
      <c r="Z82" t="s">
        <v>270</v>
      </c>
      <c r="AA82" t="s">
        <v>271</v>
      </c>
      <c r="AB82">
        <v>0</v>
      </c>
      <c r="AC82">
        <v>0</v>
      </c>
      <c r="AD82" t="s">
        <v>313</v>
      </c>
      <c r="AE82" t="s">
        <v>416</v>
      </c>
      <c r="AF82">
        <v>5</v>
      </c>
      <c r="AG82" t="s">
        <v>275</v>
      </c>
      <c r="AH82" s="43" t="s">
        <v>3226</v>
      </c>
      <c r="AI82" s="43" t="s">
        <v>313</v>
      </c>
      <c r="AJ82" s="43" t="s">
        <v>3590</v>
      </c>
      <c r="AK82" s="43" t="s">
        <v>3208</v>
      </c>
      <c r="AL82" s="43" t="s">
        <v>3209</v>
      </c>
      <c r="AO82" s="23">
        <v>43777</v>
      </c>
      <c r="AP82" s="23"/>
      <c r="AQ82" s="23"/>
      <c r="BD82" s="43" t="s">
        <v>2018</v>
      </c>
      <c r="BE82" s="43" t="s">
        <v>2018</v>
      </c>
      <c r="BF82" s="43" t="s">
        <v>2018</v>
      </c>
      <c r="BG82" s="43" t="s">
        <v>2018</v>
      </c>
      <c r="BH82" s="43" t="s">
        <v>2018</v>
      </c>
      <c r="BI82" s="43" t="s">
        <v>2018</v>
      </c>
      <c r="BJ82">
        <v>5.8823529411764719E-2</v>
      </c>
      <c r="BK82">
        <v>44109</v>
      </c>
      <c r="BL82">
        <v>44356</v>
      </c>
      <c r="BM82">
        <v>8505</v>
      </c>
      <c r="BN82">
        <v>8505</v>
      </c>
      <c r="BO82">
        <v>8505</v>
      </c>
      <c r="BP82">
        <v>25515</v>
      </c>
      <c r="BQ82">
        <v>3300</v>
      </c>
      <c r="BR82">
        <v>400</v>
      </c>
      <c r="BS82">
        <v>400</v>
      </c>
      <c r="BT82">
        <v>4100</v>
      </c>
      <c r="BU82">
        <v>2100</v>
      </c>
      <c r="BV82">
        <v>2100</v>
      </c>
      <c r="BW82">
        <v>2100</v>
      </c>
      <c r="BX82">
        <v>6300</v>
      </c>
      <c r="BY82">
        <v>1200</v>
      </c>
      <c r="BZ82">
        <v>1200</v>
      </c>
      <c r="CA82">
        <v>1200</v>
      </c>
      <c r="CB82">
        <v>3600</v>
      </c>
      <c r="CC82">
        <v>0</v>
      </c>
      <c r="CD82">
        <v>0</v>
      </c>
      <c r="CE82">
        <v>0</v>
      </c>
      <c r="CF82">
        <v>0</v>
      </c>
      <c r="CG82">
        <v>39515</v>
      </c>
      <c r="CK82">
        <v>0</v>
      </c>
      <c r="CL82">
        <v>2065</v>
      </c>
      <c r="CM82">
        <v>2065</v>
      </c>
      <c r="CN82">
        <v>2065</v>
      </c>
      <c r="CO82">
        <v>6195</v>
      </c>
      <c r="CP82">
        <v>500</v>
      </c>
      <c r="CQ82">
        <v>500</v>
      </c>
      <c r="CR82">
        <v>500</v>
      </c>
      <c r="CS82">
        <v>1500</v>
      </c>
      <c r="CT82">
        <v>1000</v>
      </c>
      <c r="CU82">
        <v>1000</v>
      </c>
      <c r="CV82">
        <v>1000</v>
      </c>
      <c r="CW82">
        <v>3000</v>
      </c>
      <c r="CX82">
        <v>0</v>
      </c>
      <c r="CY82">
        <v>0</v>
      </c>
      <c r="CZ82">
        <v>0</v>
      </c>
      <c r="DA82">
        <v>0</v>
      </c>
      <c r="DB82">
        <v>1000</v>
      </c>
      <c r="DC82">
        <v>1000</v>
      </c>
      <c r="DD82">
        <v>1000</v>
      </c>
      <c r="DE82">
        <v>3000</v>
      </c>
      <c r="DF82">
        <v>0</v>
      </c>
      <c r="DG82">
        <v>0</v>
      </c>
      <c r="DH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13695</v>
      </c>
      <c r="EH82">
        <v>0</v>
      </c>
      <c r="EI82">
        <v>1154</v>
      </c>
      <c r="EJ82">
        <v>1154</v>
      </c>
      <c r="EK82">
        <v>1155</v>
      </c>
      <c r="EL82">
        <v>3500</v>
      </c>
      <c r="EM82">
        <v>37.065000000000005</v>
      </c>
      <c r="EN82">
        <v>660</v>
      </c>
      <c r="EO82">
        <v>660</v>
      </c>
      <c r="EP82">
        <v>659</v>
      </c>
      <c r="EQ82">
        <v>2000</v>
      </c>
      <c r="ER82">
        <v>21.18</v>
      </c>
      <c r="ES82">
        <v>0</v>
      </c>
      <c r="ET82">
        <v>0</v>
      </c>
      <c r="EU82">
        <v>0</v>
      </c>
      <c r="EV82">
        <v>0</v>
      </c>
      <c r="EW82">
        <v>0</v>
      </c>
      <c r="FA82">
        <v>0</v>
      </c>
      <c r="FE82">
        <v>0</v>
      </c>
      <c r="FI82">
        <v>0</v>
      </c>
      <c r="FJ82">
        <v>5441.7550000000001</v>
      </c>
      <c r="FK82">
        <v>25820</v>
      </c>
      <c r="FL82">
        <v>21282.317862812262</v>
      </c>
      <c r="FM82">
        <v>20378.244999999999</v>
      </c>
    </row>
    <row r="83" spans="1:169" x14ac:dyDescent="0.35">
      <c r="A83">
        <v>196949</v>
      </c>
      <c r="B83" t="s">
        <v>815</v>
      </c>
      <c r="C83" t="s">
        <v>816</v>
      </c>
      <c r="D83" t="s">
        <v>817</v>
      </c>
      <c r="E83" s="43" t="s">
        <v>818</v>
      </c>
      <c r="L83" s="43" t="s">
        <v>259</v>
      </c>
      <c r="M83" t="s">
        <v>819</v>
      </c>
      <c r="N83" t="s">
        <v>820</v>
      </c>
      <c r="O83" t="s">
        <v>821</v>
      </c>
      <c r="P83" t="s">
        <v>822</v>
      </c>
      <c r="Q83" t="s">
        <v>823</v>
      </c>
      <c r="R83">
        <v>2.8</v>
      </c>
      <c r="S83">
        <v>44109</v>
      </c>
      <c r="T83" t="s">
        <v>285</v>
      </c>
      <c r="U83" t="s">
        <v>286</v>
      </c>
      <c r="V83" t="s">
        <v>267</v>
      </c>
      <c r="W83" t="s">
        <v>268</v>
      </c>
      <c r="X83" t="s">
        <v>269</v>
      </c>
      <c r="Y83">
        <v>8883022894</v>
      </c>
      <c r="Z83" t="s">
        <v>270</v>
      </c>
      <c r="AA83" t="s">
        <v>271</v>
      </c>
      <c r="AB83">
        <v>0</v>
      </c>
      <c r="AC83">
        <v>0</v>
      </c>
      <c r="AD83" t="s">
        <v>313</v>
      </c>
      <c r="AE83" t="s">
        <v>274</v>
      </c>
      <c r="AF83">
        <v>9</v>
      </c>
      <c r="AG83" t="s">
        <v>275</v>
      </c>
      <c r="AH83" s="43" t="s">
        <v>259</v>
      </c>
      <c r="AI83" s="43" t="s">
        <v>259</v>
      </c>
      <c r="AJ83" s="43" t="s">
        <v>259</v>
      </c>
      <c r="AK83" s="43" t="s">
        <v>259</v>
      </c>
      <c r="AL83" s="43" t="s">
        <v>259</v>
      </c>
      <c r="AO83" s="23"/>
      <c r="AP83" s="23"/>
      <c r="AQ83" s="23"/>
      <c r="BD83" s="43" t="s">
        <v>259</v>
      </c>
      <c r="BE83" s="43" t="s">
        <v>259</v>
      </c>
      <c r="BF83" s="43" t="s">
        <v>259</v>
      </c>
      <c r="BG83" s="43" t="s">
        <v>259</v>
      </c>
      <c r="BH83" s="43" t="s">
        <v>259</v>
      </c>
      <c r="BI83" s="43" t="s">
        <v>259</v>
      </c>
      <c r="BJ83">
        <v>0</v>
      </c>
      <c r="BK83">
        <v>44109</v>
      </c>
      <c r="BL83">
        <v>44356</v>
      </c>
      <c r="BM83">
        <v>8505</v>
      </c>
      <c r="BN83">
        <v>8505</v>
      </c>
      <c r="BO83">
        <v>8505</v>
      </c>
      <c r="BP83">
        <v>25515</v>
      </c>
      <c r="BQ83">
        <v>3300</v>
      </c>
      <c r="BR83">
        <v>400</v>
      </c>
      <c r="BS83">
        <v>400</v>
      </c>
      <c r="BT83">
        <v>4100</v>
      </c>
      <c r="BU83">
        <v>2100</v>
      </c>
      <c r="BV83">
        <v>2100</v>
      </c>
      <c r="BW83">
        <v>2100</v>
      </c>
      <c r="BX83">
        <v>6300</v>
      </c>
      <c r="BY83">
        <v>1200</v>
      </c>
      <c r="BZ83">
        <v>1200</v>
      </c>
      <c r="CA83">
        <v>1200</v>
      </c>
      <c r="CB83">
        <v>3600</v>
      </c>
      <c r="CC83">
        <v>0</v>
      </c>
      <c r="CD83">
        <v>0</v>
      </c>
      <c r="CE83">
        <v>0</v>
      </c>
      <c r="CF83">
        <v>0</v>
      </c>
      <c r="CG83">
        <v>39515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1000</v>
      </c>
      <c r="DC83">
        <v>1000</v>
      </c>
      <c r="DD83">
        <v>1000</v>
      </c>
      <c r="DE83">
        <v>3000</v>
      </c>
      <c r="DF83">
        <v>0</v>
      </c>
      <c r="DG83">
        <v>0</v>
      </c>
      <c r="DH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3000</v>
      </c>
      <c r="EH83">
        <v>0</v>
      </c>
      <c r="EI83">
        <v>1154</v>
      </c>
      <c r="EJ83">
        <v>1154</v>
      </c>
      <c r="EK83">
        <v>1155</v>
      </c>
      <c r="EL83">
        <v>3500</v>
      </c>
      <c r="EM83">
        <v>37.065000000000005</v>
      </c>
      <c r="EN83">
        <v>660</v>
      </c>
      <c r="EO83">
        <v>660</v>
      </c>
      <c r="EP83">
        <v>659</v>
      </c>
      <c r="EQ83">
        <v>2000</v>
      </c>
      <c r="ER83">
        <v>21.18</v>
      </c>
      <c r="ES83">
        <v>0</v>
      </c>
      <c r="ET83">
        <v>0</v>
      </c>
      <c r="EU83">
        <v>0</v>
      </c>
      <c r="EV83">
        <v>0</v>
      </c>
      <c r="EW83">
        <v>0</v>
      </c>
      <c r="FA83">
        <v>0</v>
      </c>
      <c r="FE83">
        <v>0</v>
      </c>
      <c r="FI83">
        <v>0</v>
      </c>
      <c r="FJ83">
        <v>5441.7550000000001</v>
      </c>
      <c r="FK83">
        <v>36515</v>
      </c>
      <c r="FL83">
        <v>32451.797351491354</v>
      </c>
      <c r="FM83">
        <v>31073.245000000003</v>
      </c>
    </row>
    <row r="84" spans="1:169" x14ac:dyDescent="0.35">
      <c r="A84">
        <v>193556</v>
      </c>
      <c r="B84" t="s">
        <v>824</v>
      </c>
      <c r="C84" t="s">
        <v>825</v>
      </c>
      <c r="D84" t="s">
        <v>826</v>
      </c>
      <c r="E84" s="43" t="s">
        <v>827</v>
      </c>
      <c r="L84" s="43" t="s">
        <v>259</v>
      </c>
      <c r="M84" t="s">
        <v>828</v>
      </c>
      <c r="N84" t="s">
        <v>829</v>
      </c>
      <c r="O84" t="s">
        <v>830</v>
      </c>
      <c r="P84" t="s">
        <v>831</v>
      </c>
      <c r="Q84" t="s">
        <v>832</v>
      </c>
      <c r="R84">
        <v>1.9</v>
      </c>
      <c r="S84">
        <v>44109</v>
      </c>
      <c r="T84" t="s">
        <v>285</v>
      </c>
      <c r="U84" t="s">
        <v>266</v>
      </c>
      <c r="V84" t="s">
        <v>267</v>
      </c>
      <c r="W84" t="s">
        <v>268</v>
      </c>
      <c r="X84" t="s">
        <v>269</v>
      </c>
      <c r="Y84">
        <v>8883022894</v>
      </c>
      <c r="Z84" t="s">
        <v>270</v>
      </c>
      <c r="AA84" t="s">
        <v>271</v>
      </c>
      <c r="AB84">
        <v>0</v>
      </c>
      <c r="AC84" t="s">
        <v>752</v>
      </c>
      <c r="AD84" t="s">
        <v>833</v>
      </c>
      <c r="AE84" t="s">
        <v>344</v>
      </c>
      <c r="AF84">
        <v>10</v>
      </c>
      <c r="AG84" t="s">
        <v>275</v>
      </c>
      <c r="AH84" s="43" t="s">
        <v>259</v>
      </c>
      <c r="AI84" s="43" t="s">
        <v>259</v>
      </c>
      <c r="AJ84" s="43" t="s">
        <v>259</v>
      </c>
      <c r="AK84" s="43" t="s">
        <v>259</v>
      </c>
      <c r="AL84" s="43" t="s">
        <v>259</v>
      </c>
      <c r="AO84" s="23"/>
      <c r="AP84" s="23"/>
      <c r="AQ84" s="23"/>
      <c r="BD84" s="43" t="s">
        <v>259</v>
      </c>
      <c r="BE84" s="43" t="s">
        <v>259</v>
      </c>
      <c r="BF84" s="43" t="s">
        <v>259</v>
      </c>
      <c r="BG84" s="43" t="s">
        <v>259</v>
      </c>
      <c r="BH84" s="43" t="s">
        <v>259</v>
      </c>
      <c r="BI84" s="43" t="s">
        <v>259</v>
      </c>
      <c r="BJ84">
        <v>0</v>
      </c>
      <c r="BK84">
        <v>44109</v>
      </c>
      <c r="BL84">
        <v>44356</v>
      </c>
      <c r="BM84">
        <v>8505</v>
      </c>
      <c r="BN84">
        <v>8505</v>
      </c>
      <c r="BO84">
        <v>8505</v>
      </c>
      <c r="BP84">
        <v>25515</v>
      </c>
      <c r="BQ84">
        <v>3300</v>
      </c>
      <c r="BR84">
        <v>400</v>
      </c>
      <c r="BS84">
        <v>400</v>
      </c>
      <c r="BT84">
        <v>4100</v>
      </c>
      <c r="BU84">
        <v>2100</v>
      </c>
      <c r="BV84">
        <v>2100</v>
      </c>
      <c r="BW84">
        <v>2100</v>
      </c>
      <c r="BX84">
        <v>6300</v>
      </c>
      <c r="BY84">
        <v>1200</v>
      </c>
      <c r="BZ84">
        <v>1200</v>
      </c>
      <c r="CA84">
        <v>1200</v>
      </c>
      <c r="CB84">
        <v>3600</v>
      </c>
      <c r="CC84">
        <v>0</v>
      </c>
      <c r="CD84">
        <v>0</v>
      </c>
      <c r="CE84">
        <v>0</v>
      </c>
      <c r="CF84">
        <v>0</v>
      </c>
      <c r="CG84">
        <v>39515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H84">
        <v>0</v>
      </c>
      <c r="EI84">
        <v>1154</v>
      </c>
      <c r="EJ84">
        <v>1154</v>
      </c>
      <c r="EK84">
        <v>1155</v>
      </c>
      <c r="EL84">
        <v>3500</v>
      </c>
      <c r="EM84">
        <v>37.065000000000005</v>
      </c>
      <c r="EN84">
        <v>660</v>
      </c>
      <c r="EO84">
        <v>660</v>
      </c>
      <c r="EP84">
        <v>659</v>
      </c>
      <c r="EQ84">
        <v>2000</v>
      </c>
      <c r="ER84">
        <v>21.18</v>
      </c>
      <c r="ES84">
        <v>0</v>
      </c>
      <c r="ET84">
        <v>0</v>
      </c>
      <c r="EU84">
        <v>0</v>
      </c>
      <c r="EV84">
        <v>0</v>
      </c>
      <c r="EW84">
        <v>0</v>
      </c>
      <c r="FA84">
        <v>0</v>
      </c>
      <c r="FE84">
        <v>0</v>
      </c>
      <c r="FI84">
        <v>0</v>
      </c>
      <c r="FJ84">
        <v>5441.7550000000001</v>
      </c>
      <c r="FK84">
        <v>39515</v>
      </c>
      <c r="FL84">
        <v>35584.891177207784</v>
      </c>
      <c r="FM84">
        <v>34073.245000000003</v>
      </c>
    </row>
    <row r="85" spans="1:169" x14ac:dyDescent="0.35">
      <c r="A85">
        <v>193827</v>
      </c>
      <c r="B85" t="s">
        <v>834</v>
      </c>
      <c r="C85" t="s">
        <v>835</v>
      </c>
      <c r="D85" t="s">
        <v>836</v>
      </c>
      <c r="E85" s="43" t="s">
        <v>837</v>
      </c>
      <c r="L85" s="43" t="s">
        <v>259</v>
      </c>
      <c r="M85" t="s">
        <v>838</v>
      </c>
      <c r="N85" t="s">
        <v>839</v>
      </c>
      <c r="O85" t="s">
        <v>840</v>
      </c>
      <c r="P85" t="s">
        <v>596</v>
      </c>
      <c r="Q85" t="s">
        <v>841</v>
      </c>
      <c r="R85">
        <v>2.605</v>
      </c>
      <c r="S85">
        <v>44109</v>
      </c>
      <c r="T85" t="s">
        <v>265</v>
      </c>
      <c r="U85" t="s">
        <v>266</v>
      </c>
      <c r="V85" t="s">
        <v>267</v>
      </c>
      <c r="W85" t="s">
        <v>268</v>
      </c>
      <c r="X85" t="s">
        <v>269</v>
      </c>
      <c r="Y85">
        <v>8883022894</v>
      </c>
      <c r="Z85" t="s">
        <v>270</v>
      </c>
      <c r="AA85" t="s">
        <v>271</v>
      </c>
      <c r="AB85" t="s">
        <v>842</v>
      </c>
      <c r="AC85">
        <v>0</v>
      </c>
      <c r="AD85" t="s">
        <v>843</v>
      </c>
      <c r="AE85" t="s">
        <v>274</v>
      </c>
      <c r="AF85">
        <v>9</v>
      </c>
      <c r="AG85" t="s">
        <v>275</v>
      </c>
      <c r="AH85" s="43" t="s">
        <v>259</v>
      </c>
      <c r="AI85" s="43" t="s">
        <v>259</v>
      </c>
      <c r="AJ85" s="43" t="s">
        <v>259</v>
      </c>
      <c r="AK85" s="43" t="s">
        <v>259</v>
      </c>
      <c r="AL85" s="43" t="s">
        <v>259</v>
      </c>
      <c r="AO85" s="23"/>
      <c r="AP85" s="23"/>
      <c r="AQ85" s="23"/>
      <c r="BD85" s="43" t="s">
        <v>259</v>
      </c>
      <c r="BE85" s="43" t="s">
        <v>259</v>
      </c>
      <c r="BF85" s="43" t="s">
        <v>259</v>
      </c>
      <c r="BG85" s="43" t="s">
        <v>259</v>
      </c>
      <c r="BH85" s="43" t="s">
        <v>259</v>
      </c>
      <c r="BI85" s="43" t="s">
        <v>259</v>
      </c>
      <c r="BJ85">
        <v>0</v>
      </c>
      <c r="BK85">
        <v>44109</v>
      </c>
      <c r="BL85">
        <v>44356</v>
      </c>
      <c r="BM85">
        <v>8505</v>
      </c>
      <c r="BN85">
        <v>8505</v>
      </c>
      <c r="BO85">
        <v>8505</v>
      </c>
      <c r="BP85">
        <v>25515</v>
      </c>
      <c r="BQ85">
        <v>3300</v>
      </c>
      <c r="BR85">
        <v>400</v>
      </c>
      <c r="BS85">
        <v>400</v>
      </c>
      <c r="BT85">
        <v>4100</v>
      </c>
      <c r="BU85">
        <v>2100</v>
      </c>
      <c r="BV85">
        <v>2100</v>
      </c>
      <c r="BW85">
        <v>2100</v>
      </c>
      <c r="BX85">
        <v>6300</v>
      </c>
      <c r="BY85">
        <v>1200</v>
      </c>
      <c r="BZ85">
        <v>1200</v>
      </c>
      <c r="CA85">
        <v>1200</v>
      </c>
      <c r="CB85">
        <v>3600</v>
      </c>
      <c r="CC85">
        <v>0</v>
      </c>
      <c r="CD85">
        <v>0</v>
      </c>
      <c r="CE85">
        <v>0</v>
      </c>
      <c r="CF85">
        <v>0</v>
      </c>
      <c r="CG85">
        <v>39515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H85">
        <v>0</v>
      </c>
      <c r="EI85">
        <v>1154</v>
      </c>
      <c r="EJ85">
        <v>1154</v>
      </c>
      <c r="EK85">
        <v>1155</v>
      </c>
      <c r="EL85">
        <v>3500</v>
      </c>
      <c r="EM85">
        <v>37.065000000000005</v>
      </c>
      <c r="EN85">
        <v>660</v>
      </c>
      <c r="EO85">
        <v>660</v>
      </c>
      <c r="EP85">
        <v>659</v>
      </c>
      <c r="EQ85">
        <v>2000</v>
      </c>
      <c r="ER85">
        <v>21.18</v>
      </c>
      <c r="ES85">
        <v>0</v>
      </c>
      <c r="ET85">
        <v>0</v>
      </c>
      <c r="EU85">
        <v>0</v>
      </c>
      <c r="EV85">
        <v>0</v>
      </c>
      <c r="EW85">
        <v>0</v>
      </c>
      <c r="FA85">
        <v>0</v>
      </c>
      <c r="FE85">
        <v>0</v>
      </c>
      <c r="FI85">
        <v>0</v>
      </c>
      <c r="FJ85">
        <v>5441.7550000000001</v>
      </c>
      <c r="FK85">
        <v>39515</v>
      </c>
      <c r="FL85">
        <v>35584.891177207784</v>
      </c>
      <c r="FM85">
        <v>34073.245000000003</v>
      </c>
    </row>
    <row r="86" spans="1:169" x14ac:dyDescent="0.35">
      <c r="A86">
        <v>196652</v>
      </c>
      <c r="B86" t="s">
        <v>844</v>
      </c>
      <c r="C86" t="s">
        <v>845</v>
      </c>
      <c r="D86" t="s">
        <v>846</v>
      </c>
      <c r="E86" s="43" t="s">
        <v>847</v>
      </c>
      <c r="F86">
        <v>1</v>
      </c>
      <c r="I86" s="23">
        <v>43783</v>
      </c>
      <c r="L86" s="43" t="s">
        <v>3204</v>
      </c>
      <c r="M86" t="s">
        <v>848</v>
      </c>
      <c r="N86" t="s">
        <v>849</v>
      </c>
      <c r="O86" t="s">
        <v>850</v>
      </c>
      <c r="P86" t="s">
        <v>372</v>
      </c>
      <c r="Q86" t="s">
        <v>851</v>
      </c>
      <c r="R86">
        <v>3</v>
      </c>
      <c r="S86">
        <v>44109</v>
      </c>
      <c r="T86" t="s">
        <v>285</v>
      </c>
      <c r="U86" t="s">
        <v>266</v>
      </c>
      <c r="V86" t="s">
        <v>267</v>
      </c>
      <c r="W86" t="s">
        <v>268</v>
      </c>
      <c r="X86" t="s">
        <v>269</v>
      </c>
      <c r="Y86">
        <v>8883022894</v>
      </c>
      <c r="Z86" t="s">
        <v>270</v>
      </c>
      <c r="AA86" t="s">
        <v>271</v>
      </c>
      <c r="AB86" t="s">
        <v>287</v>
      </c>
      <c r="AC86">
        <v>0</v>
      </c>
      <c r="AD86" t="s">
        <v>771</v>
      </c>
      <c r="AE86" t="s">
        <v>364</v>
      </c>
      <c r="AF86">
        <v>3</v>
      </c>
      <c r="AG86" t="s">
        <v>275</v>
      </c>
      <c r="AH86" s="43" t="s">
        <v>3237</v>
      </c>
      <c r="AI86" s="43" t="s">
        <v>3238</v>
      </c>
      <c r="AJ86" s="43" t="s">
        <v>3207</v>
      </c>
      <c r="AK86" s="43" t="s">
        <v>3208</v>
      </c>
      <c r="AL86" s="43" t="s">
        <v>3209</v>
      </c>
      <c r="AO86" s="23"/>
      <c r="AP86" s="23"/>
      <c r="AQ86" s="23"/>
      <c r="BD86" s="43" t="s">
        <v>2018</v>
      </c>
      <c r="BE86" s="43" t="s">
        <v>2018</v>
      </c>
      <c r="BF86" s="43" t="s">
        <v>2018</v>
      </c>
      <c r="BG86" s="43" t="s">
        <v>2018</v>
      </c>
      <c r="BH86" s="43" t="s">
        <v>2018</v>
      </c>
      <c r="BI86" s="43" t="s">
        <v>2018</v>
      </c>
      <c r="BJ86">
        <v>0</v>
      </c>
      <c r="BK86">
        <v>44109</v>
      </c>
      <c r="BL86">
        <v>44356</v>
      </c>
      <c r="BM86">
        <v>8505</v>
      </c>
      <c r="BN86">
        <v>8505</v>
      </c>
      <c r="BO86">
        <v>8505</v>
      </c>
      <c r="BP86">
        <v>25515</v>
      </c>
      <c r="BQ86">
        <v>3300</v>
      </c>
      <c r="BR86">
        <v>400</v>
      </c>
      <c r="BS86">
        <v>400</v>
      </c>
      <c r="BT86">
        <v>4100</v>
      </c>
      <c r="BU86">
        <v>2100</v>
      </c>
      <c r="BV86">
        <v>2100</v>
      </c>
      <c r="BW86">
        <v>2100</v>
      </c>
      <c r="BX86">
        <v>6300</v>
      </c>
      <c r="BY86">
        <v>1200</v>
      </c>
      <c r="BZ86">
        <v>1200</v>
      </c>
      <c r="CA86">
        <v>1200</v>
      </c>
      <c r="CB86">
        <v>3600</v>
      </c>
      <c r="CC86">
        <v>0</v>
      </c>
      <c r="CD86">
        <v>0</v>
      </c>
      <c r="CE86">
        <v>0</v>
      </c>
      <c r="CF86">
        <v>0</v>
      </c>
      <c r="CG86">
        <v>39515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1300</v>
      </c>
      <c r="CU86">
        <v>1300</v>
      </c>
      <c r="CV86">
        <v>1300</v>
      </c>
      <c r="CW86">
        <v>3900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3900</v>
      </c>
      <c r="EH86">
        <v>0</v>
      </c>
      <c r="EI86">
        <v>1154</v>
      </c>
      <c r="EJ86">
        <v>1154</v>
      </c>
      <c r="EK86">
        <v>1155</v>
      </c>
      <c r="EL86">
        <v>3500</v>
      </c>
      <c r="EM86">
        <v>37.065000000000005</v>
      </c>
      <c r="EN86">
        <v>660</v>
      </c>
      <c r="EO86">
        <v>660</v>
      </c>
      <c r="EP86">
        <v>659</v>
      </c>
      <c r="EQ86">
        <v>2000</v>
      </c>
      <c r="ER86">
        <v>21.18</v>
      </c>
      <c r="ES86">
        <v>0</v>
      </c>
      <c r="ET86">
        <v>0</v>
      </c>
      <c r="EU86">
        <v>0</v>
      </c>
      <c r="EV86">
        <v>0</v>
      </c>
      <c r="EW86">
        <v>0</v>
      </c>
      <c r="FA86">
        <v>0</v>
      </c>
      <c r="FE86">
        <v>0</v>
      </c>
      <c r="FI86">
        <v>0</v>
      </c>
      <c r="FJ86">
        <v>5441.7550000000001</v>
      </c>
      <c r="FK86">
        <v>35615</v>
      </c>
      <c r="FL86">
        <v>31511.869203776419</v>
      </c>
      <c r="FM86">
        <v>30173.244999999999</v>
      </c>
    </row>
    <row r="87" spans="1:169" x14ac:dyDescent="0.35">
      <c r="A87">
        <v>196842</v>
      </c>
      <c r="B87" t="s">
        <v>852</v>
      </c>
      <c r="C87" t="s">
        <v>853</v>
      </c>
      <c r="D87" t="s">
        <v>854</v>
      </c>
      <c r="E87" s="43" t="s">
        <v>855</v>
      </c>
      <c r="F87">
        <v>1</v>
      </c>
      <c r="I87" s="23">
        <v>43776</v>
      </c>
      <c r="L87" s="43" t="s">
        <v>3204</v>
      </c>
      <c r="M87" t="s">
        <v>856</v>
      </c>
      <c r="N87" t="s">
        <v>857</v>
      </c>
      <c r="O87" t="s">
        <v>858</v>
      </c>
      <c r="P87" t="s">
        <v>596</v>
      </c>
      <c r="Q87" t="s">
        <v>859</v>
      </c>
      <c r="R87">
        <v>3.13</v>
      </c>
      <c r="S87">
        <v>44109</v>
      </c>
      <c r="T87" t="s">
        <v>311</v>
      </c>
      <c r="U87" t="s">
        <v>286</v>
      </c>
      <c r="V87" t="s">
        <v>267</v>
      </c>
      <c r="W87" t="s">
        <v>268</v>
      </c>
      <c r="X87" t="s">
        <v>269</v>
      </c>
      <c r="Y87">
        <v>8883022894</v>
      </c>
      <c r="Z87" t="s">
        <v>270</v>
      </c>
      <c r="AA87" t="s">
        <v>271</v>
      </c>
      <c r="AB87" t="s">
        <v>679</v>
      </c>
      <c r="AC87">
        <v>0</v>
      </c>
      <c r="AD87" t="s">
        <v>860</v>
      </c>
      <c r="AE87" t="s">
        <v>364</v>
      </c>
      <c r="AF87">
        <v>3</v>
      </c>
      <c r="AG87" t="s">
        <v>275</v>
      </c>
      <c r="AH87" s="43" t="s">
        <v>3239</v>
      </c>
      <c r="AI87" s="43" t="s">
        <v>3240</v>
      </c>
      <c r="AJ87" s="43" t="s">
        <v>3207</v>
      </c>
      <c r="AK87" s="43" t="s">
        <v>3208</v>
      </c>
      <c r="AL87" s="43" t="s">
        <v>3209</v>
      </c>
      <c r="AO87" s="23">
        <v>43766</v>
      </c>
      <c r="AP87" s="23"/>
      <c r="AQ87" s="23"/>
      <c r="BD87" s="43" t="s">
        <v>2018</v>
      </c>
      <c r="BE87" s="43" t="s">
        <v>2018</v>
      </c>
      <c r="BF87" s="43" t="s">
        <v>2018</v>
      </c>
      <c r="BG87" s="43" t="s">
        <v>2018</v>
      </c>
      <c r="BH87" s="43" t="s">
        <v>2018</v>
      </c>
      <c r="BI87" s="43" t="s">
        <v>2018</v>
      </c>
      <c r="BJ87">
        <v>5.8823529411764719E-2</v>
      </c>
      <c r="BK87">
        <v>44109</v>
      </c>
      <c r="BL87">
        <v>44356</v>
      </c>
      <c r="BM87">
        <v>8505</v>
      </c>
      <c r="BN87">
        <v>8505</v>
      </c>
      <c r="BO87">
        <v>8505</v>
      </c>
      <c r="BP87">
        <v>25515</v>
      </c>
      <c r="BQ87">
        <v>3300</v>
      </c>
      <c r="BR87">
        <v>400</v>
      </c>
      <c r="BS87">
        <v>400</v>
      </c>
      <c r="BT87">
        <v>4100</v>
      </c>
      <c r="BU87">
        <v>2100</v>
      </c>
      <c r="BV87">
        <v>2100</v>
      </c>
      <c r="BW87">
        <v>2100</v>
      </c>
      <c r="BX87">
        <v>6300</v>
      </c>
      <c r="BY87">
        <v>1200</v>
      </c>
      <c r="BZ87">
        <v>1200</v>
      </c>
      <c r="CA87">
        <v>1200</v>
      </c>
      <c r="CB87">
        <v>3600</v>
      </c>
      <c r="CC87">
        <v>0</v>
      </c>
      <c r="CD87">
        <v>0</v>
      </c>
      <c r="CE87">
        <v>0</v>
      </c>
      <c r="CF87">
        <v>0</v>
      </c>
      <c r="CG87">
        <v>39515</v>
      </c>
      <c r="CH87">
        <v>0</v>
      </c>
      <c r="CI87">
        <v>0</v>
      </c>
      <c r="CJ87">
        <v>0</v>
      </c>
      <c r="CK87">
        <v>0</v>
      </c>
      <c r="CL87">
        <v>1449</v>
      </c>
      <c r="CM87">
        <v>1448</v>
      </c>
      <c r="CN87">
        <v>1448</v>
      </c>
      <c r="CO87">
        <v>4345</v>
      </c>
      <c r="CP87">
        <v>500</v>
      </c>
      <c r="CQ87">
        <v>500</v>
      </c>
      <c r="CR87">
        <v>500</v>
      </c>
      <c r="CS87">
        <v>1500</v>
      </c>
      <c r="CT87">
        <v>1300</v>
      </c>
      <c r="CU87">
        <v>1300</v>
      </c>
      <c r="CV87">
        <v>1300</v>
      </c>
      <c r="CW87">
        <v>3900</v>
      </c>
      <c r="CX87">
        <v>0</v>
      </c>
      <c r="CY87">
        <v>0</v>
      </c>
      <c r="CZ87">
        <v>0</v>
      </c>
      <c r="DA87">
        <v>0</v>
      </c>
      <c r="DB87">
        <v>1000</v>
      </c>
      <c r="DC87">
        <v>1000</v>
      </c>
      <c r="DD87">
        <v>1000</v>
      </c>
      <c r="DE87">
        <v>3000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12745</v>
      </c>
      <c r="EE87">
        <v>0</v>
      </c>
      <c r="EF87">
        <v>0</v>
      </c>
      <c r="EG87">
        <v>0</v>
      </c>
      <c r="EH87">
        <v>0</v>
      </c>
      <c r="EI87">
        <v>1154</v>
      </c>
      <c r="EJ87">
        <v>1154</v>
      </c>
      <c r="EK87">
        <v>1155</v>
      </c>
      <c r="EL87">
        <v>3500</v>
      </c>
      <c r="EM87">
        <v>37.065000000000005</v>
      </c>
      <c r="EN87">
        <v>660</v>
      </c>
      <c r="EO87">
        <v>660</v>
      </c>
      <c r="EP87">
        <v>659</v>
      </c>
      <c r="EQ87">
        <v>2000</v>
      </c>
      <c r="ER87">
        <v>21.18</v>
      </c>
      <c r="ES87">
        <v>0</v>
      </c>
      <c r="ET87">
        <v>0</v>
      </c>
      <c r="EU87">
        <v>0</v>
      </c>
      <c r="EV87">
        <v>0</v>
      </c>
      <c r="EW87">
        <v>0</v>
      </c>
      <c r="FA87">
        <v>0</v>
      </c>
      <c r="FE87">
        <v>0</v>
      </c>
      <c r="FI87">
        <v>0</v>
      </c>
      <c r="FJ87">
        <v>5441.7550000000001</v>
      </c>
      <c r="FK87">
        <v>26770</v>
      </c>
      <c r="FL87">
        <v>22271.673071300276</v>
      </c>
      <c r="FM87">
        <v>21328.244999999999</v>
      </c>
    </row>
    <row r="88" spans="1:169" x14ac:dyDescent="0.35">
      <c r="A88">
        <v>196339</v>
      </c>
      <c r="B88" t="s">
        <v>861</v>
      </c>
      <c r="C88" t="s">
        <v>862</v>
      </c>
      <c r="D88" t="s">
        <v>863</v>
      </c>
      <c r="E88" s="43" t="s">
        <v>864</v>
      </c>
      <c r="F88">
        <v>1</v>
      </c>
      <c r="I88" s="23">
        <v>43801</v>
      </c>
      <c r="L88" s="43" t="s">
        <v>344</v>
      </c>
      <c r="M88" t="s">
        <v>865</v>
      </c>
      <c r="N88" t="s">
        <v>866</v>
      </c>
      <c r="O88" t="s">
        <v>595</v>
      </c>
      <c r="P88" t="s">
        <v>596</v>
      </c>
      <c r="Q88" t="s">
        <v>867</v>
      </c>
      <c r="R88">
        <v>3.3409</v>
      </c>
      <c r="S88">
        <v>44109</v>
      </c>
      <c r="T88" t="s">
        <v>311</v>
      </c>
      <c r="U88" t="s">
        <v>286</v>
      </c>
      <c r="V88" t="s">
        <v>267</v>
      </c>
      <c r="W88" t="s">
        <v>268</v>
      </c>
      <c r="X88" t="s">
        <v>269</v>
      </c>
      <c r="Y88">
        <v>8883022894</v>
      </c>
      <c r="Z88" t="s">
        <v>270</v>
      </c>
      <c r="AA88" t="s">
        <v>271</v>
      </c>
      <c r="AB88" t="s">
        <v>287</v>
      </c>
      <c r="AC88">
        <v>0</v>
      </c>
      <c r="AD88" t="s">
        <v>868</v>
      </c>
      <c r="AE88" t="s">
        <v>301</v>
      </c>
      <c r="AF88">
        <v>1</v>
      </c>
      <c r="AG88" t="s">
        <v>275</v>
      </c>
      <c r="AH88" s="43" t="s">
        <v>313</v>
      </c>
      <c r="AI88" s="43" t="s">
        <v>313</v>
      </c>
      <c r="AJ88" s="43" t="s">
        <v>3309</v>
      </c>
      <c r="AK88" s="43" t="s">
        <v>3208</v>
      </c>
      <c r="AL88" s="43" t="s">
        <v>3209</v>
      </c>
      <c r="AO88" s="23"/>
      <c r="AP88" s="23"/>
      <c r="AQ88" s="23"/>
      <c r="BD88" s="43" t="s">
        <v>2018</v>
      </c>
      <c r="BE88" s="43" t="s">
        <v>2018</v>
      </c>
      <c r="BF88" s="43" t="s">
        <v>2018</v>
      </c>
      <c r="BG88" s="43" t="s">
        <v>2018</v>
      </c>
      <c r="BH88" s="43" t="s">
        <v>2018</v>
      </c>
      <c r="BI88" s="43" t="s">
        <v>2018</v>
      </c>
      <c r="BJ88">
        <v>0</v>
      </c>
      <c r="BK88">
        <v>44109</v>
      </c>
      <c r="BL88">
        <v>44356</v>
      </c>
      <c r="BM88">
        <v>8505</v>
      </c>
      <c r="BN88">
        <v>8505</v>
      </c>
      <c r="BO88">
        <v>8505</v>
      </c>
      <c r="BP88">
        <v>25515</v>
      </c>
      <c r="BQ88">
        <v>3300</v>
      </c>
      <c r="BR88">
        <v>400</v>
      </c>
      <c r="BS88">
        <v>400</v>
      </c>
      <c r="BT88">
        <v>4100</v>
      </c>
      <c r="BU88">
        <v>2100</v>
      </c>
      <c r="BV88">
        <v>2100</v>
      </c>
      <c r="BW88">
        <v>2100</v>
      </c>
      <c r="BX88">
        <v>6300</v>
      </c>
      <c r="BY88">
        <v>1200</v>
      </c>
      <c r="BZ88">
        <v>1200</v>
      </c>
      <c r="CA88">
        <v>1200</v>
      </c>
      <c r="CB88">
        <v>3600</v>
      </c>
      <c r="CC88">
        <v>0</v>
      </c>
      <c r="CD88">
        <v>0</v>
      </c>
      <c r="CE88">
        <v>0</v>
      </c>
      <c r="CF88">
        <v>0</v>
      </c>
      <c r="CG88">
        <v>39515</v>
      </c>
      <c r="CH88">
        <v>0</v>
      </c>
      <c r="CI88">
        <v>0</v>
      </c>
      <c r="CJ88">
        <v>0</v>
      </c>
      <c r="CK88">
        <v>0</v>
      </c>
      <c r="CL88">
        <v>2065</v>
      </c>
      <c r="CM88">
        <v>2065</v>
      </c>
      <c r="CN88">
        <v>2065</v>
      </c>
      <c r="CO88">
        <v>6195</v>
      </c>
      <c r="CP88">
        <v>500</v>
      </c>
      <c r="CQ88">
        <v>500</v>
      </c>
      <c r="CR88">
        <v>500</v>
      </c>
      <c r="CS88">
        <v>1500</v>
      </c>
      <c r="CT88">
        <v>1700</v>
      </c>
      <c r="CU88">
        <v>1700</v>
      </c>
      <c r="CV88">
        <v>1700</v>
      </c>
      <c r="CW88">
        <v>5100</v>
      </c>
      <c r="CX88">
        <v>0</v>
      </c>
      <c r="CY88">
        <v>0</v>
      </c>
      <c r="CZ88">
        <v>0</v>
      </c>
      <c r="DA88">
        <v>0</v>
      </c>
      <c r="DB88">
        <v>1000</v>
      </c>
      <c r="DC88">
        <v>1000</v>
      </c>
      <c r="DD88">
        <v>1000</v>
      </c>
      <c r="DE88">
        <v>3000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15795</v>
      </c>
      <c r="EE88">
        <v>0</v>
      </c>
      <c r="EF88">
        <v>0</v>
      </c>
      <c r="EG88">
        <v>0</v>
      </c>
      <c r="EH88">
        <v>0</v>
      </c>
      <c r="EI88">
        <v>1154</v>
      </c>
      <c r="EJ88">
        <v>1154</v>
      </c>
      <c r="EK88">
        <v>1155</v>
      </c>
      <c r="EL88">
        <v>3500</v>
      </c>
      <c r="EM88">
        <v>37.065000000000005</v>
      </c>
      <c r="EN88">
        <v>660</v>
      </c>
      <c r="EO88">
        <v>660</v>
      </c>
      <c r="EP88">
        <v>659</v>
      </c>
      <c r="EQ88">
        <v>2000</v>
      </c>
      <c r="ER88">
        <v>21.18</v>
      </c>
      <c r="ES88">
        <v>0</v>
      </c>
      <c r="ET88">
        <v>0</v>
      </c>
      <c r="EU88">
        <v>0</v>
      </c>
      <c r="EV88">
        <v>0</v>
      </c>
      <c r="EW88">
        <v>0</v>
      </c>
      <c r="FA88">
        <v>0</v>
      </c>
      <c r="FE88">
        <v>0</v>
      </c>
      <c r="FI88">
        <v>0</v>
      </c>
      <c r="FJ88">
        <v>5441.7550000000001</v>
      </c>
      <c r="FK88">
        <v>23720</v>
      </c>
      <c r="FL88">
        <v>19086.7601603943</v>
      </c>
      <c r="FM88">
        <v>18278.244999999999</v>
      </c>
    </row>
    <row r="89" spans="1:169" x14ac:dyDescent="0.35">
      <c r="A89">
        <v>195855</v>
      </c>
      <c r="B89" t="s">
        <v>869</v>
      </c>
      <c r="C89" t="s">
        <v>870</v>
      </c>
      <c r="D89" t="s">
        <v>871</v>
      </c>
      <c r="E89" s="43" t="s">
        <v>872</v>
      </c>
      <c r="F89">
        <v>1</v>
      </c>
      <c r="I89" s="23">
        <v>43782</v>
      </c>
      <c r="L89" s="43" t="s">
        <v>344</v>
      </c>
      <c r="M89" t="s">
        <v>873</v>
      </c>
      <c r="N89" t="s">
        <v>874</v>
      </c>
      <c r="O89" t="s">
        <v>875</v>
      </c>
      <c r="P89" t="s">
        <v>342</v>
      </c>
      <c r="Q89" t="s">
        <v>876</v>
      </c>
      <c r="R89">
        <v>3.2</v>
      </c>
      <c r="S89">
        <v>44109</v>
      </c>
      <c r="T89" t="s">
        <v>285</v>
      </c>
      <c r="U89" t="s">
        <v>266</v>
      </c>
      <c r="V89" t="s">
        <v>267</v>
      </c>
      <c r="W89" t="s">
        <v>268</v>
      </c>
      <c r="X89" t="s">
        <v>269</v>
      </c>
      <c r="Y89">
        <v>8883022894</v>
      </c>
      <c r="Z89" t="s">
        <v>270</v>
      </c>
      <c r="AA89" t="s">
        <v>271</v>
      </c>
      <c r="AB89">
        <v>0</v>
      </c>
      <c r="AC89" t="s">
        <v>877</v>
      </c>
      <c r="AD89" t="s">
        <v>728</v>
      </c>
      <c r="AE89" t="s">
        <v>416</v>
      </c>
      <c r="AF89">
        <v>5</v>
      </c>
      <c r="AG89" t="s">
        <v>275</v>
      </c>
      <c r="AH89" s="43" t="s">
        <v>313</v>
      </c>
      <c r="AI89" s="43" t="s">
        <v>313</v>
      </c>
      <c r="AJ89" s="43" t="s">
        <v>3207</v>
      </c>
      <c r="AK89" s="43" t="s">
        <v>1715</v>
      </c>
      <c r="AL89" s="43" t="s">
        <v>259</v>
      </c>
      <c r="AO89" s="23"/>
      <c r="AP89" s="23"/>
      <c r="AQ89" s="23"/>
      <c r="BD89" s="43" t="s">
        <v>259</v>
      </c>
      <c r="BE89" s="43" t="s">
        <v>259</v>
      </c>
      <c r="BF89" s="43" t="s">
        <v>259</v>
      </c>
      <c r="BG89" s="43" t="s">
        <v>259</v>
      </c>
      <c r="BH89" s="43" t="s">
        <v>259</v>
      </c>
      <c r="BI89" s="43" t="s">
        <v>259</v>
      </c>
      <c r="BJ89">
        <v>0</v>
      </c>
      <c r="BK89">
        <v>44109</v>
      </c>
      <c r="BL89">
        <v>44356</v>
      </c>
      <c r="BM89">
        <v>8505</v>
      </c>
      <c r="BN89">
        <v>8505</v>
      </c>
      <c r="BO89">
        <v>8505</v>
      </c>
      <c r="BP89">
        <v>25515</v>
      </c>
      <c r="BQ89">
        <v>3300</v>
      </c>
      <c r="BR89">
        <v>400</v>
      </c>
      <c r="BS89">
        <v>400</v>
      </c>
      <c r="BT89">
        <v>4100</v>
      </c>
      <c r="BU89">
        <v>2100</v>
      </c>
      <c r="BV89">
        <v>2100</v>
      </c>
      <c r="BW89">
        <v>2100</v>
      </c>
      <c r="BX89">
        <v>6300</v>
      </c>
      <c r="BY89">
        <v>1200</v>
      </c>
      <c r="BZ89">
        <v>1200</v>
      </c>
      <c r="CA89">
        <v>1200</v>
      </c>
      <c r="CB89">
        <v>3600</v>
      </c>
      <c r="CC89">
        <v>0</v>
      </c>
      <c r="CD89">
        <v>0</v>
      </c>
      <c r="CE89">
        <v>0</v>
      </c>
      <c r="CF89">
        <v>0</v>
      </c>
      <c r="CG89">
        <v>39515</v>
      </c>
      <c r="CH89">
        <v>0</v>
      </c>
      <c r="CI89">
        <v>0</v>
      </c>
      <c r="CJ89">
        <v>0</v>
      </c>
      <c r="CK89">
        <v>0</v>
      </c>
      <c r="CL89">
        <v>2065</v>
      </c>
      <c r="CM89">
        <v>2065</v>
      </c>
      <c r="CN89">
        <v>2065</v>
      </c>
      <c r="CO89">
        <v>6195</v>
      </c>
      <c r="CP89">
        <v>500</v>
      </c>
      <c r="CQ89">
        <v>500</v>
      </c>
      <c r="CR89">
        <v>500</v>
      </c>
      <c r="CS89">
        <v>1500</v>
      </c>
      <c r="CT89">
        <v>1000</v>
      </c>
      <c r="CU89">
        <v>1000</v>
      </c>
      <c r="CV89">
        <v>1000</v>
      </c>
      <c r="CW89">
        <v>3000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10695</v>
      </c>
      <c r="EE89">
        <v>0</v>
      </c>
      <c r="EF89">
        <v>0</v>
      </c>
      <c r="EG89">
        <v>0</v>
      </c>
      <c r="EH89">
        <v>0</v>
      </c>
      <c r="EI89">
        <v>1154</v>
      </c>
      <c r="EJ89">
        <v>1154</v>
      </c>
      <c r="EK89">
        <v>1155</v>
      </c>
      <c r="EL89">
        <v>3500</v>
      </c>
      <c r="EM89">
        <v>37.065000000000005</v>
      </c>
      <c r="EN89">
        <v>660</v>
      </c>
      <c r="EO89">
        <v>660</v>
      </c>
      <c r="EP89">
        <v>659</v>
      </c>
      <c r="EQ89">
        <v>2000</v>
      </c>
      <c r="ER89">
        <v>21.18</v>
      </c>
      <c r="ES89">
        <v>0</v>
      </c>
      <c r="ET89">
        <v>0</v>
      </c>
      <c r="EU89">
        <v>0</v>
      </c>
      <c r="EV89">
        <v>0</v>
      </c>
      <c r="EW89">
        <v>0</v>
      </c>
      <c r="FA89">
        <v>0</v>
      </c>
      <c r="FE89">
        <v>0</v>
      </c>
      <c r="FI89">
        <v>0</v>
      </c>
      <c r="FJ89">
        <v>5441.7550000000001</v>
      </c>
      <c r="FK89">
        <v>28820</v>
      </c>
      <c r="FL89">
        <v>24412.352240925607</v>
      </c>
      <c r="FM89">
        <v>23378.244999999999</v>
      </c>
    </row>
    <row r="90" spans="1:169" x14ac:dyDescent="0.35">
      <c r="A90">
        <v>197667</v>
      </c>
      <c r="B90" t="s">
        <v>869</v>
      </c>
      <c r="C90" t="s">
        <v>878</v>
      </c>
      <c r="D90" t="s">
        <v>879</v>
      </c>
      <c r="E90" s="43" t="s">
        <v>880</v>
      </c>
      <c r="F90">
        <v>1</v>
      </c>
      <c r="G90" s="23">
        <v>43776</v>
      </c>
      <c r="H90" s="23">
        <v>43776</v>
      </c>
      <c r="I90" s="23">
        <v>43776</v>
      </c>
      <c r="J90" t="s">
        <v>3765</v>
      </c>
      <c r="K90" t="s">
        <v>1715</v>
      </c>
      <c r="L90" s="43" t="s">
        <v>3204</v>
      </c>
      <c r="M90" t="s">
        <v>881</v>
      </c>
      <c r="N90" t="s">
        <v>882</v>
      </c>
      <c r="O90" t="s">
        <v>883</v>
      </c>
      <c r="P90" t="s">
        <v>332</v>
      </c>
      <c r="Q90" t="s">
        <v>884</v>
      </c>
      <c r="R90">
        <v>2.73</v>
      </c>
      <c r="S90">
        <v>44109</v>
      </c>
      <c r="T90" t="s">
        <v>311</v>
      </c>
      <c r="U90" t="s">
        <v>266</v>
      </c>
      <c r="V90" t="s">
        <v>267</v>
      </c>
      <c r="W90" t="s">
        <v>268</v>
      </c>
      <c r="X90" t="s">
        <v>269</v>
      </c>
      <c r="Y90">
        <v>8883022894</v>
      </c>
      <c r="Z90" t="s">
        <v>270</v>
      </c>
      <c r="AA90" t="s">
        <v>271</v>
      </c>
      <c r="AB90" t="s">
        <v>322</v>
      </c>
      <c r="AC90">
        <v>0</v>
      </c>
      <c r="AD90" t="s">
        <v>885</v>
      </c>
      <c r="AE90" t="s">
        <v>324</v>
      </c>
      <c r="AF90">
        <v>8</v>
      </c>
      <c r="AG90" t="s">
        <v>275</v>
      </c>
      <c r="AH90" s="43" t="s">
        <v>3226</v>
      </c>
      <c r="AI90" s="43" t="s">
        <v>313</v>
      </c>
      <c r="AJ90" s="43" t="s">
        <v>3207</v>
      </c>
      <c r="AK90" s="43" t="s">
        <v>3208</v>
      </c>
      <c r="AL90" s="43" t="s">
        <v>3209</v>
      </c>
      <c r="AO90" s="23">
        <v>43764</v>
      </c>
      <c r="AP90" s="23"/>
      <c r="AQ90" s="23"/>
      <c r="BD90" s="43" t="s">
        <v>2018</v>
      </c>
      <c r="BE90" s="43" t="s">
        <v>2018</v>
      </c>
      <c r="BF90" s="43" t="s">
        <v>2018</v>
      </c>
      <c r="BG90" s="43" t="s">
        <v>2018</v>
      </c>
      <c r="BH90" s="43" t="s">
        <v>2018</v>
      </c>
      <c r="BI90" s="43" t="s">
        <v>2018</v>
      </c>
      <c r="BJ90">
        <v>5.8823529411764719E-2</v>
      </c>
      <c r="BK90">
        <v>44109</v>
      </c>
      <c r="BL90">
        <v>44356</v>
      </c>
      <c r="BM90">
        <v>8505</v>
      </c>
      <c r="BN90">
        <v>8505</v>
      </c>
      <c r="BO90">
        <v>8505</v>
      </c>
      <c r="BP90">
        <v>25515</v>
      </c>
      <c r="BQ90">
        <v>3300</v>
      </c>
      <c r="BR90">
        <v>400</v>
      </c>
      <c r="BS90">
        <v>400</v>
      </c>
      <c r="BT90">
        <v>4100</v>
      </c>
      <c r="BU90">
        <v>2100</v>
      </c>
      <c r="BV90">
        <v>2100</v>
      </c>
      <c r="BW90">
        <v>2100</v>
      </c>
      <c r="BX90">
        <v>6300</v>
      </c>
      <c r="BY90">
        <v>1200</v>
      </c>
      <c r="BZ90">
        <v>1200</v>
      </c>
      <c r="CA90">
        <v>1200</v>
      </c>
      <c r="CB90">
        <v>3600</v>
      </c>
      <c r="CC90">
        <v>0</v>
      </c>
      <c r="CD90">
        <v>0</v>
      </c>
      <c r="CE90">
        <v>0</v>
      </c>
      <c r="CF90">
        <v>0</v>
      </c>
      <c r="CG90">
        <v>39515</v>
      </c>
      <c r="CH90">
        <v>0</v>
      </c>
      <c r="CI90">
        <v>0</v>
      </c>
      <c r="CJ90">
        <v>0</v>
      </c>
      <c r="CK90">
        <v>0</v>
      </c>
      <c r="CL90">
        <v>2065</v>
      </c>
      <c r="CM90">
        <v>2065</v>
      </c>
      <c r="CN90">
        <v>2065</v>
      </c>
      <c r="CO90">
        <v>6195</v>
      </c>
      <c r="CP90">
        <v>500</v>
      </c>
      <c r="CQ90">
        <v>500</v>
      </c>
      <c r="CR90">
        <v>500</v>
      </c>
      <c r="CS90">
        <v>1500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7695</v>
      </c>
      <c r="EE90">
        <v>0</v>
      </c>
      <c r="EF90">
        <v>0</v>
      </c>
      <c r="EG90">
        <v>0</v>
      </c>
      <c r="EH90">
        <v>0</v>
      </c>
      <c r="EI90">
        <v>1154</v>
      </c>
      <c r="EJ90">
        <v>1154</v>
      </c>
      <c r="EK90">
        <v>1155</v>
      </c>
      <c r="EL90">
        <v>3500</v>
      </c>
      <c r="EM90">
        <v>37.065000000000005</v>
      </c>
      <c r="EN90">
        <v>660</v>
      </c>
      <c r="EO90">
        <v>660</v>
      </c>
      <c r="EP90">
        <v>659</v>
      </c>
      <c r="EQ90">
        <v>2000</v>
      </c>
      <c r="ER90">
        <v>21.18</v>
      </c>
      <c r="ES90">
        <v>8809</v>
      </c>
      <c r="ET90">
        <v>8809</v>
      </c>
      <c r="EU90">
        <v>8809</v>
      </c>
      <c r="EV90">
        <v>27545</v>
      </c>
      <c r="EW90">
        <v>1167</v>
      </c>
      <c r="FA90">
        <v>0</v>
      </c>
      <c r="FE90">
        <v>0</v>
      </c>
      <c r="FI90">
        <v>0</v>
      </c>
      <c r="FJ90">
        <v>31819.948800000002</v>
      </c>
      <c r="FK90">
        <v>31820</v>
      </c>
      <c r="FL90">
        <v>5.3464767551545139E-2</v>
      </c>
      <c r="FM90">
        <v>5.1199999998061685E-2</v>
      </c>
    </row>
    <row r="91" spans="1:169" x14ac:dyDescent="0.35">
      <c r="A91">
        <v>197351</v>
      </c>
      <c r="B91" t="s">
        <v>869</v>
      </c>
      <c r="C91" t="s">
        <v>886</v>
      </c>
      <c r="D91" t="s">
        <v>887</v>
      </c>
      <c r="E91" s="43" t="s">
        <v>888</v>
      </c>
      <c r="F91">
        <v>1</v>
      </c>
      <c r="G91" s="23">
        <v>43776</v>
      </c>
      <c r="H91" s="23">
        <v>43782</v>
      </c>
      <c r="I91" s="23">
        <v>43782</v>
      </c>
      <c r="J91" t="s">
        <v>3581</v>
      </c>
      <c r="K91" t="s">
        <v>3307</v>
      </c>
      <c r="L91" s="43" t="s">
        <v>3204</v>
      </c>
      <c r="M91" t="s">
        <v>889</v>
      </c>
      <c r="N91" t="s">
        <v>890</v>
      </c>
      <c r="O91" t="s">
        <v>891</v>
      </c>
      <c r="P91" t="s">
        <v>524</v>
      </c>
      <c r="Q91" t="s">
        <v>892</v>
      </c>
      <c r="R91">
        <v>2.5741000000000001</v>
      </c>
      <c r="S91">
        <v>44109</v>
      </c>
      <c r="T91" t="s">
        <v>265</v>
      </c>
      <c r="U91" t="s">
        <v>286</v>
      </c>
      <c r="V91" t="s">
        <v>893</v>
      </c>
      <c r="W91" t="s">
        <v>268</v>
      </c>
      <c r="X91" t="s">
        <v>269</v>
      </c>
      <c r="Y91">
        <v>8883022894</v>
      </c>
      <c r="Z91" t="s">
        <v>270</v>
      </c>
      <c r="AA91" t="s">
        <v>271</v>
      </c>
      <c r="AB91" t="s">
        <v>374</v>
      </c>
      <c r="AC91">
        <v>0</v>
      </c>
      <c r="AD91" t="s">
        <v>894</v>
      </c>
      <c r="AE91" t="s">
        <v>354</v>
      </c>
      <c r="AF91">
        <v>6</v>
      </c>
      <c r="AG91" t="s">
        <v>275</v>
      </c>
      <c r="AH91" s="43" t="s">
        <v>3241</v>
      </c>
      <c r="AI91" s="43" t="s">
        <v>3242</v>
      </c>
      <c r="AJ91" s="43" t="s">
        <v>3207</v>
      </c>
      <c r="AK91" s="43" t="s">
        <v>1715</v>
      </c>
      <c r="AL91" s="43" t="s">
        <v>259</v>
      </c>
      <c r="AM91">
        <v>43782</v>
      </c>
      <c r="AN91">
        <v>43782</v>
      </c>
      <c r="AO91" s="23">
        <v>43766</v>
      </c>
      <c r="AP91" s="23">
        <v>43782</v>
      </c>
      <c r="AQ91" s="23">
        <v>43767</v>
      </c>
      <c r="BD91" s="43" t="s">
        <v>259</v>
      </c>
      <c r="BE91" s="43" t="s">
        <v>259</v>
      </c>
      <c r="BF91" s="43" t="s">
        <v>2018</v>
      </c>
      <c r="BG91" s="43" t="s">
        <v>2018</v>
      </c>
      <c r="BH91" s="43" t="s">
        <v>3207</v>
      </c>
      <c r="BI91" s="43" t="s">
        <v>2018</v>
      </c>
      <c r="BJ91">
        <v>0.30000000000000004</v>
      </c>
      <c r="BK91">
        <v>44109</v>
      </c>
      <c r="BL91">
        <v>44356</v>
      </c>
      <c r="BM91">
        <v>8505</v>
      </c>
      <c r="BN91">
        <v>8505</v>
      </c>
      <c r="BO91">
        <v>8505</v>
      </c>
      <c r="BP91">
        <v>25515</v>
      </c>
      <c r="BQ91">
        <v>3300</v>
      </c>
      <c r="BR91">
        <v>400</v>
      </c>
      <c r="BS91">
        <v>400</v>
      </c>
      <c r="BT91">
        <v>4100</v>
      </c>
      <c r="BU91">
        <v>2100</v>
      </c>
      <c r="BV91">
        <v>2100</v>
      </c>
      <c r="BW91">
        <v>2100</v>
      </c>
      <c r="BX91">
        <v>6300</v>
      </c>
      <c r="BY91">
        <v>1200</v>
      </c>
      <c r="BZ91">
        <v>1200</v>
      </c>
      <c r="CA91">
        <v>1200</v>
      </c>
      <c r="CB91">
        <v>3600</v>
      </c>
      <c r="CC91">
        <v>0</v>
      </c>
      <c r="CD91">
        <v>0</v>
      </c>
      <c r="CE91">
        <v>0</v>
      </c>
      <c r="CF91">
        <v>0</v>
      </c>
      <c r="CG91">
        <v>39515</v>
      </c>
      <c r="CK91">
        <v>0</v>
      </c>
      <c r="CL91">
        <v>2049</v>
      </c>
      <c r="CM91">
        <v>2048</v>
      </c>
      <c r="CN91">
        <v>2048</v>
      </c>
      <c r="CO91">
        <v>6145</v>
      </c>
      <c r="CP91">
        <v>500</v>
      </c>
      <c r="CQ91">
        <v>500</v>
      </c>
      <c r="CR91">
        <v>500</v>
      </c>
      <c r="CS91">
        <v>1500</v>
      </c>
      <c r="CT91">
        <v>750</v>
      </c>
      <c r="CU91">
        <v>750</v>
      </c>
      <c r="CV91">
        <v>750</v>
      </c>
      <c r="CW91">
        <v>2250</v>
      </c>
      <c r="CX91">
        <v>0</v>
      </c>
      <c r="CY91">
        <v>0</v>
      </c>
      <c r="CZ91">
        <v>0</v>
      </c>
      <c r="DA91">
        <v>0</v>
      </c>
      <c r="DB91">
        <v>1000</v>
      </c>
      <c r="DC91">
        <v>1000</v>
      </c>
      <c r="DD91">
        <v>1000</v>
      </c>
      <c r="DE91">
        <v>3000</v>
      </c>
      <c r="DF91">
        <v>0</v>
      </c>
      <c r="DG91">
        <v>0</v>
      </c>
      <c r="DH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12895</v>
      </c>
      <c r="EE91">
        <v>0</v>
      </c>
      <c r="EF91">
        <v>0</v>
      </c>
      <c r="EG91">
        <v>0</v>
      </c>
      <c r="EH91">
        <v>0</v>
      </c>
      <c r="EI91">
        <v>1154</v>
      </c>
      <c r="EJ91">
        <v>1154</v>
      </c>
      <c r="EK91">
        <v>1155</v>
      </c>
      <c r="EL91">
        <v>3500</v>
      </c>
      <c r="EM91">
        <v>37.065000000000005</v>
      </c>
      <c r="EN91">
        <v>660</v>
      </c>
      <c r="EO91">
        <v>660</v>
      </c>
      <c r="EP91">
        <v>659</v>
      </c>
      <c r="EQ91">
        <v>2000</v>
      </c>
      <c r="ER91">
        <v>21.18</v>
      </c>
      <c r="ES91">
        <v>7073</v>
      </c>
      <c r="ET91">
        <v>7073</v>
      </c>
      <c r="EU91">
        <v>7073</v>
      </c>
      <c r="EV91">
        <v>22118</v>
      </c>
      <c r="EW91">
        <v>940</v>
      </c>
      <c r="FA91">
        <v>0</v>
      </c>
      <c r="FE91">
        <v>0</v>
      </c>
      <c r="FI91">
        <v>0</v>
      </c>
      <c r="FJ91">
        <v>26620.182360000003</v>
      </c>
      <c r="FK91">
        <v>26620</v>
      </c>
      <c r="FL91">
        <v>-0.19045033002184608</v>
      </c>
      <c r="FM91">
        <v>-0.18236000000251809</v>
      </c>
    </row>
    <row r="92" spans="1:169" x14ac:dyDescent="0.35">
      <c r="A92">
        <v>196698</v>
      </c>
      <c r="B92" t="s">
        <v>895</v>
      </c>
      <c r="C92" t="s">
        <v>896</v>
      </c>
      <c r="D92" t="s">
        <v>897</v>
      </c>
      <c r="E92" s="43" t="s">
        <v>898</v>
      </c>
      <c r="L92" s="43" t="s">
        <v>259</v>
      </c>
      <c r="M92" t="s">
        <v>899</v>
      </c>
      <c r="N92" t="s">
        <v>900</v>
      </c>
      <c r="O92" t="s">
        <v>901</v>
      </c>
      <c r="P92" t="s">
        <v>542</v>
      </c>
      <c r="Q92" t="s">
        <v>902</v>
      </c>
      <c r="R92">
        <v>3.4039999999999999</v>
      </c>
      <c r="S92">
        <v>44109</v>
      </c>
      <c r="T92" t="s">
        <v>544</v>
      </c>
      <c r="U92" t="s">
        <v>266</v>
      </c>
      <c r="V92" t="s">
        <v>267</v>
      </c>
      <c r="W92" t="s">
        <v>268</v>
      </c>
      <c r="X92" t="s">
        <v>269</v>
      </c>
      <c r="Y92">
        <v>8883022894</v>
      </c>
      <c r="Z92" t="s">
        <v>270</v>
      </c>
      <c r="AA92" t="s">
        <v>271</v>
      </c>
      <c r="AB92">
        <v>0</v>
      </c>
      <c r="AC92">
        <v>0</v>
      </c>
      <c r="AD92" t="s">
        <v>313</v>
      </c>
      <c r="AE92" t="s">
        <v>324</v>
      </c>
      <c r="AF92">
        <v>8</v>
      </c>
      <c r="AG92" t="s">
        <v>275</v>
      </c>
      <c r="AH92" s="43" t="s">
        <v>259</v>
      </c>
      <c r="AI92" s="43" t="s">
        <v>259</v>
      </c>
      <c r="AJ92" s="43" t="s">
        <v>259</v>
      </c>
      <c r="AK92" s="43" t="s">
        <v>259</v>
      </c>
      <c r="AL92" s="43" t="s">
        <v>259</v>
      </c>
      <c r="AO92" s="23"/>
      <c r="AP92" s="23"/>
      <c r="AQ92" s="23"/>
      <c r="BD92" s="43" t="s">
        <v>259</v>
      </c>
      <c r="BE92" s="43" t="s">
        <v>259</v>
      </c>
      <c r="BF92" s="43" t="s">
        <v>259</v>
      </c>
      <c r="BG92" s="43" t="s">
        <v>259</v>
      </c>
      <c r="BH92" s="43" t="s">
        <v>259</v>
      </c>
      <c r="BI92" s="43" t="s">
        <v>259</v>
      </c>
      <c r="BJ92">
        <v>0</v>
      </c>
      <c r="BK92">
        <v>44109</v>
      </c>
      <c r="BL92">
        <v>44356</v>
      </c>
      <c r="BM92">
        <v>8505</v>
      </c>
      <c r="BN92">
        <v>8505</v>
      </c>
      <c r="BO92">
        <v>8505</v>
      </c>
      <c r="BP92">
        <v>25515</v>
      </c>
      <c r="BQ92">
        <v>3300</v>
      </c>
      <c r="BR92">
        <v>400</v>
      </c>
      <c r="BS92">
        <v>400</v>
      </c>
      <c r="BT92">
        <v>4100</v>
      </c>
      <c r="BU92">
        <v>2100</v>
      </c>
      <c r="BV92">
        <v>2100</v>
      </c>
      <c r="BW92">
        <v>2100</v>
      </c>
      <c r="BX92">
        <v>6300</v>
      </c>
      <c r="BY92">
        <v>1200</v>
      </c>
      <c r="BZ92">
        <v>1200</v>
      </c>
      <c r="CA92">
        <v>1200</v>
      </c>
      <c r="CB92">
        <v>3600</v>
      </c>
      <c r="CC92">
        <v>0</v>
      </c>
      <c r="CD92">
        <v>0</v>
      </c>
      <c r="CE92">
        <v>0</v>
      </c>
      <c r="CF92">
        <v>0</v>
      </c>
      <c r="CG92">
        <v>39515</v>
      </c>
      <c r="CH92">
        <v>0</v>
      </c>
      <c r="CI92">
        <v>0</v>
      </c>
      <c r="CJ92">
        <v>0</v>
      </c>
      <c r="CK92">
        <v>0</v>
      </c>
      <c r="CL92">
        <v>2065</v>
      </c>
      <c r="CM92">
        <v>2065</v>
      </c>
      <c r="CN92">
        <v>2065</v>
      </c>
      <c r="CO92">
        <v>6195</v>
      </c>
      <c r="CP92">
        <v>500</v>
      </c>
      <c r="CQ92">
        <v>500</v>
      </c>
      <c r="CR92">
        <v>500</v>
      </c>
      <c r="CS92">
        <v>1500</v>
      </c>
      <c r="CT92">
        <v>0</v>
      </c>
      <c r="CU92">
        <v>0</v>
      </c>
      <c r="CV92">
        <v>0</v>
      </c>
      <c r="CW92">
        <v>0</v>
      </c>
      <c r="CX92">
        <v>3000</v>
      </c>
      <c r="CY92">
        <v>3000</v>
      </c>
      <c r="CZ92">
        <v>3000</v>
      </c>
      <c r="DA92">
        <v>9000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16695</v>
      </c>
      <c r="EE92">
        <v>0</v>
      </c>
      <c r="EF92">
        <v>0</v>
      </c>
      <c r="EG92">
        <v>0</v>
      </c>
      <c r="EH92">
        <v>0</v>
      </c>
      <c r="EI92">
        <v>1154</v>
      </c>
      <c r="EJ92">
        <v>1154</v>
      </c>
      <c r="EK92">
        <v>1155</v>
      </c>
      <c r="EL92">
        <v>3500</v>
      </c>
      <c r="EM92">
        <v>37.065000000000005</v>
      </c>
      <c r="EN92">
        <v>660</v>
      </c>
      <c r="EO92">
        <v>660</v>
      </c>
      <c r="EP92">
        <v>659</v>
      </c>
      <c r="EQ92">
        <v>2000</v>
      </c>
      <c r="ER92">
        <v>21.18</v>
      </c>
      <c r="ES92">
        <v>0</v>
      </c>
      <c r="ET92">
        <v>0</v>
      </c>
      <c r="EU92">
        <v>0</v>
      </c>
      <c r="EV92">
        <v>0</v>
      </c>
      <c r="EW92">
        <v>0</v>
      </c>
      <c r="FA92">
        <v>0</v>
      </c>
      <c r="FE92">
        <v>0</v>
      </c>
      <c r="FI92">
        <v>0</v>
      </c>
      <c r="FJ92">
        <v>5441.7550000000001</v>
      </c>
      <c r="FK92">
        <v>22820</v>
      </c>
      <c r="FL92">
        <v>18146.949793241722</v>
      </c>
      <c r="FM92">
        <v>17378.244999999999</v>
      </c>
    </row>
    <row r="93" spans="1:169" x14ac:dyDescent="0.35">
      <c r="A93">
        <v>199124</v>
      </c>
      <c r="B93" t="s">
        <v>3501</v>
      </c>
      <c r="C93" t="s">
        <v>1780</v>
      </c>
      <c r="D93" t="s">
        <v>3502</v>
      </c>
      <c r="E93" s="43" t="s">
        <v>4208</v>
      </c>
      <c r="J93" t="s">
        <v>3425</v>
      </c>
      <c r="L93" s="43" t="s">
        <v>259</v>
      </c>
      <c r="M93" t="s">
        <v>3503</v>
      </c>
      <c r="N93" t="s">
        <v>3504</v>
      </c>
      <c r="O93" t="s">
        <v>3505</v>
      </c>
      <c r="P93" t="s">
        <v>372</v>
      </c>
      <c r="Q93" t="s">
        <v>3506</v>
      </c>
      <c r="R93">
        <v>3.7</v>
      </c>
      <c r="S93">
        <v>44109</v>
      </c>
      <c r="T93" t="s">
        <v>285</v>
      </c>
      <c r="U93" t="s">
        <v>266</v>
      </c>
      <c r="V93" t="s">
        <v>267</v>
      </c>
      <c r="W93" t="s">
        <v>268</v>
      </c>
      <c r="X93" t="s">
        <v>269</v>
      </c>
      <c r="Y93">
        <v>8883022894</v>
      </c>
      <c r="Z93" t="s">
        <v>270</v>
      </c>
      <c r="AA93" t="s">
        <v>271</v>
      </c>
      <c r="AB93">
        <v>0</v>
      </c>
      <c r="AC93">
        <v>0</v>
      </c>
      <c r="AD93" t="s">
        <v>313</v>
      </c>
      <c r="AE93" t="s">
        <v>445</v>
      </c>
      <c r="AF93">
        <v>4</v>
      </c>
      <c r="AG93" t="s">
        <v>3345</v>
      </c>
      <c r="AH93" s="43" t="s">
        <v>259</v>
      </c>
      <c r="AI93" s="43" t="s">
        <v>259</v>
      </c>
      <c r="AJ93" s="43" t="s">
        <v>259</v>
      </c>
      <c r="AK93" s="43" t="s">
        <v>259</v>
      </c>
      <c r="AL93" s="43" t="s">
        <v>259</v>
      </c>
      <c r="AO93" s="23"/>
      <c r="AP93" s="23"/>
      <c r="AQ93" s="23"/>
      <c r="BD93" s="43" t="s">
        <v>259</v>
      </c>
      <c r="BE93" s="43" t="s">
        <v>259</v>
      </c>
      <c r="BF93" s="43" t="s">
        <v>259</v>
      </c>
      <c r="BG93" s="43" t="s">
        <v>259</v>
      </c>
      <c r="BH93" s="43" t="s">
        <v>259</v>
      </c>
      <c r="BI93" s="43" t="s">
        <v>259</v>
      </c>
      <c r="BJ93">
        <v>0</v>
      </c>
      <c r="BK93">
        <v>44109</v>
      </c>
      <c r="BL93">
        <v>44356</v>
      </c>
      <c r="BM93">
        <v>8505</v>
      </c>
      <c r="BN93">
        <v>8505</v>
      </c>
      <c r="BO93">
        <v>8505</v>
      </c>
      <c r="BP93">
        <v>25515</v>
      </c>
      <c r="BQ93">
        <v>3300</v>
      </c>
      <c r="BR93">
        <v>400</v>
      </c>
      <c r="BS93">
        <v>400</v>
      </c>
      <c r="BT93">
        <v>4100</v>
      </c>
      <c r="BU93">
        <v>2100</v>
      </c>
      <c r="BV93">
        <v>2100</v>
      </c>
      <c r="BW93">
        <v>2100</v>
      </c>
      <c r="BX93">
        <v>6300</v>
      </c>
      <c r="BY93">
        <v>1200</v>
      </c>
      <c r="BZ93">
        <v>1200</v>
      </c>
      <c r="CA93">
        <v>1200</v>
      </c>
      <c r="CB93">
        <v>3600</v>
      </c>
      <c r="CF93">
        <v>0</v>
      </c>
      <c r="CG93">
        <v>39515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1250</v>
      </c>
      <c r="CU93">
        <v>1250</v>
      </c>
      <c r="CV93">
        <v>1250</v>
      </c>
      <c r="CW93">
        <v>3750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N93">
        <v>0</v>
      </c>
      <c r="DO93">
        <v>0</v>
      </c>
      <c r="DP93">
        <v>0</v>
      </c>
      <c r="DR93">
        <v>0</v>
      </c>
      <c r="DS93">
        <v>0</v>
      </c>
      <c r="DT93">
        <v>0</v>
      </c>
      <c r="DY93">
        <v>0</v>
      </c>
      <c r="EC93">
        <v>0</v>
      </c>
      <c r="ED93">
        <v>3750</v>
      </c>
      <c r="EH93">
        <v>0</v>
      </c>
      <c r="EI93">
        <v>0</v>
      </c>
      <c r="EJ93">
        <v>0</v>
      </c>
      <c r="EK93">
        <v>0</v>
      </c>
      <c r="EM93">
        <v>0</v>
      </c>
      <c r="EN93">
        <v>660</v>
      </c>
      <c r="EO93">
        <v>660</v>
      </c>
      <c r="EP93">
        <v>659</v>
      </c>
      <c r="EQ93">
        <v>2000</v>
      </c>
      <c r="ER93">
        <v>21.24</v>
      </c>
      <c r="ES93">
        <v>0</v>
      </c>
      <c r="ET93">
        <v>0</v>
      </c>
      <c r="EU93">
        <v>0</v>
      </c>
      <c r="EW93">
        <v>0</v>
      </c>
      <c r="FA93">
        <v>0</v>
      </c>
      <c r="FE93">
        <v>0</v>
      </c>
      <c r="FI93">
        <v>0</v>
      </c>
      <c r="FJ93">
        <v>1978.76</v>
      </c>
      <c r="FK93">
        <v>35765</v>
      </c>
      <c r="FL93">
        <v>35285.153312724535</v>
      </c>
      <c r="FM93">
        <v>33786.239999999998</v>
      </c>
    </row>
    <row r="94" spans="1:169" x14ac:dyDescent="0.35">
      <c r="A94">
        <v>198046</v>
      </c>
      <c r="B94" t="s">
        <v>904</v>
      </c>
      <c r="C94" t="s">
        <v>905</v>
      </c>
      <c r="D94" t="s">
        <v>906</v>
      </c>
      <c r="E94" s="43" t="s">
        <v>907</v>
      </c>
      <c r="F94">
        <v>1</v>
      </c>
      <c r="G94" s="23">
        <v>43794</v>
      </c>
      <c r="H94" s="23">
        <v>43794</v>
      </c>
      <c r="I94" s="23">
        <v>43794</v>
      </c>
      <c r="J94" t="s">
        <v>3909</v>
      </c>
      <c r="L94" s="43" t="s">
        <v>3204</v>
      </c>
      <c r="M94" t="s">
        <v>908</v>
      </c>
      <c r="N94" t="s">
        <v>909</v>
      </c>
      <c r="O94" t="s">
        <v>910</v>
      </c>
      <c r="P94" t="s">
        <v>911</v>
      </c>
      <c r="Q94" t="s">
        <v>912</v>
      </c>
      <c r="R94">
        <v>3.0375000000000001</v>
      </c>
      <c r="S94">
        <v>44109</v>
      </c>
      <c r="T94" t="s">
        <v>265</v>
      </c>
      <c r="U94" t="s">
        <v>266</v>
      </c>
      <c r="V94" t="s">
        <v>267</v>
      </c>
      <c r="W94" t="s">
        <v>268</v>
      </c>
      <c r="X94" t="s">
        <v>269</v>
      </c>
      <c r="Y94">
        <v>8883022894</v>
      </c>
      <c r="Z94" t="s">
        <v>270</v>
      </c>
      <c r="AA94" t="s">
        <v>271</v>
      </c>
      <c r="AB94">
        <v>0</v>
      </c>
      <c r="AC94" t="s">
        <v>913</v>
      </c>
      <c r="AD94" t="s">
        <v>771</v>
      </c>
      <c r="AE94" t="s">
        <v>445</v>
      </c>
      <c r="AF94">
        <v>4</v>
      </c>
      <c r="AG94" t="s">
        <v>275</v>
      </c>
      <c r="AH94" s="43" t="s">
        <v>4175</v>
      </c>
      <c r="AI94" s="43" t="s">
        <v>4176</v>
      </c>
      <c r="AJ94" s="43" t="s">
        <v>4169</v>
      </c>
      <c r="AK94" s="43" t="s">
        <v>3208</v>
      </c>
      <c r="AL94" s="43" t="s">
        <v>3209</v>
      </c>
      <c r="AO94" s="23">
        <v>43795</v>
      </c>
      <c r="AP94" s="23"/>
      <c r="AQ94" s="23"/>
      <c r="BD94" s="43" t="s">
        <v>2018</v>
      </c>
      <c r="BE94" s="43" t="s">
        <v>2018</v>
      </c>
      <c r="BF94" s="43" t="s">
        <v>2018</v>
      </c>
      <c r="BG94" s="43" t="s">
        <v>2018</v>
      </c>
      <c r="BH94" s="43" t="s">
        <v>2018</v>
      </c>
      <c r="BI94" s="43" t="s">
        <v>2018</v>
      </c>
      <c r="BJ94">
        <v>5.8823529411764719E-2</v>
      </c>
      <c r="BK94">
        <v>44109</v>
      </c>
      <c r="BL94">
        <v>44356</v>
      </c>
      <c r="BM94">
        <v>8505</v>
      </c>
      <c r="BN94">
        <v>8505</v>
      </c>
      <c r="BO94">
        <v>8505</v>
      </c>
      <c r="BP94">
        <v>25515</v>
      </c>
      <c r="BQ94">
        <v>3300</v>
      </c>
      <c r="BR94">
        <v>400</v>
      </c>
      <c r="BS94">
        <v>400</v>
      </c>
      <c r="BT94">
        <v>4100</v>
      </c>
      <c r="BU94">
        <v>2100</v>
      </c>
      <c r="BV94">
        <v>2100</v>
      </c>
      <c r="BW94">
        <v>2100</v>
      </c>
      <c r="BX94">
        <v>6300</v>
      </c>
      <c r="BY94">
        <v>1200</v>
      </c>
      <c r="BZ94">
        <v>1200</v>
      </c>
      <c r="CA94">
        <v>1200</v>
      </c>
      <c r="CB94">
        <v>3600</v>
      </c>
      <c r="CC94">
        <v>0</v>
      </c>
      <c r="CD94">
        <v>0</v>
      </c>
      <c r="CE94">
        <v>0</v>
      </c>
      <c r="CF94">
        <v>0</v>
      </c>
      <c r="CG94">
        <v>39515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1250</v>
      </c>
      <c r="CU94">
        <v>1250</v>
      </c>
      <c r="CV94">
        <v>1250</v>
      </c>
      <c r="CW94">
        <v>3750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3750</v>
      </c>
      <c r="EE94">
        <v>0</v>
      </c>
      <c r="EF94">
        <v>0</v>
      </c>
      <c r="EG94">
        <v>0</v>
      </c>
      <c r="EH94">
        <v>0</v>
      </c>
      <c r="EI94">
        <v>1154</v>
      </c>
      <c r="EJ94">
        <v>1154</v>
      </c>
      <c r="EK94">
        <v>1155</v>
      </c>
      <c r="EL94">
        <v>3500</v>
      </c>
      <c r="EM94">
        <v>37.065000000000005</v>
      </c>
      <c r="EN94">
        <v>660</v>
      </c>
      <c r="EO94">
        <v>660</v>
      </c>
      <c r="EP94">
        <v>659</v>
      </c>
      <c r="EQ94">
        <v>2000</v>
      </c>
      <c r="ER94">
        <v>21.18</v>
      </c>
      <c r="ES94">
        <v>0</v>
      </c>
      <c r="ET94">
        <v>0</v>
      </c>
      <c r="EU94">
        <v>0</v>
      </c>
      <c r="EV94">
        <v>0</v>
      </c>
      <c r="EW94">
        <v>0</v>
      </c>
      <c r="FA94">
        <v>0</v>
      </c>
      <c r="FE94">
        <v>0</v>
      </c>
      <c r="FI94">
        <v>0</v>
      </c>
      <c r="FJ94">
        <v>5441.7550000000001</v>
      </c>
      <c r="FK94">
        <v>35765</v>
      </c>
      <c r="FL94">
        <v>31664.555574119709</v>
      </c>
      <c r="FM94">
        <v>30323.244999999999</v>
      </c>
    </row>
    <row r="95" spans="1:169" x14ac:dyDescent="0.35">
      <c r="A95">
        <v>198964</v>
      </c>
      <c r="B95" t="s">
        <v>914</v>
      </c>
      <c r="C95" t="s">
        <v>915</v>
      </c>
      <c r="D95" t="s">
        <v>916</v>
      </c>
      <c r="E95" s="43" t="s">
        <v>3286</v>
      </c>
      <c r="L95" s="43" t="s">
        <v>259</v>
      </c>
      <c r="M95" t="s">
        <v>917</v>
      </c>
      <c r="N95" t="s">
        <v>918</v>
      </c>
      <c r="O95" t="s">
        <v>919</v>
      </c>
      <c r="P95" t="s">
        <v>705</v>
      </c>
      <c r="Q95" t="s">
        <v>920</v>
      </c>
      <c r="R95">
        <v>1.353</v>
      </c>
      <c r="S95">
        <v>44109</v>
      </c>
      <c r="T95" t="s">
        <v>311</v>
      </c>
      <c r="U95" t="s">
        <v>266</v>
      </c>
      <c r="V95" t="s">
        <v>267</v>
      </c>
      <c r="W95" t="s">
        <v>268</v>
      </c>
      <c r="X95" t="s">
        <v>269</v>
      </c>
      <c r="Y95">
        <v>8883022894</v>
      </c>
      <c r="Z95" t="s">
        <v>270</v>
      </c>
      <c r="AA95" t="s">
        <v>271</v>
      </c>
      <c r="AB95">
        <v>0</v>
      </c>
      <c r="AC95" t="s">
        <v>796</v>
      </c>
      <c r="AD95" t="s">
        <v>313</v>
      </c>
      <c r="AE95" t="s">
        <v>324</v>
      </c>
      <c r="AF95">
        <v>8</v>
      </c>
      <c r="AG95" t="s">
        <v>446</v>
      </c>
      <c r="AH95" s="43" t="s">
        <v>259</v>
      </c>
      <c r="AI95" s="43" t="s">
        <v>259</v>
      </c>
      <c r="AJ95" s="43" t="s">
        <v>259</v>
      </c>
      <c r="AK95" s="43" t="s">
        <v>259</v>
      </c>
      <c r="AL95" s="43" t="s">
        <v>259</v>
      </c>
      <c r="AO95" s="23"/>
      <c r="AP95" s="23"/>
      <c r="AQ95" s="23"/>
      <c r="BD95" s="43" t="s">
        <v>259</v>
      </c>
      <c r="BE95" s="43" t="s">
        <v>259</v>
      </c>
      <c r="BF95" s="43" t="s">
        <v>259</v>
      </c>
      <c r="BG95" s="43" t="s">
        <v>259</v>
      </c>
      <c r="BH95" s="43" t="s">
        <v>259</v>
      </c>
      <c r="BI95" s="43" t="s">
        <v>259</v>
      </c>
      <c r="BJ95">
        <v>0</v>
      </c>
      <c r="BK95">
        <v>44109</v>
      </c>
      <c r="BL95">
        <v>44356</v>
      </c>
      <c r="BM95">
        <v>8505</v>
      </c>
      <c r="BN95">
        <v>8505</v>
      </c>
      <c r="BO95">
        <v>8505</v>
      </c>
      <c r="BP95">
        <v>25515</v>
      </c>
      <c r="BQ95">
        <v>3300</v>
      </c>
      <c r="BR95">
        <v>400</v>
      </c>
      <c r="BS95">
        <v>400</v>
      </c>
      <c r="BT95">
        <v>4100</v>
      </c>
      <c r="BU95">
        <v>2100</v>
      </c>
      <c r="BV95">
        <v>2100</v>
      </c>
      <c r="BW95">
        <v>2100</v>
      </c>
      <c r="BX95">
        <v>6300</v>
      </c>
      <c r="BY95">
        <v>1200</v>
      </c>
      <c r="BZ95">
        <v>1200</v>
      </c>
      <c r="CA95">
        <v>1200</v>
      </c>
      <c r="CB95">
        <v>3600</v>
      </c>
      <c r="CF95">
        <v>0</v>
      </c>
      <c r="CG95">
        <v>39515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N95">
        <v>0</v>
      </c>
      <c r="DO95">
        <v>0</v>
      </c>
      <c r="DP95">
        <v>0</v>
      </c>
      <c r="DR95">
        <v>0</v>
      </c>
      <c r="DS95">
        <v>0</v>
      </c>
      <c r="DT95">
        <v>0</v>
      </c>
      <c r="DY95">
        <v>0</v>
      </c>
      <c r="EC95">
        <v>0</v>
      </c>
      <c r="ED95">
        <v>0</v>
      </c>
      <c r="EH95">
        <v>0</v>
      </c>
      <c r="EI95">
        <v>0</v>
      </c>
      <c r="EJ95">
        <v>0</v>
      </c>
      <c r="EK95">
        <v>0</v>
      </c>
      <c r="EM95">
        <v>0</v>
      </c>
      <c r="EN95">
        <v>660</v>
      </c>
      <c r="EO95">
        <v>660</v>
      </c>
      <c r="EP95">
        <v>659</v>
      </c>
      <c r="EQ95">
        <v>2000</v>
      </c>
      <c r="ER95">
        <v>21.24</v>
      </c>
      <c r="ES95">
        <v>0</v>
      </c>
      <c r="ET95">
        <v>0</v>
      </c>
      <c r="EU95">
        <v>0</v>
      </c>
      <c r="EW95">
        <v>0</v>
      </c>
      <c r="FA95">
        <v>0</v>
      </c>
      <c r="FE95">
        <v>0</v>
      </c>
      <c r="FI95">
        <v>0</v>
      </c>
      <c r="FJ95">
        <v>1978.76</v>
      </c>
      <c r="FK95">
        <v>39515</v>
      </c>
      <c r="FL95">
        <v>39201.520594870075</v>
      </c>
      <c r="FM95">
        <v>37536.239999999998</v>
      </c>
    </row>
    <row r="96" spans="1:169" x14ac:dyDescent="0.35">
      <c r="A96">
        <v>198525</v>
      </c>
      <c r="B96" t="s">
        <v>921</v>
      </c>
      <c r="C96" t="s">
        <v>3507</v>
      </c>
      <c r="D96" t="s">
        <v>3508</v>
      </c>
      <c r="E96" s="43" t="s">
        <v>4209</v>
      </c>
      <c r="J96" t="s">
        <v>3425</v>
      </c>
      <c r="L96" s="43" t="s">
        <v>259</v>
      </c>
      <c r="M96" t="s">
        <v>3509</v>
      </c>
      <c r="N96" t="s">
        <v>3510</v>
      </c>
      <c r="O96" t="s">
        <v>3511</v>
      </c>
      <c r="P96" t="s">
        <v>1650</v>
      </c>
      <c r="Q96" t="s">
        <v>3512</v>
      </c>
      <c r="R96">
        <v>2.84</v>
      </c>
      <c r="S96">
        <v>44109</v>
      </c>
      <c r="T96" t="s">
        <v>311</v>
      </c>
      <c r="U96" t="s">
        <v>266</v>
      </c>
      <c r="V96" t="s">
        <v>267</v>
      </c>
      <c r="W96" t="s">
        <v>268</v>
      </c>
      <c r="X96" t="s">
        <v>269</v>
      </c>
      <c r="Y96">
        <v>8883022894</v>
      </c>
      <c r="Z96" t="s">
        <v>270</v>
      </c>
      <c r="AA96" t="s">
        <v>271</v>
      </c>
      <c r="AB96">
        <v>0</v>
      </c>
      <c r="AC96">
        <v>0</v>
      </c>
      <c r="AD96" t="s">
        <v>313</v>
      </c>
      <c r="AE96" t="s">
        <v>274</v>
      </c>
      <c r="AF96">
        <v>9</v>
      </c>
      <c r="AG96" t="s">
        <v>3345</v>
      </c>
      <c r="AH96" s="43" t="s">
        <v>259</v>
      </c>
      <c r="AI96" s="43" t="s">
        <v>259</v>
      </c>
      <c r="AJ96" s="43" t="s">
        <v>259</v>
      </c>
      <c r="AK96" s="43" t="s">
        <v>259</v>
      </c>
      <c r="AL96" s="43" t="s">
        <v>259</v>
      </c>
      <c r="AO96" s="23"/>
      <c r="AP96" s="23"/>
      <c r="AQ96" s="23"/>
      <c r="BD96" s="43" t="s">
        <v>259</v>
      </c>
      <c r="BE96" s="43" t="s">
        <v>259</v>
      </c>
      <c r="BF96" s="43" t="s">
        <v>259</v>
      </c>
      <c r="BG96" s="43" t="s">
        <v>259</v>
      </c>
      <c r="BH96" s="43" t="s">
        <v>259</v>
      </c>
      <c r="BI96" s="43" t="s">
        <v>259</v>
      </c>
      <c r="BJ96">
        <v>0</v>
      </c>
      <c r="BK96">
        <v>44109</v>
      </c>
      <c r="BL96">
        <v>44356</v>
      </c>
      <c r="BM96">
        <v>8505</v>
      </c>
      <c r="BN96">
        <v>8505</v>
      </c>
      <c r="BO96">
        <v>8505</v>
      </c>
      <c r="BP96">
        <v>25515</v>
      </c>
      <c r="BQ96">
        <v>3300</v>
      </c>
      <c r="BR96">
        <v>400</v>
      </c>
      <c r="BS96">
        <v>400</v>
      </c>
      <c r="BT96">
        <v>4100</v>
      </c>
      <c r="BU96">
        <v>2100</v>
      </c>
      <c r="BV96">
        <v>2100</v>
      </c>
      <c r="BW96">
        <v>2100</v>
      </c>
      <c r="BX96">
        <v>6300</v>
      </c>
      <c r="BY96">
        <v>1200</v>
      </c>
      <c r="BZ96">
        <v>1200</v>
      </c>
      <c r="CA96">
        <v>1200</v>
      </c>
      <c r="CB96">
        <v>3600</v>
      </c>
      <c r="CF96">
        <v>0</v>
      </c>
      <c r="CG96">
        <v>39515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N96">
        <v>0</v>
      </c>
      <c r="DO96">
        <v>0</v>
      </c>
      <c r="DP96">
        <v>0</v>
      </c>
      <c r="DR96">
        <v>0</v>
      </c>
      <c r="DS96">
        <v>0</v>
      </c>
      <c r="DT96">
        <v>0</v>
      </c>
      <c r="DY96">
        <v>0</v>
      </c>
      <c r="EC96">
        <v>0</v>
      </c>
      <c r="ED96">
        <v>0</v>
      </c>
      <c r="EH96">
        <v>0</v>
      </c>
      <c r="EI96">
        <v>0</v>
      </c>
      <c r="EJ96">
        <v>0</v>
      </c>
      <c r="EK96">
        <v>0</v>
      </c>
      <c r="EM96">
        <v>0</v>
      </c>
      <c r="EN96">
        <v>660</v>
      </c>
      <c r="EO96">
        <v>660</v>
      </c>
      <c r="EP96">
        <v>659</v>
      </c>
      <c r="EQ96">
        <v>2000</v>
      </c>
      <c r="ER96">
        <v>21.24</v>
      </c>
      <c r="ES96">
        <v>0</v>
      </c>
      <c r="ET96">
        <v>0</v>
      </c>
      <c r="EU96">
        <v>0</v>
      </c>
      <c r="EW96">
        <v>0</v>
      </c>
      <c r="FA96">
        <v>0</v>
      </c>
      <c r="FE96">
        <v>0</v>
      </c>
      <c r="FI96">
        <v>0</v>
      </c>
      <c r="FJ96">
        <v>1978.76</v>
      </c>
      <c r="FK96">
        <v>39515</v>
      </c>
      <c r="FL96">
        <v>39201.520594870075</v>
      </c>
      <c r="FM96">
        <v>37536.239999999998</v>
      </c>
    </row>
    <row r="97" spans="1:169" x14ac:dyDescent="0.35">
      <c r="A97">
        <v>198662</v>
      </c>
      <c r="B97" t="s">
        <v>921</v>
      </c>
      <c r="C97" t="s">
        <v>896</v>
      </c>
      <c r="D97" t="s">
        <v>3837</v>
      </c>
      <c r="E97" s="43" t="s">
        <v>4181</v>
      </c>
      <c r="F97">
        <v>2</v>
      </c>
      <c r="G97" s="23">
        <v>43802</v>
      </c>
      <c r="H97" s="23">
        <v>43802</v>
      </c>
      <c r="I97" s="23">
        <v>43802</v>
      </c>
      <c r="L97" s="43" t="s">
        <v>3204</v>
      </c>
      <c r="M97" t="s">
        <v>3838</v>
      </c>
      <c r="N97" t="s">
        <v>3839</v>
      </c>
      <c r="O97" t="s">
        <v>1454</v>
      </c>
      <c r="P97" t="s">
        <v>1091</v>
      </c>
      <c r="Q97" t="s">
        <v>3840</v>
      </c>
      <c r="R97">
        <v>3.5419999999999998</v>
      </c>
      <c r="S97">
        <v>44109</v>
      </c>
      <c r="T97" t="s">
        <v>311</v>
      </c>
      <c r="U97" t="s">
        <v>266</v>
      </c>
      <c r="V97" t="s">
        <v>267</v>
      </c>
      <c r="W97" t="s">
        <v>268</v>
      </c>
      <c r="X97" t="s">
        <v>269</v>
      </c>
      <c r="Y97">
        <v>8883022894</v>
      </c>
      <c r="Z97" t="s">
        <v>270</v>
      </c>
      <c r="AA97" t="s">
        <v>271</v>
      </c>
      <c r="AB97" t="s">
        <v>679</v>
      </c>
      <c r="AC97">
        <v>0</v>
      </c>
      <c r="AD97" t="s">
        <v>670</v>
      </c>
      <c r="AE97" t="s">
        <v>289</v>
      </c>
      <c r="AF97">
        <v>2</v>
      </c>
      <c r="AG97" t="s">
        <v>3345</v>
      </c>
      <c r="AH97" s="43" t="s">
        <v>3841</v>
      </c>
      <c r="AI97" s="43" t="s">
        <v>3842</v>
      </c>
      <c r="AJ97" s="43" t="s">
        <v>3207</v>
      </c>
      <c r="AK97" s="43" t="s">
        <v>3208</v>
      </c>
      <c r="AL97" s="43" t="s">
        <v>3209</v>
      </c>
      <c r="AO97" s="23"/>
      <c r="AP97" s="23"/>
      <c r="AQ97" s="23"/>
      <c r="BD97" s="43" t="s">
        <v>2018</v>
      </c>
      <c r="BE97" s="43" t="s">
        <v>2018</v>
      </c>
      <c r="BF97" s="43" t="s">
        <v>2018</v>
      </c>
      <c r="BG97" s="43" t="s">
        <v>2018</v>
      </c>
      <c r="BH97" s="43" t="s">
        <v>2018</v>
      </c>
      <c r="BI97" s="43" t="s">
        <v>2018</v>
      </c>
      <c r="BJ97">
        <v>0</v>
      </c>
      <c r="BK97">
        <v>44109</v>
      </c>
      <c r="BL97">
        <v>44356</v>
      </c>
      <c r="BP97">
        <v>0</v>
      </c>
      <c r="BT97">
        <v>0</v>
      </c>
      <c r="BX97">
        <v>0</v>
      </c>
      <c r="CB97">
        <v>0</v>
      </c>
      <c r="CF97">
        <v>0</v>
      </c>
      <c r="CG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1500</v>
      </c>
      <c r="CU97">
        <v>1500</v>
      </c>
      <c r="CV97">
        <v>1500</v>
      </c>
      <c r="CW97">
        <v>4500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N97">
        <v>0</v>
      </c>
      <c r="DO97">
        <v>0</v>
      </c>
      <c r="DP97">
        <v>0</v>
      </c>
      <c r="DR97">
        <v>0</v>
      </c>
      <c r="DS97">
        <v>0</v>
      </c>
      <c r="DT97">
        <v>0</v>
      </c>
      <c r="DY97">
        <v>0</v>
      </c>
      <c r="EC97">
        <v>0</v>
      </c>
      <c r="ED97">
        <v>4500</v>
      </c>
      <c r="EH97">
        <v>0</v>
      </c>
      <c r="EI97">
        <v>0</v>
      </c>
      <c r="EJ97">
        <v>0</v>
      </c>
      <c r="EK97">
        <v>0</v>
      </c>
      <c r="EM97">
        <v>0</v>
      </c>
      <c r="EN97">
        <v>660</v>
      </c>
      <c r="EO97">
        <v>660</v>
      </c>
      <c r="EP97">
        <v>659</v>
      </c>
      <c r="EQ97">
        <v>2000</v>
      </c>
      <c r="ER97">
        <v>21.24</v>
      </c>
      <c r="ES97">
        <v>0</v>
      </c>
      <c r="ET97">
        <v>0</v>
      </c>
      <c r="EU97">
        <v>0</v>
      </c>
      <c r="EW97">
        <v>0</v>
      </c>
      <c r="FA97">
        <v>0</v>
      </c>
      <c r="FE97">
        <v>0</v>
      </c>
      <c r="FI97">
        <v>0</v>
      </c>
      <c r="FJ97">
        <v>1978.76</v>
      </c>
      <c r="FK97">
        <v>-4500</v>
      </c>
      <c r="FL97">
        <v>-6766.1876514328678</v>
      </c>
      <c r="FM97">
        <v>-6478.76</v>
      </c>
    </row>
    <row r="98" spans="1:169" x14ac:dyDescent="0.35">
      <c r="A98">
        <v>195250</v>
      </c>
      <c r="B98" t="s">
        <v>921</v>
      </c>
      <c r="C98" t="s">
        <v>922</v>
      </c>
      <c r="D98" t="s">
        <v>923</v>
      </c>
      <c r="E98" s="43" t="s">
        <v>924</v>
      </c>
      <c r="F98">
        <v>1</v>
      </c>
      <c r="I98" s="23">
        <v>43803</v>
      </c>
      <c r="L98" s="43" t="s">
        <v>3204</v>
      </c>
      <c r="M98" t="s">
        <v>925</v>
      </c>
      <c r="N98" t="s">
        <v>926</v>
      </c>
      <c r="O98" t="s">
        <v>927</v>
      </c>
      <c r="P98" t="s">
        <v>342</v>
      </c>
      <c r="Q98" t="s">
        <v>928</v>
      </c>
      <c r="R98">
        <v>3.19</v>
      </c>
      <c r="S98">
        <v>44109</v>
      </c>
      <c r="T98" t="s">
        <v>311</v>
      </c>
      <c r="U98" t="s">
        <v>266</v>
      </c>
      <c r="V98" t="s">
        <v>267</v>
      </c>
      <c r="W98" t="s">
        <v>268</v>
      </c>
      <c r="X98" t="s">
        <v>269</v>
      </c>
      <c r="Y98">
        <v>8883022894</v>
      </c>
      <c r="Z98" t="s">
        <v>270</v>
      </c>
      <c r="AA98" t="s">
        <v>271</v>
      </c>
      <c r="AB98">
        <v>0</v>
      </c>
      <c r="AC98">
        <v>0</v>
      </c>
      <c r="AD98" t="s">
        <v>313</v>
      </c>
      <c r="AE98" t="s">
        <v>324</v>
      </c>
      <c r="AF98">
        <v>8</v>
      </c>
      <c r="AG98" t="s">
        <v>275</v>
      </c>
      <c r="AH98" s="43" t="s">
        <v>3859</v>
      </c>
      <c r="AI98" s="43" t="s">
        <v>3860</v>
      </c>
      <c r="AJ98" s="43" t="s">
        <v>3821</v>
      </c>
      <c r="AK98" s="43" t="s">
        <v>3208</v>
      </c>
      <c r="AL98" s="43" t="s">
        <v>3209</v>
      </c>
      <c r="AO98" s="23"/>
      <c r="AP98" s="23"/>
      <c r="AQ98" s="23"/>
      <c r="BD98" s="43" t="s">
        <v>2018</v>
      </c>
      <c r="BE98" s="43" t="s">
        <v>2018</v>
      </c>
      <c r="BF98" s="43" t="s">
        <v>2018</v>
      </c>
      <c r="BG98" s="43" t="s">
        <v>2018</v>
      </c>
      <c r="BH98" s="43" t="s">
        <v>2018</v>
      </c>
      <c r="BI98" s="43" t="s">
        <v>2018</v>
      </c>
      <c r="BJ98">
        <v>0</v>
      </c>
      <c r="BK98">
        <v>44109</v>
      </c>
      <c r="BL98">
        <v>44356</v>
      </c>
      <c r="BM98">
        <v>8505</v>
      </c>
      <c r="BN98">
        <v>8505</v>
      </c>
      <c r="BO98">
        <v>8505</v>
      </c>
      <c r="BP98">
        <v>25515</v>
      </c>
      <c r="BQ98">
        <v>3300</v>
      </c>
      <c r="BR98">
        <v>400</v>
      </c>
      <c r="BS98">
        <v>400</v>
      </c>
      <c r="BT98">
        <v>4100</v>
      </c>
      <c r="BU98">
        <v>2100</v>
      </c>
      <c r="BV98">
        <v>2100</v>
      </c>
      <c r="BW98">
        <v>2100</v>
      </c>
      <c r="BX98">
        <v>6300</v>
      </c>
      <c r="BY98">
        <v>1200</v>
      </c>
      <c r="BZ98">
        <v>1200</v>
      </c>
      <c r="CA98">
        <v>1200</v>
      </c>
      <c r="CB98">
        <v>3600</v>
      </c>
      <c r="CC98">
        <v>0</v>
      </c>
      <c r="CD98">
        <v>0</v>
      </c>
      <c r="CE98">
        <v>0</v>
      </c>
      <c r="CF98">
        <v>0</v>
      </c>
      <c r="CG98">
        <v>39515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1154</v>
      </c>
      <c r="EJ98">
        <v>1154</v>
      </c>
      <c r="EK98">
        <v>1155</v>
      </c>
      <c r="EL98">
        <v>3500</v>
      </c>
      <c r="EM98">
        <v>37.065000000000005</v>
      </c>
      <c r="EN98">
        <v>660</v>
      </c>
      <c r="EO98">
        <v>660</v>
      </c>
      <c r="EP98">
        <v>659</v>
      </c>
      <c r="EQ98">
        <v>2000</v>
      </c>
      <c r="ER98">
        <v>21.18</v>
      </c>
      <c r="ES98">
        <v>0</v>
      </c>
      <c r="ET98">
        <v>0</v>
      </c>
      <c r="EU98">
        <v>0</v>
      </c>
      <c r="EV98">
        <v>0</v>
      </c>
      <c r="EW98">
        <v>0</v>
      </c>
      <c r="FA98">
        <v>0</v>
      </c>
      <c r="FE98">
        <v>0</v>
      </c>
      <c r="FI98">
        <v>0</v>
      </c>
      <c r="FJ98">
        <v>5441.7550000000001</v>
      </c>
      <c r="FK98">
        <v>39515</v>
      </c>
      <c r="FL98">
        <v>35580.43210392214</v>
      </c>
      <c r="FM98">
        <v>34073.245000000003</v>
      </c>
    </row>
    <row r="99" spans="1:169" x14ac:dyDescent="0.35">
      <c r="A99">
        <v>196116</v>
      </c>
      <c r="B99" t="s">
        <v>929</v>
      </c>
      <c r="C99" t="s">
        <v>690</v>
      </c>
      <c r="D99" t="s">
        <v>930</v>
      </c>
      <c r="E99" s="43" t="s">
        <v>931</v>
      </c>
      <c r="F99">
        <v>1</v>
      </c>
      <c r="G99" s="23">
        <v>43759</v>
      </c>
      <c r="H99" s="23">
        <v>43776</v>
      </c>
      <c r="I99" s="23">
        <v>43776</v>
      </c>
      <c r="L99" s="43" t="s">
        <v>3204</v>
      </c>
      <c r="M99" t="s">
        <v>932</v>
      </c>
      <c r="N99" t="s">
        <v>933</v>
      </c>
      <c r="O99" t="s">
        <v>934</v>
      </c>
      <c r="P99" t="s">
        <v>372</v>
      </c>
      <c r="Q99" t="s">
        <v>935</v>
      </c>
      <c r="R99">
        <v>3.56</v>
      </c>
      <c r="S99">
        <v>44109</v>
      </c>
      <c r="T99" t="s">
        <v>311</v>
      </c>
      <c r="U99" t="s">
        <v>266</v>
      </c>
      <c r="V99" t="s">
        <v>267</v>
      </c>
      <c r="W99" t="s">
        <v>268</v>
      </c>
      <c r="X99" t="s">
        <v>269</v>
      </c>
      <c r="Y99">
        <v>8883022894</v>
      </c>
      <c r="Z99" t="s">
        <v>270</v>
      </c>
      <c r="AA99" t="s">
        <v>271</v>
      </c>
      <c r="AB99">
        <v>0</v>
      </c>
      <c r="AC99" t="s">
        <v>936</v>
      </c>
      <c r="AD99" t="s">
        <v>300</v>
      </c>
      <c r="AE99" t="s">
        <v>289</v>
      </c>
      <c r="AF99">
        <v>2</v>
      </c>
      <c r="AG99" t="s">
        <v>275</v>
      </c>
      <c r="AH99" s="43" t="s">
        <v>3226</v>
      </c>
      <c r="AI99" s="43" t="s">
        <v>313</v>
      </c>
      <c r="AJ99" s="43" t="s">
        <v>3309</v>
      </c>
      <c r="AK99" s="43" t="s">
        <v>3208</v>
      </c>
      <c r="AL99" s="43" t="s">
        <v>3209</v>
      </c>
      <c r="AM99">
        <v>43776</v>
      </c>
      <c r="AN99">
        <v>43776</v>
      </c>
      <c r="AO99" s="23">
        <v>43759</v>
      </c>
      <c r="AP99" s="23">
        <v>43760</v>
      </c>
      <c r="AQ99" s="23">
        <v>43760</v>
      </c>
      <c r="BD99" s="43" t="s">
        <v>2018</v>
      </c>
      <c r="BE99" s="43" t="s">
        <v>2018</v>
      </c>
      <c r="BF99" s="43" t="s">
        <v>2018</v>
      </c>
      <c r="BG99" s="43" t="s">
        <v>2018</v>
      </c>
      <c r="BH99" s="43" t="s">
        <v>2018</v>
      </c>
      <c r="BI99" s="43" t="s">
        <v>2018</v>
      </c>
      <c r="BJ99">
        <v>0.29411764705882348</v>
      </c>
      <c r="BK99">
        <v>44109</v>
      </c>
      <c r="BL99">
        <v>44356</v>
      </c>
      <c r="BM99">
        <v>8505</v>
      </c>
      <c r="BN99">
        <v>8505</v>
      </c>
      <c r="BO99">
        <v>8505</v>
      </c>
      <c r="BP99">
        <v>25515</v>
      </c>
      <c r="BQ99">
        <v>3300</v>
      </c>
      <c r="BR99">
        <v>400</v>
      </c>
      <c r="BS99">
        <v>400</v>
      </c>
      <c r="BT99">
        <v>4100</v>
      </c>
      <c r="BU99">
        <v>2100</v>
      </c>
      <c r="BV99">
        <v>2100</v>
      </c>
      <c r="BW99">
        <v>2100</v>
      </c>
      <c r="BX99">
        <v>6300</v>
      </c>
      <c r="BY99">
        <v>1200</v>
      </c>
      <c r="BZ99">
        <v>1200</v>
      </c>
      <c r="CA99">
        <v>1200</v>
      </c>
      <c r="CB99">
        <v>3600</v>
      </c>
      <c r="CC99">
        <v>0</v>
      </c>
      <c r="CD99">
        <v>0</v>
      </c>
      <c r="CE99">
        <v>0</v>
      </c>
      <c r="CF99">
        <v>0</v>
      </c>
      <c r="CG99">
        <v>39515</v>
      </c>
      <c r="CH99">
        <v>0</v>
      </c>
      <c r="CI99">
        <v>0</v>
      </c>
      <c r="CJ99">
        <v>0</v>
      </c>
      <c r="CK99">
        <v>0</v>
      </c>
      <c r="CL99">
        <v>2065</v>
      </c>
      <c r="CM99">
        <v>2065</v>
      </c>
      <c r="CN99">
        <v>2065</v>
      </c>
      <c r="CO99">
        <v>6195</v>
      </c>
      <c r="CP99">
        <v>500</v>
      </c>
      <c r="CQ99">
        <v>500</v>
      </c>
      <c r="CR99">
        <v>500</v>
      </c>
      <c r="CS99">
        <v>1500</v>
      </c>
      <c r="CT99">
        <v>1500</v>
      </c>
      <c r="CU99">
        <v>1500</v>
      </c>
      <c r="CV99">
        <v>1500</v>
      </c>
      <c r="CW99">
        <v>4500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12195</v>
      </c>
      <c r="EE99">
        <v>0</v>
      </c>
      <c r="EF99">
        <v>0</v>
      </c>
      <c r="EG99">
        <v>0</v>
      </c>
      <c r="EH99">
        <v>0</v>
      </c>
      <c r="EI99">
        <v>1154</v>
      </c>
      <c r="EJ99">
        <v>1154</v>
      </c>
      <c r="EK99">
        <v>1155</v>
      </c>
      <c r="EL99">
        <v>3500</v>
      </c>
      <c r="EM99">
        <v>37.065000000000005</v>
      </c>
      <c r="EN99">
        <v>660</v>
      </c>
      <c r="EO99">
        <v>660</v>
      </c>
      <c r="EP99">
        <v>659</v>
      </c>
      <c r="EQ99">
        <v>2000</v>
      </c>
      <c r="ER99">
        <v>21.18</v>
      </c>
      <c r="ES99">
        <v>7307</v>
      </c>
      <c r="ET99">
        <v>7307</v>
      </c>
      <c r="EU99">
        <v>7307</v>
      </c>
      <c r="EV99">
        <v>22849</v>
      </c>
      <c r="EW99">
        <v>971</v>
      </c>
      <c r="FA99">
        <v>0</v>
      </c>
      <c r="FE99">
        <v>0</v>
      </c>
      <c r="FI99">
        <v>0</v>
      </c>
      <c r="FJ99">
        <v>27320.12948</v>
      </c>
      <c r="FK99">
        <v>27320</v>
      </c>
      <c r="FL99">
        <v>-0.13522432951750671</v>
      </c>
      <c r="FM99">
        <v>-0.12947999999960302</v>
      </c>
    </row>
    <row r="100" spans="1:169" x14ac:dyDescent="0.35">
      <c r="A100">
        <v>193060</v>
      </c>
      <c r="B100" t="s">
        <v>929</v>
      </c>
      <c r="C100" t="s">
        <v>3513</v>
      </c>
      <c r="D100" t="s">
        <v>3514</v>
      </c>
      <c r="E100" s="43" t="s">
        <v>4210</v>
      </c>
      <c r="J100" t="s">
        <v>3425</v>
      </c>
      <c r="L100" s="43" t="s">
        <v>259</v>
      </c>
      <c r="M100" t="s">
        <v>3515</v>
      </c>
      <c r="N100" t="s">
        <v>3516</v>
      </c>
      <c r="O100" t="s">
        <v>3517</v>
      </c>
      <c r="P100" t="s">
        <v>1770</v>
      </c>
      <c r="Q100" t="s">
        <v>3518</v>
      </c>
      <c r="R100">
        <v>3.2</v>
      </c>
      <c r="S100">
        <v>44109</v>
      </c>
      <c r="T100" t="s">
        <v>285</v>
      </c>
      <c r="U100" t="s">
        <v>286</v>
      </c>
      <c r="V100" t="s">
        <v>267</v>
      </c>
      <c r="W100" t="s">
        <v>268</v>
      </c>
      <c r="X100" t="s">
        <v>269</v>
      </c>
      <c r="Y100">
        <v>8883022894</v>
      </c>
      <c r="Z100" t="s">
        <v>508</v>
      </c>
      <c r="AA100" t="s">
        <v>271</v>
      </c>
      <c r="AB100">
        <v>0</v>
      </c>
      <c r="AC100">
        <v>0</v>
      </c>
      <c r="AD100" t="s">
        <v>313</v>
      </c>
      <c r="AE100" t="s">
        <v>376</v>
      </c>
      <c r="AF100">
        <v>7</v>
      </c>
      <c r="AG100" t="s">
        <v>3345</v>
      </c>
      <c r="AH100" s="43" t="s">
        <v>259</v>
      </c>
      <c r="AI100" s="43" t="s">
        <v>259</v>
      </c>
      <c r="AJ100" s="43" t="s">
        <v>259</v>
      </c>
      <c r="AK100" s="43" t="s">
        <v>259</v>
      </c>
      <c r="AL100" s="43" t="s">
        <v>259</v>
      </c>
      <c r="AO100" s="23"/>
      <c r="AP100" s="23"/>
      <c r="AQ100" s="23"/>
      <c r="BD100" s="43" t="s">
        <v>259</v>
      </c>
      <c r="BE100" s="43" t="s">
        <v>259</v>
      </c>
      <c r="BF100" s="43" t="s">
        <v>259</v>
      </c>
      <c r="BG100" s="43" t="s">
        <v>259</v>
      </c>
      <c r="BH100" s="43" t="s">
        <v>259</v>
      </c>
      <c r="BI100" s="43" t="s">
        <v>259</v>
      </c>
      <c r="BJ100">
        <v>0</v>
      </c>
      <c r="BK100">
        <v>44109</v>
      </c>
      <c r="BL100">
        <v>44356</v>
      </c>
      <c r="BM100">
        <v>8505</v>
      </c>
      <c r="BN100">
        <v>8505</v>
      </c>
      <c r="BO100">
        <v>8505</v>
      </c>
      <c r="BP100">
        <v>25515</v>
      </c>
      <c r="BQ100">
        <v>3300</v>
      </c>
      <c r="BR100">
        <v>400</v>
      </c>
      <c r="BS100">
        <v>400</v>
      </c>
      <c r="BT100">
        <v>4100</v>
      </c>
      <c r="BU100">
        <v>2100</v>
      </c>
      <c r="BV100">
        <v>2100</v>
      </c>
      <c r="BW100">
        <v>2100</v>
      </c>
      <c r="BX100">
        <v>6300</v>
      </c>
      <c r="BY100">
        <v>1200</v>
      </c>
      <c r="BZ100">
        <v>1200</v>
      </c>
      <c r="CA100">
        <v>1200</v>
      </c>
      <c r="CB100">
        <v>3600</v>
      </c>
      <c r="CF100">
        <v>0</v>
      </c>
      <c r="CG100">
        <v>39515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1000</v>
      </c>
      <c r="DC100">
        <v>1000</v>
      </c>
      <c r="DD100">
        <v>1000</v>
      </c>
      <c r="DE100">
        <v>3000</v>
      </c>
      <c r="DF100">
        <v>0</v>
      </c>
      <c r="DG100">
        <v>0</v>
      </c>
      <c r="DH100">
        <v>0</v>
      </c>
      <c r="DN100">
        <v>0</v>
      </c>
      <c r="DO100">
        <v>0</v>
      </c>
      <c r="DP100">
        <v>0</v>
      </c>
      <c r="DR100">
        <v>0</v>
      </c>
      <c r="DS100">
        <v>0</v>
      </c>
      <c r="DT100">
        <v>0</v>
      </c>
      <c r="DY100">
        <v>0</v>
      </c>
      <c r="EC100">
        <v>0</v>
      </c>
      <c r="ED100">
        <v>3000</v>
      </c>
      <c r="EH100">
        <v>0</v>
      </c>
      <c r="EI100">
        <v>0</v>
      </c>
      <c r="EJ100">
        <v>0</v>
      </c>
      <c r="EK100">
        <v>0</v>
      </c>
      <c r="EM100">
        <v>0</v>
      </c>
      <c r="EN100">
        <v>660</v>
      </c>
      <c r="EO100">
        <v>660</v>
      </c>
      <c r="EP100">
        <v>659</v>
      </c>
      <c r="EQ100">
        <v>2000</v>
      </c>
      <c r="ER100">
        <v>21.24</v>
      </c>
      <c r="ES100">
        <v>0</v>
      </c>
      <c r="ET100">
        <v>0</v>
      </c>
      <c r="EU100">
        <v>0</v>
      </c>
      <c r="EW100">
        <v>0</v>
      </c>
      <c r="FA100">
        <v>0</v>
      </c>
      <c r="FE100">
        <v>0</v>
      </c>
      <c r="FI100">
        <v>0</v>
      </c>
      <c r="FJ100">
        <v>1978.76</v>
      </c>
      <c r="FK100">
        <v>36515</v>
      </c>
      <c r="FL100">
        <v>36068.426769153652</v>
      </c>
      <c r="FM100">
        <v>34536.239999999998</v>
      </c>
    </row>
    <row r="101" spans="1:169" x14ac:dyDescent="0.35">
      <c r="A101">
        <v>197858</v>
      </c>
      <c r="B101" t="s">
        <v>937</v>
      </c>
      <c r="C101" t="s">
        <v>938</v>
      </c>
      <c r="D101" t="s">
        <v>939</v>
      </c>
      <c r="E101" s="43" t="s">
        <v>940</v>
      </c>
      <c r="L101" s="43" t="s">
        <v>259</v>
      </c>
      <c r="M101" t="s">
        <v>941</v>
      </c>
      <c r="N101" t="s">
        <v>942</v>
      </c>
      <c r="O101" t="s">
        <v>943</v>
      </c>
      <c r="P101" t="s">
        <v>342</v>
      </c>
      <c r="Q101" t="s">
        <v>944</v>
      </c>
      <c r="R101">
        <v>3.96</v>
      </c>
      <c r="S101">
        <v>44109</v>
      </c>
      <c r="T101" t="s">
        <v>311</v>
      </c>
      <c r="U101" t="s">
        <v>266</v>
      </c>
      <c r="V101" t="s">
        <v>267</v>
      </c>
      <c r="W101" t="s">
        <v>268</v>
      </c>
      <c r="X101" t="s">
        <v>269</v>
      </c>
      <c r="Y101">
        <v>8883022894</v>
      </c>
      <c r="Z101" t="s">
        <v>270</v>
      </c>
      <c r="AA101" t="s">
        <v>271</v>
      </c>
      <c r="AB101">
        <v>0</v>
      </c>
      <c r="AC101" t="s">
        <v>1428</v>
      </c>
      <c r="AD101" t="s">
        <v>335</v>
      </c>
      <c r="AE101" t="s">
        <v>445</v>
      </c>
      <c r="AF101">
        <v>4</v>
      </c>
      <c r="AG101" t="s">
        <v>275</v>
      </c>
      <c r="AH101" s="43" t="s">
        <v>259</v>
      </c>
      <c r="AI101" s="43" t="s">
        <v>259</v>
      </c>
      <c r="AJ101" s="43" t="s">
        <v>259</v>
      </c>
      <c r="AK101" s="43" t="s">
        <v>259</v>
      </c>
      <c r="AL101" s="43" t="s">
        <v>259</v>
      </c>
      <c r="AO101" s="23"/>
      <c r="AP101" s="23"/>
      <c r="AQ101" s="23"/>
      <c r="BD101" s="43" t="s">
        <v>259</v>
      </c>
      <c r="BE101" s="43" t="s">
        <v>259</v>
      </c>
      <c r="BF101" s="43" t="s">
        <v>259</v>
      </c>
      <c r="BG101" s="43" t="s">
        <v>259</v>
      </c>
      <c r="BH101" s="43" t="s">
        <v>259</v>
      </c>
      <c r="BI101" s="43" t="s">
        <v>259</v>
      </c>
      <c r="BJ101">
        <v>0</v>
      </c>
      <c r="BK101">
        <v>44109</v>
      </c>
      <c r="BL101">
        <v>44356</v>
      </c>
      <c r="BM101">
        <v>8505</v>
      </c>
      <c r="BN101">
        <v>8505</v>
      </c>
      <c r="BO101">
        <v>8505</v>
      </c>
      <c r="BP101">
        <v>25515</v>
      </c>
      <c r="BQ101">
        <v>3300</v>
      </c>
      <c r="BR101">
        <v>400</v>
      </c>
      <c r="BS101">
        <v>400</v>
      </c>
      <c r="BT101">
        <v>4100</v>
      </c>
      <c r="BU101">
        <v>2100</v>
      </c>
      <c r="BV101">
        <v>2100</v>
      </c>
      <c r="BW101">
        <v>2100</v>
      </c>
      <c r="BX101">
        <v>6300</v>
      </c>
      <c r="BY101">
        <v>1200</v>
      </c>
      <c r="BZ101">
        <v>1200</v>
      </c>
      <c r="CA101">
        <v>1200</v>
      </c>
      <c r="CB101">
        <v>3600</v>
      </c>
      <c r="CC101">
        <v>0</v>
      </c>
      <c r="CD101">
        <v>0</v>
      </c>
      <c r="CE101">
        <v>0</v>
      </c>
      <c r="CF101">
        <v>0</v>
      </c>
      <c r="CG101">
        <v>39515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1250</v>
      </c>
      <c r="CU101">
        <v>1250</v>
      </c>
      <c r="CV101">
        <v>1250</v>
      </c>
      <c r="CW101">
        <v>3750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3750</v>
      </c>
      <c r="EE101">
        <v>0</v>
      </c>
      <c r="EF101">
        <v>0</v>
      </c>
      <c r="EG101">
        <v>0</v>
      </c>
      <c r="EH101">
        <v>0</v>
      </c>
      <c r="EI101">
        <v>1154</v>
      </c>
      <c r="EJ101">
        <v>1154</v>
      </c>
      <c r="EK101">
        <v>1155</v>
      </c>
      <c r="EL101">
        <v>3500</v>
      </c>
      <c r="EM101">
        <v>37.065000000000005</v>
      </c>
      <c r="EN101">
        <v>660</v>
      </c>
      <c r="EO101">
        <v>660</v>
      </c>
      <c r="EP101">
        <v>659</v>
      </c>
      <c r="EQ101">
        <v>2000</v>
      </c>
      <c r="ER101">
        <v>21.18</v>
      </c>
      <c r="ES101">
        <v>0</v>
      </c>
      <c r="ET101">
        <v>0</v>
      </c>
      <c r="EU101">
        <v>0</v>
      </c>
      <c r="EV101">
        <v>0</v>
      </c>
      <c r="EW101">
        <v>0</v>
      </c>
      <c r="FA101">
        <v>0</v>
      </c>
      <c r="FE101">
        <v>0</v>
      </c>
      <c r="FF101">
        <v>2736</v>
      </c>
      <c r="FG101">
        <v>2736</v>
      </c>
      <c r="FH101">
        <v>2736</v>
      </c>
      <c r="FI101">
        <v>8208</v>
      </c>
      <c r="FJ101">
        <v>13649.755000000001</v>
      </c>
      <c r="FK101">
        <v>35765</v>
      </c>
      <c r="FL101">
        <v>23093.485025688147</v>
      </c>
      <c r="FM101">
        <v>22115.244999999999</v>
      </c>
    </row>
    <row r="102" spans="1:169" x14ac:dyDescent="0.35">
      <c r="A102">
        <v>196357</v>
      </c>
      <c r="B102" t="s">
        <v>945</v>
      </c>
      <c r="C102" t="s">
        <v>946</v>
      </c>
      <c r="D102" t="s">
        <v>947</v>
      </c>
      <c r="E102" s="43" t="s">
        <v>948</v>
      </c>
      <c r="L102" s="43" t="s">
        <v>259</v>
      </c>
      <c r="M102" t="s">
        <v>949</v>
      </c>
      <c r="N102" t="s">
        <v>950</v>
      </c>
      <c r="O102" t="s">
        <v>951</v>
      </c>
      <c r="P102" t="s">
        <v>403</v>
      </c>
      <c r="Q102" t="s">
        <v>952</v>
      </c>
      <c r="R102">
        <v>3.03</v>
      </c>
      <c r="S102">
        <v>44109</v>
      </c>
      <c r="T102" t="s">
        <v>311</v>
      </c>
      <c r="U102" t="s">
        <v>266</v>
      </c>
      <c r="V102" t="s">
        <v>267</v>
      </c>
      <c r="W102" t="s">
        <v>268</v>
      </c>
      <c r="X102" t="s">
        <v>269</v>
      </c>
      <c r="Y102">
        <v>8883022894</v>
      </c>
      <c r="Z102" t="s">
        <v>508</v>
      </c>
      <c r="AA102" t="s">
        <v>271</v>
      </c>
      <c r="AB102">
        <v>0</v>
      </c>
      <c r="AC102">
        <v>0</v>
      </c>
      <c r="AD102" t="s">
        <v>313</v>
      </c>
      <c r="AE102" t="s">
        <v>324</v>
      </c>
      <c r="AF102">
        <v>8</v>
      </c>
      <c r="AG102" t="s">
        <v>275</v>
      </c>
      <c r="AH102" s="43" t="s">
        <v>259</v>
      </c>
      <c r="AI102" s="43" t="s">
        <v>259</v>
      </c>
      <c r="AJ102" s="43" t="s">
        <v>259</v>
      </c>
      <c r="AK102" s="43" t="s">
        <v>259</v>
      </c>
      <c r="AL102" s="43" t="s">
        <v>259</v>
      </c>
      <c r="AO102" s="23"/>
      <c r="AP102" s="23"/>
      <c r="AQ102" s="23"/>
      <c r="BD102" s="43" t="s">
        <v>259</v>
      </c>
      <c r="BE102" s="43" t="s">
        <v>259</v>
      </c>
      <c r="BF102" s="43" t="s">
        <v>259</v>
      </c>
      <c r="BG102" s="43" t="s">
        <v>259</v>
      </c>
      <c r="BH102" s="43" t="s">
        <v>259</v>
      </c>
      <c r="BI102" s="43" t="s">
        <v>259</v>
      </c>
      <c r="BJ102">
        <v>0</v>
      </c>
      <c r="BK102">
        <v>44109</v>
      </c>
      <c r="BL102">
        <v>44356</v>
      </c>
      <c r="BM102">
        <v>8505</v>
      </c>
      <c r="BN102">
        <v>8505</v>
      </c>
      <c r="BO102">
        <v>8505</v>
      </c>
      <c r="BP102">
        <v>25515</v>
      </c>
      <c r="BQ102">
        <v>3300</v>
      </c>
      <c r="BR102">
        <v>400</v>
      </c>
      <c r="BS102">
        <v>400</v>
      </c>
      <c r="BT102">
        <v>4100</v>
      </c>
      <c r="BU102">
        <v>2100</v>
      </c>
      <c r="BV102">
        <v>2100</v>
      </c>
      <c r="BW102">
        <v>2100</v>
      </c>
      <c r="BX102">
        <v>6300</v>
      </c>
      <c r="BY102">
        <v>1200</v>
      </c>
      <c r="BZ102">
        <v>1200</v>
      </c>
      <c r="CA102">
        <v>1200</v>
      </c>
      <c r="CB102">
        <v>3600</v>
      </c>
      <c r="CC102">
        <v>0</v>
      </c>
      <c r="CD102">
        <v>0</v>
      </c>
      <c r="CE102">
        <v>0</v>
      </c>
      <c r="CF102">
        <v>0</v>
      </c>
      <c r="CG102">
        <v>39515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1154</v>
      </c>
      <c r="EJ102">
        <v>1154</v>
      </c>
      <c r="EK102">
        <v>1155</v>
      </c>
      <c r="EL102">
        <v>3500</v>
      </c>
      <c r="EM102">
        <v>37.065000000000005</v>
      </c>
      <c r="EN102">
        <v>660</v>
      </c>
      <c r="EO102">
        <v>660</v>
      </c>
      <c r="EP102">
        <v>659</v>
      </c>
      <c r="EQ102">
        <v>2000</v>
      </c>
      <c r="ER102">
        <v>21.18</v>
      </c>
      <c r="ES102">
        <v>0</v>
      </c>
      <c r="ET102">
        <v>0</v>
      </c>
      <c r="EU102">
        <v>0</v>
      </c>
      <c r="EV102">
        <v>0</v>
      </c>
      <c r="EW102">
        <v>0</v>
      </c>
      <c r="FA102">
        <v>0</v>
      </c>
      <c r="FE102">
        <v>0</v>
      </c>
      <c r="FI102">
        <v>0</v>
      </c>
      <c r="FJ102">
        <v>5441.7550000000001</v>
      </c>
      <c r="FK102">
        <v>39515</v>
      </c>
      <c r="FL102">
        <v>35580.43210392214</v>
      </c>
      <c r="FM102">
        <v>34073.245000000003</v>
      </c>
    </row>
    <row r="103" spans="1:169" x14ac:dyDescent="0.35">
      <c r="A103">
        <v>198360</v>
      </c>
      <c r="B103" t="s">
        <v>953</v>
      </c>
      <c r="C103" t="s">
        <v>954</v>
      </c>
      <c r="D103" t="s">
        <v>955</v>
      </c>
      <c r="E103" s="43" t="s">
        <v>956</v>
      </c>
      <c r="F103">
        <v>1</v>
      </c>
      <c r="G103" s="23">
        <v>43780</v>
      </c>
      <c r="H103" s="23">
        <v>43782</v>
      </c>
      <c r="I103" s="23">
        <v>43782</v>
      </c>
      <c r="J103" t="s">
        <v>3582</v>
      </c>
      <c r="L103" s="43" t="s">
        <v>3204</v>
      </c>
      <c r="M103" t="s">
        <v>957</v>
      </c>
      <c r="N103" t="s">
        <v>958</v>
      </c>
      <c r="O103" t="s">
        <v>959</v>
      </c>
      <c r="P103" t="s">
        <v>342</v>
      </c>
      <c r="Q103" t="s">
        <v>960</v>
      </c>
      <c r="R103">
        <v>4</v>
      </c>
      <c r="S103">
        <v>44109</v>
      </c>
      <c r="T103" t="s">
        <v>311</v>
      </c>
      <c r="U103" t="s">
        <v>266</v>
      </c>
      <c r="V103" t="s">
        <v>267</v>
      </c>
      <c r="W103" t="s">
        <v>268</v>
      </c>
      <c r="X103" t="s">
        <v>269</v>
      </c>
      <c r="Y103">
        <v>8883022894</v>
      </c>
      <c r="Z103" t="s">
        <v>270</v>
      </c>
      <c r="AA103" t="s">
        <v>271</v>
      </c>
      <c r="AB103">
        <v>0</v>
      </c>
      <c r="AC103" t="s">
        <v>737</v>
      </c>
      <c r="AD103" t="s">
        <v>708</v>
      </c>
      <c r="AE103" t="s">
        <v>301</v>
      </c>
      <c r="AF103">
        <v>1</v>
      </c>
      <c r="AG103" t="s">
        <v>275</v>
      </c>
      <c r="AH103" s="43" t="s">
        <v>3243</v>
      </c>
      <c r="AI103" s="43" t="s">
        <v>3244</v>
      </c>
      <c r="AJ103" s="43" t="s">
        <v>3207</v>
      </c>
      <c r="AK103" s="43" t="s">
        <v>3208</v>
      </c>
      <c r="AL103" s="43" t="s">
        <v>3209</v>
      </c>
      <c r="AM103">
        <v>43782</v>
      </c>
      <c r="AN103">
        <v>43782</v>
      </c>
      <c r="AO103" s="23">
        <v>43780</v>
      </c>
      <c r="AP103" s="23">
        <v>43780</v>
      </c>
      <c r="AQ103" s="23">
        <v>43780</v>
      </c>
      <c r="BD103" s="43" t="s">
        <v>2018</v>
      </c>
      <c r="BE103" s="43" t="s">
        <v>2018</v>
      </c>
      <c r="BF103" s="43" t="s">
        <v>2018</v>
      </c>
      <c r="BG103" s="43" t="s">
        <v>2018</v>
      </c>
      <c r="BH103" s="43" t="s">
        <v>2018</v>
      </c>
      <c r="BI103" s="43" t="s">
        <v>2018</v>
      </c>
      <c r="BJ103">
        <v>0.29411764705882348</v>
      </c>
      <c r="BK103">
        <v>44109</v>
      </c>
      <c r="BL103">
        <v>44356</v>
      </c>
      <c r="BM103">
        <v>8505</v>
      </c>
      <c r="BN103">
        <v>8505</v>
      </c>
      <c r="BO103">
        <v>8505</v>
      </c>
      <c r="BP103">
        <v>25515</v>
      </c>
      <c r="BQ103">
        <v>3300</v>
      </c>
      <c r="BR103">
        <v>400</v>
      </c>
      <c r="BS103">
        <v>400</v>
      </c>
      <c r="BT103">
        <v>4100</v>
      </c>
      <c r="BU103">
        <v>2100</v>
      </c>
      <c r="BV103">
        <v>2100</v>
      </c>
      <c r="BW103">
        <v>2100</v>
      </c>
      <c r="BX103">
        <v>6300</v>
      </c>
      <c r="BY103">
        <v>1200</v>
      </c>
      <c r="BZ103">
        <v>1200</v>
      </c>
      <c r="CA103">
        <v>1200</v>
      </c>
      <c r="CB103">
        <v>3600</v>
      </c>
      <c r="CC103">
        <v>0</v>
      </c>
      <c r="CD103">
        <v>0</v>
      </c>
      <c r="CE103">
        <v>0</v>
      </c>
      <c r="CF103">
        <v>0</v>
      </c>
      <c r="CG103">
        <v>39515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1700</v>
      </c>
      <c r="CU103">
        <v>1700</v>
      </c>
      <c r="CV103">
        <v>1700</v>
      </c>
      <c r="CW103">
        <v>5100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5100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1814</v>
      </c>
      <c r="EO103">
        <v>1814</v>
      </c>
      <c r="EP103">
        <v>1814</v>
      </c>
      <c r="EQ103">
        <v>5500</v>
      </c>
      <c r="ER103">
        <v>58.245000000000005</v>
      </c>
      <c r="ES103">
        <v>9676</v>
      </c>
      <c r="ET103">
        <v>9676</v>
      </c>
      <c r="EU103">
        <v>9676</v>
      </c>
      <c r="EV103">
        <v>30259</v>
      </c>
      <c r="EW103">
        <v>1285</v>
      </c>
      <c r="FA103">
        <v>0</v>
      </c>
      <c r="FE103">
        <v>0</v>
      </c>
      <c r="FI103">
        <v>0</v>
      </c>
      <c r="FJ103">
        <v>34415.352679999996</v>
      </c>
      <c r="FK103">
        <v>34415</v>
      </c>
      <c r="FL103">
        <v>-0.36832651015118623</v>
      </c>
      <c r="FM103">
        <v>-0.35267999999996391</v>
      </c>
    </row>
    <row r="104" spans="1:169" x14ac:dyDescent="0.35">
      <c r="A104">
        <v>199501</v>
      </c>
      <c r="B104" t="s">
        <v>953</v>
      </c>
      <c r="C104" t="s">
        <v>3910</v>
      </c>
      <c r="D104" t="s">
        <v>3911</v>
      </c>
      <c r="E104" s="43" t="s">
        <v>4211</v>
      </c>
      <c r="J104" t="s">
        <v>3830</v>
      </c>
      <c r="L104" s="43" t="s">
        <v>259</v>
      </c>
      <c r="M104" t="s">
        <v>3912</v>
      </c>
      <c r="N104" t="s">
        <v>3913</v>
      </c>
      <c r="O104" t="s">
        <v>1477</v>
      </c>
      <c r="P104" t="s">
        <v>542</v>
      </c>
      <c r="Q104" t="s">
        <v>3914</v>
      </c>
      <c r="R104">
        <v>2.0070000000000001</v>
      </c>
      <c r="S104">
        <v>44109</v>
      </c>
      <c r="T104" t="s">
        <v>265</v>
      </c>
      <c r="U104" t="s">
        <v>266</v>
      </c>
      <c r="V104" t="s">
        <v>3816</v>
      </c>
      <c r="W104" t="s">
        <v>268</v>
      </c>
      <c r="X104" t="s">
        <v>269</v>
      </c>
      <c r="Y104">
        <v>8883022894</v>
      </c>
      <c r="Z104" t="s">
        <v>270</v>
      </c>
      <c r="AA104" t="s">
        <v>271</v>
      </c>
      <c r="AB104" t="s">
        <v>287</v>
      </c>
      <c r="AC104">
        <v>0</v>
      </c>
      <c r="AD104" t="s">
        <v>3915</v>
      </c>
      <c r="AE104" t="s">
        <v>274</v>
      </c>
      <c r="AF104">
        <v>9</v>
      </c>
      <c r="AG104" t="s">
        <v>3345</v>
      </c>
      <c r="AH104" s="43" t="s">
        <v>259</v>
      </c>
      <c r="AI104" s="43" t="s">
        <v>259</v>
      </c>
      <c r="AJ104" s="43" t="s">
        <v>259</v>
      </c>
      <c r="AK104" s="43" t="s">
        <v>259</v>
      </c>
      <c r="AL104" s="43" t="s">
        <v>259</v>
      </c>
      <c r="AO104" s="23"/>
      <c r="AP104" s="23"/>
      <c r="AQ104" s="23"/>
      <c r="BD104" s="43" t="s">
        <v>259</v>
      </c>
      <c r="BE104" s="43" t="s">
        <v>259</v>
      </c>
      <c r="BF104" s="43" t="s">
        <v>259</v>
      </c>
      <c r="BG104" s="43" t="s">
        <v>259</v>
      </c>
      <c r="BH104" s="43" t="s">
        <v>259</v>
      </c>
      <c r="BI104" s="43" t="s">
        <v>259</v>
      </c>
      <c r="BJ104">
        <v>0</v>
      </c>
      <c r="BK104">
        <v>44109</v>
      </c>
      <c r="BL104">
        <v>44356</v>
      </c>
      <c r="BP104">
        <v>0</v>
      </c>
      <c r="BT104">
        <v>0</v>
      </c>
      <c r="BX104">
        <v>0</v>
      </c>
      <c r="CB104">
        <v>0</v>
      </c>
      <c r="CF104">
        <v>0</v>
      </c>
      <c r="CG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3000</v>
      </c>
      <c r="CY104">
        <v>3000</v>
      </c>
      <c r="CZ104">
        <v>3000</v>
      </c>
      <c r="DA104">
        <v>9000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N104">
        <v>0</v>
      </c>
      <c r="DO104">
        <v>0</v>
      </c>
      <c r="DP104">
        <v>0</v>
      </c>
      <c r="DR104">
        <v>0</v>
      </c>
      <c r="DS104">
        <v>0</v>
      </c>
      <c r="DT104">
        <v>0</v>
      </c>
      <c r="DY104">
        <v>0</v>
      </c>
      <c r="EC104">
        <v>0</v>
      </c>
      <c r="ED104">
        <v>9000</v>
      </c>
      <c r="EH104">
        <v>0</v>
      </c>
      <c r="EI104">
        <v>0</v>
      </c>
      <c r="EJ104">
        <v>0</v>
      </c>
      <c r="EK104">
        <v>0</v>
      </c>
      <c r="EM104">
        <v>0</v>
      </c>
      <c r="EN104">
        <v>660</v>
      </c>
      <c r="EO104">
        <v>660</v>
      </c>
      <c r="EP104">
        <v>659</v>
      </c>
      <c r="EQ104">
        <v>2000</v>
      </c>
      <c r="ER104">
        <v>21.24</v>
      </c>
      <c r="ES104">
        <v>0</v>
      </c>
      <c r="ET104">
        <v>0</v>
      </c>
      <c r="EU104">
        <v>0</v>
      </c>
      <c r="EW104">
        <v>0</v>
      </c>
      <c r="FA104">
        <v>0</v>
      </c>
      <c r="FE104">
        <v>0</v>
      </c>
      <c r="FI104">
        <v>0</v>
      </c>
      <c r="FJ104">
        <v>1978.76</v>
      </c>
      <c r="FK104">
        <v>-9000</v>
      </c>
      <c r="FL104">
        <v>-11465.828390007518</v>
      </c>
      <c r="FM104">
        <v>-10978.76</v>
      </c>
    </row>
    <row r="105" spans="1:169" x14ac:dyDescent="0.35">
      <c r="A105">
        <v>193001</v>
      </c>
      <c r="B105" t="s">
        <v>3916</v>
      </c>
      <c r="C105" t="s">
        <v>3917</v>
      </c>
      <c r="D105" t="s">
        <v>3918</v>
      </c>
      <c r="E105" s="43" t="s">
        <v>4212</v>
      </c>
      <c r="J105" t="s">
        <v>3830</v>
      </c>
      <c r="L105" s="43" t="s">
        <v>259</v>
      </c>
      <c r="M105" t="s">
        <v>3919</v>
      </c>
      <c r="N105" t="s">
        <v>3920</v>
      </c>
      <c r="O105" t="s">
        <v>3921</v>
      </c>
      <c r="P105" t="s">
        <v>608</v>
      </c>
      <c r="Q105" t="s">
        <v>3922</v>
      </c>
      <c r="R105">
        <v>2.3477999999999999</v>
      </c>
      <c r="S105">
        <v>44109</v>
      </c>
      <c r="T105" t="s">
        <v>311</v>
      </c>
      <c r="U105" t="s">
        <v>266</v>
      </c>
      <c r="V105" t="s">
        <v>267</v>
      </c>
      <c r="W105" t="s">
        <v>268</v>
      </c>
      <c r="X105" t="s">
        <v>269</v>
      </c>
      <c r="Y105">
        <v>8883022894</v>
      </c>
      <c r="Z105" t="s">
        <v>270</v>
      </c>
      <c r="AA105" t="s">
        <v>271</v>
      </c>
      <c r="AB105" t="s">
        <v>374</v>
      </c>
      <c r="AC105">
        <v>0</v>
      </c>
      <c r="AD105" t="s">
        <v>1573</v>
      </c>
      <c r="AE105" t="s">
        <v>344</v>
      </c>
      <c r="AF105">
        <v>10</v>
      </c>
      <c r="AG105" t="s">
        <v>3345</v>
      </c>
      <c r="AH105" s="43" t="s">
        <v>259</v>
      </c>
      <c r="AI105" s="43" t="s">
        <v>259</v>
      </c>
      <c r="AJ105" s="43" t="s">
        <v>259</v>
      </c>
      <c r="AK105" s="43" t="s">
        <v>259</v>
      </c>
      <c r="AL105" s="43" t="s">
        <v>259</v>
      </c>
      <c r="AO105" s="23"/>
      <c r="AP105" s="23"/>
      <c r="AQ105" s="23"/>
      <c r="BD105" s="43" t="s">
        <v>259</v>
      </c>
      <c r="BE105" s="43" t="s">
        <v>259</v>
      </c>
      <c r="BF105" s="43" t="s">
        <v>259</v>
      </c>
      <c r="BG105" s="43" t="s">
        <v>259</v>
      </c>
      <c r="BH105" s="43" t="s">
        <v>259</v>
      </c>
      <c r="BI105" s="43" t="s">
        <v>259</v>
      </c>
      <c r="BJ105">
        <v>0</v>
      </c>
      <c r="BK105">
        <v>44109</v>
      </c>
      <c r="BL105">
        <v>44356</v>
      </c>
      <c r="BP105">
        <v>0</v>
      </c>
      <c r="BT105">
        <v>0</v>
      </c>
      <c r="BX105">
        <v>0</v>
      </c>
      <c r="CB105">
        <v>0</v>
      </c>
      <c r="CF105">
        <v>0</v>
      </c>
      <c r="CG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N105">
        <v>0</v>
      </c>
      <c r="DO105">
        <v>0</v>
      </c>
      <c r="DP105">
        <v>0</v>
      </c>
      <c r="DR105">
        <v>0</v>
      </c>
      <c r="DS105">
        <v>0</v>
      </c>
      <c r="DT105">
        <v>0</v>
      </c>
      <c r="DY105">
        <v>0</v>
      </c>
      <c r="EC105">
        <v>0</v>
      </c>
      <c r="ED105">
        <v>0</v>
      </c>
      <c r="EH105">
        <v>0</v>
      </c>
      <c r="EI105">
        <v>0</v>
      </c>
      <c r="EJ105">
        <v>0</v>
      </c>
      <c r="EK105">
        <v>0</v>
      </c>
      <c r="EM105">
        <v>0</v>
      </c>
      <c r="EN105">
        <v>660</v>
      </c>
      <c r="EO105">
        <v>660</v>
      </c>
      <c r="EP105">
        <v>659</v>
      </c>
      <c r="EQ105">
        <v>2000</v>
      </c>
      <c r="ER105">
        <v>21.24</v>
      </c>
      <c r="ES105">
        <v>0</v>
      </c>
      <c r="ET105">
        <v>0</v>
      </c>
      <c r="EU105">
        <v>0</v>
      </c>
      <c r="EW105">
        <v>0</v>
      </c>
      <c r="FA105">
        <v>0</v>
      </c>
      <c r="FE105">
        <v>0</v>
      </c>
      <c r="FI105">
        <v>0</v>
      </c>
      <c r="FJ105">
        <v>1978.76</v>
      </c>
      <c r="FK105">
        <v>0</v>
      </c>
      <c r="FL105">
        <v>-2066.5469128582172</v>
      </c>
      <c r="FM105">
        <v>-1978.76</v>
      </c>
    </row>
    <row r="106" spans="1:169" x14ac:dyDescent="0.35">
      <c r="A106">
        <v>197097</v>
      </c>
      <c r="B106" t="s">
        <v>961</v>
      </c>
      <c r="C106" t="s">
        <v>962</v>
      </c>
      <c r="D106" t="s">
        <v>963</v>
      </c>
      <c r="E106" s="43" t="s">
        <v>964</v>
      </c>
      <c r="L106" s="43" t="s">
        <v>259</v>
      </c>
      <c r="M106" t="s">
        <v>965</v>
      </c>
      <c r="N106" t="s">
        <v>966</v>
      </c>
      <c r="O106" t="s">
        <v>967</v>
      </c>
      <c r="P106" t="s">
        <v>263</v>
      </c>
      <c r="Q106" t="s">
        <v>968</v>
      </c>
      <c r="R106">
        <v>3.6</v>
      </c>
      <c r="S106">
        <v>44109</v>
      </c>
      <c r="T106" t="s">
        <v>285</v>
      </c>
      <c r="U106" t="s">
        <v>286</v>
      </c>
      <c r="V106" t="s">
        <v>267</v>
      </c>
      <c r="W106" t="s">
        <v>268</v>
      </c>
      <c r="X106" t="s">
        <v>269</v>
      </c>
      <c r="Y106">
        <v>8883022894</v>
      </c>
      <c r="Z106" t="s">
        <v>270</v>
      </c>
      <c r="AA106" t="s">
        <v>271</v>
      </c>
      <c r="AB106" t="s">
        <v>969</v>
      </c>
      <c r="AC106">
        <v>0</v>
      </c>
      <c r="AD106" t="s">
        <v>387</v>
      </c>
      <c r="AE106" t="s">
        <v>364</v>
      </c>
      <c r="AF106">
        <v>3</v>
      </c>
      <c r="AG106" t="s">
        <v>275</v>
      </c>
      <c r="AH106" s="43" t="s">
        <v>259</v>
      </c>
      <c r="AI106" s="43" t="s">
        <v>259</v>
      </c>
      <c r="AJ106" s="43" t="s">
        <v>259</v>
      </c>
      <c r="AK106" s="43" t="s">
        <v>259</v>
      </c>
      <c r="AL106" s="43" t="s">
        <v>259</v>
      </c>
      <c r="AO106" s="23"/>
      <c r="AP106" s="23"/>
      <c r="AQ106" s="23"/>
      <c r="BD106" s="43" t="s">
        <v>259</v>
      </c>
      <c r="BE106" s="43" t="s">
        <v>259</v>
      </c>
      <c r="BF106" s="43" t="s">
        <v>259</v>
      </c>
      <c r="BG106" s="43" t="s">
        <v>259</v>
      </c>
      <c r="BH106" s="43" t="s">
        <v>259</v>
      </c>
      <c r="BI106" s="43" t="s">
        <v>259</v>
      </c>
      <c r="BJ106">
        <v>0</v>
      </c>
      <c r="BK106">
        <v>44109</v>
      </c>
      <c r="BL106">
        <v>44356</v>
      </c>
      <c r="BM106">
        <v>8505</v>
      </c>
      <c r="BN106">
        <v>8505</v>
      </c>
      <c r="BO106">
        <v>8505</v>
      </c>
      <c r="BP106">
        <v>25515</v>
      </c>
      <c r="BQ106">
        <v>3300</v>
      </c>
      <c r="BR106">
        <v>400</v>
      </c>
      <c r="BS106">
        <v>400</v>
      </c>
      <c r="BT106">
        <v>4100</v>
      </c>
      <c r="BU106">
        <v>2100</v>
      </c>
      <c r="BV106">
        <v>2100</v>
      </c>
      <c r="BW106">
        <v>2100</v>
      </c>
      <c r="BX106">
        <v>6300</v>
      </c>
      <c r="BY106">
        <v>1200</v>
      </c>
      <c r="BZ106">
        <v>1200</v>
      </c>
      <c r="CA106">
        <v>1200</v>
      </c>
      <c r="CB106">
        <v>3600</v>
      </c>
      <c r="CC106">
        <v>0</v>
      </c>
      <c r="CD106">
        <v>0</v>
      </c>
      <c r="CE106">
        <v>0</v>
      </c>
      <c r="CF106">
        <v>0</v>
      </c>
      <c r="CG106">
        <v>39515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1300</v>
      </c>
      <c r="CU106">
        <v>1300</v>
      </c>
      <c r="CV106">
        <v>1300</v>
      </c>
      <c r="CW106">
        <v>3900</v>
      </c>
      <c r="CX106">
        <v>0</v>
      </c>
      <c r="CY106">
        <v>0</v>
      </c>
      <c r="CZ106">
        <v>0</v>
      </c>
      <c r="DA106">
        <v>0</v>
      </c>
      <c r="DB106">
        <v>1000</v>
      </c>
      <c r="DC106">
        <v>1000</v>
      </c>
      <c r="DD106">
        <v>1000</v>
      </c>
      <c r="DE106">
        <v>3000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6900</v>
      </c>
      <c r="EE106">
        <v>0</v>
      </c>
      <c r="EF106">
        <v>0</v>
      </c>
      <c r="EG106">
        <v>0</v>
      </c>
      <c r="EH106">
        <v>0</v>
      </c>
      <c r="EI106">
        <v>1154</v>
      </c>
      <c r="EJ106">
        <v>1154</v>
      </c>
      <c r="EK106">
        <v>1155</v>
      </c>
      <c r="EL106">
        <v>3500</v>
      </c>
      <c r="EM106">
        <v>37.065000000000005</v>
      </c>
      <c r="EN106">
        <v>660</v>
      </c>
      <c r="EO106">
        <v>660</v>
      </c>
      <c r="EP106">
        <v>659</v>
      </c>
      <c r="EQ106">
        <v>2000</v>
      </c>
      <c r="ER106">
        <v>21.18</v>
      </c>
      <c r="ES106">
        <v>0</v>
      </c>
      <c r="ET106">
        <v>0</v>
      </c>
      <c r="EU106">
        <v>0</v>
      </c>
      <c r="EV106">
        <v>0</v>
      </c>
      <c r="EW106">
        <v>0</v>
      </c>
      <c r="FA106">
        <v>0</v>
      </c>
      <c r="FE106">
        <v>0</v>
      </c>
      <c r="FI106">
        <v>0</v>
      </c>
      <c r="FJ106">
        <v>5441.7550000000001</v>
      </c>
      <c r="FK106">
        <v>32615</v>
      </c>
      <c r="FL106">
        <v>28375.219289085668</v>
      </c>
      <c r="FM106">
        <v>27173.244999999999</v>
      </c>
    </row>
    <row r="107" spans="1:169" x14ac:dyDescent="0.35">
      <c r="A107">
        <v>195816</v>
      </c>
      <c r="B107" t="s">
        <v>970</v>
      </c>
      <c r="C107" t="s">
        <v>971</v>
      </c>
      <c r="D107" t="s">
        <v>972</v>
      </c>
      <c r="E107" s="43" t="s">
        <v>973</v>
      </c>
      <c r="F107">
        <v>1</v>
      </c>
      <c r="G107" s="23">
        <v>43780</v>
      </c>
      <c r="H107" s="23">
        <v>43787</v>
      </c>
      <c r="I107" s="23">
        <v>43787</v>
      </c>
      <c r="J107" t="s">
        <v>3606</v>
      </c>
      <c r="L107" s="43" t="s">
        <v>3204</v>
      </c>
      <c r="M107" t="s">
        <v>974</v>
      </c>
      <c r="N107" t="s">
        <v>975</v>
      </c>
      <c r="O107" t="s">
        <v>976</v>
      </c>
      <c r="P107" t="s">
        <v>454</v>
      </c>
      <c r="Q107" t="s">
        <v>977</v>
      </c>
      <c r="R107">
        <v>3.2</v>
      </c>
      <c r="S107">
        <v>44109</v>
      </c>
      <c r="T107" t="s">
        <v>311</v>
      </c>
      <c r="U107" t="s">
        <v>266</v>
      </c>
      <c r="V107" t="s">
        <v>267</v>
      </c>
      <c r="W107" t="s">
        <v>268</v>
      </c>
      <c r="X107" t="s">
        <v>269</v>
      </c>
      <c r="Y107">
        <v>8883022894</v>
      </c>
      <c r="Z107" t="s">
        <v>270</v>
      </c>
      <c r="AA107" t="s">
        <v>271</v>
      </c>
      <c r="AB107">
        <v>0</v>
      </c>
      <c r="AC107" t="s">
        <v>414</v>
      </c>
      <c r="AD107" t="s">
        <v>288</v>
      </c>
      <c r="AE107" t="s">
        <v>301</v>
      </c>
      <c r="AF107">
        <v>1</v>
      </c>
      <c r="AG107" t="s">
        <v>275</v>
      </c>
      <c r="AH107" s="43" t="s">
        <v>3318</v>
      </c>
      <c r="AI107" s="43" t="s">
        <v>3319</v>
      </c>
      <c r="AJ107" s="43" t="s">
        <v>3309</v>
      </c>
      <c r="AK107" s="43" t="s">
        <v>3208</v>
      </c>
      <c r="AL107" s="43" t="s">
        <v>3209</v>
      </c>
      <c r="AM107">
        <v>43787</v>
      </c>
      <c r="AN107">
        <v>43787</v>
      </c>
      <c r="AO107" s="23">
        <v>43779</v>
      </c>
      <c r="AP107" s="23">
        <v>43779</v>
      </c>
      <c r="AQ107" s="23">
        <v>43779</v>
      </c>
      <c r="BD107" s="43" t="s">
        <v>2018</v>
      </c>
      <c r="BE107" s="43" t="s">
        <v>2018</v>
      </c>
      <c r="BF107" s="43" t="s">
        <v>2018</v>
      </c>
      <c r="BG107" s="43" t="s">
        <v>2018</v>
      </c>
      <c r="BH107" s="43" t="s">
        <v>2018</v>
      </c>
      <c r="BI107" s="43" t="s">
        <v>2018</v>
      </c>
      <c r="BJ107">
        <v>0.29411764705882348</v>
      </c>
      <c r="BK107">
        <v>44109</v>
      </c>
      <c r="BL107">
        <v>44356</v>
      </c>
      <c r="BM107">
        <v>8505</v>
      </c>
      <c r="BN107">
        <v>8505</v>
      </c>
      <c r="BO107">
        <v>8505</v>
      </c>
      <c r="BP107">
        <v>25515</v>
      </c>
      <c r="BQ107">
        <v>3300</v>
      </c>
      <c r="BR107">
        <v>400</v>
      </c>
      <c r="BS107">
        <v>400</v>
      </c>
      <c r="BT107">
        <v>4100</v>
      </c>
      <c r="BU107">
        <v>2100</v>
      </c>
      <c r="BV107">
        <v>2100</v>
      </c>
      <c r="BW107">
        <v>2100</v>
      </c>
      <c r="BX107">
        <v>6300</v>
      </c>
      <c r="BY107">
        <v>1200</v>
      </c>
      <c r="BZ107">
        <v>1200</v>
      </c>
      <c r="CA107">
        <v>1200</v>
      </c>
      <c r="CB107">
        <v>3600</v>
      </c>
      <c r="CC107">
        <v>0</v>
      </c>
      <c r="CD107">
        <v>0</v>
      </c>
      <c r="CE107">
        <v>0</v>
      </c>
      <c r="CF107">
        <v>0</v>
      </c>
      <c r="CG107">
        <v>39515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1700</v>
      </c>
      <c r="CU107">
        <v>1700</v>
      </c>
      <c r="CV107">
        <v>1700</v>
      </c>
      <c r="CW107">
        <v>5100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5100</v>
      </c>
      <c r="EE107">
        <v>0</v>
      </c>
      <c r="EF107">
        <v>0</v>
      </c>
      <c r="EG107">
        <v>0</v>
      </c>
      <c r="EH107">
        <v>0</v>
      </c>
      <c r="EI107">
        <v>1154</v>
      </c>
      <c r="EJ107">
        <v>1154</v>
      </c>
      <c r="EK107">
        <v>1155</v>
      </c>
      <c r="EL107">
        <v>3500</v>
      </c>
      <c r="EM107">
        <v>37.065000000000005</v>
      </c>
      <c r="EN107">
        <v>660</v>
      </c>
      <c r="EO107">
        <v>660</v>
      </c>
      <c r="EP107">
        <v>659</v>
      </c>
      <c r="EQ107">
        <v>2000</v>
      </c>
      <c r="ER107">
        <v>21.18</v>
      </c>
      <c r="ES107">
        <v>9675</v>
      </c>
      <c r="ET107">
        <v>9675</v>
      </c>
      <c r="EU107">
        <v>9675</v>
      </c>
      <c r="EV107">
        <v>30255</v>
      </c>
      <c r="EW107">
        <v>1282</v>
      </c>
      <c r="FA107">
        <v>0</v>
      </c>
      <c r="FI107">
        <v>0</v>
      </c>
      <c r="FJ107">
        <v>34415.153200000001</v>
      </c>
      <c r="FK107">
        <v>34415</v>
      </c>
      <c r="FL107">
        <v>-0.15997660916487608</v>
      </c>
      <c r="FM107">
        <v>-0.15320000000065193</v>
      </c>
    </row>
    <row r="108" spans="1:169" x14ac:dyDescent="0.35">
      <c r="A108">
        <v>194179</v>
      </c>
      <c r="B108" t="s">
        <v>978</v>
      </c>
      <c r="C108" t="s">
        <v>979</v>
      </c>
      <c r="D108" t="s">
        <v>980</v>
      </c>
      <c r="E108" s="43" t="s">
        <v>981</v>
      </c>
      <c r="L108" s="43" t="s">
        <v>259</v>
      </c>
      <c r="M108" t="s">
        <v>982</v>
      </c>
      <c r="N108" t="s">
        <v>983</v>
      </c>
      <c r="O108" t="s">
        <v>984</v>
      </c>
      <c r="P108" t="s">
        <v>297</v>
      </c>
      <c r="Q108" t="s">
        <v>985</v>
      </c>
      <c r="R108">
        <v>3.2</v>
      </c>
      <c r="S108">
        <v>44109</v>
      </c>
      <c r="T108" t="s">
        <v>311</v>
      </c>
      <c r="U108" t="s">
        <v>286</v>
      </c>
      <c r="V108" t="s">
        <v>267</v>
      </c>
      <c r="W108" t="s">
        <v>268</v>
      </c>
      <c r="X108" t="s">
        <v>269</v>
      </c>
      <c r="Y108">
        <v>8883022894</v>
      </c>
      <c r="Z108" t="s">
        <v>270</v>
      </c>
      <c r="AA108" t="s">
        <v>271</v>
      </c>
      <c r="AB108">
        <v>0</v>
      </c>
      <c r="AC108">
        <v>0</v>
      </c>
      <c r="AD108" t="s">
        <v>313</v>
      </c>
      <c r="AE108" t="s">
        <v>324</v>
      </c>
      <c r="AF108">
        <v>8</v>
      </c>
      <c r="AG108" t="s">
        <v>275</v>
      </c>
      <c r="AH108" s="43" t="s">
        <v>259</v>
      </c>
      <c r="AI108" s="43" t="s">
        <v>259</v>
      </c>
      <c r="AJ108" s="43" t="s">
        <v>259</v>
      </c>
      <c r="AK108" s="43" t="s">
        <v>259</v>
      </c>
      <c r="AL108" s="43" t="s">
        <v>259</v>
      </c>
      <c r="AO108" s="23"/>
      <c r="AP108" s="23"/>
      <c r="AQ108" s="23"/>
      <c r="BD108" s="43" t="s">
        <v>259</v>
      </c>
      <c r="BE108" s="43" t="s">
        <v>259</v>
      </c>
      <c r="BF108" s="43" t="s">
        <v>259</v>
      </c>
      <c r="BG108" s="43" t="s">
        <v>259</v>
      </c>
      <c r="BH108" s="43" t="s">
        <v>259</v>
      </c>
      <c r="BI108" s="43" t="s">
        <v>259</v>
      </c>
      <c r="BJ108">
        <v>0</v>
      </c>
      <c r="BK108">
        <v>44109</v>
      </c>
      <c r="BL108">
        <v>44356</v>
      </c>
      <c r="BM108">
        <v>8505</v>
      </c>
      <c r="BN108">
        <v>8505</v>
      </c>
      <c r="BO108">
        <v>8505</v>
      </c>
      <c r="BP108">
        <v>25515</v>
      </c>
      <c r="BQ108">
        <v>3300</v>
      </c>
      <c r="BR108">
        <v>400</v>
      </c>
      <c r="BS108">
        <v>400</v>
      </c>
      <c r="BT108">
        <v>4100</v>
      </c>
      <c r="BU108">
        <v>2100</v>
      </c>
      <c r="BV108">
        <v>2100</v>
      </c>
      <c r="BW108">
        <v>2100</v>
      </c>
      <c r="BX108">
        <v>6300</v>
      </c>
      <c r="BY108">
        <v>1200</v>
      </c>
      <c r="BZ108">
        <v>1200</v>
      </c>
      <c r="CA108">
        <v>1200</v>
      </c>
      <c r="CB108">
        <v>3600</v>
      </c>
      <c r="CC108">
        <v>0</v>
      </c>
      <c r="CD108">
        <v>0</v>
      </c>
      <c r="CE108">
        <v>0</v>
      </c>
      <c r="CF108">
        <v>0</v>
      </c>
      <c r="CG108">
        <v>39515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1000</v>
      </c>
      <c r="DC108">
        <v>1000</v>
      </c>
      <c r="DD108">
        <v>1000</v>
      </c>
      <c r="DE108">
        <v>3000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3000</v>
      </c>
      <c r="EE108">
        <v>0</v>
      </c>
      <c r="EF108">
        <v>0</v>
      </c>
      <c r="EG108">
        <v>0</v>
      </c>
      <c r="EH108">
        <v>0</v>
      </c>
      <c r="EI108">
        <v>1154</v>
      </c>
      <c r="EJ108">
        <v>1154</v>
      </c>
      <c r="EK108">
        <v>1155</v>
      </c>
      <c r="EL108">
        <v>3500</v>
      </c>
      <c r="EM108">
        <v>37.065000000000005</v>
      </c>
      <c r="EN108">
        <v>660</v>
      </c>
      <c r="EO108">
        <v>660</v>
      </c>
      <c r="EP108">
        <v>659</v>
      </c>
      <c r="EQ108">
        <v>2000</v>
      </c>
      <c r="ER108">
        <v>21.18</v>
      </c>
      <c r="ES108">
        <v>0</v>
      </c>
      <c r="ET108">
        <v>0</v>
      </c>
      <c r="EU108">
        <v>0</v>
      </c>
      <c r="EV108">
        <v>0</v>
      </c>
      <c r="EW108">
        <v>0</v>
      </c>
      <c r="FA108">
        <v>0</v>
      </c>
      <c r="FE108">
        <v>0</v>
      </c>
      <c r="FI108">
        <v>0</v>
      </c>
      <c r="FJ108">
        <v>5441.7550000000001</v>
      </c>
      <c r="FK108">
        <v>36515</v>
      </c>
      <c r="FL108">
        <v>32447.730880080198</v>
      </c>
      <c r="FM108">
        <v>31073.245000000003</v>
      </c>
    </row>
    <row r="109" spans="1:169" x14ac:dyDescent="0.35">
      <c r="A109">
        <v>198197</v>
      </c>
      <c r="B109" t="s">
        <v>986</v>
      </c>
      <c r="C109" t="s">
        <v>987</v>
      </c>
      <c r="D109" t="s">
        <v>988</v>
      </c>
      <c r="E109" s="43" t="s">
        <v>989</v>
      </c>
      <c r="F109">
        <v>1</v>
      </c>
      <c r="I109" s="23">
        <v>43803</v>
      </c>
      <c r="L109" s="43" t="s">
        <v>3204</v>
      </c>
      <c r="M109" t="s">
        <v>990</v>
      </c>
      <c r="N109" t="s">
        <v>991</v>
      </c>
      <c r="O109" t="s">
        <v>462</v>
      </c>
      <c r="P109" t="s">
        <v>342</v>
      </c>
      <c r="Q109" t="s">
        <v>992</v>
      </c>
      <c r="R109">
        <v>3.85</v>
      </c>
      <c r="S109">
        <v>44109</v>
      </c>
      <c r="T109" t="s">
        <v>311</v>
      </c>
      <c r="U109" t="s">
        <v>266</v>
      </c>
      <c r="V109" t="s">
        <v>267</v>
      </c>
      <c r="W109" t="s">
        <v>268</v>
      </c>
      <c r="X109" t="s">
        <v>269</v>
      </c>
      <c r="Y109">
        <v>8883022894</v>
      </c>
      <c r="Z109" t="s">
        <v>270</v>
      </c>
      <c r="AA109" t="s">
        <v>271</v>
      </c>
      <c r="AB109">
        <v>0</v>
      </c>
      <c r="AC109" t="s">
        <v>993</v>
      </c>
      <c r="AD109" t="s">
        <v>434</v>
      </c>
      <c r="AE109" t="s">
        <v>301</v>
      </c>
      <c r="AF109">
        <v>1</v>
      </c>
      <c r="AG109" t="s">
        <v>275</v>
      </c>
      <c r="AH109" s="43" t="s">
        <v>3595</v>
      </c>
      <c r="AI109" s="43" t="s">
        <v>3596</v>
      </c>
      <c r="AJ109" s="43" t="s">
        <v>3590</v>
      </c>
      <c r="AK109" s="43" t="s">
        <v>1715</v>
      </c>
      <c r="AL109" s="43" t="s">
        <v>259</v>
      </c>
      <c r="AO109" s="23"/>
      <c r="AP109" s="23"/>
      <c r="AQ109" s="23"/>
      <c r="BD109" s="43" t="s">
        <v>259</v>
      </c>
      <c r="BE109" s="43" t="s">
        <v>259</v>
      </c>
      <c r="BF109" s="43" t="s">
        <v>259</v>
      </c>
      <c r="BG109" s="43" t="s">
        <v>259</v>
      </c>
      <c r="BH109" s="43" t="s">
        <v>259</v>
      </c>
      <c r="BI109" s="43" t="s">
        <v>259</v>
      </c>
      <c r="BJ109">
        <v>0</v>
      </c>
      <c r="BK109">
        <v>44109</v>
      </c>
      <c r="BL109">
        <v>44356</v>
      </c>
      <c r="BM109">
        <v>8505</v>
      </c>
      <c r="BN109">
        <v>8505</v>
      </c>
      <c r="BO109">
        <v>8505</v>
      </c>
      <c r="BP109">
        <v>25515</v>
      </c>
      <c r="BQ109">
        <v>3300</v>
      </c>
      <c r="BR109">
        <v>400</v>
      </c>
      <c r="BS109">
        <v>400</v>
      </c>
      <c r="BT109">
        <v>4100</v>
      </c>
      <c r="BU109">
        <v>2100</v>
      </c>
      <c r="BV109">
        <v>2100</v>
      </c>
      <c r="BW109">
        <v>2100</v>
      </c>
      <c r="BX109">
        <v>6300</v>
      </c>
      <c r="BY109">
        <v>1200</v>
      </c>
      <c r="BZ109">
        <v>1200</v>
      </c>
      <c r="CA109">
        <v>1200</v>
      </c>
      <c r="CB109">
        <v>3600</v>
      </c>
      <c r="CC109">
        <v>0</v>
      </c>
      <c r="CD109">
        <v>0</v>
      </c>
      <c r="CE109">
        <v>0</v>
      </c>
      <c r="CF109">
        <v>0</v>
      </c>
      <c r="CG109">
        <v>39515</v>
      </c>
      <c r="CH109">
        <v>0</v>
      </c>
      <c r="CI109">
        <v>0</v>
      </c>
      <c r="CJ109">
        <v>0</v>
      </c>
      <c r="CK109">
        <v>0</v>
      </c>
      <c r="CL109">
        <v>1949</v>
      </c>
      <c r="CM109">
        <v>1948</v>
      </c>
      <c r="CN109">
        <v>1948</v>
      </c>
      <c r="CO109">
        <v>5845</v>
      </c>
      <c r="CP109">
        <v>500</v>
      </c>
      <c r="CQ109">
        <v>500</v>
      </c>
      <c r="CR109">
        <v>500</v>
      </c>
      <c r="CS109">
        <v>1500</v>
      </c>
      <c r="CT109">
        <v>1700</v>
      </c>
      <c r="CU109">
        <v>1700</v>
      </c>
      <c r="CV109">
        <v>1700</v>
      </c>
      <c r="CW109">
        <v>5100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12445</v>
      </c>
      <c r="EE109">
        <v>0</v>
      </c>
      <c r="EF109">
        <v>0</v>
      </c>
      <c r="EG109">
        <v>0</v>
      </c>
      <c r="EH109">
        <v>0</v>
      </c>
      <c r="EI109">
        <v>1154</v>
      </c>
      <c r="EJ109">
        <v>1154</v>
      </c>
      <c r="EK109">
        <v>1155</v>
      </c>
      <c r="EL109">
        <v>3500</v>
      </c>
      <c r="EM109">
        <v>37.065000000000005</v>
      </c>
      <c r="EN109">
        <v>660</v>
      </c>
      <c r="EO109">
        <v>660</v>
      </c>
      <c r="EP109">
        <v>659</v>
      </c>
      <c r="EQ109">
        <v>2000</v>
      </c>
      <c r="ER109">
        <v>21.18</v>
      </c>
      <c r="ES109">
        <v>0</v>
      </c>
      <c r="ET109">
        <v>0</v>
      </c>
      <c r="EU109">
        <v>0</v>
      </c>
      <c r="EV109">
        <v>0</v>
      </c>
      <c r="EW109">
        <v>0</v>
      </c>
      <c r="FA109">
        <v>0</v>
      </c>
      <c r="FE109">
        <v>0</v>
      </c>
      <c r="FI109">
        <v>0</v>
      </c>
      <c r="FJ109">
        <v>5441.7550000000001</v>
      </c>
      <c r="FK109">
        <v>27070</v>
      </c>
      <c r="FL109">
        <v>22584.94319368447</v>
      </c>
      <c r="FM109">
        <v>21628.244999999999</v>
      </c>
    </row>
    <row r="110" spans="1:169" x14ac:dyDescent="0.35">
      <c r="A110">
        <v>196812</v>
      </c>
      <c r="B110" t="s">
        <v>994</v>
      </c>
      <c r="C110" t="s">
        <v>995</v>
      </c>
      <c r="D110" t="s">
        <v>996</v>
      </c>
      <c r="E110" s="43" t="s">
        <v>997</v>
      </c>
      <c r="L110" s="43" t="s">
        <v>259</v>
      </c>
      <c r="M110" t="s">
        <v>998</v>
      </c>
      <c r="N110" t="s">
        <v>999</v>
      </c>
      <c r="O110" t="s">
        <v>1000</v>
      </c>
      <c r="P110" t="s">
        <v>735</v>
      </c>
      <c r="Q110" t="s">
        <v>1001</v>
      </c>
      <c r="R110">
        <v>3.3</v>
      </c>
      <c r="S110">
        <v>44109</v>
      </c>
      <c r="T110" t="s">
        <v>285</v>
      </c>
      <c r="U110" t="s">
        <v>266</v>
      </c>
      <c r="V110" t="s">
        <v>267</v>
      </c>
      <c r="W110" t="s">
        <v>268</v>
      </c>
      <c r="X110" t="s">
        <v>269</v>
      </c>
      <c r="Y110">
        <v>8883022894</v>
      </c>
      <c r="Z110" t="s">
        <v>270</v>
      </c>
      <c r="AA110" t="s">
        <v>271</v>
      </c>
      <c r="AB110">
        <v>0</v>
      </c>
      <c r="AC110">
        <v>0</v>
      </c>
      <c r="AD110" t="s">
        <v>313</v>
      </c>
      <c r="AE110" t="s">
        <v>274</v>
      </c>
      <c r="AF110">
        <v>9</v>
      </c>
      <c r="AG110" t="s">
        <v>275</v>
      </c>
      <c r="AH110" s="43" t="s">
        <v>259</v>
      </c>
      <c r="AI110" s="43" t="s">
        <v>259</v>
      </c>
      <c r="AJ110" s="43" t="s">
        <v>259</v>
      </c>
      <c r="AK110" s="43" t="s">
        <v>259</v>
      </c>
      <c r="AL110" s="43" t="s">
        <v>259</v>
      </c>
      <c r="AO110" s="23"/>
      <c r="AP110" s="23"/>
      <c r="AQ110" s="23"/>
      <c r="BD110" s="43" t="s">
        <v>259</v>
      </c>
      <c r="BE110" s="43" t="s">
        <v>259</v>
      </c>
      <c r="BF110" s="43" t="s">
        <v>259</v>
      </c>
      <c r="BG110" s="43" t="s">
        <v>259</v>
      </c>
      <c r="BH110" s="43" t="s">
        <v>259</v>
      </c>
      <c r="BI110" s="43" t="s">
        <v>259</v>
      </c>
      <c r="BJ110">
        <v>0</v>
      </c>
      <c r="BK110">
        <v>44109</v>
      </c>
      <c r="BL110">
        <v>44356</v>
      </c>
      <c r="BM110">
        <v>8505</v>
      </c>
      <c r="BN110">
        <v>8505</v>
      </c>
      <c r="BO110">
        <v>8505</v>
      </c>
      <c r="BP110">
        <v>25515</v>
      </c>
      <c r="BQ110">
        <v>3300</v>
      </c>
      <c r="BR110">
        <v>400</v>
      </c>
      <c r="BS110">
        <v>400</v>
      </c>
      <c r="BT110">
        <v>4100</v>
      </c>
      <c r="BU110">
        <v>2100</v>
      </c>
      <c r="BV110">
        <v>2100</v>
      </c>
      <c r="BW110">
        <v>2100</v>
      </c>
      <c r="BX110">
        <v>6300</v>
      </c>
      <c r="BY110">
        <v>1200</v>
      </c>
      <c r="BZ110">
        <v>1200</v>
      </c>
      <c r="CA110">
        <v>1200</v>
      </c>
      <c r="CB110">
        <v>3600</v>
      </c>
      <c r="CC110">
        <v>0</v>
      </c>
      <c r="CD110">
        <v>0</v>
      </c>
      <c r="CE110">
        <v>0</v>
      </c>
      <c r="CF110">
        <v>0</v>
      </c>
      <c r="CG110">
        <v>39515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1154</v>
      </c>
      <c r="EJ110">
        <v>1154</v>
      </c>
      <c r="EK110">
        <v>1155</v>
      </c>
      <c r="EL110">
        <v>3500</v>
      </c>
      <c r="EM110">
        <v>37.065000000000005</v>
      </c>
      <c r="EN110">
        <v>660</v>
      </c>
      <c r="EO110">
        <v>660</v>
      </c>
      <c r="EP110">
        <v>659</v>
      </c>
      <c r="EQ110">
        <v>2000</v>
      </c>
      <c r="ER110">
        <v>21.18</v>
      </c>
      <c r="ES110">
        <v>0</v>
      </c>
      <c r="ET110">
        <v>0</v>
      </c>
      <c r="EU110">
        <v>0</v>
      </c>
      <c r="EV110">
        <v>0</v>
      </c>
      <c r="EW110">
        <v>0</v>
      </c>
      <c r="FA110">
        <v>0</v>
      </c>
      <c r="FE110">
        <v>0</v>
      </c>
      <c r="FI110">
        <v>0</v>
      </c>
      <c r="FJ110">
        <v>5441.7550000000001</v>
      </c>
      <c r="FK110">
        <v>39515</v>
      </c>
      <c r="FL110">
        <v>35580.43210392214</v>
      </c>
      <c r="FM110">
        <v>34073.245000000003</v>
      </c>
    </row>
    <row r="111" spans="1:169" x14ac:dyDescent="0.35">
      <c r="A111">
        <v>197704</v>
      </c>
      <c r="B111" t="s">
        <v>1002</v>
      </c>
      <c r="C111" t="s">
        <v>1003</v>
      </c>
      <c r="D111" t="s">
        <v>1004</v>
      </c>
      <c r="E111" s="43" t="s">
        <v>1005</v>
      </c>
      <c r="F111">
        <v>1</v>
      </c>
      <c r="G111" s="23">
        <v>43767</v>
      </c>
      <c r="H111" s="23">
        <v>43776</v>
      </c>
      <c r="I111" s="23">
        <v>43776</v>
      </c>
      <c r="K111" t="s">
        <v>1715</v>
      </c>
      <c r="L111" s="43" t="s">
        <v>3204</v>
      </c>
      <c r="M111" t="s">
        <v>1006</v>
      </c>
      <c r="N111" t="s">
        <v>1007</v>
      </c>
      <c r="O111" t="s">
        <v>1008</v>
      </c>
      <c r="P111" t="s">
        <v>297</v>
      </c>
      <c r="Q111" t="s">
        <v>1009</v>
      </c>
      <c r="R111">
        <v>2.89</v>
      </c>
      <c r="S111">
        <v>44109</v>
      </c>
      <c r="T111" t="s">
        <v>311</v>
      </c>
      <c r="U111" t="s">
        <v>266</v>
      </c>
      <c r="V111" t="s">
        <v>267</v>
      </c>
      <c r="W111" t="s">
        <v>268</v>
      </c>
      <c r="X111" t="s">
        <v>269</v>
      </c>
      <c r="Y111">
        <v>8883022894</v>
      </c>
      <c r="Z111" t="s">
        <v>508</v>
      </c>
      <c r="AA111" t="s">
        <v>271</v>
      </c>
      <c r="AB111">
        <v>0</v>
      </c>
      <c r="AC111" t="s">
        <v>1010</v>
      </c>
      <c r="AD111" t="s">
        <v>1011</v>
      </c>
      <c r="AE111" t="s">
        <v>289</v>
      </c>
      <c r="AF111">
        <v>2</v>
      </c>
      <c r="AG111" t="s">
        <v>275</v>
      </c>
      <c r="AH111" s="43" t="s">
        <v>3226</v>
      </c>
      <c r="AI111" s="43" t="s">
        <v>313</v>
      </c>
      <c r="AJ111" s="43" t="s">
        <v>3207</v>
      </c>
      <c r="AK111" s="43" t="s">
        <v>3208</v>
      </c>
      <c r="AL111" s="43" t="s">
        <v>3209</v>
      </c>
      <c r="AO111" s="23">
        <v>43760</v>
      </c>
      <c r="AP111" s="23">
        <v>43767</v>
      </c>
      <c r="AQ111" s="23">
        <v>43767</v>
      </c>
      <c r="BD111" s="43" t="s">
        <v>2018</v>
      </c>
      <c r="BE111" s="43" t="s">
        <v>2018</v>
      </c>
      <c r="BF111" s="43" t="s">
        <v>2018</v>
      </c>
      <c r="BG111" s="43" t="s">
        <v>2018</v>
      </c>
      <c r="BH111" s="43" t="s">
        <v>2018</v>
      </c>
      <c r="BI111" s="43" t="s">
        <v>2018</v>
      </c>
      <c r="BJ111">
        <v>0.17647058823529416</v>
      </c>
      <c r="BK111">
        <v>44109</v>
      </c>
      <c r="BL111">
        <v>44356</v>
      </c>
      <c r="BM111">
        <v>8505</v>
      </c>
      <c r="BN111">
        <v>8505</v>
      </c>
      <c r="BO111">
        <v>8505</v>
      </c>
      <c r="BP111">
        <v>25515</v>
      </c>
      <c r="BQ111">
        <v>3300</v>
      </c>
      <c r="BR111">
        <v>400</v>
      </c>
      <c r="BS111">
        <v>400</v>
      </c>
      <c r="BT111">
        <v>4100</v>
      </c>
      <c r="BU111">
        <v>2100</v>
      </c>
      <c r="BV111">
        <v>2100</v>
      </c>
      <c r="BW111">
        <v>2100</v>
      </c>
      <c r="BX111">
        <v>6300</v>
      </c>
      <c r="BY111">
        <v>1200</v>
      </c>
      <c r="BZ111">
        <v>1200</v>
      </c>
      <c r="CA111">
        <v>1200</v>
      </c>
      <c r="CB111">
        <v>3600</v>
      </c>
      <c r="CC111">
        <v>0</v>
      </c>
      <c r="CD111">
        <v>0</v>
      </c>
      <c r="CE111">
        <v>0</v>
      </c>
      <c r="CF111">
        <v>0</v>
      </c>
      <c r="CG111">
        <v>39515</v>
      </c>
      <c r="CH111">
        <v>0</v>
      </c>
      <c r="CI111">
        <v>0</v>
      </c>
      <c r="CJ111">
        <v>0</v>
      </c>
      <c r="CK111">
        <v>0</v>
      </c>
      <c r="CL111">
        <v>2065</v>
      </c>
      <c r="CM111">
        <v>2065</v>
      </c>
      <c r="CN111">
        <v>2065</v>
      </c>
      <c r="CO111">
        <v>6195</v>
      </c>
      <c r="CP111">
        <v>500</v>
      </c>
      <c r="CQ111">
        <v>500</v>
      </c>
      <c r="CR111">
        <v>500</v>
      </c>
      <c r="CS111">
        <v>1500</v>
      </c>
      <c r="CT111">
        <v>1500</v>
      </c>
      <c r="CU111">
        <v>1500</v>
      </c>
      <c r="CV111">
        <v>1500</v>
      </c>
      <c r="CW111">
        <v>4500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12195</v>
      </c>
      <c r="EE111">
        <v>0</v>
      </c>
      <c r="EF111">
        <v>0</v>
      </c>
      <c r="EG111">
        <v>0</v>
      </c>
      <c r="EH111">
        <v>0</v>
      </c>
      <c r="EI111">
        <v>1154</v>
      </c>
      <c r="EJ111">
        <v>1154</v>
      </c>
      <c r="EK111">
        <v>1155</v>
      </c>
      <c r="EL111">
        <v>3500</v>
      </c>
      <c r="EM111">
        <v>37.065000000000005</v>
      </c>
      <c r="EN111">
        <v>660</v>
      </c>
      <c r="EO111">
        <v>660</v>
      </c>
      <c r="EP111">
        <v>659</v>
      </c>
      <c r="EQ111">
        <v>2000</v>
      </c>
      <c r="ER111">
        <v>21.18</v>
      </c>
      <c r="ES111">
        <v>0</v>
      </c>
      <c r="ET111">
        <v>0</v>
      </c>
      <c r="EU111">
        <v>0</v>
      </c>
      <c r="EV111">
        <v>0</v>
      </c>
      <c r="EW111">
        <v>0</v>
      </c>
      <c r="FA111">
        <v>0</v>
      </c>
      <c r="FE111">
        <v>0</v>
      </c>
      <c r="FI111">
        <v>0</v>
      </c>
      <c r="FJ111">
        <v>5441.7550000000001</v>
      </c>
      <c r="FK111">
        <v>27320</v>
      </c>
      <c r="FL111">
        <v>22846.001629004633</v>
      </c>
      <c r="FM111">
        <v>21878.244999999999</v>
      </c>
    </row>
    <row r="112" spans="1:169" x14ac:dyDescent="0.35">
      <c r="A112">
        <v>197889</v>
      </c>
      <c r="B112" t="s">
        <v>1012</v>
      </c>
      <c r="C112" t="s">
        <v>1013</v>
      </c>
      <c r="D112" t="s">
        <v>1014</v>
      </c>
      <c r="E112" s="43" t="s">
        <v>3287</v>
      </c>
      <c r="F112">
        <v>2</v>
      </c>
      <c r="G112" s="23">
        <v>43787</v>
      </c>
      <c r="H112" s="23">
        <v>43787</v>
      </c>
      <c r="I112" s="23">
        <v>43787</v>
      </c>
      <c r="J112" t="s">
        <v>3607</v>
      </c>
      <c r="L112" s="43" t="s">
        <v>3204</v>
      </c>
      <c r="M112" t="s">
        <v>1015</v>
      </c>
      <c r="N112" t="s">
        <v>1016</v>
      </c>
      <c r="O112" t="s">
        <v>1017</v>
      </c>
      <c r="P112" t="s">
        <v>1018</v>
      </c>
      <c r="Q112" t="s">
        <v>1019</v>
      </c>
      <c r="R112">
        <v>3.39</v>
      </c>
      <c r="S112">
        <v>44109</v>
      </c>
      <c r="T112" t="s">
        <v>265</v>
      </c>
      <c r="U112" t="s">
        <v>266</v>
      </c>
      <c r="V112" t="s">
        <v>267</v>
      </c>
      <c r="W112" t="s">
        <v>268</v>
      </c>
      <c r="X112" t="s">
        <v>269</v>
      </c>
      <c r="Y112">
        <v>8883022894</v>
      </c>
      <c r="Z112" t="s">
        <v>270</v>
      </c>
      <c r="AA112" t="s">
        <v>271</v>
      </c>
      <c r="AB112">
        <v>0</v>
      </c>
      <c r="AC112" t="s">
        <v>414</v>
      </c>
      <c r="AD112" t="s">
        <v>1020</v>
      </c>
      <c r="AE112" t="s">
        <v>289</v>
      </c>
      <c r="AF112">
        <v>2</v>
      </c>
      <c r="AG112" t="s">
        <v>446</v>
      </c>
      <c r="AH112" s="43" t="s">
        <v>3226</v>
      </c>
      <c r="AI112" s="43" t="s">
        <v>313</v>
      </c>
      <c r="AJ112" s="43" t="s">
        <v>3207</v>
      </c>
      <c r="AK112" s="43" t="s">
        <v>3208</v>
      </c>
      <c r="AL112" s="43" t="s">
        <v>3209</v>
      </c>
      <c r="AO112" s="23"/>
      <c r="AP112" s="23"/>
      <c r="AQ112" s="23"/>
      <c r="BD112" s="43" t="s">
        <v>2018</v>
      </c>
      <c r="BE112" s="43" t="s">
        <v>2018</v>
      </c>
      <c r="BF112" s="43" t="s">
        <v>2018</v>
      </c>
      <c r="BG112" s="43" t="s">
        <v>2018</v>
      </c>
      <c r="BH112" s="43" t="s">
        <v>2018</v>
      </c>
      <c r="BI112" s="43" t="s">
        <v>2018</v>
      </c>
      <c r="BJ112">
        <v>0</v>
      </c>
      <c r="BK112">
        <v>44109</v>
      </c>
      <c r="BL112">
        <v>44356</v>
      </c>
      <c r="BM112">
        <v>8505</v>
      </c>
      <c r="BN112">
        <v>8505</v>
      </c>
      <c r="BO112">
        <v>8505</v>
      </c>
      <c r="BP112">
        <v>25515</v>
      </c>
      <c r="BQ112">
        <v>3300</v>
      </c>
      <c r="BR112">
        <v>400</v>
      </c>
      <c r="BS112">
        <v>400</v>
      </c>
      <c r="BT112">
        <v>4100</v>
      </c>
      <c r="BU112">
        <v>2100</v>
      </c>
      <c r="BV112">
        <v>2100</v>
      </c>
      <c r="BW112">
        <v>2100</v>
      </c>
      <c r="BX112">
        <v>6300</v>
      </c>
      <c r="BY112">
        <v>1200</v>
      </c>
      <c r="BZ112">
        <v>1200</v>
      </c>
      <c r="CA112">
        <v>1200</v>
      </c>
      <c r="CB112">
        <v>3600</v>
      </c>
      <c r="CF112">
        <v>0</v>
      </c>
      <c r="CG112">
        <v>39515</v>
      </c>
      <c r="CK112">
        <v>0</v>
      </c>
      <c r="CL112">
        <v>2065</v>
      </c>
      <c r="CM112">
        <v>2065</v>
      </c>
      <c r="CN112">
        <v>2065</v>
      </c>
      <c r="CO112">
        <v>6195</v>
      </c>
      <c r="CP112">
        <v>500</v>
      </c>
      <c r="CQ112">
        <v>500</v>
      </c>
      <c r="CR112">
        <v>500</v>
      </c>
      <c r="CS112">
        <v>1500</v>
      </c>
      <c r="CT112">
        <v>1500</v>
      </c>
      <c r="CU112">
        <v>1500</v>
      </c>
      <c r="CV112">
        <v>1500</v>
      </c>
      <c r="CW112">
        <v>4500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N112">
        <v>0</v>
      </c>
      <c r="DO112">
        <v>0</v>
      </c>
      <c r="DP112">
        <v>0</v>
      </c>
      <c r="DR112">
        <v>0</v>
      </c>
      <c r="DS112">
        <v>0</v>
      </c>
      <c r="DT112">
        <v>0</v>
      </c>
      <c r="DY112">
        <v>0</v>
      </c>
      <c r="EC112">
        <v>0</v>
      </c>
      <c r="ED112">
        <v>12195</v>
      </c>
      <c r="EH112">
        <v>0</v>
      </c>
      <c r="EI112">
        <v>0</v>
      </c>
      <c r="EJ112">
        <v>0</v>
      </c>
      <c r="EK112">
        <v>0</v>
      </c>
      <c r="EM112">
        <v>0</v>
      </c>
      <c r="EN112">
        <v>660</v>
      </c>
      <c r="EO112">
        <v>660</v>
      </c>
      <c r="EP112">
        <v>659</v>
      </c>
      <c r="EQ112">
        <v>2000</v>
      </c>
      <c r="ER112">
        <v>21.24</v>
      </c>
      <c r="ES112">
        <v>0</v>
      </c>
      <c r="ET112">
        <v>0</v>
      </c>
      <c r="EU112">
        <v>0</v>
      </c>
      <c r="EW112">
        <v>0</v>
      </c>
      <c r="FA112">
        <v>0</v>
      </c>
      <c r="FE112">
        <v>0</v>
      </c>
      <c r="FI112">
        <v>0</v>
      </c>
      <c r="FJ112">
        <v>1978.76</v>
      </c>
      <c r="FK112">
        <v>27320</v>
      </c>
      <c r="FL112">
        <v>26465.494193332775</v>
      </c>
      <c r="FM112">
        <v>25341.24</v>
      </c>
    </row>
    <row r="113" spans="1:169" x14ac:dyDescent="0.35">
      <c r="A113">
        <v>197876</v>
      </c>
      <c r="B113" t="s">
        <v>1021</v>
      </c>
      <c r="C113" t="s">
        <v>1022</v>
      </c>
      <c r="D113" t="s">
        <v>1023</v>
      </c>
      <c r="E113" s="43" t="s">
        <v>3288</v>
      </c>
      <c r="L113" s="43" t="s">
        <v>259</v>
      </c>
      <c r="M113" t="s">
        <v>1024</v>
      </c>
      <c r="N113" t="s">
        <v>1025</v>
      </c>
      <c r="O113" t="s">
        <v>1026</v>
      </c>
      <c r="P113" t="s">
        <v>372</v>
      </c>
      <c r="Q113" t="s">
        <v>1027</v>
      </c>
      <c r="R113">
        <v>3.1</v>
      </c>
      <c r="S113">
        <v>44109</v>
      </c>
      <c r="T113" t="s">
        <v>285</v>
      </c>
      <c r="U113" t="s">
        <v>266</v>
      </c>
      <c r="V113" t="s">
        <v>1028</v>
      </c>
      <c r="W113" t="s">
        <v>268</v>
      </c>
      <c r="X113" t="s">
        <v>269</v>
      </c>
      <c r="Y113">
        <v>8883022894</v>
      </c>
      <c r="Z113" t="s">
        <v>270</v>
      </c>
      <c r="AA113" t="s">
        <v>271</v>
      </c>
      <c r="AB113">
        <v>0</v>
      </c>
      <c r="AC113" t="s">
        <v>1029</v>
      </c>
      <c r="AD113" t="s">
        <v>1030</v>
      </c>
      <c r="AE113" t="s">
        <v>324</v>
      </c>
      <c r="AF113">
        <v>8</v>
      </c>
      <c r="AG113" t="s">
        <v>446</v>
      </c>
      <c r="AH113" s="43" t="s">
        <v>259</v>
      </c>
      <c r="AI113" s="43" t="s">
        <v>259</v>
      </c>
      <c r="AJ113" s="43" t="s">
        <v>259</v>
      </c>
      <c r="AK113" s="43" t="s">
        <v>259</v>
      </c>
      <c r="AL113" s="43" t="s">
        <v>259</v>
      </c>
      <c r="AO113" s="23"/>
      <c r="AP113" s="23"/>
      <c r="AQ113" s="23"/>
      <c r="BD113" s="43" t="s">
        <v>259</v>
      </c>
      <c r="BE113" s="43" t="s">
        <v>259</v>
      </c>
      <c r="BF113" s="43" t="s">
        <v>259</v>
      </c>
      <c r="BG113" s="43" t="s">
        <v>259</v>
      </c>
      <c r="BH113" s="43" t="s">
        <v>259</v>
      </c>
      <c r="BI113" s="43" t="s">
        <v>259</v>
      </c>
      <c r="BJ113">
        <v>0</v>
      </c>
      <c r="BK113">
        <v>44109</v>
      </c>
      <c r="BL113">
        <v>44356</v>
      </c>
      <c r="BM113">
        <v>8505</v>
      </c>
      <c r="BN113">
        <v>8505</v>
      </c>
      <c r="BO113">
        <v>8505</v>
      </c>
      <c r="BP113">
        <v>25515</v>
      </c>
      <c r="BQ113">
        <v>3300</v>
      </c>
      <c r="BR113">
        <v>400</v>
      </c>
      <c r="BS113">
        <v>400</v>
      </c>
      <c r="BT113">
        <v>4100</v>
      </c>
      <c r="BU113">
        <v>2100</v>
      </c>
      <c r="BV113">
        <v>2100</v>
      </c>
      <c r="BW113">
        <v>2100</v>
      </c>
      <c r="BX113">
        <v>6300</v>
      </c>
      <c r="BY113">
        <v>1200</v>
      </c>
      <c r="BZ113">
        <v>1200</v>
      </c>
      <c r="CA113">
        <v>1200</v>
      </c>
      <c r="CB113">
        <v>3600</v>
      </c>
      <c r="CF113">
        <v>0</v>
      </c>
      <c r="CG113">
        <v>39515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N113">
        <v>0</v>
      </c>
      <c r="DO113">
        <v>0</v>
      </c>
      <c r="DP113">
        <v>0</v>
      </c>
      <c r="DR113">
        <v>0</v>
      </c>
      <c r="DS113">
        <v>0</v>
      </c>
      <c r="DT113">
        <v>0</v>
      </c>
      <c r="DY113">
        <v>0</v>
      </c>
      <c r="EC113">
        <v>0</v>
      </c>
      <c r="ED113">
        <v>0</v>
      </c>
      <c r="EH113">
        <v>0</v>
      </c>
      <c r="EI113">
        <v>0</v>
      </c>
      <c r="EJ113">
        <v>0</v>
      </c>
      <c r="EK113">
        <v>0</v>
      </c>
      <c r="EM113">
        <v>0</v>
      </c>
      <c r="EN113">
        <v>660</v>
      </c>
      <c r="EO113">
        <v>660</v>
      </c>
      <c r="EP113">
        <v>659</v>
      </c>
      <c r="EQ113">
        <v>2000</v>
      </c>
      <c r="ER113">
        <v>21.24</v>
      </c>
      <c r="ES113">
        <v>0</v>
      </c>
      <c r="ET113">
        <v>0</v>
      </c>
      <c r="EU113">
        <v>0</v>
      </c>
      <c r="EW113">
        <v>0</v>
      </c>
      <c r="FA113">
        <v>0</v>
      </c>
      <c r="FE113">
        <v>0</v>
      </c>
      <c r="FI113">
        <v>0</v>
      </c>
      <c r="FJ113">
        <v>1978.76</v>
      </c>
      <c r="FK113">
        <v>39515</v>
      </c>
      <c r="FL113">
        <v>39201.520594870075</v>
      </c>
      <c r="FM113">
        <v>37536.239999999998</v>
      </c>
    </row>
    <row r="114" spans="1:169" x14ac:dyDescent="0.35">
      <c r="A114">
        <v>197807</v>
      </c>
      <c r="B114" t="s">
        <v>1031</v>
      </c>
      <c r="C114" t="s">
        <v>1032</v>
      </c>
      <c r="D114" t="s">
        <v>1033</v>
      </c>
      <c r="E114" s="43" t="s">
        <v>1034</v>
      </c>
      <c r="L114" s="43" t="s">
        <v>259</v>
      </c>
      <c r="M114" t="s">
        <v>1035</v>
      </c>
      <c r="N114" t="s">
        <v>1036</v>
      </c>
      <c r="O114" t="s">
        <v>1037</v>
      </c>
      <c r="P114" t="s">
        <v>542</v>
      </c>
      <c r="Q114" t="s">
        <v>1038</v>
      </c>
      <c r="R114">
        <v>3.6778</v>
      </c>
      <c r="S114">
        <v>44109</v>
      </c>
      <c r="T114" t="s">
        <v>544</v>
      </c>
      <c r="U114" t="s">
        <v>266</v>
      </c>
      <c r="V114" t="s">
        <v>1039</v>
      </c>
      <c r="W114" t="s">
        <v>268</v>
      </c>
      <c r="X114" t="s">
        <v>269</v>
      </c>
      <c r="Y114">
        <v>8883022894</v>
      </c>
      <c r="Z114" t="s">
        <v>270</v>
      </c>
      <c r="AA114" t="s">
        <v>271</v>
      </c>
      <c r="AB114" t="s">
        <v>272</v>
      </c>
      <c r="AC114">
        <v>0</v>
      </c>
      <c r="AD114" t="s">
        <v>1011</v>
      </c>
      <c r="AE114" t="s">
        <v>416</v>
      </c>
      <c r="AF114">
        <v>5</v>
      </c>
      <c r="AG114" t="s">
        <v>275</v>
      </c>
      <c r="AH114" s="43" t="s">
        <v>259</v>
      </c>
      <c r="AI114" s="43" t="s">
        <v>259</v>
      </c>
      <c r="AJ114" s="43" t="s">
        <v>259</v>
      </c>
      <c r="AK114" s="43" t="s">
        <v>259</v>
      </c>
      <c r="AL114" s="43" t="s">
        <v>259</v>
      </c>
      <c r="AO114" s="23"/>
      <c r="AP114" s="23"/>
      <c r="AQ114" s="23"/>
      <c r="BD114" s="43" t="s">
        <v>259</v>
      </c>
      <c r="BE114" s="43" t="s">
        <v>259</v>
      </c>
      <c r="BF114" s="43" t="s">
        <v>259</v>
      </c>
      <c r="BG114" s="43" t="s">
        <v>259</v>
      </c>
      <c r="BH114" s="43" t="s">
        <v>259</v>
      </c>
      <c r="BI114" s="43" t="s">
        <v>259</v>
      </c>
      <c r="BJ114">
        <v>0</v>
      </c>
      <c r="BK114">
        <v>44109</v>
      </c>
      <c r="BL114">
        <v>44356</v>
      </c>
      <c r="BM114">
        <v>8505</v>
      </c>
      <c r="BN114">
        <v>8505</v>
      </c>
      <c r="BO114">
        <v>8505</v>
      </c>
      <c r="BP114">
        <v>25515</v>
      </c>
      <c r="BQ114">
        <v>3300</v>
      </c>
      <c r="BR114">
        <v>400</v>
      </c>
      <c r="BS114">
        <v>400</v>
      </c>
      <c r="BT114">
        <v>4100</v>
      </c>
      <c r="BU114">
        <v>2100</v>
      </c>
      <c r="BV114">
        <v>2100</v>
      </c>
      <c r="BW114">
        <v>2100</v>
      </c>
      <c r="BX114">
        <v>6300</v>
      </c>
      <c r="BY114">
        <v>1200</v>
      </c>
      <c r="BZ114">
        <v>1200</v>
      </c>
      <c r="CA114">
        <v>1200</v>
      </c>
      <c r="CB114">
        <v>3600</v>
      </c>
      <c r="CC114">
        <v>0</v>
      </c>
      <c r="CD114">
        <v>0</v>
      </c>
      <c r="CE114">
        <v>0</v>
      </c>
      <c r="CF114">
        <v>0</v>
      </c>
      <c r="CG114">
        <v>39515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1000</v>
      </c>
      <c r="CU114">
        <v>1000</v>
      </c>
      <c r="CV114">
        <v>1000</v>
      </c>
      <c r="CW114">
        <v>3000</v>
      </c>
      <c r="CX114">
        <v>3000</v>
      </c>
      <c r="CY114">
        <v>3000</v>
      </c>
      <c r="CZ114">
        <v>3000</v>
      </c>
      <c r="DA114">
        <v>9000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12000</v>
      </c>
      <c r="EE114">
        <v>0</v>
      </c>
      <c r="EF114">
        <v>0</v>
      </c>
      <c r="EG114">
        <v>0</v>
      </c>
      <c r="EH114">
        <v>0</v>
      </c>
      <c r="EI114">
        <v>1154</v>
      </c>
      <c r="EJ114">
        <v>1154</v>
      </c>
      <c r="EK114">
        <v>1155</v>
      </c>
      <c r="EL114">
        <v>3500</v>
      </c>
      <c r="EM114">
        <v>37.065000000000005</v>
      </c>
      <c r="EN114">
        <v>660</v>
      </c>
      <c r="EO114">
        <v>660</v>
      </c>
      <c r="EP114">
        <v>659</v>
      </c>
      <c r="EQ114">
        <v>2000</v>
      </c>
      <c r="ER114">
        <v>21.18</v>
      </c>
      <c r="ES114">
        <v>0</v>
      </c>
      <c r="ET114">
        <v>0</v>
      </c>
      <c r="EU114">
        <v>0</v>
      </c>
      <c r="EV114">
        <v>0</v>
      </c>
      <c r="EW114">
        <v>0</v>
      </c>
      <c r="FA114">
        <v>0</v>
      </c>
      <c r="FE114">
        <v>0</v>
      </c>
      <c r="FI114">
        <v>0</v>
      </c>
      <c r="FJ114">
        <v>5441.7550000000001</v>
      </c>
      <c r="FK114">
        <v>27515</v>
      </c>
      <c r="FL114">
        <v>23049.627208554361</v>
      </c>
      <c r="FM114">
        <v>22073.244999999999</v>
      </c>
    </row>
    <row r="115" spans="1:169" x14ac:dyDescent="0.35">
      <c r="A115">
        <v>194968</v>
      </c>
      <c r="B115" t="s">
        <v>1040</v>
      </c>
      <c r="C115" t="s">
        <v>1041</v>
      </c>
      <c r="D115" t="s">
        <v>1042</v>
      </c>
      <c r="E115" s="43" t="s">
        <v>3289</v>
      </c>
      <c r="F115">
        <v>2</v>
      </c>
      <c r="G115" s="23">
        <v>43780</v>
      </c>
      <c r="H115" s="23">
        <v>43780</v>
      </c>
      <c r="I115" s="23">
        <v>43780</v>
      </c>
      <c r="J115" t="s">
        <v>3519</v>
      </c>
      <c r="K115" t="s">
        <v>3520</v>
      </c>
      <c r="L115" s="43" t="s">
        <v>3204</v>
      </c>
      <c r="M115" t="s">
        <v>1043</v>
      </c>
      <c r="N115" t="s">
        <v>1044</v>
      </c>
      <c r="O115" t="s">
        <v>1045</v>
      </c>
      <c r="P115" t="s">
        <v>1046</v>
      </c>
      <c r="Q115" t="s">
        <v>1047</v>
      </c>
      <c r="R115">
        <v>2.8035999999999999</v>
      </c>
      <c r="S115">
        <v>44109</v>
      </c>
      <c r="T115" t="s">
        <v>265</v>
      </c>
      <c r="U115" t="s">
        <v>266</v>
      </c>
      <c r="V115" t="s">
        <v>267</v>
      </c>
      <c r="W115" t="s">
        <v>268</v>
      </c>
      <c r="X115" t="s">
        <v>269</v>
      </c>
      <c r="Y115">
        <v>8883022894</v>
      </c>
      <c r="Z115" t="s">
        <v>270</v>
      </c>
      <c r="AA115" t="s">
        <v>271</v>
      </c>
      <c r="AB115" t="s">
        <v>571</v>
      </c>
      <c r="AC115">
        <v>0</v>
      </c>
      <c r="AD115" t="s">
        <v>415</v>
      </c>
      <c r="AE115" t="s">
        <v>445</v>
      </c>
      <c r="AF115">
        <v>4</v>
      </c>
      <c r="AG115" t="s">
        <v>446</v>
      </c>
      <c r="AH115" s="43" t="s">
        <v>3226</v>
      </c>
      <c r="AI115" s="43" t="s">
        <v>313</v>
      </c>
      <c r="AJ115" s="43" t="s">
        <v>4237</v>
      </c>
      <c r="AK115" s="43" t="s">
        <v>3208</v>
      </c>
      <c r="AL115" s="43" t="s">
        <v>3209</v>
      </c>
      <c r="AO115" s="23">
        <v>43773</v>
      </c>
      <c r="AP115" s="23"/>
      <c r="AQ115" s="23"/>
      <c r="BD115" s="43" t="s">
        <v>2018</v>
      </c>
      <c r="BE115" s="43" t="s">
        <v>2018</v>
      </c>
      <c r="BF115" s="43" t="s">
        <v>2018</v>
      </c>
      <c r="BG115" s="43" t="s">
        <v>2018</v>
      </c>
      <c r="BH115" s="43" t="s">
        <v>2018</v>
      </c>
      <c r="BI115" s="43" t="s">
        <v>2018</v>
      </c>
      <c r="BJ115">
        <v>5.8823529411764719E-2</v>
      </c>
      <c r="BK115">
        <v>44109</v>
      </c>
      <c r="BL115">
        <v>44356</v>
      </c>
      <c r="BM115">
        <v>8505</v>
      </c>
      <c r="BN115">
        <v>8505</v>
      </c>
      <c r="BO115">
        <v>8505</v>
      </c>
      <c r="BP115">
        <v>25515</v>
      </c>
      <c r="BQ115">
        <v>3300</v>
      </c>
      <c r="BR115">
        <v>400</v>
      </c>
      <c r="BS115">
        <v>400</v>
      </c>
      <c r="BT115">
        <v>4100</v>
      </c>
      <c r="BU115">
        <v>2100</v>
      </c>
      <c r="BV115">
        <v>2100</v>
      </c>
      <c r="BW115">
        <v>2100</v>
      </c>
      <c r="BX115">
        <v>6300</v>
      </c>
      <c r="BY115">
        <v>1200</v>
      </c>
      <c r="BZ115">
        <v>1200</v>
      </c>
      <c r="CA115">
        <v>1200</v>
      </c>
      <c r="CB115">
        <v>3600</v>
      </c>
      <c r="CF115">
        <v>0</v>
      </c>
      <c r="CG115">
        <v>39515</v>
      </c>
      <c r="CK115">
        <v>0</v>
      </c>
      <c r="CL115">
        <v>2065</v>
      </c>
      <c r="CM115">
        <v>2065</v>
      </c>
      <c r="CN115">
        <v>2065</v>
      </c>
      <c r="CO115">
        <v>6195</v>
      </c>
      <c r="CP115">
        <v>500</v>
      </c>
      <c r="CQ115">
        <v>500</v>
      </c>
      <c r="CR115">
        <v>500</v>
      </c>
      <c r="CS115">
        <v>1500</v>
      </c>
      <c r="CT115">
        <v>1250</v>
      </c>
      <c r="CU115">
        <v>1250</v>
      </c>
      <c r="CV115">
        <v>1250</v>
      </c>
      <c r="CW115">
        <v>3750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N115">
        <v>0</v>
      </c>
      <c r="DO115">
        <v>0</v>
      </c>
      <c r="DP115">
        <v>0</v>
      </c>
      <c r="DR115">
        <v>0</v>
      </c>
      <c r="DS115">
        <v>0</v>
      </c>
      <c r="DT115">
        <v>0</v>
      </c>
      <c r="DY115">
        <v>0</v>
      </c>
      <c r="EC115">
        <v>0</v>
      </c>
      <c r="ED115">
        <v>11445</v>
      </c>
      <c r="EH115">
        <v>0</v>
      </c>
      <c r="EI115">
        <v>0</v>
      </c>
      <c r="EJ115">
        <v>0</v>
      </c>
      <c r="EK115">
        <v>0</v>
      </c>
      <c r="EM115">
        <v>0</v>
      </c>
      <c r="EN115">
        <v>660</v>
      </c>
      <c r="EO115">
        <v>660</v>
      </c>
      <c r="EP115">
        <v>659</v>
      </c>
      <c r="EQ115">
        <v>2000</v>
      </c>
      <c r="ER115">
        <v>21.24</v>
      </c>
      <c r="ES115">
        <v>0</v>
      </c>
      <c r="ET115">
        <v>0</v>
      </c>
      <c r="EU115">
        <v>0</v>
      </c>
      <c r="EW115">
        <v>0</v>
      </c>
      <c r="FA115">
        <v>0</v>
      </c>
      <c r="FE115">
        <v>0</v>
      </c>
      <c r="FI115">
        <v>0</v>
      </c>
      <c r="FJ115">
        <v>1978.76</v>
      </c>
      <c r="FK115">
        <v>28070</v>
      </c>
      <c r="FL115">
        <v>27248.767649761885</v>
      </c>
      <c r="FM115">
        <v>26091.24</v>
      </c>
    </row>
    <row r="116" spans="1:169" x14ac:dyDescent="0.35">
      <c r="A116">
        <v>196992</v>
      </c>
      <c r="B116" t="s">
        <v>1048</v>
      </c>
      <c r="C116" t="s">
        <v>1049</v>
      </c>
      <c r="D116" t="s">
        <v>1050</v>
      </c>
      <c r="E116" s="43" t="s">
        <v>1051</v>
      </c>
      <c r="F116">
        <v>1</v>
      </c>
      <c r="G116" s="23">
        <v>43794</v>
      </c>
      <c r="H116" s="23">
        <v>43794</v>
      </c>
      <c r="I116" s="23">
        <v>43794</v>
      </c>
      <c r="J116" t="s">
        <v>3827</v>
      </c>
      <c r="L116" s="43" t="s">
        <v>3204</v>
      </c>
      <c r="M116" t="s">
        <v>1052</v>
      </c>
      <c r="N116" t="s">
        <v>1053</v>
      </c>
      <c r="O116" t="s">
        <v>1054</v>
      </c>
      <c r="P116" t="s">
        <v>297</v>
      </c>
      <c r="Q116" t="s">
        <v>1055</v>
      </c>
      <c r="R116">
        <v>4</v>
      </c>
      <c r="S116">
        <v>44109</v>
      </c>
      <c r="T116" t="s">
        <v>311</v>
      </c>
      <c r="U116" t="s">
        <v>266</v>
      </c>
      <c r="V116" t="s">
        <v>267</v>
      </c>
      <c r="W116" t="s">
        <v>268</v>
      </c>
      <c r="X116" t="s">
        <v>269</v>
      </c>
      <c r="Y116">
        <v>8883022894</v>
      </c>
      <c r="Z116" t="s">
        <v>270</v>
      </c>
      <c r="AA116" t="s">
        <v>271</v>
      </c>
      <c r="AB116">
        <v>0</v>
      </c>
      <c r="AC116" t="s">
        <v>1056</v>
      </c>
      <c r="AD116" t="s">
        <v>1057</v>
      </c>
      <c r="AE116" t="s">
        <v>301</v>
      </c>
      <c r="AF116">
        <v>1</v>
      </c>
      <c r="AG116" t="s">
        <v>275</v>
      </c>
      <c r="AH116" s="43" t="s">
        <v>3245</v>
      </c>
      <c r="AI116" s="43" t="s">
        <v>3246</v>
      </c>
      <c r="AJ116" s="43" t="s">
        <v>3207</v>
      </c>
      <c r="AK116" s="43" t="s">
        <v>3208</v>
      </c>
      <c r="AL116" s="43" t="s">
        <v>3209</v>
      </c>
      <c r="AO116" s="23">
        <v>43795</v>
      </c>
      <c r="AP116" s="23"/>
      <c r="AQ116" s="23"/>
      <c r="BD116" s="43" t="s">
        <v>2018</v>
      </c>
      <c r="BE116" s="43" t="s">
        <v>2018</v>
      </c>
      <c r="BF116" s="43" t="s">
        <v>2018</v>
      </c>
      <c r="BG116" s="43" t="s">
        <v>2018</v>
      </c>
      <c r="BH116" s="43" t="s">
        <v>2018</v>
      </c>
      <c r="BI116" s="43" t="s">
        <v>2018</v>
      </c>
      <c r="BJ116">
        <v>5.8823529411764719E-2</v>
      </c>
      <c r="BK116">
        <v>44109</v>
      </c>
      <c r="BL116">
        <v>44356</v>
      </c>
      <c r="BM116">
        <v>8505</v>
      </c>
      <c r="BN116">
        <v>8505</v>
      </c>
      <c r="BO116">
        <v>8505</v>
      </c>
      <c r="BP116">
        <v>25515</v>
      </c>
      <c r="BQ116">
        <v>3300</v>
      </c>
      <c r="BR116">
        <v>400</v>
      </c>
      <c r="BS116">
        <v>400</v>
      </c>
      <c r="BT116">
        <v>4100</v>
      </c>
      <c r="BU116">
        <v>2100</v>
      </c>
      <c r="BV116">
        <v>2100</v>
      </c>
      <c r="BW116">
        <v>2100</v>
      </c>
      <c r="BX116">
        <v>6300</v>
      </c>
      <c r="BY116">
        <v>1200</v>
      </c>
      <c r="BZ116">
        <v>1200</v>
      </c>
      <c r="CA116">
        <v>1200</v>
      </c>
      <c r="CB116">
        <v>3600</v>
      </c>
      <c r="CC116">
        <v>0</v>
      </c>
      <c r="CD116">
        <v>0</v>
      </c>
      <c r="CE116">
        <v>0</v>
      </c>
      <c r="CF116">
        <v>0</v>
      </c>
      <c r="CG116">
        <v>39515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1700</v>
      </c>
      <c r="CU116">
        <v>1700</v>
      </c>
      <c r="CV116">
        <v>1700</v>
      </c>
      <c r="CW116">
        <v>5100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5100</v>
      </c>
      <c r="EE116">
        <v>0</v>
      </c>
      <c r="EF116">
        <v>0</v>
      </c>
      <c r="EG116">
        <v>0</v>
      </c>
      <c r="EH116">
        <v>0</v>
      </c>
      <c r="EI116">
        <v>1154</v>
      </c>
      <c r="EJ116">
        <v>1154</v>
      </c>
      <c r="EK116">
        <v>1155</v>
      </c>
      <c r="EL116">
        <v>3500</v>
      </c>
      <c r="EM116">
        <v>37.065000000000005</v>
      </c>
      <c r="EN116">
        <v>660</v>
      </c>
      <c r="EO116">
        <v>660</v>
      </c>
      <c r="EP116">
        <v>659</v>
      </c>
      <c r="EQ116">
        <v>2000</v>
      </c>
      <c r="ER116">
        <v>21.18</v>
      </c>
      <c r="ES116">
        <v>0</v>
      </c>
      <c r="ET116">
        <v>0</v>
      </c>
      <c r="EU116">
        <v>0</v>
      </c>
      <c r="EV116">
        <v>0</v>
      </c>
      <c r="EW116">
        <v>0</v>
      </c>
      <c r="FA116">
        <v>0</v>
      </c>
      <c r="FE116">
        <v>0</v>
      </c>
      <c r="FI116">
        <v>0</v>
      </c>
      <c r="FJ116">
        <v>5441.7550000000001</v>
      </c>
      <c r="FK116">
        <v>34415</v>
      </c>
      <c r="FL116">
        <v>30254.840023390832</v>
      </c>
      <c r="FM116">
        <v>28973.244999999999</v>
      </c>
    </row>
    <row r="117" spans="1:169" x14ac:dyDescent="0.35">
      <c r="A117">
        <v>196075</v>
      </c>
      <c r="B117" t="s">
        <v>1058</v>
      </c>
      <c r="C117" t="s">
        <v>1059</v>
      </c>
      <c r="D117" t="s">
        <v>1060</v>
      </c>
      <c r="E117" s="43" t="s">
        <v>1061</v>
      </c>
      <c r="F117">
        <v>1</v>
      </c>
      <c r="G117" s="23">
        <v>43776</v>
      </c>
      <c r="H117" s="23">
        <v>43776</v>
      </c>
      <c r="I117" s="23">
        <v>43776</v>
      </c>
      <c r="L117" s="43" t="s">
        <v>3204</v>
      </c>
      <c r="M117" t="s">
        <v>3521</v>
      </c>
      <c r="N117" t="s">
        <v>1062</v>
      </c>
      <c r="O117" t="s">
        <v>1063</v>
      </c>
      <c r="P117" t="s">
        <v>596</v>
      </c>
      <c r="Q117" t="s">
        <v>1064</v>
      </c>
      <c r="R117">
        <v>3.9</v>
      </c>
      <c r="S117">
        <v>44109</v>
      </c>
      <c r="T117" t="s">
        <v>311</v>
      </c>
      <c r="U117" t="s">
        <v>266</v>
      </c>
      <c r="V117" t="s">
        <v>267</v>
      </c>
      <c r="W117" t="s">
        <v>268</v>
      </c>
      <c r="X117" t="s">
        <v>269</v>
      </c>
      <c r="Y117">
        <v>8883022894</v>
      </c>
      <c r="Z117" t="s">
        <v>270</v>
      </c>
      <c r="AA117" t="s">
        <v>271</v>
      </c>
      <c r="AB117">
        <v>0</v>
      </c>
      <c r="AC117">
        <v>0</v>
      </c>
      <c r="AD117" t="s">
        <v>313</v>
      </c>
      <c r="AE117" t="s">
        <v>364</v>
      </c>
      <c r="AF117">
        <v>3</v>
      </c>
      <c r="AG117" t="s">
        <v>275</v>
      </c>
      <c r="AH117" s="43" t="s">
        <v>3226</v>
      </c>
      <c r="AI117" s="43" t="s">
        <v>313</v>
      </c>
      <c r="AJ117" s="43" t="s">
        <v>4169</v>
      </c>
      <c r="AK117" s="43" t="s">
        <v>3208</v>
      </c>
      <c r="AL117" s="43" t="s">
        <v>3209</v>
      </c>
      <c r="AO117" s="23">
        <v>43775</v>
      </c>
      <c r="AP117" s="23"/>
      <c r="AQ117" s="23"/>
      <c r="BD117" s="43" t="s">
        <v>2018</v>
      </c>
      <c r="BE117" s="43" t="s">
        <v>2018</v>
      </c>
      <c r="BF117" s="43" t="s">
        <v>2018</v>
      </c>
      <c r="BG117" s="43" t="s">
        <v>2018</v>
      </c>
      <c r="BH117" s="43" t="s">
        <v>2018</v>
      </c>
      <c r="BI117" s="43" t="s">
        <v>2018</v>
      </c>
      <c r="BJ117">
        <v>5.8823529411764719E-2</v>
      </c>
      <c r="BK117">
        <v>44109</v>
      </c>
      <c r="BL117">
        <v>44356</v>
      </c>
      <c r="BM117">
        <v>8505</v>
      </c>
      <c r="BN117">
        <v>8505</v>
      </c>
      <c r="BO117">
        <v>8505</v>
      </c>
      <c r="BP117">
        <v>25515</v>
      </c>
      <c r="BQ117">
        <v>3300</v>
      </c>
      <c r="BR117">
        <v>400</v>
      </c>
      <c r="BS117">
        <v>400</v>
      </c>
      <c r="BT117">
        <v>4100</v>
      </c>
      <c r="BU117">
        <v>2100</v>
      </c>
      <c r="BV117">
        <v>2100</v>
      </c>
      <c r="BW117">
        <v>2100</v>
      </c>
      <c r="BX117">
        <v>6300</v>
      </c>
      <c r="BY117">
        <v>1200</v>
      </c>
      <c r="BZ117">
        <v>1200</v>
      </c>
      <c r="CA117">
        <v>1200</v>
      </c>
      <c r="CB117">
        <v>3600</v>
      </c>
      <c r="CC117">
        <v>0</v>
      </c>
      <c r="CD117">
        <v>0</v>
      </c>
      <c r="CE117">
        <v>0</v>
      </c>
      <c r="CF117">
        <v>0</v>
      </c>
      <c r="CG117">
        <v>39515</v>
      </c>
      <c r="CH117">
        <v>0</v>
      </c>
      <c r="CI117">
        <v>0</v>
      </c>
      <c r="CJ117">
        <v>0</v>
      </c>
      <c r="CK117">
        <v>0</v>
      </c>
      <c r="CL117">
        <v>2065</v>
      </c>
      <c r="CM117">
        <v>2065</v>
      </c>
      <c r="CN117">
        <v>2065</v>
      </c>
      <c r="CO117">
        <v>6195</v>
      </c>
      <c r="CP117">
        <v>500</v>
      </c>
      <c r="CQ117">
        <v>500</v>
      </c>
      <c r="CR117">
        <v>500</v>
      </c>
      <c r="CS117">
        <v>1500</v>
      </c>
      <c r="CT117">
        <v>1300</v>
      </c>
      <c r="CU117">
        <v>1300</v>
      </c>
      <c r="CV117">
        <v>1300</v>
      </c>
      <c r="CW117">
        <v>3900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11595</v>
      </c>
      <c r="EE117">
        <v>0</v>
      </c>
      <c r="EF117">
        <v>0</v>
      </c>
      <c r="EG117">
        <v>0</v>
      </c>
      <c r="EH117">
        <v>0</v>
      </c>
      <c r="EI117">
        <v>1154</v>
      </c>
      <c r="EJ117">
        <v>1154</v>
      </c>
      <c r="EK117">
        <v>1155</v>
      </c>
      <c r="EL117">
        <v>3500</v>
      </c>
      <c r="EM117">
        <v>37.065000000000005</v>
      </c>
      <c r="EN117">
        <v>660</v>
      </c>
      <c r="EO117">
        <v>660</v>
      </c>
      <c r="EP117">
        <v>659</v>
      </c>
      <c r="EQ117">
        <v>2000</v>
      </c>
      <c r="ER117">
        <v>21.18</v>
      </c>
      <c r="ES117">
        <v>0</v>
      </c>
      <c r="ET117">
        <v>0</v>
      </c>
      <c r="EU117">
        <v>0</v>
      </c>
      <c r="EV117">
        <v>0</v>
      </c>
      <c r="EW117">
        <v>0</v>
      </c>
      <c r="FA117">
        <v>0</v>
      </c>
      <c r="FE117">
        <v>0</v>
      </c>
      <c r="FI117">
        <v>0</v>
      </c>
      <c r="FJ117">
        <v>5441.7550000000001</v>
      </c>
      <c r="FK117">
        <v>27920</v>
      </c>
      <c r="FL117">
        <v>23472.541873773025</v>
      </c>
      <c r="FM117">
        <v>22478.244999999999</v>
      </c>
    </row>
    <row r="118" spans="1:169" x14ac:dyDescent="0.35">
      <c r="A118">
        <v>198453</v>
      </c>
      <c r="B118" t="s">
        <v>1065</v>
      </c>
      <c r="C118" t="s">
        <v>1066</v>
      </c>
      <c r="D118" t="s">
        <v>1067</v>
      </c>
      <c r="E118" s="43" t="s">
        <v>3290</v>
      </c>
      <c r="L118" s="43" t="s">
        <v>259</v>
      </c>
      <c r="M118" t="s">
        <v>1068</v>
      </c>
      <c r="N118" t="s">
        <v>1069</v>
      </c>
      <c r="O118" t="s">
        <v>1070</v>
      </c>
      <c r="P118" t="s">
        <v>297</v>
      </c>
      <c r="Q118" t="s">
        <v>1071</v>
      </c>
      <c r="R118">
        <v>3.306</v>
      </c>
      <c r="S118">
        <v>44109</v>
      </c>
      <c r="T118" t="s">
        <v>311</v>
      </c>
      <c r="U118" t="s">
        <v>286</v>
      </c>
      <c r="V118" t="s">
        <v>267</v>
      </c>
      <c r="W118" t="s">
        <v>268</v>
      </c>
      <c r="X118" t="s">
        <v>269</v>
      </c>
      <c r="Y118">
        <v>8883022894</v>
      </c>
      <c r="Z118" t="s">
        <v>270</v>
      </c>
      <c r="AA118" t="s">
        <v>271</v>
      </c>
      <c r="AB118">
        <v>0</v>
      </c>
      <c r="AC118" t="s">
        <v>752</v>
      </c>
      <c r="AD118" t="s">
        <v>1011</v>
      </c>
      <c r="AE118" t="s">
        <v>364</v>
      </c>
      <c r="AF118">
        <v>3</v>
      </c>
      <c r="AG118" t="s">
        <v>446</v>
      </c>
      <c r="AH118" s="43" t="s">
        <v>259</v>
      </c>
      <c r="AI118" s="43" t="s">
        <v>259</v>
      </c>
      <c r="AJ118" s="43" t="s">
        <v>259</v>
      </c>
      <c r="AK118" s="43" t="s">
        <v>259</v>
      </c>
      <c r="AL118" s="43" t="s">
        <v>259</v>
      </c>
      <c r="AO118" s="23"/>
      <c r="AP118" s="23"/>
      <c r="AQ118" s="23"/>
      <c r="BD118" s="43" t="s">
        <v>259</v>
      </c>
      <c r="BE118" s="43" t="s">
        <v>259</v>
      </c>
      <c r="BF118" s="43" t="s">
        <v>259</v>
      </c>
      <c r="BG118" s="43" t="s">
        <v>259</v>
      </c>
      <c r="BH118" s="43" t="s">
        <v>259</v>
      </c>
      <c r="BI118" s="43" t="s">
        <v>259</v>
      </c>
      <c r="BJ118">
        <v>0</v>
      </c>
      <c r="BK118">
        <v>44109</v>
      </c>
      <c r="BL118">
        <v>44356</v>
      </c>
      <c r="BM118">
        <v>8505</v>
      </c>
      <c r="BN118">
        <v>8505</v>
      </c>
      <c r="BO118">
        <v>8505</v>
      </c>
      <c r="BP118">
        <v>25515</v>
      </c>
      <c r="BQ118">
        <v>3300</v>
      </c>
      <c r="BR118">
        <v>400</v>
      </c>
      <c r="BS118">
        <v>400</v>
      </c>
      <c r="BT118">
        <v>4100</v>
      </c>
      <c r="BU118">
        <v>2100</v>
      </c>
      <c r="BV118">
        <v>2100</v>
      </c>
      <c r="BW118">
        <v>2100</v>
      </c>
      <c r="BX118">
        <v>6300</v>
      </c>
      <c r="BY118">
        <v>1200</v>
      </c>
      <c r="BZ118">
        <v>1200</v>
      </c>
      <c r="CA118">
        <v>1200</v>
      </c>
      <c r="CB118">
        <v>3600</v>
      </c>
      <c r="CF118">
        <v>0</v>
      </c>
      <c r="CG118">
        <v>39515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1300</v>
      </c>
      <c r="CU118">
        <v>1300</v>
      </c>
      <c r="CV118">
        <v>1300</v>
      </c>
      <c r="CW118">
        <v>3900</v>
      </c>
      <c r="CX118">
        <v>0</v>
      </c>
      <c r="CY118">
        <v>0</v>
      </c>
      <c r="CZ118">
        <v>0</v>
      </c>
      <c r="DA118">
        <v>0</v>
      </c>
      <c r="DB118">
        <v>1000</v>
      </c>
      <c r="DC118">
        <v>1000</v>
      </c>
      <c r="DD118">
        <v>1000</v>
      </c>
      <c r="DE118">
        <v>3000</v>
      </c>
      <c r="DF118">
        <v>0</v>
      </c>
      <c r="DG118">
        <v>0</v>
      </c>
      <c r="DH118">
        <v>0</v>
      </c>
      <c r="DN118">
        <v>0</v>
      </c>
      <c r="DO118">
        <v>0</v>
      </c>
      <c r="DP118">
        <v>0</v>
      </c>
      <c r="DR118">
        <v>0</v>
      </c>
      <c r="DS118">
        <v>0</v>
      </c>
      <c r="DT118">
        <v>0</v>
      </c>
      <c r="DY118">
        <v>0</v>
      </c>
      <c r="EC118">
        <v>0</v>
      </c>
      <c r="ED118">
        <v>6900</v>
      </c>
      <c r="EH118">
        <v>0</v>
      </c>
      <c r="EI118">
        <v>0</v>
      </c>
      <c r="EJ118">
        <v>0</v>
      </c>
      <c r="EK118">
        <v>0</v>
      </c>
      <c r="EM118">
        <v>0</v>
      </c>
      <c r="EN118">
        <v>660</v>
      </c>
      <c r="EO118">
        <v>660</v>
      </c>
      <c r="EP118">
        <v>659</v>
      </c>
      <c r="EQ118">
        <v>2000</v>
      </c>
      <c r="ER118">
        <v>21.24</v>
      </c>
      <c r="ES118">
        <v>0</v>
      </c>
      <c r="ET118">
        <v>0</v>
      </c>
      <c r="EU118">
        <v>0</v>
      </c>
      <c r="EW118">
        <v>0</v>
      </c>
      <c r="FA118">
        <v>0</v>
      </c>
      <c r="FE118">
        <v>0</v>
      </c>
      <c r="FI118">
        <v>0</v>
      </c>
      <c r="FJ118">
        <v>1978.76</v>
      </c>
      <c r="FK118">
        <v>32615</v>
      </c>
      <c r="FL118">
        <v>31995.404795722283</v>
      </c>
      <c r="FM118">
        <v>30636.240000000002</v>
      </c>
    </row>
    <row r="119" spans="1:169" x14ac:dyDescent="0.35">
      <c r="A119">
        <v>198506</v>
      </c>
      <c r="B119" t="s">
        <v>1065</v>
      </c>
      <c r="C119" t="s">
        <v>629</v>
      </c>
      <c r="D119" t="s">
        <v>1072</v>
      </c>
      <c r="E119" s="43" t="s">
        <v>1073</v>
      </c>
      <c r="L119" s="43" t="s">
        <v>259</v>
      </c>
      <c r="M119" t="s">
        <v>1074</v>
      </c>
      <c r="N119" t="s">
        <v>1075</v>
      </c>
      <c r="O119" t="s">
        <v>1076</v>
      </c>
      <c r="P119" t="s">
        <v>608</v>
      </c>
      <c r="Q119" t="s">
        <v>1077</v>
      </c>
      <c r="R119">
        <v>3.5</v>
      </c>
      <c r="S119">
        <v>44109</v>
      </c>
      <c r="T119" t="s">
        <v>285</v>
      </c>
      <c r="U119" t="s">
        <v>266</v>
      </c>
      <c r="V119" t="s">
        <v>267</v>
      </c>
      <c r="W119" t="s">
        <v>268</v>
      </c>
      <c r="X119" t="s">
        <v>269</v>
      </c>
      <c r="Y119">
        <v>8883022894</v>
      </c>
      <c r="Z119" t="s">
        <v>270</v>
      </c>
      <c r="AA119" t="s">
        <v>271</v>
      </c>
      <c r="AB119" t="s">
        <v>374</v>
      </c>
      <c r="AC119">
        <v>0</v>
      </c>
      <c r="AD119" t="s">
        <v>654</v>
      </c>
      <c r="AE119" t="s">
        <v>416</v>
      </c>
      <c r="AF119">
        <v>5</v>
      </c>
      <c r="AG119" t="s">
        <v>275</v>
      </c>
      <c r="AH119" s="43" t="s">
        <v>259</v>
      </c>
      <c r="AI119" s="43" t="s">
        <v>259</v>
      </c>
      <c r="AJ119" s="43" t="s">
        <v>259</v>
      </c>
      <c r="AK119" s="43" t="s">
        <v>259</v>
      </c>
      <c r="AL119" s="43" t="s">
        <v>259</v>
      </c>
      <c r="AO119" s="23"/>
      <c r="AP119" s="23"/>
      <c r="AQ119" s="23"/>
      <c r="BD119" s="43" t="s">
        <v>259</v>
      </c>
      <c r="BE119" s="43" t="s">
        <v>259</v>
      </c>
      <c r="BF119" s="43" t="s">
        <v>259</v>
      </c>
      <c r="BG119" s="43" t="s">
        <v>259</v>
      </c>
      <c r="BH119" s="43" t="s">
        <v>259</v>
      </c>
      <c r="BI119" s="43" t="s">
        <v>259</v>
      </c>
      <c r="BJ119">
        <v>0</v>
      </c>
      <c r="BK119">
        <v>44109</v>
      </c>
      <c r="BL119">
        <v>44356</v>
      </c>
      <c r="BM119">
        <v>8505</v>
      </c>
      <c r="BN119">
        <v>8505</v>
      </c>
      <c r="BO119">
        <v>8505</v>
      </c>
      <c r="BP119">
        <v>25515</v>
      </c>
      <c r="BQ119">
        <v>3300</v>
      </c>
      <c r="BR119">
        <v>400</v>
      </c>
      <c r="BS119">
        <v>400</v>
      </c>
      <c r="BT119">
        <v>4100</v>
      </c>
      <c r="BU119">
        <v>2100</v>
      </c>
      <c r="BV119">
        <v>2100</v>
      </c>
      <c r="BW119">
        <v>2100</v>
      </c>
      <c r="BX119">
        <v>6300</v>
      </c>
      <c r="BY119">
        <v>1200</v>
      </c>
      <c r="BZ119">
        <v>1200</v>
      </c>
      <c r="CA119">
        <v>1200</v>
      </c>
      <c r="CB119">
        <v>3600</v>
      </c>
      <c r="CC119">
        <v>0</v>
      </c>
      <c r="CD119">
        <v>0</v>
      </c>
      <c r="CE119">
        <v>0</v>
      </c>
      <c r="CF119">
        <v>0</v>
      </c>
      <c r="CG119">
        <v>39515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1000</v>
      </c>
      <c r="CU119">
        <v>1000</v>
      </c>
      <c r="CV119">
        <v>1000</v>
      </c>
      <c r="CW119">
        <v>3000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1000</v>
      </c>
      <c r="DG119">
        <v>1000</v>
      </c>
      <c r="DH119">
        <v>1000</v>
      </c>
      <c r="DI119">
        <v>3000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Y119">
        <v>0</v>
      </c>
      <c r="EC119">
        <v>0</v>
      </c>
      <c r="ED119">
        <v>6000</v>
      </c>
      <c r="EE119">
        <v>0</v>
      </c>
      <c r="EF119">
        <v>0</v>
      </c>
      <c r="EG119">
        <v>0</v>
      </c>
      <c r="EH119">
        <v>0</v>
      </c>
      <c r="EI119">
        <v>1154</v>
      </c>
      <c r="EJ119">
        <v>1154</v>
      </c>
      <c r="EK119">
        <v>1155</v>
      </c>
      <c r="EL119">
        <v>3500</v>
      </c>
      <c r="EM119">
        <v>37.065000000000005</v>
      </c>
      <c r="EN119">
        <v>660</v>
      </c>
      <c r="EO119">
        <v>660</v>
      </c>
      <c r="EP119">
        <v>659</v>
      </c>
      <c r="EQ119">
        <v>2000</v>
      </c>
      <c r="ER119">
        <v>21.18</v>
      </c>
      <c r="ES119">
        <v>0</v>
      </c>
      <c r="ET119">
        <v>0</v>
      </c>
      <c r="EU119">
        <v>0</v>
      </c>
      <c r="EV119">
        <v>0</v>
      </c>
      <c r="EW119">
        <v>0</v>
      </c>
      <c r="FA119">
        <v>0</v>
      </c>
      <c r="FE119">
        <v>0</v>
      </c>
      <c r="FI119">
        <v>0</v>
      </c>
      <c r="FJ119">
        <v>5441.7550000000001</v>
      </c>
      <c r="FK119">
        <v>33515</v>
      </c>
      <c r="FL119">
        <v>29318.703525774916</v>
      </c>
      <c r="FM119">
        <v>28073.244999999999</v>
      </c>
    </row>
    <row r="120" spans="1:169" x14ac:dyDescent="0.35">
      <c r="A120">
        <v>196237</v>
      </c>
      <c r="B120" t="s">
        <v>1078</v>
      </c>
      <c r="C120" t="s">
        <v>1079</v>
      </c>
      <c r="D120" t="s">
        <v>1080</v>
      </c>
      <c r="E120" s="43" t="s">
        <v>1081</v>
      </c>
      <c r="L120" s="43" t="s">
        <v>259</v>
      </c>
      <c r="M120" t="s">
        <v>1082</v>
      </c>
      <c r="N120" t="s">
        <v>1083</v>
      </c>
      <c r="O120" t="s">
        <v>1084</v>
      </c>
      <c r="P120" t="s">
        <v>297</v>
      </c>
      <c r="Q120" t="s">
        <v>1085</v>
      </c>
      <c r="R120">
        <v>3.4523799999999998</v>
      </c>
      <c r="S120">
        <v>44109</v>
      </c>
      <c r="T120" t="s">
        <v>311</v>
      </c>
      <c r="U120" t="s">
        <v>266</v>
      </c>
      <c r="V120" t="s">
        <v>267</v>
      </c>
      <c r="W120" t="s">
        <v>268</v>
      </c>
      <c r="X120" t="s">
        <v>269</v>
      </c>
      <c r="Y120">
        <v>8883022894</v>
      </c>
      <c r="Z120" t="s">
        <v>270</v>
      </c>
      <c r="AA120" t="s">
        <v>271</v>
      </c>
      <c r="AB120" t="s">
        <v>842</v>
      </c>
      <c r="AC120">
        <v>0</v>
      </c>
      <c r="AD120" t="s">
        <v>637</v>
      </c>
      <c r="AE120" t="s">
        <v>354</v>
      </c>
      <c r="AF120">
        <v>6</v>
      </c>
      <c r="AG120" t="s">
        <v>275</v>
      </c>
      <c r="AH120" s="43" t="s">
        <v>259</v>
      </c>
      <c r="AI120" s="43" t="s">
        <v>259</v>
      </c>
      <c r="AJ120" s="43" t="s">
        <v>259</v>
      </c>
      <c r="AK120" s="43" t="s">
        <v>259</v>
      </c>
      <c r="AL120" s="43" t="s">
        <v>259</v>
      </c>
      <c r="AO120" s="23"/>
      <c r="AP120" s="23"/>
      <c r="AQ120" s="23"/>
      <c r="BD120" s="43" t="s">
        <v>259</v>
      </c>
      <c r="BE120" s="43" t="s">
        <v>259</v>
      </c>
      <c r="BF120" s="43" t="s">
        <v>259</v>
      </c>
      <c r="BG120" s="43" t="s">
        <v>259</v>
      </c>
      <c r="BH120" s="43" t="s">
        <v>259</v>
      </c>
      <c r="BI120" s="43" t="s">
        <v>259</v>
      </c>
      <c r="BJ120">
        <v>0</v>
      </c>
      <c r="BK120">
        <v>44109</v>
      </c>
      <c r="BL120">
        <v>44356</v>
      </c>
      <c r="BM120">
        <v>8505</v>
      </c>
      <c r="BN120">
        <v>8505</v>
      </c>
      <c r="BO120">
        <v>8505</v>
      </c>
      <c r="BP120">
        <v>25515</v>
      </c>
      <c r="BQ120">
        <v>3300</v>
      </c>
      <c r="BR120">
        <v>400</v>
      </c>
      <c r="BS120">
        <v>400</v>
      </c>
      <c r="BT120">
        <v>4100</v>
      </c>
      <c r="BU120">
        <v>2100</v>
      </c>
      <c r="BV120">
        <v>2100</v>
      </c>
      <c r="BW120">
        <v>2100</v>
      </c>
      <c r="BX120">
        <v>6300</v>
      </c>
      <c r="BY120">
        <v>1200</v>
      </c>
      <c r="BZ120">
        <v>1200</v>
      </c>
      <c r="CA120">
        <v>1200</v>
      </c>
      <c r="CB120">
        <v>3600</v>
      </c>
      <c r="CC120">
        <v>0</v>
      </c>
      <c r="CD120">
        <v>0</v>
      </c>
      <c r="CE120">
        <v>0</v>
      </c>
      <c r="CF120">
        <v>0</v>
      </c>
      <c r="CG120">
        <v>39515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750</v>
      </c>
      <c r="CU120">
        <v>750</v>
      </c>
      <c r="CV120">
        <v>750</v>
      </c>
      <c r="CW120">
        <v>2250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2250</v>
      </c>
      <c r="EE120">
        <v>0</v>
      </c>
      <c r="EF120">
        <v>0</v>
      </c>
      <c r="EG120">
        <v>0</v>
      </c>
      <c r="EH120">
        <v>0</v>
      </c>
      <c r="EI120">
        <v>1154</v>
      </c>
      <c r="EJ120">
        <v>1154</v>
      </c>
      <c r="EK120">
        <v>1155</v>
      </c>
      <c r="EL120">
        <v>3500</v>
      </c>
      <c r="EM120">
        <v>37.065000000000005</v>
      </c>
      <c r="EN120">
        <v>660</v>
      </c>
      <c r="EO120">
        <v>660</v>
      </c>
      <c r="EP120">
        <v>659</v>
      </c>
      <c r="EQ120">
        <v>2000</v>
      </c>
      <c r="ER120">
        <v>21.18</v>
      </c>
      <c r="ES120">
        <v>0</v>
      </c>
      <c r="ET120">
        <v>0</v>
      </c>
      <c r="EU120">
        <v>0</v>
      </c>
      <c r="EV120">
        <v>0</v>
      </c>
      <c r="EW120">
        <v>0</v>
      </c>
      <c r="FA120">
        <v>0</v>
      </c>
      <c r="FE120">
        <v>0</v>
      </c>
      <c r="FI120">
        <v>0</v>
      </c>
      <c r="FJ120">
        <v>5441.7550000000001</v>
      </c>
      <c r="FK120">
        <v>37265</v>
      </c>
      <c r="FL120">
        <v>33230.906186040687</v>
      </c>
      <c r="FM120">
        <v>31823.245000000003</v>
      </c>
    </row>
    <row r="121" spans="1:169" x14ac:dyDescent="0.35">
      <c r="A121">
        <v>198395</v>
      </c>
      <c r="B121" t="s">
        <v>1078</v>
      </c>
      <c r="C121" t="s">
        <v>1032</v>
      </c>
      <c r="D121" t="s">
        <v>1086</v>
      </c>
      <c r="E121" s="43" t="s">
        <v>1087</v>
      </c>
      <c r="F121">
        <v>1</v>
      </c>
      <c r="I121" s="23">
        <v>43782</v>
      </c>
      <c r="L121" s="43" t="s">
        <v>3204</v>
      </c>
      <c r="M121" t="s">
        <v>1088</v>
      </c>
      <c r="N121" t="s">
        <v>1089</v>
      </c>
      <c r="O121" t="s">
        <v>1090</v>
      </c>
      <c r="P121" t="s">
        <v>1091</v>
      </c>
      <c r="Q121" t="s">
        <v>1092</v>
      </c>
      <c r="R121">
        <v>3.923</v>
      </c>
      <c r="S121">
        <v>44109</v>
      </c>
      <c r="T121" t="s">
        <v>311</v>
      </c>
      <c r="U121" t="s">
        <v>266</v>
      </c>
      <c r="V121" t="s">
        <v>267</v>
      </c>
      <c r="W121" t="s">
        <v>268</v>
      </c>
      <c r="X121" t="s">
        <v>269</v>
      </c>
      <c r="Y121">
        <v>8883022894</v>
      </c>
      <c r="Z121" t="s">
        <v>270</v>
      </c>
      <c r="AA121" t="s">
        <v>271</v>
      </c>
      <c r="AB121">
        <v>0</v>
      </c>
      <c r="AC121">
        <v>0</v>
      </c>
      <c r="AD121" t="s">
        <v>313</v>
      </c>
      <c r="AE121" t="s">
        <v>301</v>
      </c>
      <c r="AF121">
        <v>1</v>
      </c>
      <c r="AG121" t="s">
        <v>275</v>
      </c>
      <c r="AH121" s="43" t="s">
        <v>3247</v>
      </c>
      <c r="AI121" s="43" t="s">
        <v>3248</v>
      </c>
      <c r="AJ121" s="43" t="s">
        <v>3207</v>
      </c>
      <c r="AK121" s="43" t="s">
        <v>1715</v>
      </c>
      <c r="AL121" s="43" t="s">
        <v>259</v>
      </c>
      <c r="AO121" s="23"/>
      <c r="AP121" s="23"/>
      <c r="AQ121" s="23"/>
      <c r="BD121" s="43" t="s">
        <v>259</v>
      </c>
      <c r="BE121" s="43" t="s">
        <v>259</v>
      </c>
      <c r="BF121" s="43" t="s">
        <v>259</v>
      </c>
      <c r="BG121" s="43" t="s">
        <v>259</v>
      </c>
      <c r="BH121" s="43" t="s">
        <v>259</v>
      </c>
      <c r="BI121" s="43" t="s">
        <v>259</v>
      </c>
      <c r="BJ121">
        <v>0</v>
      </c>
      <c r="BK121">
        <v>44109</v>
      </c>
      <c r="BL121">
        <v>44356</v>
      </c>
      <c r="BM121">
        <v>8505</v>
      </c>
      <c r="BN121">
        <v>8505</v>
      </c>
      <c r="BO121">
        <v>8505</v>
      </c>
      <c r="BP121">
        <v>25515</v>
      </c>
      <c r="BQ121">
        <v>3300</v>
      </c>
      <c r="BR121">
        <v>400</v>
      </c>
      <c r="BS121">
        <v>400</v>
      </c>
      <c r="BT121">
        <v>4100</v>
      </c>
      <c r="BU121">
        <v>2100</v>
      </c>
      <c r="BV121">
        <v>2100</v>
      </c>
      <c r="BW121">
        <v>2100</v>
      </c>
      <c r="BX121">
        <v>6300</v>
      </c>
      <c r="BY121">
        <v>1200</v>
      </c>
      <c r="BZ121">
        <v>1200</v>
      </c>
      <c r="CA121">
        <v>1200</v>
      </c>
      <c r="CB121">
        <v>3600</v>
      </c>
      <c r="CC121">
        <v>0</v>
      </c>
      <c r="CD121">
        <v>0</v>
      </c>
      <c r="CE121">
        <v>0</v>
      </c>
      <c r="CF121">
        <v>0</v>
      </c>
      <c r="CG121">
        <v>39515</v>
      </c>
      <c r="CH121">
        <v>0</v>
      </c>
      <c r="CI121">
        <v>0</v>
      </c>
      <c r="CJ121">
        <v>0</v>
      </c>
      <c r="CK121">
        <v>0</v>
      </c>
      <c r="CL121">
        <v>1349</v>
      </c>
      <c r="CM121">
        <v>1348</v>
      </c>
      <c r="CN121">
        <v>1348</v>
      </c>
      <c r="CO121">
        <v>4045</v>
      </c>
      <c r="CP121">
        <v>500</v>
      </c>
      <c r="CQ121">
        <v>500</v>
      </c>
      <c r="CR121">
        <v>500</v>
      </c>
      <c r="CS121">
        <v>1500</v>
      </c>
      <c r="CT121">
        <v>1700</v>
      </c>
      <c r="CU121">
        <v>1700</v>
      </c>
      <c r="CV121">
        <v>1700</v>
      </c>
      <c r="CW121">
        <v>5100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10645</v>
      </c>
      <c r="EE121">
        <v>0</v>
      </c>
      <c r="EF121">
        <v>0</v>
      </c>
      <c r="EG121">
        <v>0</v>
      </c>
      <c r="EH121">
        <v>0</v>
      </c>
      <c r="EI121">
        <v>1154</v>
      </c>
      <c r="EJ121">
        <v>1154</v>
      </c>
      <c r="EK121">
        <v>1155</v>
      </c>
      <c r="EL121">
        <v>3500</v>
      </c>
      <c r="EM121">
        <v>37.065000000000005</v>
      </c>
      <c r="EN121">
        <v>660</v>
      </c>
      <c r="EO121">
        <v>660</v>
      </c>
      <c r="EP121">
        <v>659</v>
      </c>
      <c r="EQ121">
        <v>2000</v>
      </c>
      <c r="ER121">
        <v>21.18</v>
      </c>
      <c r="ES121">
        <v>0</v>
      </c>
      <c r="ET121">
        <v>0</v>
      </c>
      <c r="EU121">
        <v>0</v>
      </c>
      <c r="EV121">
        <v>0</v>
      </c>
      <c r="EW121">
        <v>0</v>
      </c>
      <c r="FA121">
        <v>0</v>
      </c>
      <c r="FE121">
        <v>0</v>
      </c>
      <c r="FI121">
        <v>0</v>
      </c>
      <c r="FJ121">
        <v>5441.7550000000001</v>
      </c>
      <c r="FK121">
        <v>28870</v>
      </c>
      <c r="FL121">
        <v>24464.563927989639</v>
      </c>
      <c r="FM121">
        <v>23428.244999999999</v>
      </c>
    </row>
    <row r="122" spans="1:169" x14ac:dyDescent="0.35">
      <c r="A122">
        <v>196070</v>
      </c>
      <c r="B122" t="s">
        <v>1093</v>
      </c>
      <c r="C122" t="s">
        <v>1094</v>
      </c>
      <c r="D122" t="s">
        <v>1095</v>
      </c>
      <c r="E122" s="43" t="s">
        <v>1096</v>
      </c>
      <c r="F122">
        <v>1</v>
      </c>
      <c r="G122" s="23">
        <v>43790</v>
      </c>
      <c r="H122" s="23">
        <v>43790</v>
      </c>
      <c r="I122" s="23">
        <v>43790</v>
      </c>
      <c r="J122" t="s">
        <v>3923</v>
      </c>
      <c r="L122" s="43" t="s">
        <v>259</v>
      </c>
      <c r="M122" t="s">
        <v>1097</v>
      </c>
      <c r="N122" t="s">
        <v>1098</v>
      </c>
      <c r="O122" t="s">
        <v>1099</v>
      </c>
      <c r="P122" t="s">
        <v>735</v>
      </c>
      <c r="Q122" t="s">
        <v>1100</v>
      </c>
      <c r="R122">
        <v>3.1040000000000001</v>
      </c>
      <c r="S122">
        <v>44109</v>
      </c>
      <c r="T122" t="s">
        <v>311</v>
      </c>
      <c r="U122" t="s">
        <v>266</v>
      </c>
      <c r="V122" t="s">
        <v>267</v>
      </c>
      <c r="W122" t="s">
        <v>268</v>
      </c>
      <c r="X122" t="s">
        <v>269</v>
      </c>
      <c r="Y122">
        <v>8883022894</v>
      </c>
      <c r="Z122" t="s">
        <v>270</v>
      </c>
      <c r="AA122" t="s">
        <v>271</v>
      </c>
      <c r="AB122">
        <v>0</v>
      </c>
      <c r="AC122">
        <v>0</v>
      </c>
      <c r="AD122" t="s">
        <v>313</v>
      </c>
      <c r="AE122" t="s">
        <v>274</v>
      </c>
      <c r="AF122">
        <v>9</v>
      </c>
      <c r="AG122" t="s">
        <v>275</v>
      </c>
      <c r="AH122" s="43" t="s">
        <v>259</v>
      </c>
      <c r="AI122" s="43" t="s">
        <v>259</v>
      </c>
      <c r="AJ122" s="43" t="s">
        <v>259</v>
      </c>
      <c r="AK122" s="43" t="s">
        <v>259</v>
      </c>
      <c r="AL122" s="43" t="s">
        <v>259</v>
      </c>
      <c r="AO122" s="23"/>
      <c r="AP122" s="23"/>
      <c r="AQ122" s="23"/>
      <c r="BD122" s="43" t="s">
        <v>259</v>
      </c>
      <c r="BE122" s="43" t="s">
        <v>259</v>
      </c>
      <c r="BF122" s="43" t="s">
        <v>259</v>
      </c>
      <c r="BG122" s="43" t="s">
        <v>259</v>
      </c>
      <c r="BH122" s="43" t="s">
        <v>259</v>
      </c>
      <c r="BI122" s="43" t="s">
        <v>259</v>
      </c>
      <c r="BJ122">
        <v>0</v>
      </c>
      <c r="BK122">
        <v>44109</v>
      </c>
      <c r="BL122">
        <v>44356</v>
      </c>
      <c r="BM122">
        <v>8505</v>
      </c>
      <c r="BN122">
        <v>8505</v>
      </c>
      <c r="BO122">
        <v>8505</v>
      </c>
      <c r="BP122">
        <v>25515</v>
      </c>
      <c r="BQ122">
        <v>3300</v>
      </c>
      <c r="BR122">
        <v>400</v>
      </c>
      <c r="BS122">
        <v>400</v>
      </c>
      <c r="BT122">
        <v>4100</v>
      </c>
      <c r="BU122">
        <v>2100</v>
      </c>
      <c r="BV122">
        <v>2100</v>
      </c>
      <c r="BW122">
        <v>2100</v>
      </c>
      <c r="BX122">
        <v>6300</v>
      </c>
      <c r="BY122">
        <v>1200</v>
      </c>
      <c r="BZ122">
        <v>1200</v>
      </c>
      <c r="CA122">
        <v>1200</v>
      </c>
      <c r="CB122">
        <v>3600</v>
      </c>
      <c r="CC122">
        <v>0</v>
      </c>
      <c r="CD122">
        <v>0</v>
      </c>
      <c r="CE122">
        <v>0</v>
      </c>
      <c r="CF122">
        <v>0</v>
      </c>
      <c r="CG122">
        <v>39515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1154</v>
      </c>
      <c r="EJ122">
        <v>1154</v>
      </c>
      <c r="EK122">
        <v>1155</v>
      </c>
      <c r="EL122">
        <v>3500</v>
      </c>
      <c r="EM122">
        <v>37.065000000000005</v>
      </c>
      <c r="EN122">
        <v>660</v>
      </c>
      <c r="EO122">
        <v>660</v>
      </c>
      <c r="EP122">
        <v>659</v>
      </c>
      <c r="EQ122">
        <v>2000</v>
      </c>
      <c r="ER122">
        <v>21.18</v>
      </c>
      <c r="ES122">
        <v>0</v>
      </c>
      <c r="ET122">
        <v>0</v>
      </c>
      <c r="EU122">
        <v>0</v>
      </c>
      <c r="EV122">
        <v>0</v>
      </c>
      <c r="EW122">
        <v>0</v>
      </c>
      <c r="FA122">
        <v>0</v>
      </c>
      <c r="FE122">
        <v>0</v>
      </c>
      <c r="FI122">
        <v>0</v>
      </c>
      <c r="FJ122">
        <v>5441.7550000000001</v>
      </c>
      <c r="FK122">
        <v>39515</v>
      </c>
      <c r="FL122">
        <v>35580.43210392214</v>
      </c>
      <c r="FM122">
        <v>34073.245000000003</v>
      </c>
    </row>
    <row r="123" spans="1:169" x14ac:dyDescent="0.35">
      <c r="A123">
        <v>193881</v>
      </c>
      <c r="B123" t="s">
        <v>1101</v>
      </c>
      <c r="C123" t="s">
        <v>1102</v>
      </c>
      <c r="D123" t="s">
        <v>1103</v>
      </c>
      <c r="E123" s="43" t="s">
        <v>1104</v>
      </c>
      <c r="L123" s="43" t="s">
        <v>259</v>
      </c>
      <c r="M123" t="s">
        <v>1105</v>
      </c>
      <c r="N123" t="s">
        <v>1106</v>
      </c>
      <c r="O123" t="s">
        <v>1107</v>
      </c>
      <c r="P123" t="s">
        <v>1108</v>
      </c>
      <c r="Q123" t="s">
        <v>1109</v>
      </c>
      <c r="R123">
        <v>3.98</v>
      </c>
      <c r="S123">
        <v>44109</v>
      </c>
      <c r="T123" t="s">
        <v>311</v>
      </c>
      <c r="U123" t="s">
        <v>286</v>
      </c>
      <c r="V123" t="s">
        <v>1110</v>
      </c>
      <c r="W123" t="s">
        <v>268</v>
      </c>
      <c r="X123" t="s">
        <v>269</v>
      </c>
      <c r="Y123">
        <v>8883022894</v>
      </c>
      <c r="Z123" t="s">
        <v>270</v>
      </c>
      <c r="AA123" t="s">
        <v>271</v>
      </c>
      <c r="AB123" t="s">
        <v>969</v>
      </c>
      <c r="AC123">
        <v>0</v>
      </c>
      <c r="AD123" t="s">
        <v>1111</v>
      </c>
      <c r="AE123" t="s">
        <v>301</v>
      </c>
      <c r="AF123">
        <v>1</v>
      </c>
      <c r="AG123" t="s">
        <v>275</v>
      </c>
      <c r="AH123" s="43" t="s">
        <v>259</v>
      </c>
      <c r="AI123" s="43" t="s">
        <v>259</v>
      </c>
      <c r="AJ123" s="43" t="s">
        <v>259</v>
      </c>
      <c r="AK123" s="43" t="s">
        <v>259</v>
      </c>
      <c r="AL123" s="43" t="s">
        <v>259</v>
      </c>
      <c r="AO123" s="23"/>
      <c r="AP123" s="23"/>
      <c r="AQ123" s="23"/>
      <c r="BD123" s="43" t="s">
        <v>259</v>
      </c>
      <c r="BE123" s="43" t="s">
        <v>259</v>
      </c>
      <c r="BF123" s="43" t="s">
        <v>259</v>
      </c>
      <c r="BG123" s="43" t="s">
        <v>259</v>
      </c>
      <c r="BH123" s="43" t="s">
        <v>259</v>
      </c>
      <c r="BI123" s="43" t="s">
        <v>259</v>
      </c>
      <c r="BJ123">
        <v>0</v>
      </c>
      <c r="BK123">
        <v>44109</v>
      </c>
      <c r="BL123">
        <v>44356</v>
      </c>
      <c r="BM123">
        <v>8505</v>
      </c>
      <c r="BN123">
        <v>8505</v>
      </c>
      <c r="BO123">
        <v>8505</v>
      </c>
      <c r="BP123">
        <v>25515</v>
      </c>
      <c r="BQ123">
        <v>3300</v>
      </c>
      <c r="BR123">
        <v>400</v>
      </c>
      <c r="BS123">
        <v>400</v>
      </c>
      <c r="BT123">
        <v>4100</v>
      </c>
      <c r="BU123">
        <v>2100</v>
      </c>
      <c r="BV123">
        <v>2100</v>
      </c>
      <c r="BW123">
        <v>2100</v>
      </c>
      <c r="BX123">
        <v>6300</v>
      </c>
      <c r="BY123">
        <v>1200</v>
      </c>
      <c r="BZ123">
        <v>1200</v>
      </c>
      <c r="CA123">
        <v>1200</v>
      </c>
      <c r="CB123">
        <v>3600</v>
      </c>
      <c r="CC123">
        <v>0</v>
      </c>
      <c r="CD123">
        <v>0</v>
      </c>
      <c r="CE123">
        <v>0</v>
      </c>
      <c r="CF123">
        <v>0</v>
      </c>
      <c r="CG123">
        <v>39515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1700</v>
      </c>
      <c r="CU123">
        <v>1700</v>
      </c>
      <c r="CV123">
        <v>1700</v>
      </c>
      <c r="CW123">
        <v>5100</v>
      </c>
      <c r="CX123">
        <v>0</v>
      </c>
      <c r="CY123">
        <v>0</v>
      </c>
      <c r="CZ123">
        <v>0</v>
      </c>
      <c r="DA123">
        <v>0</v>
      </c>
      <c r="DB123">
        <v>1000</v>
      </c>
      <c r="DC123">
        <v>1000</v>
      </c>
      <c r="DD123">
        <v>1000</v>
      </c>
      <c r="DE123">
        <v>3000</v>
      </c>
      <c r="DF123">
        <v>0</v>
      </c>
      <c r="DG123">
        <v>0</v>
      </c>
      <c r="DH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8100</v>
      </c>
      <c r="EE123">
        <v>0</v>
      </c>
      <c r="EF123">
        <v>0</v>
      </c>
      <c r="EG123">
        <v>0</v>
      </c>
      <c r="EH123">
        <v>0</v>
      </c>
      <c r="EI123">
        <v>1154</v>
      </c>
      <c r="EJ123">
        <v>1154</v>
      </c>
      <c r="EK123">
        <v>1155</v>
      </c>
      <c r="EL123">
        <v>3500</v>
      </c>
      <c r="EM123">
        <v>37.065000000000005</v>
      </c>
      <c r="EN123">
        <v>660</v>
      </c>
      <c r="EO123">
        <v>660</v>
      </c>
      <c r="EP123">
        <v>659</v>
      </c>
      <c r="EQ123">
        <v>2000</v>
      </c>
      <c r="ER123">
        <v>21.18</v>
      </c>
      <c r="ES123">
        <v>0</v>
      </c>
      <c r="ET123">
        <v>0</v>
      </c>
      <c r="EU123">
        <v>0</v>
      </c>
      <c r="EV123">
        <v>0</v>
      </c>
      <c r="EW123">
        <v>0</v>
      </c>
      <c r="FA123">
        <v>0</v>
      </c>
      <c r="FE123">
        <v>0</v>
      </c>
      <c r="FI123">
        <v>0</v>
      </c>
      <c r="FJ123">
        <v>5441.7550000000001</v>
      </c>
      <c r="FK123">
        <v>31415</v>
      </c>
      <c r="FL123">
        <v>27125.537847773412</v>
      </c>
      <c r="FM123">
        <v>25973.244999999999</v>
      </c>
    </row>
    <row r="124" spans="1:169" x14ac:dyDescent="0.35">
      <c r="A124">
        <v>198356</v>
      </c>
      <c r="B124" t="s">
        <v>3766</v>
      </c>
      <c r="C124" t="s">
        <v>3767</v>
      </c>
      <c r="D124" t="s">
        <v>3768</v>
      </c>
      <c r="E124" s="43" t="s">
        <v>4171</v>
      </c>
      <c r="F124">
        <v>2</v>
      </c>
      <c r="G124" s="23">
        <v>43803</v>
      </c>
      <c r="H124" s="23">
        <v>43803</v>
      </c>
      <c r="I124" s="23">
        <v>43803</v>
      </c>
      <c r="K124" t="s">
        <v>1715</v>
      </c>
      <c r="L124" s="43" t="s">
        <v>3204</v>
      </c>
      <c r="M124" t="s">
        <v>3769</v>
      </c>
      <c r="N124" t="s">
        <v>3770</v>
      </c>
      <c r="O124" t="s">
        <v>3771</v>
      </c>
      <c r="P124" t="s">
        <v>454</v>
      </c>
      <c r="Q124" t="s">
        <v>3772</v>
      </c>
      <c r="R124">
        <v>3.4</v>
      </c>
      <c r="S124">
        <v>44109</v>
      </c>
      <c r="T124" t="s">
        <v>285</v>
      </c>
      <c r="U124" t="s">
        <v>266</v>
      </c>
      <c r="V124" t="s">
        <v>267</v>
      </c>
      <c r="W124" t="s">
        <v>268</v>
      </c>
      <c r="X124" t="s">
        <v>269</v>
      </c>
      <c r="Y124">
        <v>8883022894</v>
      </c>
      <c r="Z124" t="s">
        <v>270</v>
      </c>
      <c r="AA124" t="s">
        <v>271</v>
      </c>
      <c r="AB124" t="s">
        <v>526</v>
      </c>
      <c r="AC124" t="s">
        <v>653</v>
      </c>
      <c r="AD124" t="s">
        <v>3773</v>
      </c>
      <c r="AE124" t="s">
        <v>289</v>
      </c>
      <c r="AF124">
        <v>2</v>
      </c>
      <c r="AG124" t="s">
        <v>3345</v>
      </c>
      <c r="AH124" s="43" t="s">
        <v>3824</v>
      </c>
      <c r="AI124" s="43" t="s">
        <v>3825</v>
      </c>
      <c r="AJ124" s="43" t="s">
        <v>3821</v>
      </c>
      <c r="AK124" s="43" t="s">
        <v>3208</v>
      </c>
      <c r="AL124" s="43" t="s">
        <v>3209</v>
      </c>
      <c r="AO124" s="23">
        <v>43786</v>
      </c>
      <c r="AP124" s="23">
        <v>43785</v>
      </c>
      <c r="AQ124" s="23">
        <v>43785</v>
      </c>
      <c r="BD124" s="43" t="s">
        <v>2018</v>
      </c>
      <c r="BE124" s="43" t="s">
        <v>2018</v>
      </c>
      <c r="BF124" s="43" t="s">
        <v>2018</v>
      </c>
      <c r="BG124" s="43" t="s">
        <v>2018</v>
      </c>
      <c r="BH124" s="43" t="s">
        <v>2018</v>
      </c>
      <c r="BI124" s="43" t="s">
        <v>2018</v>
      </c>
      <c r="BJ124">
        <v>0.17647058823529416</v>
      </c>
      <c r="BK124">
        <v>44109</v>
      </c>
      <c r="BL124">
        <v>44356</v>
      </c>
      <c r="BM124">
        <v>8505</v>
      </c>
      <c r="BN124">
        <v>8505</v>
      </c>
      <c r="BO124">
        <v>8505</v>
      </c>
      <c r="BP124">
        <v>25515</v>
      </c>
      <c r="BQ124">
        <v>3300</v>
      </c>
      <c r="BR124">
        <v>400</v>
      </c>
      <c r="BS124">
        <v>400</v>
      </c>
      <c r="BT124">
        <v>4100</v>
      </c>
      <c r="BU124">
        <v>2100</v>
      </c>
      <c r="BV124">
        <v>2100</v>
      </c>
      <c r="BW124">
        <v>2100</v>
      </c>
      <c r="BX124">
        <v>6300</v>
      </c>
      <c r="BY124">
        <v>1200</v>
      </c>
      <c r="BZ124">
        <v>1200</v>
      </c>
      <c r="CA124">
        <v>1200</v>
      </c>
      <c r="CB124">
        <v>3600</v>
      </c>
      <c r="CF124">
        <v>0</v>
      </c>
      <c r="CG124">
        <v>39515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1500</v>
      </c>
      <c r="CU124">
        <v>1500</v>
      </c>
      <c r="CV124">
        <v>1500</v>
      </c>
      <c r="CW124">
        <v>4500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N124">
        <v>0</v>
      </c>
      <c r="DO124">
        <v>0</v>
      </c>
      <c r="DP124">
        <v>0</v>
      </c>
      <c r="DR124">
        <v>0</v>
      </c>
      <c r="DS124">
        <v>0</v>
      </c>
      <c r="DT124">
        <v>0</v>
      </c>
      <c r="DY124">
        <v>0</v>
      </c>
      <c r="EC124">
        <v>0</v>
      </c>
      <c r="ED124">
        <v>4500</v>
      </c>
      <c r="EH124">
        <v>0</v>
      </c>
      <c r="EI124">
        <v>0</v>
      </c>
      <c r="EJ124">
        <v>0</v>
      </c>
      <c r="EK124">
        <v>0</v>
      </c>
      <c r="EM124">
        <v>0</v>
      </c>
      <c r="EN124">
        <v>660</v>
      </c>
      <c r="EO124">
        <v>660</v>
      </c>
      <c r="EP124">
        <v>659</v>
      </c>
      <c r="EQ124">
        <v>2000</v>
      </c>
      <c r="ER124">
        <v>21.24</v>
      </c>
      <c r="ES124">
        <v>0</v>
      </c>
      <c r="ET124">
        <v>0</v>
      </c>
      <c r="EU124">
        <v>0</v>
      </c>
      <c r="EW124">
        <v>0</v>
      </c>
      <c r="FA124">
        <v>0</v>
      </c>
      <c r="FE124">
        <v>0</v>
      </c>
      <c r="FI124">
        <v>0</v>
      </c>
      <c r="FJ124">
        <v>1978.76</v>
      </c>
      <c r="FK124">
        <v>35015</v>
      </c>
      <c r="FL124">
        <v>34501.879856295425</v>
      </c>
      <c r="FM124">
        <v>33036.239999999998</v>
      </c>
    </row>
    <row r="125" spans="1:169" x14ac:dyDescent="0.35">
      <c r="A125">
        <v>197371</v>
      </c>
      <c r="B125" t="s">
        <v>3522</v>
      </c>
      <c r="C125" t="s">
        <v>3523</v>
      </c>
      <c r="D125" t="s">
        <v>3524</v>
      </c>
      <c r="E125" s="43" t="s">
        <v>4182</v>
      </c>
      <c r="F125">
        <v>1</v>
      </c>
      <c r="I125" s="23">
        <v>43794</v>
      </c>
      <c r="L125" s="43" t="s">
        <v>3204</v>
      </c>
      <c r="M125" t="s">
        <v>3525</v>
      </c>
      <c r="N125" t="s">
        <v>3526</v>
      </c>
      <c r="O125" t="s">
        <v>3527</v>
      </c>
      <c r="P125" t="s">
        <v>342</v>
      </c>
      <c r="Q125" t="s">
        <v>3528</v>
      </c>
      <c r="R125">
        <v>2.9</v>
      </c>
      <c r="S125">
        <v>44109</v>
      </c>
      <c r="T125" t="s">
        <v>285</v>
      </c>
      <c r="U125" t="s">
        <v>266</v>
      </c>
      <c r="V125" t="s">
        <v>267</v>
      </c>
      <c r="W125" t="s">
        <v>268</v>
      </c>
      <c r="X125" t="s">
        <v>269</v>
      </c>
      <c r="Y125">
        <v>8883022894</v>
      </c>
      <c r="Z125" t="s">
        <v>270</v>
      </c>
      <c r="AA125" t="s">
        <v>271</v>
      </c>
      <c r="AB125">
        <v>0</v>
      </c>
      <c r="AC125">
        <v>0</v>
      </c>
      <c r="AD125" t="s">
        <v>313</v>
      </c>
      <c r="AE125" t="s">
        <v>324</v>
      </c>
      <c r="AF125">
        <v>8</v>
      </c>
      <c r="AG125" t="s">
        <v>3345</v>
      </c>
      <c r="AH125" s="43" t="s">
        <v>3597</v>
      </c>
      <c r="AI125" s="43" t="s">
        <v>3598</v>
      </c>
      <c r="AJ125" s="43" t="s">
        <v>3207</v>
      </c>
      <c r="AK125" s="43" t="s">
        <v>1715</v>
      </c>
      <c r="AL125" s="43" t="s">
        <v>259</v>
      </c>
      <c r="AO125" s="23"/>
      <c r="AP125" s="23"/>
      <c r="AQ125" s="23"/>
      <c r="BD125" s="43" t="s">
        <v>259</v>
      </c>
      <c r="BE125" s="43" t="s">
        <v>259</v>
      </c>
      <c r="BF125" s="43" t="s">
        <v>259</v>
      </c>
      <c r="BG125" s="43" t="s">
        <v>259</v>
      </c>
      <c r="BH125" s="43" t="s">
        <v>259</v>
      </c>
      <c r="BI125" s="43" t="s">
        <v>259</v>
      </c>
      <c r="BJ125">
        <v>0</v>
      </c>
      <c r="BK125">
        <v>44109</v>
      </c>
      <c r="BL125">
        <v>44356</v>
      </c>
      <c r="BM125">
        <v>8505</v>
      </c>
      <c r="BN125">
        <v>8505</v>
      </c>
      <c r="BO125">
        <v>8505</v>
      </c>
      <c r="BP125">
        <v>25515</v>
      </c>
      <c r="BQ125">
        <v>3300</v>
      </c>
      <c r="BR125">
        <v>400</v>
      </c>
      <c r="BS125">
        <v>400</v>
      </c>
      <c r="BT125">
        <v>4100</v>
      </c>
      <c r="BU125">
        <v>2100</v>
      </c>
      <c r="BV125">
        <v>2100</v>
      </c>
      <c r="BW125">
        <v>2100</v>
      </c>
      <c r="BX125">
        <v>6300</v>
      </c>
      <c r="BY125">
        <v>1200</v>
      </c>
      <c r="BZ125">
        <v>1200</v>
      </c>
      <c r="CA125">
        <v>1200</v>
      </c>
      <c r="CB125">
        <v>3600</v>
      </c>
      <c r="CF125">
        <v>0</v>
      </c>
      <c r="CG125">
        <v>39515</v>
      </c>
      <c r="CK125">
        <v>0</v>
      </c>
      <c r="CL125">
        <v>1315</v>
      </c>
      <c r="CM125">
        <v>1315</v>
      </c>
      <c r="CN125">
        <v>1315</v>
      </c>
      <c r="CO125">
        <v>3945</v>
      </c>
      <c r="CP125">
        <v>500</v>
      </c>
      <c r="CQ125">
        <v>500</v>
      </c>
      <c r="CR125">
        <v>500</v>
      </c>
      <c r="CS125">
        <v>1500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N125">
        <v>0</v>
      </c>
      <c r="DO125">
        <v>0</v>
      </c>
      <c r="DP125">
        <v>0</v>
      </c>
      <c r="DR125">
        <v>0</v>
      </c>
      <c r="DS125">
        <v>0</v>
      </c>
      <c r="DT125">
        <v>0</v>
      </c>
      <c r="DY125">
        <v>0</v>
      </c>
      <c r="EC125">
        <v>0</v>
      </c>
      <c r="ED125">
        <v>5445</v>
      </c>
      <c r="EH125">
        <v>0</v>
      </c>
      <c r="EI125">
        <v>0</v>
      </c>
      <c r="EJ125">
        <v>0</v>
      </c>
      <c r="EK125">
        <v>0</v>
      </c>
      <c r="EM125">
        <v>0</v>
      </c>
      <c r="EN125">
        <v>660</v>
      </c>
      <c r="EO125">
        <v>660</v>
      </c>
      <c r="EP125">
        <v>659</v>
      </c>
      <c r="EQ125">
        <v>2000</v>
      </c>
      <c r="ER125">
        <v>21.24</v>
      </c>
      <c r="ES125">
        <v>0</v>
      </c>
      <c r="ET125">
        <v>0</v>
      </c>
      <c r="EU125">
        <v>0</v>
      </c>
      <c r="EW125">
        <v>0</v>
      </c>
      <c r="FA125">
        <v>0</v>
      </c>
      <c r="FE125">
        <v>0</v>
      </c>
      <c r="FI125">
        <v>0</v>
      </c>
      <c r="FJ125">
        <v>1978.76</v>
      </c>
      <c r="FK125">
        <v>34070</v>
      </c>
      <c r="FL125">
        <v>33514.95530119475</v>
      </c>
      <c r="FM125">
        <v>32091.24</v>
      </c>
    </row>
    <row r="126" spans="1:169" x14ac:dyDescent="0.35">
      <c r="A126">
        <v>198874</v>
      </c>
      <c r="B126" t="s">
        <v>3529</v>
      </c>
      <c r="C126" t="s">
        <v>3530</v>
      </c>
      <c r="D126" t="s">
        <v>3531</v>
      </c>
      <c r="E126" s="43" t="s">
        <v>4213</v>
      </c>
      <c r="J126" t="s">
        <v>3425</v>
      </c>
      <c r="L126" s="43" t="s">
        <v>259</v>
      </c>
      <c r="M126" t="s">
        <v>3532</v>
      </c>
      <c r="N126" t="s">
        <v>3533</v>
      </c>
      <c r="O126" t="s">
        <v>3534</v>
      </c>
      <c r="P126" t="s">
        <v>705</v>
      </c>
      <c r="Q126" t="s">
        <v>3535</v>
      </c>
      <c r="R126">
        <v>3.2921999999999998</v>
      </c>
      <c r="S126">
        <v>44109</v>
      </c>
      <c r="T126" t="s">
        <v>311</v>
      </c>
      <c r="U126" t="s">
        <v>266</v>
      </c>
      <c r="V126" t="s">
        <v>267</v>
      </c>
      <c r="W126" t="s">
        <v>268</v>
      </c>
      <c r="X126" t="s">
        <v>269</v>
      </c>
      <c r="Y126">
        <v>8883022894</v>
      </c>
      <c r="Z126" t="s">
        <v>270</v>
      </c>
      <c r="AA126" t="s">
        <v>271</v>
      </c>
      <c r="AB126">
        <v>0</v>
      </c>
      <c r="AC126" t="s">
        <v>697</v>
      </c>
      <c r="AD126" t="s">
        <v>288</v>
      </c>
      <c r="AE126" t="s">
        <v>364</v>
      </c>
      <c r="AF126">
        <v>3</v>
      </c>
      <c r="AG126" t="s">
        <v>3345</v>
      </c>
      <c r="AH126" s="43" t="s">
        <v>259</v>
      </c>
      <c r="AI126" s="43" t="s">
        <v>259</v>
      </c>
      <c r="AJ126" s="43" t="s">
        <v>259</v>
      </c>
      <c r="AK126" s="43" t="s">
        <v>259</v>
      </c>
      <c r="AL126" s="43" t="s">
        <v>259</v>
      </c>
      <c r="AO126" s="23"/>
      <c r="AP126" s="23"/>
      <c r="AQ126" s="23"/>
      <c r="BD126" s="43" t="s">
        <v>259</v>
      </c>
      <c r="BE126" s="43" t="s">
        <v>259</v>
      </c>
      <c r="BF126" s="43" t="s">
        <v>259</v>
      </c>
      <c r="BG126" s="43" t="s">
        <v>259</v>
      </c>
      <c r="BH126" s="43" t="s">
        <v>259</v>
      </c>
      <c r="BI126" s="43" t="s">
        <v>259</v>
      </c>
      <c r="BJ126">
        <v>0</v>
      </c>
      <c r="BK126">
        <v>44109</v>
      </c>
      <c r="BL126">
        <v>44356</v>
      </c>
      <c r="BM126">
        <v>8505</v>
      </c>
      <c r="BN126">
        <v>8505</v>
      </c>
      <c r="BO126">
        <v>8505</v>
      </c>
      <c r="BP126">
        <v>25515</v>
      </c>
      <c r="BQ126">
        <v>3300</v>
      </c>
      <c r="BR126">
        <v>400</v>
      </c>
      <c r="BS126">
        <v>400</v>
      </c>
      <c r="BT126">
        <v>4100</v>
      </c>
      <c r="BU126">
        <v>2100</v>
      </c>
      <c r="BV126">
        <v>2100</v>
      </c>
      <c r="BW126">
        <v>2100</v>
      </c>
      <c r="BX126">
        <v>6300</v>
      </c>
      <c r="BY126">
        <v>1200</v>
      </c>
      <c r="BZ126">
        <v>1200</v>
      </c>
      <c r="CA126">
        <v>1200</v>
      </c>
      <c r="CB126">
        <v>3600</v>
      </c>
      <c r="CF126">
        <v>0</v>
      </c>
      <c r="CG126">
        <v>39515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1300</v>
      </c>
      <c r="CU126">
        <v>1300</v>
      </c>
      <c r="CV126">
        <v>1300</v>
      </c>
      <c r="CW126">
        <v>3900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N126">
        <v>0</v>
      </c>
      <c r="DO126">
        <v>0</v>
      </c>
      <c r="DP126">
        <v>0</v>
      </c>
      <c r="DR126">
        <v>0</v>
      </c>
      <c r="DS126">
        <v>0</v>
      </c>
      <c r="DT126">
        <v>0</v>
      </c>
      <c r="DY126">
        <v>0</v>
      </c>
      <c r="EC126">
        <v>0</v>
      </c>
      <c r="ED126">
        <v>3900</v>
      </c>
      <c r="EH126">
        <v>0</v>
      </c>
      <c r="EI126">
        <v>0</v>
      </c>
      <c r="EJ126">
        <v>0</v>
      </c>
      <c r="EK126">
        <v>0</v>
      </c>
      <c r="EM126">
        <v>0</v>
      </c>
      <c r="EN126">
        <v>660</v>
      </c>
      <c r="EO126">
        <v>660</v>
      </c>
      <c r="EP126">
        <v>659</v>
      </c>
      <c r="EQ126">
        <v>2000</v>
      </c>
      <c r="ER126">
        <v>21.24</v>
      </c>
      <c r="ES126">
        <v>0</v>
      </c>
      <c r="ET126">
        <v>0</v>
      </c>
      <c r="EU126">
        <v>0</v>
      </c>
      <c r="EW126">
        <v>0</v>
      </c>
      <c r="FA126">
        <v>0</v>
      </c>
      <c r="FE126">
        <v>0</v>
      </c>
      <c r="FI126">
        <v>0</v>
      </c>
      <c r="FJ126">
        <v>1978.76</v>
      </c>
      <c r="FK126">
        <v>35615</v>
      </c>
      <c r="FL126">
        <v>35128.49862143871</v>
      </c>
      <c r="FM126">
        <v>33636.239999999998</v>
      </c>
    </row>
    <row r="127" spans="1:169" x14ac:dyDescent="0.35">
      <c r="A127">
        <v>196939</v>
      </c>
      <c r="B127" t="s">
        <v>1112</v>
      </c>
      <c r="C127" t="s">
        <v>1113</v>
      </c>
      <c r="D127" t="s">
        <v>1114</v>
      </c>
      <c r="E127" s="43" t="s">
        <v>1115</v>
      </c>
      <c r="F127">
        <v>1</v>
      </c>
      <c r="I127" s="23">
        <v>43782</v>
      </c>
      <c r="L127" s="43" t="s">
        <v>301</v>
      </c>
      <c r="M127" t="s">
        <v>1116</v>
      </c>
      <c r="N127" t="s">
        <v>1117</v>
      </c>
      <c r="O127" t="s">
        <v>506</v>
      </c>
      <c r="P127" t="s">
        <v>342</v>
      </c>
      <c r="Q127" t="s">
        <v>507</v>
      </c>
      <c r="R127">
        <v>3.8</v>
      </c>
      <c r="S127">
        <v>44109</v>
      </c>
      <c r="T127" t="s">
        <v>285</v>
      </c>
      <c r="U127" t="s">
        <v>266</v>
      </c>
      <c r="V127" t="s">
        <v>267</v>
      </c>
      <c r="W127" t="s">
        <v>268</v>
      </c>
      <c r="X127" t="s">
        <v>269</v>
      </c>
      <c r="Y127">
        <v>8883022894</v>
      </c>
      <c r="Z127" t="s">
        <v>270</v>
      </c>
      <c r="AA127" t="s">
        <v>271</v>
      </c>
      <c r="AB127" t="s">
        <v>679</v>
      </c>
      <c r="AC127">
        <v>0</v>
      </c>
      <c r="AD127" t="s">
        <v>387</v>
      </c>
      <c r="AE127" t="s">
        <v>364</v>
      </c>
      <c r="AF127">
        <v>3</v>
      </c>
      <c r="AG127" t="s">
        <v>275</v>
      </c>
      <c r="AH127" s="43" t="s">
        <v>3226</v>
      </c>
      <c r="AI127" s="43" t="s">
        <v>313</v>
      </c>
      <c r="AJ127" s="43" t="s">
        <v>4237</v>
      </c>
      <c r="AK127" s="43" t="s">
        <v>1715</v>
      </c>
      <c r="AL127" s="43" t="s">
        <v>259</v>
      </c>
      <c r="AO127" s="23"/>
      <c r="AP127" s="23"/>
      <c r="AQ127" s="23"/>
      <c r="BD127" s="43" t="s">
        <v>259</v>
      </c>
      <c r="BE127" s="43" t="s">
        <v>259</v>
      </c>
      <c r="BF127" s="43" t="s">
        <v>259</v>
      </c>
      <c r="BG127" s="43" t="s">
        <v>259</v>
      </c>
      <c r="BH127" s="43" t="s">
        <v>259</v>
      </c>
      <c r="BI127" s="43" t="s">
        <v>259</v>
      </c>
      <c r="BJ127">
        <v>0</v>
      </c>
      <c r="BK127">
        <v>44109</v>
      </c>
      <c r="BL127">
        <v>44356</v>
      </c>
      <c r="BM127">
        <v>8505</v>
      </c>
      <c r="BN127">
        <v>8505</v>
      </c>
      <c r="BO127">
        <v>8505</v>
      </c>
      <c r="BP127">
        <v>25515</v>
      </c>
      <c r="BQ127">
        <v>3300</v>
      </c>
      <c r="BR127">
        <v>400</v>
      </c>
      <c r="BS127">
        <v>400</v>
      </c>
      <c r="BT127">
        <v>4100</v>
      </c>
      <c r="BU127">
        <v>2100</v>
      </c>
      <c r="BV127">
        <v>2100</v>
      </c>
      <c r="BW127">
        <v>2100</v>
      </c>
      <c r="BX127">
        <v>6300</v>
      </c>
      <c r="BY127">
        <v>1200</v>
      </c>
      <c r="BZ127">
        <v>1200</v>
      </c>
      <c r="CA127">
        <v>1200</v>
      </c>
      <c r="CB127">
        <v>3600</v>
      </c>
      <c r="CC127">
        <v>0</v>
      </c>
      <c r="CD127">
        <v>0</v>
      </c>
      <c r="CE127">
        <v>0</v>
      </c>
      <c r="CF127">
        <v>0</v>
      </c>
      <c r="CG127">
        <v>39515</v>
      </c>
      <c r="CH127">
        <v>0</v>
      </c>
      <c r="CI127">
        <v>0</v>
      </c>
      <c r="CJ127">
        <v>0</v>
      </c>
      <c r="CK127">
        <v>0</v>
      </c>
      <c r="CL127">
        <v>2065</v>
      </c>
      <c r="CM127">
        <v>2065</v>
      </c>
      <c r="CN127">
        <v>2065</v>
      </c>
      <c r="CO127">
        <v>6195</v>
      </c>
      <c r="CP127">
        <v>500</v>
      </c>
      <c r="CQ127">
        <v>500</v>
      </c>
      <c r="CR127">
        <v>500</v>
      </c>
      <c r="CS127">
        <v>1500</v>
      </c>
      <c r="CT127">
        <v>1300</v>
      </c>
      <c r="CU127">
        <v>1300</v>
      </c>
      <c r="CV127">
        <v>1300</v>
      </c>
      <c r="CW127">
        <v>3900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11595</v>
      </c>
      <c r="EE127">
        <v>0</v>
      </c>
      <c r="EF127">
        <v>0</v>
      </c>
      <c r="EG127">
        <v>0</v>
      </c>
      <c r="EH127">
        <v>0</v>
      </c>
      <c r="EI127">
        <v>1154</v>
      </c>
      <c r="EJ127">
        <v>1154</v>
      </c>
      <c r="EK127">
        <v>1155</v>
      </c>
      <c r="EL127">
        <v>3500</v>
      </c>
      <c r="EM127">
        <v>37.065000000000005</v>
      </c>
      <c r="EN127">
        <v>1979</v>
      </c>
      <c r="EO127">
        <v>1979</v>
      </c>
      <c r="EP127">
        <v>1978</v>
      </c>
      <c r="EQ127">
        <v>6000</v>
      </c>
      <c r="ER127">
        <v>63.540000000000006</v>
      </c>
      <c r="ES127">
        <v>0</v>
      </c>
      <c r="ET127">
        <v>0</v>
      </c>
      <c r="EU127">
        <v>0</v>
      </c>
      <c r="EV127">
        <v>0</v>
      </c>
      <c r="EW127">
        <v>0</v>
      </c>
      <c r="FA127">
        <v>0</v>
      </c>
      <c r="FE127">
        <v>0</v>
      </c>
      <c r="FI127">
        <v>0</v>
      </c>
      <c r="FJ127">
        <v>9399.3950000000004</v>
      </c>
      <c r="FK127">
        <v>27920</v>
      </c>
      <c r="FL127">
        <v>19339.84064993108</v>
      </c>
      <c r="FM127">
        <v>18520.605</v>
      </c>
    </row>
    <row r="128" spans="1:169" x14ac:dyDescent="0.35">
      <c r="A128">
        <v>196500</v>
      </c>
      <c r="B128" t="s">
        <v>1118</v>
      </c>
      <c r="C128" t="s">
        <v>1119</v>
      </c>
      <c r="D128" t="s">
        <v>1120</v>
      </c>
      <c r="E128" s="43" t="s">
        <v>1121</v>
      </c>
      <c r="L128" s="43" t="s">
        <v>259</v>
      </c>
      <c r="M128" t="s">
        <v>1122</v>
      </c>
      <c r="N128" t="s">
        <v>1123</v>
      </c>
      <c r="O128" t="s">
        <v>1124</v>
      </c>
      <c r="P128" t="s">
        <v>265</v>
      </c>
      <c r="Q128" t="s">
        <v>1125</v>
      </c>
      <c r="R128">
        <v>3.077</v>
      </c>
      <c r="S128">
        <v>44109</v>
      </c>
      <c r="T128" t="s">
        <v>311</v>
      </c>
      <c r="U128" t="s">
        <v>266</v>
      </c>
      <c r="V128" t="s">
        <v>267</v>
      </c>
      <c r="W128" t="s">
        <v>268</v>
      </c>
      <c r="X128" t="s">
        <v>269</v>
      </c>
      <c r="Y128">
        <v>8883022894</v>
      </c>
      <c r="Z128" t="s">
        <v>270</v>
      </c>
      <c r="AA128" t="s">
        <v>271</v>
      </c>
      <c r="AB128" t="s">
        <v>545</v>
      </c>
      <c r="AC128">
        <v>0</v>
      </c>
      <c r="AD128" t="s">
        <v>654</v>
      </c>
      <c r="AE128" t="s">
        <v>364</v>
      </c>
      <c r="AF128">
        <v>3</v>
      </c>
      <c r="AG128" t="s">
        <v>275</v>
      </c>
      <c r="AH128" s="43" t="s">
        <v>259</v>
      </c>
      <c r="AI128" s="43" t="s">
        <v>259</v>
      </c>
      <c r="AJ128" s="43" t="s">
        <v>259</v>
      </c>
      <c r="AK128" s="43" t="s">
        <v>259</v>
      </c>
      <c r="AL128" s="43" t="s">
        <v>259</v>
      </c>
      <c r="AO128" s="23"/>
      <c r="AP128" s="23"/>
      <c r="AQ128" s="23"/>
      <c r="BD128" s="43" t="s">
        <v>259</v>
      </c>
      <c r="BE128" s="43" t="s">
        <v>259</v>
      </c>
      <c r="BF128" s="43" t="s">
        <v>259</v>
      </c>
      <c r="BG128" s="43" t="s">
        <v>259</v>
      </c>
      <c r="BH128" s="43" t="s">
        <v>259</v>
      </c>
      <c r="BI128" s="43" t="s">
        <v>259</v>
      </c>
      <c r="BJ128">
        <v>0</v>
      </c>
      <c r="BK128">
        <v>44109</v>
      </c>
      <c r="BL128">
        <v>44356</v>
      </c>
      <c r="BM128">
        <v>8505</v>
      </c>
      <c r="BN128">
        <v>8505</v>
      </c>
      <c r="BO128">
        <v>8505</v>
      </c>
      <c r="BP128">
        <v>25515</v>
      </c>
      <c r="BQ128">
        <v>3300</v>
      </c>
      <c r="BR128">
        <v>400</v>
      </c>
      <c r="BS128">
        <v>400</v>
      </c>
      <c r="BT128">
        <v>4100</v>
      </c>
      <c r="BU128">
        <v>2100</v>
      </c>
      <c r="BV128">
        <v>2100</v>
      </c>
      <c r="BW128">
        <v>2100</v>
      </c>
      <c r="BX128">
        <v>6300</v>
      </c>
      <c r="BY128">
        <v>1200</v>
      </c>
      <c r="BZ128">
        <v>1200</v>
      </c>
      <c r="CA128">
        <v>1200</v>
      </c>
      <c r="CB128">
        <v>3600</v>
      </c>
      <c r="CC128">
        <v>0</v>
      </c>
      <c r="CD128">
        <v>0</v>
      </c>
      <c r="CE128">
        <v>0</v>
      </c>
      <c r="CF128">
        <v>0</v>
      </c>
      <c r="CG128">
        <v>39515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1300</v>
      </c>
      <c r="CU128">
        <v>1300</v>
      </c>
      <c r="CV128">
        <v>1300</v>
      </c>
      <c r="CW128">
        <v>3900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EC128">
        <v>0</v>
      </c>
      <c r="ED128">
        <v>3900</v>
      </c>
      <c r="EE128">
        <v>0</v>
      </c>
      <c r="EF128">
        <v>0</v>
      </c>
      <c r="EG128">
        <v>0</v>
      </c>
      <c r="EH128">
        <v>0</v>
      </c>
      <c r="EI128">
        <v>1154</v>
      </c>
      <c r="EJ128">
        <v>1154</v>
      </c>
      <c r="EK128">
        <v>1155</v>
      </c>
      <c r="EL128">
        <v>3500</v>
      </c>
      <c r="EM128">
        <v>37.065000000000005</v>
      </c>
      <c r="EN128">
        <v>660</v>
      </c>
      <c r="EO128">
        <v>660</v>
      </c>
      <c r="EP128">
        <v>659</v>
      </c>
      <c r="EQ128">
        <v>2000</v>
      </c>
      <c r="ER128">
        <v>21.18</v>
      </c>
      <c r="ES128">
        <v>0</v>
      </c>
      <c r="ET128">
        <v>0</v>
      </c>
      <c r="EU128">
        <v>0</v>
      </c>
      <c r="EV128">
        <v>0</v>
      </c>
      <c r="EW128">
        <v>0</v>
      </c>
      <c r="FA128">
        <v>0</v>
      </c>
      <c r="FE128">
        <v>0</v>
      </c>
      <c r="FI128">
        <v>0</v>
      </c>
      <c r="FJ128">
        <v>5441.7550000000001</v>
      </c>
      <c r="FK128">
        <v>35615</v>
      </c>
      <c r="FL128">
        <v>31511.869203776419</v>
      </c>
      <c r="FM128">
        <v>30173.244999999999</v>
      </c>
    </row>
    <row r="129" spans="1:169" x14ac:dyDescent="0.35">
      <c r="A129">
        <v>197961</v>
      </c>
      <c r="B129" t="s">
        <v>1126</v>
      </c>
      <c r="C129" t="s">
        <v>529</v>
      </c>
      <c r="D129" t="s">
        <v>1127</v>
      </c>
      <c r="E129" s="43" t="s">
        <v>1128</v>
      </c>
      <c r="F129">
        <v>1</v>
      </c>
      <c r="I129" s="23">
        <v>43783</v>
      </c>
      <c r="L129" s="43" t="s">
        <v>3204</v>
      </c>
      <c r="M129" t="s">
        <v>1129</v>
      </c>
      <c r="N129" t="s">
        <v>1130</v>
      </c>
      <c r="O129" t="s">
        <v>1131</v>
      </c>
      <c r="P129" t="s">
        <v>283</v>
      </c>
      <c r="Q129" t="s">
        <v>1132</v>
      </c>
      <c r="R129">
        <v>3.81</v>
      </c>
      <c r="S129">
        <v>44109</v>
      </c>
      <c r="T129" t="s">
        <v>311</v>
      </c>
      <c r="U129" t="s">
        <v>266</v>
      </c>
      <c r="V129" t="s">
        <v>267</v>
      </c>
      <c r="W129" t="s">
        <v>268</v>
      </c>
      <c r="X129" t="s">
        <v>269</v>
      </c>
      <c r="Y129">
        <v>8883022894</v>
      </c>
      <c r="Z129" t="s">
        <v>270</v>
      </c>
      <c r="AA129" t="s">
        <v>271</v>
      </c>
      <c r="AB129" t="s">
        <v>374</v>
      </c>
      <c r="AC129" t="s">
        <v>1190</v>
      </c>
      <c r="AD129" t="s">
        <v>387</v>
      </c>
      <c r="AE129" t="s">
        <v>301</v>
      </c>
      <c r="AF129">
        <v>1</v>
      </c>
      <c r="AG129" t="s">
        <v>275</v>
      </c>
      <c r="AH129" s="43" t="s">
        <v>3249</v>
      </c>
      <c r="AI129" s="43" t="s">
        <v>3250</v>
      </c>
      <c r="AJ129" s="43" t="s">
        <v>3207</v>
      </c>
      <c r="AK129" s="43" t="s">
        <v>1715</v>
      </c>
      <c r="AL129" s="43" t="s">
        <v>259</v>
      </c>
      <c r="AO129" s="23"/>
      <c r="AP129" s="23"/>
      <c r="AQ129" s="23">
        <v>43782</v>
      </c>
      <c r="BD129" s="43" t="s">
        <v>259</v>
      </c>
      <c r="BE129" s="43" t="s">
        <v>259</v>
      </c>
      <c r="BF129" s="43" t="s">
        <v>259</v>
      </c>
      <c r="BG129" s="43" t="s">
        <v>259</v>
      </c>
      <c r="BH129" s="43" t="s">
        <v>259</v>
      </c>
      <c r="BI129" s="43" t="s">
        <v>259</v>
      </c>
      <c r="BJ129">
        <v>4.3478260869565188E-2</v>
      </c>
      <c r="BK129">
        <v>44109</v>
      </c>
      <c r="BL129">
        <v>44356</v>
      </c>
      <c r="BM129">
        <v>8505</v>
      </c>
      <c r="BN129">
        <v>8505</v>
      </c>
      <c r="BO129">
        <v>8505</v>
      </c>
      <c r="BP129">
        <v>25515</v>
      </c>
      <c r="BQ129">
        <v>3300</v>
      </c>
      <c r="BR129">
        <v>400</v>
      </c>
      <c r="BS129">
        <v>400</v>
      </c>
      <c r="BT129">
        <v>4100</v>
      </c>
      <c r="BU129">
        <v>2100</v>
      </c>
      <c r="BV129">
        <v>2100</v>
      </c>
      <c r="BW129">
        <v>2100</v>
      </c>
      <c r="BX129">
        <v>6300</v>
      </c>
      <c r="BY129">
        <v>1200</v>
      </c>
      <c r="BZ129">
        <v>1200</v>
      </c>
      <c r="CA129">
        <v>1200</v>
      </c>
      <c r="CB129">
        <v>3600</v>
      </c>
      <c r="CC129">
        <v>0</v>
      </c>
      <c r="CD129">
        <v>0</v>
      </c>
      <c r="CE129">
        <v>0</v>
      </c>
      <c r="CF129">
        <v>0</v>
      </c>
      <c r="CG129">
        <v>39515</v>
      </c>
      <c r="CH129">
        <v>0</v>
      </c>
      <c r="CI129">
        <v>0</v>
      </c>
      <c r="CJ129">
        <v>0</v>
      </c>
      <c r="CK129">
        <v>0</v>
      </c>
      <c r="CL129">
        <v>1749</v>
      </c>
      <c r="CM129">
        <v>1748</v>
      </c>
      <c r="CN129">
        <v>1748</v>
      </c>
      <c r="CO129">
        <v>5245</v>
      </c>
      <c r="CP129">
        <v>500</v>
      </c>
      <c r="CQ129">
        <v>500</v>
      </c>
      <c r="CR129">
        <v>500</v>
      </c>
      <c r="CS129">
        <v>1500</v>
      </c>
      <c r="CT129">
        <v>1700</v>
      </c>
      <c r="CU129">
        <v>1700</v>
      </c>
      <c r="CV129">
        <v>1700</v>
      </c>
      <c r="CW129">
        <v>5100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11845</v>
      </c>
      <c r="EE129">
        <v>0</v>
      </c>
      <c r="EF129">
        <v>0</v>
      </c>
      <c r="EG129">
        <v>0</v>
      </c>
      <c r="EH129">
        <v>0</v>
      </c>
      <c r="EI129">
        <v>1154</v>
      </c>
      <c r="EJ129">
        <v>1154</v>
      </c>
      <c r="EK129">
        <v>1155</v>
      </c>
      <c r="EL129">
        <v>3500</v>
      </c>
      <c r="EM129">
        <v>37.065000000000005</v>
      </c>
      <c r="EN129">
        <v>660</v>
      </c>
      <c r="EO129">
        <v>660</v>
      </c>
      <c r="EP129">
        <v>659</v>
      </c>
      <c r="EQ129">
        <v>2000</v>
      </c>
      <c r="ER129">
        <v>21.18</v>
      </c>
      <c r="ES129">
        <v>0</v>
      </c>
      <c r="ET129">
        <v>0</v>
      </c>
      <c r="EU129">
        <v>0</v>
      </c>
      <c r="EV129">
        <v>0</v>
      </c>
      <c r="EW129">
        <v>0</v>
      </c>
      <c r="FA129">
        <v>0</v>
      </c>
      <c r="FE129">
        <v>0</v>
      </c>
      <c r="FI129">
        <v>0</v>
      </c>
      <c r="FJ129">
        <v>5441.7550000000001</v>
      </c>
      <c r="FK129">
        <v>27670</v>
      </c>
      <c r="FL129">
        <v>23211.483438452866</v>
      </c>
      <c r="FM129">
        <v>22228.244999999999</v>
      </c>
    </row>
    <row r="130" spans="1:169" x14ac:dyDescent="0.35">
      <c r="A130">
        <v>195856</v>
      </c>
      <c r="B130" t="s">
        <v>1133</v>
      </c>
      <c r="C130" t="s">
        <v>1134</v>
      </c>
      <c r="D130" t="s">
        <v>1135</v>
      </c>
      <c r="E130" s="43" t="s">
        <v>1136</v>
      </c>
      <c r="L130" s="43" t="s">
        <v>344</v>
      </c>
      <c r="M130" t="s">
        <v>1137</v>
      </c>
      <c r="N130" t="s">
        <v>1138</v>
      </c>
      <c r="O130" t="s">
        <v>1139</v>
      </c>
      <c r="P130" t="s">
        <v>454</v>
      </c>
      <c r="Q130" t="s">
        <v>1140</v>
      </c>
      <c r="R130">
        <v>3.38</v>
      </c>
      <c r="S130">
        <v>44109</v>
      </c>
      <c r="T130" t="s">
        <v>265</v>
      </c>
      <c r="U130" t="s">
        <v>266</v>
      </c>
      <c r="V130" t="s">
        <v>267</v>
      </c>
      <c r="W130" t="s">
        <v>268</v>
      </c>
      <c r="X130" t="s">
        <v>269</v>
      </c>
      <c r="Y130">
        <v>8883022894</v>
      </c>
      <c r="Z130" t="s">
        <v>270</v>
      </c>
      <c r="AA130" t="s">
        <v>271</v>
      </c>
      <c r="AB130">
        <v>0</v>
      </c>
      <c r="AC130" t="s">
        <v>697</v>
      </c>
      <c r="AD130" t="s">
        <v>1141</v>
      </c>
      <c r="AE130" t="s">
        <v>301</v>
      </c>
      <c r="AF130">
        <v>1</v>
      </c>
      <c r="AG130" t="s">
        <v>275</v>
      </c>
      <c r="AH130" s="43" t="s">
        <v>313</v>
      </c>
      <c r="AI130" s="43" t="s">
        <v>313</v>
      </c>
      <c r="AJ130" s="43" t="s">
        <v>4237</v>
      </c>
      <c r="AK130" s="43" t="s">
        <v>3208</v>
      </c>
      <c r="AL130" s="43" t="s">
        <v>3209</v>
      </c>
      <c r="AO130" s="23"/>
      <c r="AP130" s="23"/>
      <c r="AQ130" s="23"/>
      <c r="BD130" s="43" t="s">
        <v>2018</v>
      </c>
      <c r="BE130" s="43" t="s">
        <v>2018</v>
      </c>
      <c r="BF130" s="43" t="s">
        <v>2018</v>
      </c>
      <c r="BG130" s="43" t="s">
        <v>2018</v>
      </c>
      <c r="BH130" s="43" t="s">
        <v>2018</v>
      </c>
      <c r="BI130" s="43" t="s">
        <v>2018</v>
      </c>
      <c r="BJ130">
        <v>0</v>
      </c>
      <c r="BK130">
        <v>44109</v>
      </c>
      <c r="BL130">
        <v>44356</v>
      </c>
      <c r="BM130">
        <v>8505</v>
      </c>
      <c r="BN130">
        <v>8505</v>
      </c>
      <c r="BO130">
        <v>8505</v>
      </c>
      <c r="BP130">
        <v>25515</v>
      </c>
      <c r="BQ130">
        <v>3300</v>
      </c>
      <c r="BR130">
        <v>400</v>
      </c>
      <c r="BS130">
        <v>400</v>
      </c>
      <c r="BT130">
        <v>4100</v>
      </c>
      <c r="BU130">
        <v>2100</v>
      </c>
      <c r="BV130">
        <v>2100</v>
      </c>
      <c r="BW130">
        <v>2100</v>
      </c>
      <c r="BX130">
        <v>6300</v>
      </c>
      <c r="BY130">
        <v>1200</v>
      </c>
      <c r="BZ130">
        <v>1200</v>
      </c>
      <c r="CA130">
        <v>1200</v>
      </c>
      <c r="CB130">
        <v>3600</v>
      </c>
      <c r="CC130">
        <v>0</v>
      </c>
      <c r="CD130">
        <v>0</v>
      </c>
      <c r="CE130">
        <v>0</v>
      </c>
      <c r="CF130">
        <v>0</v>
      </c>
      <c r="CG130">
        <v>39515</v>
      </c>
      <c r="CH130">
        <v>0</v>
      </c>
      <c r="CI130">
        <v>0</v>
      </c>
      <c r="CJ130">
        <v>0</v>
      </c>
      <c r="CK130">
        <v>0</v>
      </c>
      <c r="CL130">
        <v>2065</v>
      </c>
      <c r="CM130">
        <v>2065</v>
      </c>
      <c r="CN130">
        <v>2065</v>
      </c>
      <c r="CO130">
        <v>6195</v>
      </c>
      <c r="CP130">
        <v>500</v>
      </c>
      <c r="CQ130">
        <v>500</v>
      </c>
      <c r="CR130">
        <v>500</v>
      </c>
      <c r="CS130">
        <v>1500</v>
      </c>
      <c r="CT130">
        <v>1700</v>
      </c>
      <c r="CU130">
        <v>1700</v>
      </c>
      <c r="CV130">
        <v>1700</v>
      </c>
      <c r="CW130">
        <v>5100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12795</v>
      </c>
      <c r="EE130">
        <v>0</v>
      </c>
      <c r="EF130">
        <v>0</v>
      </c>
      <c r="EG130">
        <v>0</v>
      </c>
      <c r="EH130">
        <v>0</v>
      </c>
      <c r="EI130">
        <v>1154</v>
      </c>
      <c r="EJ130">
        <v>1154</v>
      </c>
      <c r="EK130">
        <v>1155</v>
      </c>
      <c r="EL130">
        <v>3500</v>
      </c>
      <c r="EM130">
        <v>37.065000000000005</v>
      </c>
      <c r="EN130">
        <v>660</v>
      </c>
      <c r="EO130">
        <v>660</v>
      </c>
      <c r="EP130">
        <v>659</v>
      </c>
      <c r="EQ130">
        <v>2000</v>
      </c>
      <c r="ER130">
        <v>21.18</v>
      </c>
      <c r="ES130">
        <v>0</v>
      </c>
      <c r="ET130">
        <v>0</v>
      </c>
      <c r="EU130">
        <v>0</v>
      </c>
      <c r="EV130">
        <v>0</v>
      </c>
      <c r="EW130">
        <v>0</v>
      </c>
      <c r="FA130">
        <v>0</v>
      </c>
      <c r="FE130">
        <v>0</v>
      </c>
      <c r="FI130">
        <v>0</v>
      </c>
      <c r="FJ130">
        <v>5441.7550000000001</v>
      </c>
      <c r="FK130">
        <v>26720</v>
      </c>
      <c r="FL130">
        <v>22219.461384236245</v>
      </c>
      <c r="FM130">
        <v>21278.244999999999</v>
      </c>
    </row>
    <row r="131" spans="1:169" x14ac:dyDescent="0.35">
      <c r="A131">
        <v>196572</v>
      </c>
      <c r="B131" t="s">
        <v>1142</v>
      </c>
      <c r="C131" t="s">
        <v>1143</v>
      </c>
      <c r="D131" t="s">
        <v>1144</v>
      </c>
      <c r="E131" s="43" t="s">
        <v>1145</v>
      </c>
      <c r="L131" s="43" t="s">
        <v>3204</v>
      </c>
      <c r="M131" t="s">
        <v>1146</v>
      </c>
      <c r="N131" t="s">
        <v>1147</v>
      </c>
      <c r="O131" t="s">
        <v>1148</v>
      </c>
      <c r="P131" t="s">
        <v>263</v>
      </c>
      <c r="Q131" t="s">
        <v>1149</v>
      </c>
      <c r="R131">
        <v>3.6269999999999998</v>
      </c>
      <c r="S131">
        <v>44109</v>
      </c>
      <c r="T131" t="s">
        <v>311</v>
      </c>
      <c r="U131" t="s">
        <v>286</v>
      </c>
      <c r="V131" t="s">
        <v>267</v>
      </c>
      <c r="W131" t="s">
        <v>268</v>
      </c>
      <c r="X131" t="s">
        <v>269</v>
      </c>
      <c r="Y131">
        <v>8883022894</v>
      </c>
      <c r="Z131" t="s">
        <v>270</v>
      </c>
      <c r="AA131" t="s">
        <v>271</v>
      </c>
      <c r="AB131">
        <v>0</v>
      </c>
      <c r="AC131">
        <v>0</v>
      </c>
      <c r="AD131" t="s">
        <v>313</v>
      </c>
      <c r="AE131" t="s">
        <v>354</v>
      </c>
      <c r="AF131">
        <v>6</v>
      </c>
      <c r="AG131" t="s">
        <v>275</v>
      </c>
      <c r="AH131" s="43" t="s">
        <v>3226</v>
      </c>
      <c r="AI131" s="43" t="s">
        <v>313</v>
      </c>
      <c r="AJ131" s="43" t="s">
        <v>3309</v>
      </c>
      <c r="AK131" s="43" t="s">
        <v>3208</v>
      </c>
      <c r="AL131" s="43" t="s">
        <v>3209</v>
      </c>
      <c r="AO131" s="23"/>
      <c r="AP131" s="23"/>
      <c r="AQ131" s="23"/>
      <c r="BD131" s="43" t="s">
        <v>2018</v>
      </c>
      <c r="BE131" s="43" t="s">
        <v>2018</v>
      </c>
      <c r="BF131" s="43" t="s">
        <v>2018</v>
      </c>
      <c r="BG131" s="43" t="s">
        <v>2018</v>
      </c>
      <c r="BH131" s="43" t="s">
        <v>2018</v>
      </c>
      <c r="BI131" s="43" t="s">
        <v>2018</v>
      </c>
      <c r="BJ131">
        <v>0</v>
      </c>
      <c r="BK131">
        <v>44109</v>
      </c>
      <c r="BL131">
        <v>44356</v>
      </c>
      <c r="BM131">
        <v>8505</v>
      </c>
      <c r="BN131">
        <v>8505</v>
      </c>
      <c r="BO131">
        <v>8505</v>
      </c>
      <c r="BP131">
        <v>25515</v>
      </c>
      <c r="BQ131">
        <v>3300</v>
      </c>
      <c r="BR131">
        <v>400</v>
      </c>
      <c r="BS131">
        <v>400</v>
      </c>
      <c r="BT131">
        <v>4100</v>
      </c>
      <c r="BU131">
        <v>2100</v>
      </c>
      <c r="BV131">
        <v>2100</v>
      </c>
      <c r="BW131">
        <v>2100</v>
      </c>
      <c r="BX131">
        <v>6300</v>
      </c>
      <c r="BY131">
        <v>1200</v>
      </c>
      <c r="BZ131">
        <v>1200</v>
      </c>
      <c r="CA131">
        <v>1200</v>
      </c>
      <c r="CB131">
        <v>3600</v>
      </c>
      <c r="CC131">
        <v>0</v>
      </c>
      <c r="CD131">
        <v>0</v>
      </c>
      <c r="CE131">
        <v>0</v>
      </c>
      <c r="CF131">
        <v>0</v>
      </c>
      <c r="CG131">
        <v>39515</v>
      </c>
      <c r="CH131">
        <v>0</v>
      </c>
      <c r="CI131">
        <v>0</v>
      </c>
      <c r="CJ131">
        <v>0</v>
      </c>
      <c r="CK131">
        <v>0</v>
      </c>
      <c r="CL131">
        <v>2065</v>
      </c>
      <c r="CM131">
        <v>2065</v>
      </c>
      <c r="CN131">
        <v>2065</v>
      </c>
      <c r="CO131">
        <v>6195</v>
      </c>
      <c r="CP131">
        <v>500</v>
      </c>
      <c r="CQ131">
        <v>500</v>
      </c>
      <c r="CR131">
        <v>500</v>
      </c>
      <c r="CS131">
        <v>1500</v>
      </c>
      <c r="CT131">
        <v>750</v>
      </c>
      <c r="CU131">
        <v>750</v>
      </c>
      <c r="CV131">
        <v>750</v>
      </c>
      <c r="CW131">
        <v>2250</v>
      </c>
      <c r="CX131">
        <v>0</v>
      </c>
      <c r="CY131">
        <v>0</v>
      </c>
      <c r="CZ131">
        <v>0</v>
      </c>
      <c r="DA131">
        <v>0</v>
      </c>
      <c r="DB131">
        <v>1000</v>
      </c>
      <c r="DC131">
        <v>1000</v>
      </c>
      <c r="DD131">
        <v>1000</v>
      </c>
      <c r="DE131">
        <v>3000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12945</v>
      </c>
      <c r="EE131">
        <v>0</v>
      </c>
      <c r="EF131">
        <v>0</v>
      </c>
      <c r="EG131">
        <v>0</v>
      </c>
      <c r="EH131">
        <v>0</v>
      </c>
      <c r="EI131">
        <v>1154</v>
      </c>
      <c r="EJ131">
        <v>1154</v>
      </c>
      <c r="EK131">
        <v>1155</v>
      </c>
      <c r="EL131">
        <v>3500</v>
      </c>
      <c r="EM131">
        <v>37.065000000000005</v>
      </c>
      <c r="EN131">
        <v>660</v>
      </c>
      <c r="EO131">
        <v>660</v>
      </c>
      <c r="EP131">
        <v>659</v>
      </c>
      <c r="EQ131">
        <v>2000</v>
      </c>
      <c r="ER131">
        <v>21.18</v>
      </c>
      <c r="ES131">
        <v>0</v>
      </c>
      <c r="ET131">
        <v>0</v>
      </c>
      <c r="EU131">
        <v>0</v>
      </c>
      <c r="EV131">
        <v>0</v>
      </c>
      <c r="EW131">
        <v>0</v>
      </c>
      <c r="FA131">
        <v>0</v>
      </c>
      <c r="FE131">
        <v>0</v>
      </c>
      <c r="FI131">
        <v>0</v>
      </c>
      <c r="FJ131">
        <v>5441.7550000000001</v>
      </c>
      <c r="FK131">
        <v>26570</v>
      </c>
      <c r="FL131">
        <v>22062.826323044148</v>
      </c>
      <c r="FM131">
        <v>21128.244999999999</v>
      </c>
    </row>
    <row r="132" spans="1:169" x14ac:dyDescent="0.35">
      <c r="A132">
        <v>198251</v>
      </c>
      <c r="B132" t="s">
        <v>1150</v>
      </c>
      <c r="C132" t="s">
        <v>529</v>
      </c>
      <c r="D132" t="s">
        <v>1151</v>
      </c>
      <c r="E132" s="43" t="s">
        <v>1152</v>
      </c>
      <c r="F132">
        <v>1</v>
      </c>
      <c r="I132" s="23">
        <v>43801</v>
      </c>
      <c r="J132" t="s">
        <v>4172</v>
      </c>
      <c r="L132" s="43" t="s">
        <v>3204</v>
      </c>
      <c r="M132" t="s">
        <v>3774</v>
      </c>
      <c r="N132" t="s">
        <v>3775</v>
      </c>
      <c r="O132" t="s">
        <v>1153</v>
      </c>
      <c r="P132" t="s">
        <v>372</v>
      </c>
      <c r="Q132" t="s">
        <v>1154</v>
      </c>
      <c r="R132">
        <v>2.919</v>
      </c>
      <c r="S132">
        <v>44109</v>
      </c>
      <c r="T132" t="s">
        <v>311</v>
      </c>
      <c r="U132" t="s">
        <v>266</v>
      </c>
      <c r="V132" t="s">
        <v>267</v>
      </c>
      <c r="W132" t="s">
        <v>268</v>
      </c>
      <c r="X132" t="s">
        <v>269</v>
      </c>
      <c r="Y132">
        <v>8883022894</v>
      </c>
      <c r="Z132" t="s">
        <v>270</v>
      </c>
      <c r="AA132" t="s">
        <v>271</v>
      </c>
      <c r="AB132">
        <v>0</v>
      </c>
      <c r="AC132" t="s">
        <v>464</v>
      </c>
      <c r="AD132" t="s">
        <v>1155</v>
      </c>
      <c r="AE132" t="s">
        <v>416</v>
      </c>
      <c r="AF132">
        <v>5</v>
      </c>
      <c r="AG132" t="s">
        <v>275</v>
      </c>
      <c r="AH132" s="43" t="s">
        <v>3251</v>
      </c>
      <c r="AI132" s="43" t="s">
        <v>3252</v>
      </c>
      <c r="AJ132" s="43" t="s">
        <v>3207</v>
      </c>
      <c r="AK132" s="43" t="s">
        <v>1715</v>
      </c>
      <c r="AL132" s="43" t="s">
        <v>259</v>
      </c>
      <c r="AO132" s="23">
        <v>43789</v>
      </c>
      <c r="AP132" s="23">
        <v>43789</v>
      </c>
      <c r="AQ132" s="23"/>
      <c r="BD132" s="43" t="s">
        <v>259</v>
      </c>
      <c r="BE132" s="43" t="s">
        <v>259</v>
      </c>
      <c r="BF132" s="43" t="s">
        <v>259</v>
      </c>
      <c r="BG132" s="43" t="s">
        <v>259</v>
      </c>
      <c r="BH132" s="43" t="s">
        <v>259</v>
      </c>
      <c r="BI132" s="43" t="s">
        <v>259</v>
      </c>
      <c r="BJ132">
        <v>8.6956521739130488E-2</v>
      </c>
      <c r="BK132">
        <v>44109</v>
      </c>
      <c r="BL132">
        <v>44356</v>
      </c>
      <c r="BM132">
        <v>8505</v>
      </c>
      <c r="BN132">
        <v>8505</v>
      </c>
      <c r="BO132">
        <v>8505</v>
      </c>
      <c r="BP132">
        <v>25515</v>
      </c>
      <c r="BQ132">
        <v>3300</v>
      </c>
      <c r="BR132">
        <v>400</v>
      </c>
      <c r="BS132">
        <v>400</v>
      </c>
      <c r="BT132">
        <v>4100</v>
      </c>
      <c r="BU132">
        <v>2100</v>
      </c>
      <c r="BV132">
        <v>2100</v>
      </c>
      <c r="BW132">
        <v>2100</v>
      </c>
      <c r="BX132">
        <v>6300</v>
      </c>
      <c r="BY132">
        <v>1200</v>
      </c>
      <c r="BZ132">
        <v>1200</v>
      </c>
      <c r="CA132">
        <v>1200</v>
      </c>
      <c r="CB132">
        <v>3600</v>
      </c>
      <c r="CC132">
        <v>0</v>
      </c>
      <c r="CD132">
        <v>0</v>
      </c>
      <c r="CE132">
        <v>0</v>
      </c>
      <c r="CF132">
        <v>0</v>
      </c>
      <c r="CG132">
        <v>39515</v>
      </c>
      <c r="CH132">
        <v>0</v>
      </c>
      <c r="CI132">
        <v>0</v>
      </c>
      <c r="CJ132">
        <v>0</v>
      </c>
      <c r="CK132">
        <v>0</v>
      </c>
      <c r="CL132">
        <v>849</v>
      </c>
      <c r="CM132">
        <v>848</v>
      </c>
      <c r="CN132">
        <v>848</v>
      </c>
      <c r="CO132">
        <v>2545</v>
      </c>
      <c r="CP132">
        <v>500</v>
      </c>
      <c r="CQ132">
        <v>500</v>
      </c>
      <c r="CR132">
        <v>500</v>
      </c>
      <c r="CS132">
        <v>1500</v>
      </c>
      <c r="CT132">
        <v>1000</v>
      </c>
      <c r="CU132">
        <v>1000</v>
      </c>
      <c r="CV132">
        <v>1000</v>
      </c>
      <c r="CW132">
        <v>3000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7045</v>
      </c>
      <c r="EE132">
        <v>0</v>
      </c>
      <c r="EF132">
        <v>0</v>
      </c>
      <c r="EG132">
        <v>0</v>
      </c>
      <c r="EH132">
        <v>0</v>
      </c>
      <c r="EI132">
        <v>1154</v>
      </c>
      <c r="EJ132">
        <v>1154</v>
      </c>
      <c r="EK132">
        <v>1155</v>
      </c>
      <c r="EL132">
        <v>3500</v>
      </c>
      <c r="EM132">
        <v>37.065000000000005</v>
      </c>
      <c r="EN132">
        <v>660</v>
      </c>
      <c r="EO132">
        <v>660</v>
      </c>
      <c r="EP132">
        <v>659</v>
      </c>
      <c r="EQ132">
        <v>2000</v>
      </c>
      <c r="ER132">
        <v>21.18</v>
      </c>
      <c r="ES132">
        <v>0</v>
      </c>
      <c r="ET132">
        <v>0</v>
      </c>
      <c r="EU132">
        <v>0</v>
      </c>
      <c r="EV132">
        <v>0</v>
      </c>
      <c r="EW132">
        <v>0</v>
      </c>
      <c r="FA132">
        <v>0</v>
      </c>
      <c r="FE132">
        <v>0</v>
      </c>
      <c r="FI132">
        <v>0</v>
      </c>
      <c r="FJ132">
        <v>5441.7550000000001</v>
      </c>
      <c r="FK132">
        <v>32470</v>
      </c>
      <c r="FL132">
        <v>28223.805396599972</v>
      </c>
      <c r="FM132">
        <v>27028.244999999999</v>
      </c>
    </row>
    <row r="133" spans="1:169" x14ac:dyDescent="0.35">
      <c r="A133">
        <v>194399</v>
      </c>
      <c r="B133" t="s">
        <v>1156</v>
      </c>
      <c r="C133" t="s">
        <v>1157</v>
      </c>
      <c r="D133" t="s">
        <v>1158</v>
      </c>
      <c r="E133" s="43" t="s">
        <v>1159</v>
      </c>
      <c r="L133" s="43" t="s">
        <v>344</v>
      </c>
      <c r="M133" t="s">
        <v>1160</v>
      </c>
      <c r="N133" t="s">
        <v>1161</v>
      </c>
      <c r="O133" t="s">
        <v>1162</v>
      </c>
      <c r="P133" t="s">
        <v>309</v>
      </c>
      <c r="Q133" t="s">
        <v>1163</v>
      </c>
      <c r="R133">
        <v>3.3130000000000002</v>
      </c>
      <c r="S133">
        <v>44109</v>
      </c>
      <c r="T133" t="s">
        <v>265</v>
      </c>
      <c r="U133" t="s">
        <v>286</v>
      </c>
      <c r="V133" t="s">
        <v>267</v>
      </c>
      <c r="W133" t="s">
        <v>268</v>
      </c>
      <c r="X133" t="s">
        <v>269</v>
      </c>
      <c r="Y133">
        <v>8883022894</v>
      </c>
      <c r="Z133" t="s">
        <v>508</v>
      </c>
      <c r="AA133" t="s">
        <v>271</v>
      </c>
      <c r="AB133">
        <v>0</v>
      </c>
      <c r="AC133" t="s">
        <v>1164</v>
      </c>
      <c r="AD133" t="s">
        <v>797</v>
      </c>
      <c r="AE133" t="s">
        <v>364</v>
      </c>
      <c r="AF133">
        <v>3</v>
      </c>
      <c r="AG133" t="s">
        <v>275</v>
      </c>
      <c r="AH133" s="43" t="s">
        <v>313</v>
      </c>
      <c r="AI133" s="43" t="s">
        <v>313</v>
      </c>
      <c r="AJ133" s="43" t="s">
        <v>3590</v>
      </c>
      <c r="AK133" s="43" t="s">
        <v>3208</v>
      </c>
      <c r="AL133" s="43" t="s">
        <v>3209</v>
      </c>
      <c r="AO133" s="23"/>
      <c r="AP133" s="23"/>
      <c r="AQ133" s="23"/>
      <c r="BD133" s="43" t="s">
        <v>2018</v>
      </c>
      <c r="BE133" s="43" t="s">
        <v>2018</v>
      </c>
      <c r="BF133" s="43" t="s">
        <v>2018</v>
      </c>
      <c r="BG133" s="43" t="s">
        <v>2018</v>
      </c>
      <c r="BH133" s="43" t="s">
        <v>2018</v>
      </c>
      <c r="BI133" s="43" t="s">
        <v>2018</v>
      </c>
      <c r="BJ133">
        <v>0</v>
      </c>
      <c r="BK133">
        <v>44109</v>
      </c>
      <c r="BL133">
        <v>44356</v>
      </c>
      <c r="BM133">
        <v>8505</v>
      </c>
      <c r="BN133">
        <v>8505</v>
      </c>
      <c r="BO133">
        <v>8505</v>
      </c>
      <c r="BP133">
        <v>25515</v>
      </c>
      <c r="BQ133">
        <v>3300</v>
      </c>
      <c r="BR133">
        <v>400</v>
      </c>
      <c r="BS133">
        <v>400</v>
      </c>
      <c r="BT133">
        <v>4100</v>
      </c>
      <c r="BU133">
        <v>2100</v>
      </c>
      <c r="BV133">
        <v>2100</v>
      </c>
      <c r="BW133">
        <v>2100</v>
      </c>
      <c r="BX133">
        <v>6300</v>
      </c>
      <c r="BY133">
        <v>1200</v>
      </c>
      <c r="BZ133">
        <v>1200</v>
      </c>
      <c r="CA133">
        <v>1200</v>
      </c>
      <c r="CB133">
        <v>3600</v>
      </c>
      <c r="CC133">
        <v>0</v>
      </c>
      <c r="CD133">
        <v>0</v>
      </c>
      <c r="CE133">
        <v>0</v>
      </c>
      <c r="CF133">
        <v>0</v>
      </c>
      <c r="CG133">
        <v>39515</v>
      </c>
      <c r="CH133">
        <v>0</v>
      </c>
      <c r="CI133">
        <v>0</v>
      </c>
      <c r="CJ133">
        <v>0</v>
      </c>
      <c r="CK133">
        <v>0</v>
      </c>
      <c r="CL133">
        <v>2065</v>
      </c>
      <c r="CM133">
        <v>2065</v>
      </c>
      <c r="CN133">
        <v>2065</v>
      </c>
      <c r="CO133">
        <v>6195</v>
      </c>
      <c r="CP133">
        <v>500</v>
      </c>
      <c r="CQ133">
        <v>500</v>
      </c>
      <c r="CR133">
        <v>500</v>
      </c>
      <c r="CS133">
        <v>1500</v>
      </c>
      <c r="CT133">
        <v>1300</v>
      </c>
      <c r="CU133">
        <v>1300</v>
      </c>
      <c r="CV133">
        <v>1300</v>
      </c>
      <c r="CW133">
        <v>3900</v>
      </c>
      <c r="CX133">
        <v>0</v>
      </c>
      <c r="CY133">
        <v>0</v>
      </c>
      <c r="CZ133">
        <v>0</v>
      </c>
      <c r="DA133">
        <v>0</v>
      </c>
      <c r="DB133">
        <v>1000</v>
      </c>
      <c r="DC133">
        <v>1000</v>
      </c>
      <c r="DD133">
        <v>1000</v>
      </c>
      <c r="DE133">
        <v>3000</v>
      </c>
      <c r="DF133">
        <v>1000</v>
      </c>
      <c r="DG133">
        <v>1000</v>
      </c>
      <c r="DH133">
        <v>1000</v>
      </c>
      <c r="DI133">
        <v>3000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17595</v>
      </c>
      <c r="EE133">
        <v>0</v>
      </c>
      <c r="EF133">
        <v>0</v>
      </c>
      <c r="EG133">
        <v>0</v>
      </c>
      <c r="EH133">
        <v>0</v>
      </c>
      <c r="EI133">
        <v>1154</v>
      </c>
      <c r="EJ133">
        <v>1154</v>
      </c>
      <c r="EK133">
        <v>1155</v>
      </c>
      <c r="EL133">
        <v>3500</v>
      </c>
      <c r="EM133">
        <v>37.065000000000005</v>
      </c>
      <c r="EN133">
        <v>660</v>
      </c>
      <c r="EO133">
        <v>660</v>
      </c>
      <c r="EP133">
        <v>659</v>
      </c>
      <c r="EQ133">
        <v>2000</v>
      </c>
      <c r="ER133">
        <v>21.18</v>
      </c>
      <c r="ES133">
        <v>0</v>
      </c>
      <c r="ET133">
        <v>0</v>
      </c>
      <c r="EU133">
        <v>0</v>
      </c>
      <c r="EV133">
        <v>0</v>
      </c>
      <c r="EW133">
        <v>0</v>
      </c>
      <c r="FA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5441.7550000000001</v>
      </c>
      <c r="FK133">
        <v>21920</v>
      </c>
      <c r="FL133">
        <v>17207.139426089136</v>
      </c>
      <c r="FM133">
        <v>16478.244999999999</v>
      </c>
    </row>
    <row r="134" spans="1:169" x14ac:dyDescent="0.35">
      <c r="A134">
        <v>197509</v>
      </c>
      <c r="B134" t="s">
        <v>1165</v>
      </c>
      <c r="C134" t="s">
        <v>1166</v>
      </c>
      <c r="D134" t="s">
        <v>1167</v>
      </c>
      <c r="E134" s="43" t="s">
        <v>1168</v>
      </c>
      <c r="L134" s="43" t="s">
        <v>259</v>
      </c>
      <c r="M134" t="s">
        <v>1169</v>
      </c>
      <c r="N134" t="s">
        <v>1170</v>
      </c>
      <c r="O134" t="s">
        <v>1171</v>
      </c>
      <c r="P134" t="s">
        <v>1172</v>
      </c>
      <c r="Q134" t="s">
        <v>1173</v>
      </c>
      <c r="R134">
        <v>3.992</v>
      </c>
      <c r="S134">
        <v>44109</v>
      </c>
      <c r="T134" t="s">
        <v>311</v>
      </c>
      <c r="U134" t="s">
        <v>312</v>
      </c>
      <c r="V134" t="s">
        <v>267</v>
      </c>
      <c r="W134" t="s">
        <v>268</v>
      </c>
      <c r="X134" t="s">
        <v>269</v>
      </c>
      <c r="Y134">
        <v>8883022894</v>
      </c>
      <c r="Z134" t="s">
        <v>270</v>
      </c>
      <c r="AA134" t="s">
        <v>271</v>
      </c>
      <c r="AB134" t="s">
        <v>1174</v>
      </c>
      <c r="AC134">
        <v>0</v>
      </c>
      <c r="AD134" t="s">
        <v>1057</v>
      </c>
      <c r="AE134" t="s">
        <v>301</v>
      </c>
      <c r="AF134">
        <v>1</v>
      </c>
      <c r="AG134" t="s">
        <v>275</v>
      </c>
      <c r="AH134" s="43" t="s">
        <v>259</v>
      </c>
      <c r="AI134" s="43" t="s">
        <v>259</v>
      </c>
      <c r="AJ134" s="43" t="s">
        <v>259</v>
      </c>
      <c r="AK134" s="43" t="s">
        <v>259</v>
      </c>
      <c r="AL134" s="43" t="s">
        <v>259</v>
      </c>
      <c r="AO134" s="23"/>
      <c r="AP134" s="23"/>
      <c r="AQ134" s="23"/>
      <c r="BD134" s="43" t="s">
        <v>259</v>
      </c>
      <c r="BE134" s="43" t="s">
        <v>259</v>
      </c>
      <c r="BF134" s="43" t="s">
        <v>259</v>
      </c>
      <c r="BG134" s="43" t="s">
        <v>259</v>
      </c>
      <c r="BH134" s="43" t="s">
        <v>259</v>
      </c>
      <c r="BI134" s="43" t="s">
        <v>259</v>
      </c>
      <c r="BJ134">
        <v>0</v>
      </c>
      <c r="BK134">
        <v>44109</v>
      </c>
      <c r="BL134">
        <v>44356</v>
      </c>
      <c r="BM134">
        <v>8505</v>
      </c>
      <c r="BN134">
        <v>8505</v>
      </c>
      <c r="BO134">
        <v>8505</v>
      </c>
      <c r="BP134">
        <v>25515</v>
      </c>
      <c r="BQ134">
        <v>3300</v>
      </c>
      <c r="BR134">
        <v>400</v>
      </c>
      <c r="BS134">
        <v>400</v>
      </c>
      <c r="BT134">
        <v>4100</v>
      </c>
      <c r="BU134">
        <v>2100</v>
      </c>
      <c r="BV134">
        <v>2100</v>
      </c>
      <c r="BW134">
        <v>2100</v>
      </c>
      <c r="BX134">
        <v>6300</v>
      </c>
      <c r="BY134">
        <v>1200</v>
      </c>
      <c r="BZ134">
        <v>1200</v>
      </c>
      <c r="CA134">
        <v>1200</v>
      </c>
      <c r="CB134">
        <v>3600</v>
      </c>
      <c r="CC134">
        <v>0</v>
      </c>
      <c r="CD134">
        <v>0</v>
      </c>
      <c r="CE134">
        <v>0</v>
      </c>
      <c r="CF134">
        <v>0</v>
      </c>
      <c r="CG134">
        <v>39515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1700</v>
      </c>
      <c r="CU134">
        <v>1700</v>
      </c>
      <c r="CV134">
        <v>1700</v>
      </c>
      <c r="CW134">
        <v>5100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5100</v>
      </c>
      <c r="EE134">
        <v>0</v>
      </c>
      <c r="EF134">
        <v>0</v>
      </c>
      <c r="EG134">
        <v>0</v>
      </c>
      <c r="EH134">
        <v>0</v>
      </c>
      <c r="EI134">
        <v>1154</v>
      </c>
      <c r="EJ134">
        <v>1154</v>
      </c>
      <c r="EK134">
        <v>1155</v>
      </c>
      <c r="EL134">
        <v>3500</v>
      </c>
      <c r="EM134">
        <v>37.065000000000005</v>
      </c>
      <c r="EN134">
        <v>660</v>
      </c>
      <c r="EO134">
        <v>660</v>
      </c>
      <c r="EP134">
        <v>659</v>
      </c>
      <c r="EQ134">
        <v>2000</v>
      </c>
      <c r="ER134">
        <v>21.18</v>
      </c>
      <c r="ES134">
        <v>0</v>
      </c>
      <c r="ET134">
        <v>0</v>
      </c>
      <c r="EU134">
        <v>0</v>
      </c>
      <c r="EV134">
        <v>0</v>
      </c>
      <c r="EW134">
        <v>0</v>
      </c>
      <c r="FA134">
        <v>0</v>
      </c>
      <c r="FE134">
        <v>0</v>
      </c>
      <c r="FI134">
        <v>0</v>
      </c>
      <c r="FJ134">
        <v>5441.7550000000001</v>
      </c>
      <c r="FK134">
        <v>34415</v>
      </c>
      <c r="FL134">
        <v>30254.840023390832</v>
      </c>
      <c r="FM134">
        <v>28973.244999999999</v>
      </c>
    </row>
    <row r="135" spans="1:169" x14ac:dyDescent="0.35">
      <c r="A135">
        <v>198728</v>
      </c>
      <c r="B135" t="s">
        <v>1175</v>
      </c>
      <c r="C135" t="s">
        <v>1176</v>
      </c>
      <c r="D135" t="s">
        <v>1177</v>
      </c>
      <c r="E135" s="43" t="s">
        <v>3291</v>
      </c>
      <c r="L135" s="43" t="s">
        <v>3204</v>
      </c>
      <c r="M135" t="s">
        <v>1178</v>
      </c>
      <c r="N135" t="s">
        <v>1179</v>
      </c>
      <c r="O135" t="s">
        <v>1180</v>
      </c>
      <c r="P135" t="s">
        <v>1181</v>
      </c>
      <c r="Q135" t="s">
        <v>1182</v>
      </c>
      <c r="R135">
        <v>4</v>
      </c>
      <c r="S135">
        <v>44109</v>
      </c>
      <c r="T135" t="s">
        <v>265</v>
      </c>
      <c r="U135" t="s">
        <v>266</v>
      </c>
      <c r="V135" t="s">
        <v>267</v>
      </c>
      <c r="W135" t="s">
        <v>268</v>
      </c>
      <c r="X135" t="s">
        <v>269</v>
      </c>
      <c r="Y135">
        <v>8883022894</v>
      </c>
      <c r="Z135" t="s">
        <v>270</v>
      </c>
      <c r="AA135" t="s">
        <v>271</v>
      </c>
      <c r="AB135" t="s">
        <v>386</v>
      </c>
      <c r="AC135">
        <v>0</v>
      </c>
      <c r="AD135" t="s">
        <v>335</v>
      </c>
      <c r="AE135" t="s">
        <v>301</v>
      </c>
      <c r="AF135">
        <v>1</v>
      </c>
      <c r="AG135" t="s">
        <v>446</v>
      </c>
      <c r="AH135" s="43" t="s">
        <v>3599</v>
      </c>
      <c r="AI135" s="43" t="s">
        <v>3600</v>
      </c>
      <c r="AJ135" s="43" t="s">
        <v>3590</v>
      </c>
      <c r="AK135" s="43" t="s">
        <v>1715</v>
      </c>
      <c r="AL135" s="43" t="s">
        <v>259</v>
      </c>
      <c r="AO135" s="23"/>
      <c r="AP135" s="23"/>
      <c r="AQ135" s="23"/>
      <c r="BD135" s="43" t="s">
        <v>259</v>
      </c>
      <c r="BE135" s="43" t="s">
        <v>259</v>
      </c>
      <c r="BF135" s="43" t="s">
        <v>259</v>
      </c>
      <c r="BG135" s="43" t="s">
        <v>259</v>
      </c>
      <c r="BH135" s="43" t="s">
        <v>259</v>
      </c>
      <c r="BI135" s="43" t="s">
        <v>259</v>
      </c>
      <c r="BJ135">
        <v>0</v>
      </c>
      <c r="BK135">
        <v>44109</v>
      </c>
      <c r="BL135">
        <v>44356</v>
      </c>
      <c r="BM135">
        <v>8505</v>
      </c>
      <c r="BN135">
        <v>8505</v>
      </c>
      <c r="BO135">
        <v>8505</v>
      </c>
      <c r="BP135">
        <v>25515</v>
      </c>
      <c r="BQ135">
        <v>3300</v>
      </c>
      <c r="BR135">
        <v>400</v>
      </c>
      <c r="BS135">
        <v>400</v>
      </c>
      <c r="BT135">
        <v>4100</v>
      </c>
      <c r="BU135">
        <v>2100</v>
      </c>
      <c r="BV135">
        <v>2100</v>
      </c>
      <c r="BW135">
        <v>2100</v>
      </c>
      <c r="BX135">
        <v>6300</v>
      </c>
      <c r="BY135">
        <v>1200</v>
      </c>
      <c r="BZ135">
        <v>1200</v>
      </c>
      <c r="CA135">
        <v>1200</v>
      </c>
      <c r="CB135">
        <v>3600</v>
      </c>
      <c r="CF135">
        <v>0</v>
      </c>
      <c r="CG135">
        <v>39515</v>
      </c>
      <c r="CK135">
        <v>0</v>
      </c>
      <c r="CL135">
        <v>2015</v>
      </c>
      <c r="CM135">
        <v>2015</v>
      </c>
      <c r="CN135">
        <v>2015</v>
      </c>
      <c r="CO135">
        <v>6045</v>
      </c>
      <c r="CP135">
        <v>500</v>
      </c>
      <c r="CQ135">
        <v>500</v>
      </c>
      <c r="CR135">
        <v>500</v>
      </c>
      <c r="CS135">
        <v>1500</v>
      </c>
      <c r="CT135">
        <v>1700</v>
      </c>
      <c r="CU135">
        <v>1700</v>
      </c>
      <c r="CV135">
        <v>1700</v>
      </c>
      <c r="CW135">
        <v>5100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N135">
        <v>0</v>
      </c>
      <c r="DO135">
        <v>0</v>
      </c>
      <c r="DP135">
        <v>0</v>
      </c>
      <c r="DR135">
        <v>0</v>
      </c>
      <c r="DS135">
        <v>0</v>
      </c>
      <c r="DT135">
        <v>0</v>
      </c>
      <c r="DY135">
        <v>0</v>
      </c>
      <c r="EC135">
        <v>0</v>
      </c>
      <c r="ED135">
        <v>12645</v>
      </c>
      <c r="EH135">
        <v>0</v>
      </c>
      <c r="EI135">
        <v>0</v>
      </c>
      <c r="EJ135">
        <v>0</v>
      </c>
      <c r="EK135">
        <v>0</v>
      </c>
      <c r="EM135">
        <v>0</v>
      </c>
      <c r="EN135">
        <v>660</v>
      </c>
      <c r="EO135">
        <v>660</v>
      </c>
      <c r="EP135">
        <v>659</v>
      </c>
      <c r="EQ135">
        <v>2000</v>
      </c>
      <c r="ER135">
        <v>21.24</v>
      </c>
      <c r="ES135">
        <v>0</v>
      </c>
      <c r="ET135">
        <v>0</v>
      </c>
      <c r="EU135">
        <v>0</v>
      </c>
      <c r="EW135">
        <v>0</v>
      </c>
      <c r="FA135">
        <v>0</v>
      </c>
      <c r="FE135">
        <v>0</v>
      </c>
      <c r="FI135">
        <v>0</v>
      </c>
      <c r="FJ135">
        <v>1978.76</v>
      </c>
      <c r="FK135">
        <v>26870</v>
      </c>
      <c r="FL135">
        <v>25995.530119475312</v>
      </c>
      <c r="FM135">
        <v>24891.24</v>
      </c>
    </row>
    <row r="136" spans="1:169" x14ac:dyDescent="0.35">
      <c r="A136">
        <v>198543</v>
      </c>
      <c r="B136" t="s">
        <v>1183</v>
      </c>
      <c r="C136" t="s">
        <v>1184</v>
      </c>
      <c r="D136" t="s">
        <v>1185</v>
      </c>
      <c r="E136" s="43" t="s">
        <v>3292</v>
      </c>
      <c r="F136">
        <v>1</v>
      </c>
      <c r="G136" s="23">
        <v>43802</v>
      </c>
      <c r="H136" s="23">
        <v>43802</v>
      </c>
      <c r="I136" s="23">
        <v>43802</v>
      </c>
      <c r="J136" t="s">
        <v>4227</v>
      </c>
      <c r="L136" s="43" t="s">
        <v>259</v>
      </c>
      <c r="M136" t="s">
        <v>1186</v>
      </c>
      <c r="N136" t="s">
        <v>1187</v>
      </c>
      <c r="O136" t="s">
        <v>1188</v>
      </c>
      <c r="P136" t="s">
        <v>309</v>
      </c>
      <c r="Q136" t="s">
        <v>1189</v>
      </c>
      <c r="R136">
        <v>2.14</v>
      </c>
      <c r="S136">
        <v>44109</v>
      </c>
      <c r="T136" t="s">
        <v>311</v>
      </c>
      <c r="U136" t="s">
        <v>266</v>
      </c>
      <c r="V136" t="s">
        <v>267</v>
      </c>
      <c r="W136" t="s">
        <v>268</v>
      </c>
      <c r="X136" t="s">
        <v>269</v>
      </c>
      <c r="Y136">
        <v>8883022894</v>
      </c>
      <c r="Z136" t="s">
        <v>508</v>
      </c>
      <c r="AA136" t="s">
        <v>271</v>
      </c>
      <c r="AB136">
        <v>0</v>
      </c>
      <c r="AC136" t="s">
        <v>1190</v>
      </c>
      <c r="AD136" t="s">
        <v>1191</v>
      </c>
      <c r="AE136" t="s">
        <v>344</v>
      </c>
      <c r="AF136">
        <v>10</v>
      </c>
      <c r="AG136" t="s">
        <v>446</v>
      </c>
      <c r="AH136" s="43" t="s">
        <v>259</v>
      </c>
      <c r="AI136" s="43" t="s">
        <v>259</v>
      </c>
      <c r="AJ136" s="43" t="s">
        <v>259</v>
      </c>
      <c r="AK136" s="43" t="s">
        <v>259</v>
      </c>
      <c r="AL136" s="43" t="s">
        <v>259</v>
      </c>
      <c r="AO136" s="23"/>
      <c r="AP136" s="23"/>
      <c r="AQ136" s="23"/>
      <c r="BD136" s="43" t="s">
        <v>259</v>
      </c>
      <c r="BE136" s="43" t="s">
        <v>259</v>
      </c>
      <c r="BF136" s="43" t="s">
        <v>259</v>
      </c>
      <c r="BG136" s="43" t="s">
        <v>259</v>
      </c>
      <c r="BH136" s="43" t="s">
        <v>259</v>
      </c>
      <c r="BI136" s="43" t="s">
        <v>259</v>
      </c>
      <c r="BJ136">
        <v>0</v>
      </c>
      <c r="BK136">
        <v>44109</v>
      </c>
      <c r="BL136">
        <v>44356</v>
      </c>
      <c r="BM136">
        <v>8505</v>
      </c>
      <c r="BN136">
        <v>8505</v>
      </c>
      <c r="BO136">
        <v>8505</v>
      </c>
      <c r="BP136">
        <v>25515</v>
      </c>
      <c r="BQ136">
        <v>3300</v>
      </c>
      <c r="BR136">
        <v>400</v>
      </c>
      <c r="BS136">
        <v>400</v>
      </c>
      <c r="BT136">
        <v>4100</v>
      </c>
      <c r="BU136">
        <v>2100</v>
      </c>
      <c r="BV136">
        <v>2100</v>
      </c>
      <c r="BW136">
        <v>2100</v>
      </c>
      <c r="BX136">
        <v>6300</v>
      </c>
      <c r="BY136">
        <v>1200</v>
      </c>
      <c r="BZ136">
        <v>1200</v>
      </c>
      <c r="CA136">
        <v>1200</v>
      </c>
      <c r="CB136">
        <v>3600</v>
      </c>
      <c r="CF136">
        <v>0</v>
      </c>
      <c r="CG136">
        <v>39515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N136">
        <v>0</v>
      </c>
      <c r="DO136">
        <v>0</v>
      </c>
      <c r="DP136">
        <v>0</v>
      </c>
      <c r="DR136">
        <v>0</v>
      </c>
      <c r="DS136">
        <v>0</v>
      </c>
      <c r="DT136">
        <v>0</v>
      </c>
      <c r="DY136">
        <v>0</v>
      </c>
      <c r="EC136">
        <v>0</v>
      </c>
      <c r="ED136">
        <v>0</v>
      </c>
      <c r="EH136">
        <v>0</v>
      </c>
      <c r="EI136">
        <v>0</v>
      </c>
      <c r="EJ136">
        <v>0</v>
      </c>
      <c r="EK136">
        <v>0</v>
      </c>
      <c r="EM136">
        <v>0</v>
      </c>
      <c r="EN136">
        <v>660</v>
      </c>
      <c r="EO136">
        <v>660</v>
      </c>
      <c r="EP136">
        <v>659</v>
      </c>
      <c r="EQ136">
        <v>2000</v>
      </c>
      <c r="ER136">
        <v>21.24</v>
      </c>
      <c r="ES136">
        <v>0</v>
      </c>
      <c r="ET136">
        <v>0</v>
      </c>
      <c r="EU136">
        <v>0</v>
      </c>
      <c r="EW136">
        <v>0</v>
      </c>
      <c r="FA136">
        <v>0</v>
      </c>
      <c r="FE136">
        <v>0</v>
      </c>
      <c r="FI136">
        <v>0</v>
      </c>
      <c r="FJ136">
        <v>1978.76</v>
      </c>
      <c r="FK136">
        <v>39515</v>
      </c>
      <c r="FL136">
        <v>39201.520594870075</v>
      </c>
      <c r="FM136">
        <v>37536.239999999998</v>
      </c>
    </row>
    <row r="137" spans="1:169" x14ac:dyDescent="0.35">
      <c r="A137">
        <v>195357</v>
      </c>
      <c r="B137" t="s">
        <v>1192</v>
      </c>
      <c r="C137" t="s">
        <v>1193</v>
      </c>
      <c r="D137" t="s">
        <v>1194</v>
      </c>
      <c r="E137" s="43" t="s">
        <v>3293</v>
      </c>
      <c r="L137" s="43" t="s">
        <v>259</v>
      </c>
      <c r="M137" t="s">
        <v>1195</v>
      </c>
      <c r="N137" t="s">
        <v>1196</v>
      </c>
      <c r="O137" t="s">
        <v>1197</v>
      </c>
      <c r="P137" t="s">
        <v>342</v>
      </c>
      <c r="Q137" t="s">
        <v>1198</v>
      </c>
      <c r="R137">
        <v>3</v>
      </c>
      <c r="S137">
        <v>44109</v>
      </c>
      <c r="T137" t="s">
        <v>285</v>
      </c>
      <c r="U137" t="s">
        <v>266</v>
      </c>
      <c r="V137" t="s">
        <v>267</v>
      </c>
      <c r="W137" t="s">
        <v>268</v>
      </c>
      <c r="X137" t="s">
        <v>269</v>
      </c>
      <c r="Y137">
        <v>8883022894</v>
      </c>
      <c r="Z137" t="s">
        <v>270</v>
      </c>
      <c r="AA137" t="s">
        <v>271</v>
      </c>
      <c r="AB137">
        <v>0</v>
      </c>
      <c r="AC137">
        <v>0</v>
      </c>
      <c r="AD137" t="s">
        <v>313</v>
      </c>
      <c r="AE137" t="s">
        <v>274</v>
      </c>
      <c r="AF137">
        <v>9</v>
      </c>
      <c r="AG137" t="s">
        <v>446</v>
      </c>
      <c r="AH137" s="43" t="s">
        <v>259</v>
      </c>
      <c r="AI137" s="43" t="s">
        <v>259</v>
      </c>
      <c r="AJ137" s="43" t="s">
        <v>259</v>
      </c>
      <c r="AK137" s="43" t="s">
        <v>259</v>
      </c>
      <c r="AL137" s="43" t="s">
        <v>259</v>
      </c>
      <c r="AO137" s="23"/>
      <c r="AP137" s="23"/>
      <c r="AQ137" s="23"/>
      <c r="BD137" s="43" t="s">
        <v>259</v>
      </c>
      <c r="BE137" s="43" t="s">
        <v>259</v>
      </c>
      <c r="BF137" s="43" t="s">
        <v>259</v>
      </c>
      <c r="BG137" s="43" t="s">
        <v>259</v>
      </c>
      <c r="BH137" s="43" t="s">
        <v>259</v>
      </c>
      <c r="BI137" s="43" t="s">
        <v>259</v>
      </c>
      <c r="BJ137">
        <v>0</v>
      </c>
      <c r="BK137">
        <v>44109</v>
      </c>
      <c r="BL137">
        <v>44356</v>
      </c>
      <c r="BM137">
        <v>8505</v>
      </c>
      <c r="BN137">
        <v>8505</v>
      </c>
      <c r="BO137">
        <v>8505</v>
      </c>
      <c r="BP137">
        <v>25515</v>
      </c>
      <c r="BQ137">
        <v>3300</v>
      </c>
      <c r="BR137">
        <v>400</v>
      </c>
      <c r="BS137">
        <v>400</v>
      </c>
      <c r="BT137">
        <v>4100</v>
      </c>
      <c r="BU137">
        <v>2100</v>
      </c>
      <c r="BV137">
        <v>2100</v>
      </c>
      <c r="BW137">
        <v>2100</v>
      </c>
      <c r="BX137">
        <v>6300</v>
      </c>
      <c r="BY137">
        <v>1200</v>
      </c>
      <c r="BZ137">
        <v>1200</v>
      </c>
      <c r="CA137">
        <v>1200</v>
      </c>
      <c r="CB137">
        <v>3600</v>
      </c>
      <c r="CF137">
        <v>0</v>
      </c>
      <c r="CG137">
        <v>39515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N137">
        <v>0</v>
      </c>
      <c r="DO137">
        <v>0</v>
      </c>
      <c r="DP137">
        <v>0</v>
      </c>
      <c r="DR137">
        <v>0</v>
      </c>
      <c r="DS137">
        <v>0</v>
      </c>
      <c r="DT137">
        <v>0</v>
      </c>
      <c r="DY137">
        <v>0</v>
      </c>
      <c r="EC137">
        <v>0</v>
      </c>
      <c r="ED137">
        <v>0</v>
      </c>
      <c r="EH137">
        <v>0</v>
      </c>
      <c r="EI137">
        <v>0</v>
      </c>
      <c r="EJ137">
        <v>0</v>
      </c>
      <c r="EK137">
        <v>0</v>
      </c>
      <c r="EM137">
        <v>0</v>
      </c>
      <c r="EN137">
        <v>660</v>
      </c>
      <c r="EO137">
        <v>660</v>
      </c>
      <c r="EP137">
        <v>659</v>
      </c>
      <c r="EQ137">
        <v>2000</v>
      </c>
      <c r="ER137">
        <v>21.24</v>
      </c>
      <c r="ES137">
        <v>0</v>
      </c>
      <c r="ET137">
        <v>0</v>
      </c>
      <c r="EU137">
        <v>0</v>
      </c>
      <c r="EW137">
        <v>0</v>
      </c>
      <c r="FA137">
        <v>0</v>
      </c>
      <c r="FE137">
        <v>0</v>
      </c>
      <c r="FI137">
        <v>0</v>
      </c>
      <c r="FJ137">
        <v>1978.76</v>
      </c>
      <c r="FK137">
        <v>39515</v>
      </c>
      <c r="FL137">
        <v>39201.520594870075</v>
      </c>
      <c r="FM137">
        <v>37536.239999999998</v>
      </c>
    </row>
    <row r="138" spans="1:169" x14ac:dyDescent="0.35">
      <c r="A138">
        <v>197252</v>
      </c>
      <c r="B138" t="s">
        <v>1199</v>
      </c>
      <c r="C138" t="s">
        <v>1200</v>
      </c>
      <c r="D138" t="s">
        <v>1201</v>
      </c>
      <c r="E138" s="43" t="s">
        <v>1202</v>
      </c>
      <c r="F138">
        <v>1</v>
      </c>
      <c r="G138" s="23">
        <v>43776</v>
      </c>
      <c r="H138" s="23">
        <v>43781</v>
      </c>
      <c r="I138" s="23">
        <v>43781</v>
      </c>
      <c r="J138" t="s">
        <v>3582</v>
      </c>
      <c r="K138" t="s">
        <v>1715</v>
      </c>
      <c r="L138" s="43" t="s">
        <v>3204</v>
      </c>
      <c r="M138" t="s">
        <v>1203</v>
      </c>
      <c r="N138" t="s">
        <v>1204</v>
      </c>
      <c r="O138" t="s">
        <v>1205</v>
      </c>
      <c r="P138" t="s">
        <v>403</v>
      </c>
      <c r="Q138" t="s">
        <v>1206</v>
      </c>
      <c r="R138">
        <v>2.97</v>
      </c>
      <c r="S138">
        <v>44109</v>
      </c>
      <c r="T138" t="s">
        <v>285</v>
      </c>
      <c r="U138" t="s">
        <v>266</v>
      </c>
      <c r="V138" t="s">
        <v>267</v>
      </c>
      <c r="W138" t="s">
        <v>268</v>
      </c>
      <c r="X138" t="s">
        <v>269</v>
      </c>
      <c r="Y138">
        <v>8883022894</v>
      </c>
      <c r="Z138" t="s">
        <v>270</v>
      </c>
      <c r="AA138" t="s">
        <v>271</v>
      </c>
      <c r="AB138" t="s">
        <v>526</v>
      </c>
      <c r="AC138">
        <v>0</v>
      </c>
      <c r="AD138" t="s">
        <v>415</v>
      </c>
      <c r="AE138" t="s">
        <v>445</v>
      </c>
      <c r="AF138">
        <v>4</v>
      </c>
      <c r="AG138" t="s">
        <v>275</v>
      </c>
      <c r="AH138" s="43" t="s">
        <v>3253</v>
      </c>
      <c r="AI138" s="43" t="s">
        <v>3254</v>
      </c>
      <c r="AJ138" s="43" t="s">
        <v>3207</v>
      </c>
      <c r="AK138" s="43" t="s">
        <v>3208</v>
      </c>
      <c r="AL138" s="43" t="s">
        <v>3209</v>
      </c>
      <c r="AM138">
        <v>43781</v>
      </c>
      <c r="AN138">
        <v>43781</v>
      </c>
      <c r="AO138" s="23">
        <v>43765</v>
      </c>
      <c r="AP138" s="23">
        <v>43767</v>
      </c>
      <c r="AQ138" s="23">
        <v>43767</v>
      </c>
      <c r="BD138" s="43" t="s">
        <v>2018</v>
      </c>
      <c r="BE138" s="43" t="s">
        <v>2018</v>
      </c>
      <c r="BF138" s="43" t="s">
        <v>2018</v>
      </c>
      <c r="BG138" s="43" t="s">
        <v>2018</v>
      </c>
      <c r="BH138" s="43" t="s">
        <v>2018</v>
      </c>
      <c r="BI138" s="43" t="s">
        <v>2018</v>
      </c>
      <c r="BJ138">
        <v>0.29411764705882348</v>
      </c>
      <c r="BK138">
        <v>44109</v>
      </c>
      <c r="BL138">
        <v>44356</v>
      </c>
      <c r="BM138">
        <v>8505</v>
      </c>
      <c r="BN138">
        <v>8505</v>
      </c>
      <c r="BO138">
        <v>8505</v>
      </c>
      <c r="BP138">
        <v>25515</v>
      </c>
      <c r="BQ138">
        <v>3300</v>
      </c>
      <c r="BR138">
        <v>400</v>
      </c>
      <c r="BS138">
        <v>400</v>
      </c>
      <c r="BT138">
        <v>4100</v>
      </c>
      <c r="BU138">
        <v>2100</v>
      </c>
      <c r="BV138">
        <v>2100</v>
      </c>
      <c r="BW138">
        <v>2100</v>
      </c>
      <c r="BX138">
        <v>6300</v>
      </c>
      <c r="BY138">
        <v>1200</v>
      </c>
      <c r="BZ138">
        <v>1200</v>
      </c>
      <c r="CA138">
        <v>1200</v>
      </c>
      <c r="CB138">
        <v>3600</v>
      </c>
      <c r="CC138">
        <v>0</v>
      </c>
      <c r="CD138">
        <v>0</v>
      </c>
      <c r="CE138">
        <v>0</v>
      </c>
      <c r="CF138">
        <v>0</v>
      </c>
      <c r="CG138">
        <v>39515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1250</v>
      </c>
      <c r="CU138">
        <v>1250</v>
      </c>
      <c r="CV138">
        <v>1250</v>
      </c>
      <c r="CW138">
        <v>3750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3750</v>
      </c>
      <c r="EE138">
        <v>3334</v>
      </c>
      <c r="EF138">
        <v>3333</v>
      </c>
      <c r="EG138">
        <v>3333</v>
      </c>
      <c r="EH138">
        <v>10000</v>
      </c>
      <c r="EI138">
        <v>1154</v>
      </c>
      <c r="EJ138">
        <v>1154</v>
      </c>
      <c r="EK138">
        <v>1155</v>
      </c>
      <c r="EL138">
        <v>3500</v>
      </c>
      <c r="EM138">
        <v>37.065000000000005</v>
      </c>
      <c r="EN138">
        <v>660</v>
      </c>
      <c r="EO138">
        <v>660</v>
      </c>
      <c r="EP138">
        <v>659</v>
      </c>
      <c r="EQ138">
        <v>2000</v>
      </c>
      <c r="ER138">
        <v>21.18</v>
      </c>
      <c r="ES138">
        <v>6787</v>
      </c>
      <c r="ET138">
        <v>6787</v>
      </c>
      <c r="EU138">
        <v>6787</v>
      </c>
      <c r="EV138">
        <v>21222</v>
      </c>
      <c r="EW138">
        <v>899</v>
      </c>
      <c r="FA138">
        <v>0</v>
      </c>
      <c r="FE138">
        <v>0</v>
      </c>
      <c r="FI138">
        <v>0</v>
      </c>
      <c r="FJ138">
        <v>25764.791080000003</v>
      </c>
      <c r="FK138">
        <v>35765</v>
      </c>
      <c r="FL138">
        <v>0.21816131322554003</v>
      </c>
      <c r="FM138">
        <v>0.20891999999730615</v>
      </c>
    </row>
    <row r="139" spans="1:169" x14ac:dyDescent="0.35">
      <c r="A139">
        <v>198988</v>
      </c>
      <c r="B139" t="s">
        <v>1207</v>
      </c>
      <c r="C139" t="s">
        <v>1208</v>
      </c>
      <c r="D139" t="s">
        <v>1209</v>
      </c>
      <c r="E139" s="43" t="s">
        <v>3294</v>
      </c>
      <c r="L139" s="43" t="s">
        <v>259</v>
      </c>
      <c r="M139" t="s">
        <v>1210</v>
      </c>
      <c r="N139" t="s">
        <v>1211</v>
      </c>
      <c r="O139" t="s">
        <v>1212</v>
      </c>
      <c r="P139" t="s">
        <v>911</v>
      </c>
      <c r="Q139" t="s">
        <v>1213</v>
      </c>
      <c r="R139">
        <v>3.8</v>
      </c>
      <c r="S139">
        <v>44109</v>
      </c>
      <c r="T139" t="s">
        <v>285</v>
      </c>
      <c r="U139" t="s">
        <v>266</v>
      </c>
      <c r="V139" t="s">
        <v>267</v>
      </c>
      <c r="W139" t="s">
        <v>268</v>
      </c>
      <c r="X139" t="s">
        <v>269</v>
      </c>
      <c r="Y139">
        <v>8883022894</v>
      </c>
      <c r="Z139" t="s">
        <v>270</v>
      </c>
      <c r="AA139" t="s">
        <v>271</v>
      </c>
      <c r="AB139" t="s">
        <v>526</v>
      </c>
      <c r="AC139" t="s">
        <v>1010</v>
      </c>
      <c r="AD139" t="s">
        <v>581</v>
      </c>
      <c r="AE139" t="s">
        <v>301</v>
      </c>
      <c r="AF139">
        <v>1</v>
      </c>
      <c r="AG139" t="s">
        <v>446</v>
      </c>
      <c r="AH139" s="43" t="s">
        <v>259</v>
      </c>
      <c r="AI139" s="43" t="s">
        <v>259</v>
      </c>
      <c r="AJ139" s="43" t="s">
        <v>259</v>
      </c>
      <c r="AK139" s="43" t="s">
        <v>259</v>
      </c>
      <c r="AL139" s="43" t="s">
        <v>259</v>
      </c>
      <c r="AO139" s="23"/>
      <c r="AP139" s="23"/>
      <c r="AQ139" s="23"/>
      <c r="BD139" s="43" t="s">
        <v>259</v>
      </c>
      <c r="BE139" s="43" t="s">
        <v>259</v>
      </c>
      <c r="BF139" s="43" t="s">
        <v>259</v>
      </c>
      <c r="BG139" s="43" t="s">
        <v>259</v>
      </c>
      <c r="BH139" s="43" t="s">
        <v>259</v>
      </c>
      <c r="BI139" s="43" t="s">
        <v>259</v>
      </c>
      <c r="BJ139">
        <v>0</v>
      </c>
      <c r="BK139">
        <v>44109</v>
      </c>
      <c r="BL139">
        <v>44356</v>
      </c>
      <c r="BM139">
        <v>8505</v>
      </c>
      <c r="BN139">
        <v>8505</v>
      </c>
      <c r="BO139">
        <v>8505</v>
      </c>
      <c r="BP139">
        <v>25515</v>
      </c>
      <c r="BQ139">
        <v>3300</v>
      </c>
      <c r="BR139">
        <v>400</v>
      </c>
      <c r="BS139">
        <v>400</v>
      </c>
      <c r="BT139">
        <v>4100</v>
      </c>
      <c r="BU139">
        <v>2100</v>
      </c>
      <c r="BV139">
        <v>2100</v>
      </c>
      <c r="BW139">
        <v>2100</v>
      </c>
      <c r="BX139">
        <v>6300</v>
      </c>
      <c r="BY139">
        <v>1200</v>
      </c>
      <c r="BZ139">
        <v>1200</v>
      </c>
      <c r="CA139">
        <v>1200</v>
      </c>
      <c r="CB139">
        <v>3600</v>
      </c>
      <c r="CF139">
        <v>0</v>
      </c>
      <c r="CG139">
        <v>39515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1700</v>
      </c>
      <c r="CU139">
        <v>1700</v>
      </c>
      <c r="CV139">
        <v>1700</v>
      </c>
      <c r="CW139">
        <v>5100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N139">
        <v>0</v>
      </c>
      <c r="DO139">
        <v>0</v>
      </c>
      <c r="DP139">
        <v>0</v>
      </c>
      <c r="DR139">
        <v>0</v>
      </c>
      <c r="DS139">
        <v>0</v>
      </c>
      <c r="DT139">
        <v>0</v>
      </c>
      <c r="DY139">
        <v>0</v>
      </c>
      <c r="EC139">
        <v>0</v>
      </c>
      <c r="ED139">
        <v>5100</v>
      </c>
      <c r="EH139">
        <v>0</v>
      </c>
      <c r="EI139">
        <v>0</v>
      </c>
      <c r="EJ139">
        <v>0</v>
      </c>
      <c r="EK139">
        <v>0</v>
      </c>
      <c r="EM139">
        <v>0</v>
      </c>
      <c r="EN139">
        <v>660</v>
      </c>
      <c r="EO139">
        <v>660</v>
      </c>
      <c r="EP139">
        <v>659</v>
      </c>
      <c r="EQ139">
        <v>2000</v>
      </c>
      <c r="ER139">
        <v>21.24</v>
      </c>
      <c r="ES139">
        <v>0</v>
      </c>
      <c r="ET139">
        <v>0</v>
      </c>
      <c r="EU139">
        <v>0</v>
      </c>
      <c r="EW139">
        <v>0</v>
      </c>
      <c r="FA139">
        <v>0</v>
      </c>
      <c r="FE139">
        <v>0</v>
      </c>
      <c r="FI139">
        <v>0</v>
      </c>
      <c r="FJ139">
        <v>1978.76</v>
      </c>
      <c r="FK139">
        <v>34415</v>
      </c>
      <c r="FL139">
        <v>33875.261091152141</v>
      </c>
      <c r="FM139">
        <v>32436.240000000002</v>
      </c>
    </row>
    <row r="140" spans="1:169" x14ac:dyDescent="0.35">
      <c r="A140">
        <v>198300</v>
      </c>
      <c r="B140" t="s">
        <v>1207</v>
      </c>
      <c r="C140" t="s">
        <v>1214</v>
      </c>
      <c r="D140" t="s">
        <v>1215</v>
      </c>
      <c r="E140" s="43" t="s">
        <v>1216</v>
      </c>
      <c r="L140" s="43" t="s">
        <v>259</v>
      </c>
      <c r="M140" t="s">
        <v>1217</v>
      </c>
      <c r="N140" t="s">
        <v>1218</v>
      </c>
      <c r="O140" t="s">
        <v>1219</v>
      </c>
      <c r="P140" t="s">
        <v>608</v>
      </c>
      <c r="Q140" t="s">
        <v>1220</v>
      </c>
      <c r="R140">
        <v>3.95</v>
      </c>
      <c r="S140">
        <v>44109</v>
      </c>
      <c r="T140" t="s">
        <v>265</v>
      </c>
      <c r="U140" t="s">
        <v>266</v>
      </c>
      <c r="V140" t="s">
        <v>267</v>
      </c>
      <c r="W140" t="s">
        <v>268</v>
      </c>
      <c r="X140" t="s">
        <v>269</v>
      </c>
      <c r="Y140">
        <v>8883022894</v>
      </c>
      <c r="Z140" t="s">
        <v>270</v>
      </c>
      <c r="AA140" t="s">
        <v>271</v>
      </c>
      <c r="AB140" t="s">
        <v>679</v>
      </c>
      <c r="AC140">
        <v>0</v>
      </c>
      <c r="AD140" t="s">
        <v>434</v>
      </c>
      <c r="AE140" t="s">
        <v>301</v>
      </c>
      <c r="AF140">
        <v>1</v>
      </c>
      <c r="AG140" t="s">
        <v>275</v>
      </c>
      <c r="AH140" s="43" t="s">
        <v>259</v>
      </c>
      <c r="AI140" s="43" t="s">
        <v>259</v>
      </c>
      <c r="AJ140" s="43" t="s">
        <v>259</v>
      </c>
      <c r="AK140" s="43" t="s">
        <v>259</v>
      </c>
      <c r="AL140" s="43" t="s">
        <v>259</v>
      </c>
      <c r="AO140" s="23"/>
      <c r="AP140" s="23"/>
      <c r="AQ140" s="23"/>
      <c r="BD140" s="43" t="s">
        <v>259</v>
      </c>
      <c r="BE140" s="43" t="s">
        <v>259</v>
      </c>
      <c r="BF140" s="43" t="s">
        <v>259</v>
      </c>
      <c r="BG140" s="43" t="s">
        <v>259</v>
      </c>
      <c r="BH140" s="43" t="s">
        <v>259</v>
      </c>
      <c r="BI140" s="43" t="s">
        <v>259</v>
      </c>
      <c r="BJ140">
        <v>0</v>
      </c>
      <c r="BK140">
        <v>44109</v>
      </c>
      <c r="BL140">
        <v>44356</v>
      </c>
      <c r="BM140">
        <v>8505</v>
      </c>
      <c r="BN140">
        <v>8505</v>
      </c>
      <c r="BO140">
        <v>8505</v>
      </c>
      <c r="BP140">
        <v>25515</v>
      </c>
      <c r="BQ140">
        <v>3300</v>
      </c>
      <c r="BR140">
        <v>400</v>
      </c>
      <c r="BS140">
        <v>400</v>
      </c>
      <c r="BT140">
        <v>4100</v>
      </c>
      <c r="BU140">
        <v>2100</v>
      </c>
      <c r="BV140">
        <v>2100</v>
      </c>
      <c r="BW140">
        <v>2100</v>
      </c>
      <c r="BX140">
        <v>6300</v>
      </c>
      <c r="BY140">
        <v>1200</v>
      </c>
      <c r="BZ140">
        <v>1200</v>
      </c>
      <c r="CA140">
        <v>1200</v>
      </c>
      <c r="CB140">
        <v>3600</v>
      </c>
      <c r="CC140">
        <v>0</v>
      </c>
      <c r="CD140">
        <v>0</v>
      </c>
      <c r="CE140">
        <v>0</v>
      </c>
      <c r="CF140">
        <v>0</v>
      </c>
      <c r="CG140">
        <v>39515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1700</v>
      </c>
      <c r="CU140">
        <v>1700</v>
      </c>
      <c r="CV140">
        <v>1700</v>
      </c>
      <c r="CW140">
        <v>5100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5100</v>
      </c>
      <c r="EE140">
        <v>0</v>
      </c>
      <c r="EF140">
        <v>0</v>
      </c>
      <c r="EG140">
        <v>0</v>
      </c>
      <c r="EH140">
        <v>0</v>
      </c>
      <c r="EI140">
        <v>1154</v>
      </c>
      <c r="EJ140">
        <v>1154</v>
      </c>
      <c r="EK140">
        <v>1155</v>
      </c>
      <c r="EL140">
        <v>3500</v>
      </c>
      <c r="EM140">
        <v>37.065000000000005</v>
      </c>
      <c r="EN140">
        <v>660</v>
      </c>
      <c r="EO140">
        <v>660</v>
      </c>
      <c r="EP140">
        <v>659</v>
      </c>
      <c r="EQ140">
        <v>2000</v>
      </c>
      <c r="ER140">
        <v>21.18</v>
      </c>
      <c r="ES140">
        <v>0</v>
      </c>
      <c r="ET140">
        <v>0</v>
      </c>
      <c r="EU140">
        <v>0</v>
      </c>
      <c r="EV140">
        <v>0</v>
      </c>
      <c r="EW140">
        <v>0</v>
      </c>
      <c r="FA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5441.7550000000001</v>
      </c>
      <c r="FK140">
        <v>34415</v>
      </c>
      <c r="FL140">
        <v>30254.840023390832</v>
      </c>
      <c r="FM140">
        <v>28973.244999999999</v>
      </c>
    </row>
    <row r="141" spans="1:169" x14ac:dyDescent="0.35">
      <c r="A141">
        <v>196267</v>
      </c>
      <c r="B141" t="s">
        <v>1207</v>
      </c>
      <c r="C141" t="s">
        <v>1221</v>
      </c>
      <c r="D141" t="s">
        <v>1222</v>
      </c>
      <c r="E141" s="43" t="s">
        <v>1223</v>
      </c>
      <c r="F141">
        <v>1</v>
      </c>
      <c r="G141" s="23">
        <v>43794</v>
      </c>
      <c r="H141" s="23">
        <v>43794</v>
      </c>
      <c r="I141" s="23">
        <v>43794</v>
      </c>
      <c r="J141" t="s">
        <v>3827</v>
      </c>
      <c r="L141" s="43" t="s">
        <v>3204</v>
      </c>
      <c r="M141" t="s">
        <v>1224</v>
      </c>
      <c r="N141" t="s">
        <v>1225</v>
      </c>
      <c r="O141" t="s">
        <v>1226</v>
      </c>
      <c r="P141" t="s">
        <v>579</v>
      </c>
      <c r="Q141" t="s">
        <v>1227</v>
      </c>
      <c r="R141">
        <v>3.1110000000000002</v>
      </c>
      <c r="S141">
        <v>44109</v>
      </c>
      <c r="T141" t="s">
        <v>311</v>
      </c>
      <c r="U141" t="s">
        <v>266</v>
      </c>
      <c r="V141" t="s">
        <v>267</v>
      </c>
      <c r="W141" t="s">
        <v>268</v>
      </c>
      <c r="X141" t="s">
        <v>269</v>
      </c>
      <c r="Y141">
        <v>8883022894</v>
      </c>
      <c r="Z141" t="s">
        <v>270</v>
      </c>
      <c r="AA141" t="s">
        <v>271</v>
      </c>
      <c r="AB141" t="s">
        <v>1228</v>
      </c>
      <c r="AC141">
        <v>0</v>
      </c>
      <c r="AD141" t="s">
        <v>1111</v>
      </c>
      <c r="AE141" t="s">
        <v>301</v>
      </c>
      <c r="AF141">
        <v>1</v>
      </c>
      <c r="AG141" t="s">
        <v>275</v>
      </c>
      <c r="AH141" s="43" t="s">
        <v>3255</v>
      </c>
      <c r="AI141" s="43" t="s">
        <v>3256</v>
      </c>
      <c r="AJ141" s="43" t="s">
        <v>3207</v>
      </c>
      <c r="AK141" s="43" t="s">
        <v>3208</v>
      </c>
      <c r="AL141" s="43" t="s">
        <v>3209</v>
      </c>
      <c r="AO141" s="23">
        <v>43798</v>
      </c>
      <c r="AP141" s="23">
        <v>43777</v>
      </c>
      <c r="AQ141" s="23"/>
      <c r="BD141" s="43" t="s">
        <v>2018</v>
      </c>
      <c r="BE141" s="43" t="s">
        <v>2018</v>
      </c>
      <c r="BF141" s="43" t="s">
        <v>2018</v>
      </c>
      <c r="BG141" s="43" t="s">
        <v>2018</v>
      </c>
      <c r="BH141" s="43" t="s">
        <v>2018</v>
      </c>
      <c r="BI141" s="43" t="s">
        <v>2018</v>
      </c>
      <c r="BJ141">
        <v>0.11764705882352944</v>
      </c>
      <c r="BK141">
        <v>44109</v>
      </c>
      <c r="BL141">
        <v>44356</v>
      </c>
      <c r="BM141">
        <v>8505</v>
      </c>
      <c r="BN141">
        <v>8505</v>
      </c>
      <c r="BO141">
        <v>8505</v>
      </c>
      <c r="BP141">
        <v>25515</v>
      </c>
      <c r="BQ141">
        <v>3300</v>
      </c>
      <c r="BR141">
        <v>400</v>
      </c>
      <c r="BS141">
        <v>400</v>
      </c>
      <c r="BT141">
        <v>4100</v>
      </c>
      <c r="BU141">
        <v>2100</v>
      </c>
      <c r="BV141">
        <v>2100</v>
      </c>
      <c r="BW141">
        <v>2100</v>
      </c>
      <c r="BX141">
        <v>6300</v>
      </c>
      <c r="BY141">
        <v>1200</v>
      </c>
      <c r="BZ141">
        <v>1200</v>
      </c>
      <c r="CA141">
        <v>1200</v>
      </c>
      <c r="CB141">
        <v>3600</v>
      </c>
      <c r="CC141">
        <v>0</v>
      </c>
      <c r="CD141">
        <v>0</v>
      </c>
      <c r="CE141">
        <v>0</v>
      </c>
      <c r="CF141">
        <v>0</v>
      </c>
      <c r="CG141">
        <v>39515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1700</v>
      </c>
      <c r="CU141">
        <v>1700</v>
      </c>
      <c r="CV141">
        <v>1700</v>
      </c>
      <c r="CW141">
        <v>5100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5100</v>
      </c>
      <c r="EE141">
        <v>0</v>
      </c>
      <c r="EF141">
        <v>0</v>
      </c>
      <c r="EG141">
        <v>0</v>
      </c>
      <c r="EH141">
        <v>0</v>
      </c>
      <c r="EI141">
        <v>1154</v>
      </c>
      <c r="EJ141">
        <v>1154</v>
      </c>
      <c r="EK141">
        <v>1155</v>
      </c>
      <c r="EL141">
        <v>3500</v>
      </c>
      <c r="EM141">
        <v>37.065000000000005</v>
      </c>
      <c r="EN141">
        <v>660</v>
      </c>
      <c r="EO141">
        <v>660</v>
      </c>
      <c r="EP141">
        <v>659</v>
      </c>
      <c r="EQ141">
        <v>2000</v>
      </c>
      <c r="ER141">
        <v>21.18</v>
      </c>
      <c r="ES141">
        <v>0</v>
      </c>
      <c r="ET141">
        <v>0</v>
      </c>
      <c r="EU141">
        <v>0</v>
      </c>
      <c r="EV141">
        <v>0</v>
      </c>
      <c r="EW141">
        <v>0</v>
      </c>
      <c r="FA141">
        <v>0</v>
      </c>
      <c r="FE141">
        <v>0</v>
      </c>
      <c r="FI141">
        <v>0</v>
      </c>
      <c r="FJ141">
        <v>5441.7550000000001</v>
      </c>
      <c r="FK141">
        <v>34415</v>
      </c>
      <c r="FL141">
        <v>30254.840023390832</v>
      </c>
      <c r="FM141">
        <v>28973.244999999999</v>
      </c>
    </row>
    <row r="142" spans="1:169" x14ac:dyDescent="0.35">
      <c r="A142">
        <v>192827</v>
      </c>
      <c r="B142" t="s">
        <v>3924</v>
      </c>
      <c r="C142" t="s">
        <v>3530</v>
      </c>
      <c r="D142" t="s">
        <v>3925</v>
      </c>
      <c r="E142" s="43" t="s">
        <v>4214</v>
      </c>
      <c r="J142" t="s">
        <v>3830</v>
      </c>
      <c r="L142" s="43" t="s">
        <v>259</v>
      </c>
      <c r="M142" t="s">
        <v>3926</v>
      </c>
      <c r="N142" t="s">
        <v>3927</v>
      </c>
      <c r="O142" t="s">
        <v>3928</v>
      </c>
      <c r="P142" t="s">
        <v>342</v>
      </c>
      <c r="Q142" t="s">
        <v>696</v>
      </c>
      <c r="R142">
        <v>3.254</v>
      </c>
      <c r="S142">
        <v>44109</v>
      </c>
      <c r="T142" t="s">
        <v>311</v>
      </c>
      <c r="U142" t="s">
        <v>266</v>
      </c>
      <c r="V142" t="s">
        <v>267</v>
      </c>
      <c r="W142" t="s">
        <v>268</v>
      </c>
      <c r="X142" t="s">
        <v>269</v>
      </c>
      <c r="Y142">
        <v>8883022894</v>
      </c>
      <c r="Z142" t="s">
        <v>270</v>
      </c>
      <c r="AA142" t="s">
        <v>271</v>
      </c>
      <c r="AB142">
        <v>0</v>
      </c>
      <c r="AC142" t="s">
        <v>1190</v>
      </c>
      <c r="AD142" t="s">
        <v>363</v>
      </c>
      <c r="AE142" t="s">
        <v>301</v>
      </c>
      <c r="AF142">
        <v>1</v>
      </c>
      <c r="AG142" t="s">
        <v>3345</v>
      </c>
      <c r="AH142" s="43" t="s">
        <v>259</v>
      </c>
      <c r="AI142" s="43" t="s">
        <v>259</v>
      </c>
      <c r="AJ142" s="43" t="s">
        <v>259</v>
      </c>
      <c r="AK142" s="43" t="s">
        <v>259</v>
      </c>
      <c r="AL142" s="43" t="s">
        <v>259</v>
      </c>
      <c r="AO142" s="23"/>
      <c r="AP142" s="23"/>
      <c r="AQ142" s="23"/>
      <c r="BD142" s="43" t="s">
        <v>259</v>
      </c>
      <c r="BE142" s="43" t="s">
        <v>259</v>
      </c>
      <c r="BF142" s="43" t="s">
        <v>259</v>
      </c>
      <c r="BG142" s="43" t="s">
        <v>259</v>
      </c>
      <c r="BH142" s="43" t="s">
        <v>259</v>
      </c>
      <c r="BI142" s="43" t="s">
        <v>259</v>
      </c>
      <c r="BJ142">
        <v>0</v>
      </c>
      <c r="BK142">
        <v>44109</v>
      </c>
      <c r="BL142">
        <v>44356</v>
      </c>
      <c r="BP142">
        <v>0</v>
      </c>
      <c r="BT142">
        <v>0</v>
      </c>
      <c r="BX142">
        <v>0</v>
      </c>
      <c r="CB142">
        <v>0</v>
      </c>
      <c r="CF142">
        <v>0</v>
      </c>
      <c r="CG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1700</v>
      </c>
      <c r="CU142">
        <v>1700</v>
      </c>
      <c r="CV142">
        <v>1700</v>
      </c>
      <c r="CW142">
        <v>5100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N142">
        <v>0</v>
      </c>
      <c r="DO142">
        <v>0</v>
      </c>
      <c r="DP142">
        <v>0</v>
      </c>
      <c r="DR142">
        <v>0</v>
      </c>
      <c r="DS142">
        <v>0</v>
      </c>
      <c r="DT142">
        <v>0</v>
      </c>
      <c r="DY142">
        <v>0</v>
      </c>
      <c r="EC142">
        <v>0</v>
      </c>
      <c r="ED142">
        <v>5100</v>
      </c>
      <c r="EH142">
        <v>0</v>
      </c>
      <c r="EI142">
        <v>0</v>
      </c>
      <c r="EJ142">
        <v>0</v>
      </c>
      <c r="EK142">
        <v>0</v>
      </c>
      <c r="EM142">
        <v>0</v>
      </c>
      <c r="EN142">
        <v>660</v>
      </c>
      <c r="EO142">
        <v>660</v>
      </c>
      <c r="EP142">
        <v>659</v>
      </c>
      <c r="EQ142">
        <v>2000</v>
      </c>
      <c r="ER142">
        <v>21.24</v>
      </c>
      <c r="ES142">
        <v>0</v>
      </c>
      <c r="ET142">
        <v>0</v>
      </c>
      <c r="EU142">
        <v>0</v>
      </c>
      <c r="EW142">
        <v>0</v>
      </c>
      <c r="FA142">
        <v>0</v>
      </c>
      <c r="FE142">
        <v>0</v>
      </c>
      <c r="FI142">
        <v>0</v>
      </c>
      <c r="FJ142">
        <v>1978.76</v>
      </c>
      <c r="FK142">
        <v>-5100</v>
      </c>
      <c r="FL142">
        <v>-7392.8064165761552</v>
      </c>
      <c r="FM142">
        <v>-7078.76</v>
      </c>
    </row>
    <row r="143" spans="1:169" x14ac:dyDescent="0.35">
      <c r="A143">
        <v>198942</v>
      </c>
      <c r="B143" t="s">
        <v>1229</v>
      </c>
      <c r="C143" t="s">
        <v>1230</v>
      </c>
      <c r="D143" t="s">
        <v>1231</v>
      </c>
      <c r="E143" s="43" t="s">
        <v>3295</v>
      </c>
      <c r="L143" s="43" t="s">
        <v>259</v>
      </c>
      <c r="M143" t="s">
        <v>1232</v>
      </c>
      <c r="N143" t="s">
        <v>1233</v>
      </c>
      <c r="O143" t="s">
        <v>1234</v>
      </c>
      <c r="P143" t="s">
        <v>372</v>
      </c>
      <c r="Q143" t="s">
        <v>1235</v>
      </c>
      <c r="R143">
        <v>3.3330000000000002</v>
      </c>
      <c r="S143">
        <v>44109</v>
      </c>
      <c r="T143" t="s">
        <v>265</v>
      </c>
      <c r="U143" t="s">
        <v>286</v>
      </c>
      <c r="V143" t="s">
        <v>267</v>
      </c>
      <c r="W143" t="s">
        <v>268</v>
      </c>
      <c r="X143" t="s">
        <v>269</v>
      </c>
      <c r="Y143">
        <v>8883022894</v>
      </c>
      <c r="Z143" t="s">
        <v>270</v>
      </c>
      <c r="AA143" t="s">
        <v>271</v>
      </c>
      <c r="AB143">
        <v>0</v>
      </c>
      <c r="AC143" t="s">
        <v>653</v>
      </c>
      <c r="AD143" t="s">
        <v>415</v>
      </c>
      <c r="AE143" t="s">
        <v>364</v>
      </c>
      <c r="AF143">
        <v>3</v>
      </c>
      <c r="AG143" t="s">
        <v>446</v>
      </c>
      <c r="AH143" s="43" t="s">
        <v>259</v>
      </c>
      <c r="AI143" s="43" t="s">
        <v>259</v>
      </c>
      <c r="AJ143" s="43" t="s">
        <v>259</v>
      </c>
      <c r="AK143" s="43" t="s">
        <v>259</v>
      </c>
      <c r="AL143" s="43" t="s">
        <v>259</v>
      </c>
      <c r="AO143" s="23"/>
      <c r="AP143" s="23"/>
      <c r="AQ143" s="23"/>
      <c r="BD143" s="43" t="s">
        <v>259</v>
      </c>
      <c r="BE143" s="43" t="s">
        <v>259</v>
      </c>
      <c r="BF143" s="43" t="s">
        <v>259</v>
      </c>
      <c r="BG143" s="43" t="s">
        <v>259</v>
      </c>
      <c r="BH143" s="43" t="s">
        <v>259</v>
      </c>
      <c r="BI143" s="43" t="s">
        <v>259</v>
      </c>
      <c r="BJ143">
        <v>0</v>
      </c>
      <c r="BK143">
        <v>44109</v>
      </c>
      <c r="BL143">
        <v>44356</v>
      </c>
      <c r="BM143">
        <v>8505</v>
      </c>
      <c r="BN143">
        <v>8505</v>
      </c>
      <c r="BO143">
        <v>8505</v>
      </c>
      <c r="BP143">
        <v>25515</v>
      </c>
      <c r="BQ143">
        <v>3300</v>
      </c>
      <c r="BR143">
        <v>400</v>
      </c>
      <c r="BS143">
        <v>400</v>
      </c>
      <c r="BT143">
        <v>4100</v>
      </c>
      <c r="BU143">
        <v>2100</v>
      </c>
      <c r="BV143">
        <v>2100</v>
      </c>
      <c r="BW143">
        <v>2100</v>
      </c>
      <c r="BX143">
        <v>6300</v>
      </c>
      <c r="BY143">
        <v>1200</v>
      </c>
      <c r="BZ143">
        <v>1200</v>
      </c>
      <c r="CA143">
        <v>1200</v>
      </c>
      <c r="CB143">
        <v>3600</v>
      </c>
      <c r="CF143">
        <v>0</v>
      </c>
      <c r="CG143">
        <v>39515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1300</v>
      </c>
      <c r="CU143">
        <v>1300</v>
      </c>
      <c r="CV143">
        <v>1300</v>
      </c>
      <c r="CW143">
        <v>3900</v>
      </c>
      <c r="CX143">
        <v>0</v>
      </c>
      <c r="CY143">
        <v>0</v>
      </c>
      <c r="CZ143">
        <v>0</v>
      </c>
      <c r="DA143">
        <v>0</v>
      </c>
      <c r="DB143">
        <v>1000</v>
      </c>
      <c r="DC143">
        <v>1000</v>
      </c>
      <c r="DD143">
        <v>1000</v>
      </c>
      <c r="DE143">
        <v>3000</v>
      </c>
      <c r="DF143">
        <v>0</v>
      </c>
      <c r="DG143">
        <v>0</v>
      </c>
      <c r="DH143">
        <v>0</v>
      </c>
      <c r="DN143">
        <v>0</v>
      </c>
      <c r="DO143">
        <v>0</v>
      </c>
      <c r="DP143">
        <v>0</v>
      </c>
      <c r="DR143">
        <v>0</v>
      </c>
      <c r="DS143">
        <v>0</v>
      </c>
      <c r="DT143">
        <v>0</v>
      </c>
      <c r="DY143">
        <v>0</v>
      </c>
      <c r="EC143">
        <v>0</v>
      </c>
      <c r="ED143">
        <v>6900</v>
      </c>
      <c r="EH143">
        <v>0</v>
      </c>
      <c r="EI143">
        <v>0</v>
      </c>
      <c r="EJ143">
        <v>0</v>
      </c>
      <c r="EK143">
        <v>0</v>
      </c>
      <c r="EM143">
        <v>0</v>
      </c>
      <c r="EN143">
        <v>660</v>
      </c>
      <c r="EO143">
        <v>660</v>
      </c>
      <c r="EP143">
        <v>659</v>
      </c>
      <c r="EQ143">
        <v>2000</v>
      </c>
      <c r="ER143">
        <v>21.24</v>
      </c>
      <c r="ES143">
        <v>0</v>
      </c>
      <c r="ET143">
        <v>0</v>
      </c>
      <c r="EU143">
        <v>0</v>
      </c>
      <c r="EW143">
        <v>0</v>
      </c>
      <c r="FA143">
        <v>0</v>
      </c>
      <c r="FE143">
        <v>0</v>
      </c>
      <c r="FI143">
        <v>0</v>
      </c>
      <c r="FJ143">
        <v>1978.76</v>
      </c>
      <c r="FK143">
        <v>32615</v>
      </c>
      <c r="FL143">
        <v>31995.404795722283</v>
      </c>
      <c r="FM143">
        <v>30636.240000000002</v>
      </c>
    </row>
    <row r="144" spans="1:169" x14ac:dyDescent="0.35">
      <c r="A144">
        <v>198402</v>
      </c>
      <c r="B144" t="s">
        <v>1236</v>
      </c>
      <c r="C144" t="s">
        <v>1237</v>
      </c>
      <c r="D144" t="s">
        <v>1238</v>
      </c>
      <c r="E144" s="43" t="s">
        <v>1239</v>
      </c>
      <c r="L144" s="43" t="s">
        <v>3204</v>
      </c>
      <c r="M144" t="s">
        <v>1240</v>
      </c>
      <c r="N144" t="s">
        <v>3601</v>
      </c>
      <c r="O144" t="s">
        <v>1242</v>
      </c>
      <c r="P144" t="s">
        <v>524</v>
      </c>
      <c r="Q144" t="s">
        <v>1243</v>
      </c>
      <c r="R144">
        <v>3.7</v>
      </c>
      <c r="S144">
        <v>44109</v>
      </c>
      <c r="T144" t="s">
        <v>285</v>
      </c>
      <c r="U144" t="s">
        <v>266</v>
      </c>
      <c r="V144" t="s">
        <v>267</v>
      </c>
      <c r="W144" t="s">
        <v>268</v>
      </c>
      <c r="X144" t="s">
        <v>269</v>
      </c>
      <c r="Y144">
        <v>8883022894</v>
      </c>
      <c r="Z144" t="s">
        <v>270</v>
      </c>
      <c r="AA144" t="s">
        <v>271</v>
      </c>
      <c r="AB144" t="s">
        <v>386</v>
      </c>
      <c r="AC144">
        <v>0</v>
      </c>
      <c r="AD144" t="s">
        <v>600</v>
      </c>
      <c r="AE144" t="s">
        <v>301</v>
      </c>
      <c r="AF144">
        <v>1</v>
      </c>
      <c r="AG144" t="s">
        <v>275</v>
      </c>
      <c r="AH144" s="43" t="s">
        <v>3320</v>
      </c>
      <c r="AI144" s="43" t="s">
        <v>3321</v>
      </c>
      <c r="AJ144" s="43" t="s">
        <v>3309</v>
      </c>
      <c r="AK144" s="43" t="s">
        <v>3208</v>
      </c>
      <c r="AL144" s="43" t="s">
        <v>3209</v>
      </c>
      <c r="AO144" s="23"/>
      <c r="AP144" s="23"/>
      <c r="AQ144" s="23"/>
      <c r="BD144" s="43" t="s">
        <v>2018</v>
      </c>
      <c r="BE144" s="43" t="s">
        <v>2018</v>
      </c>
      <c r="BF144" s="43" t="s">
        <v>2018</v>
      </c>
      <c r="BG144" s="43" t="s">
        <v>2018</v>
      </c>
      <c r="BH144" s="43" t="s">
        <v>2018</v>
      </c>
      <c r="BI144" s="43" t="s">
        <v>2018</v>
      </c>
      <c r="BJ144">
        <v>0</v>
      </c>
      <c r="BK144">
        <v>44109</v>
      </c>
      <c r="BL144">
        <v>44356</v>
      </c>
      <c r="BM144">
        <v>8505</v>
      </c>
      <c r="BN144">
        <v>8505</v>
      </c>
      <c r="BO144">
        <v>8505</v>
      </c>
      <c r="BP144">
        <v>25515</v>
      </c>
      <c r="BQ144">
        <v>3300</v>
      </c>
      <c r="BR144">
        <v>400</v>
      </c>
      <c r="BS144">
        <v>400</v>
      </c>
      <c r="BT144">
        <v>4100</v>
      </c>
      <c r="BU144">
        <v>2100</v>
      </c>
      <c r="BV144">
        <v>2100</v>
      </c>
      <c r="BW144">
        <v>2100</v>
      </c>
      <c r="BX144">
        <v>6300</v>
      </c>
      <c r="BY144">
        <v>1200</v>
      </c>
      <c r="BZ144">
        <v>1200</v>
      </c>
      <c r="CA144">
        <v>1200</v>
      </c>
      <c r="CB144">
        <v>3600</v>
      </c>
      <c r="CC144">
        <v>0</v>
      </c>
      <c r="CD144">
        <v>0</v>
      </c>
      <c r="CE144">
        <v>0</v>
      </c>
      <c r="CF144">
        <v>0</v>
      </c>
      <c r="CG144">
        <v>39515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1700</v>
      </c>
      <c r="CU144">
        <v>1700</v>
      </c>
      <c r="CV144">
        <v>1700</v>
      </c>
      <c r="CW144">
        <v>5100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N144">
        <v>0</v>
      </c>
      <c r="DO144">
        <v>0</v>
      </c>
      <c r="DP144">
        <v>0</v>
      </c>
      <c r="DR144">
        <v>0</v>
      </c>
      <c r="DS144">
        <v>0</v>
      </c>
      <c r="DT144">
        <v>0</v>
      </c>
      <c r="DY144">
        <v>0</v>
      </c>
      <c r="EC144">
        <v>0</v>
      </c>
      <c r="ED144">
        <v>5100</v>
      </c>
      <c r="EE144">
        <v>0</v>
      </c>
      <c r="EF144">
        <v>0</v>
      </c>
      <c r="EG144">
        <v>0</v>
      </c>
      <c r="EH144">
        <v>0</v>
      </c>
      <c r="EI144">
        <v>1154</v>
      </c>
      <c r="EJ144">
        <v>1154</v>
      </c>
      <c r="EK144">
        <v>1155</v>
      </c>
      <c r="EL144">
        <v>3500</v>
      </c>
      <c r="EM144">
        <v>37.065000000000005</v>
      </c>
      <c r="EN144">
        <v>660</v>
      </c>
      <c r="EO144">
        <v>660</v>
      </c>
      <c r="EP144">
        <v>659</v>
      </c>
      <c r="EQ144">
        <v>2000</v>
      </c>
      <c r="ER144">
        <v>21.18</v>
      </c>
      <c r="ES144">
        <v>0</v>
      </c>
      <c r="ET144">
        <v>0</v>
      </c>
      <c r="EU144">
        <v>0</v>
      </c>
      <c r="EV144">
        <v>0</v>
      </c>
      <c r="EW144">
        <v>0</v>
      </c>
      <c r="FA144">
        <v>0</v>
      </c>
      <c r="FE144">
        <v>0</v>
      </c>
      <c r="FI144">
        <v>0</v>
      </c>
      <c r="FJ144">
        <v>5441.7550000000001</v>
      </c>
      <c r="FK144">
        <v>34415</v>
      </c>
      <c r="FL144">
        <v>30258.631673489846</v>
      </c>
      <c r="FM144">
        <v>28973.244999999999</v>
      </c>
    </row>
    <row r="145" spans="1:169" x14ac:dyDescent="0.35">
      <c r="A145">
        <v>197248</v>
      </c>
      <c r="B145" t="s">
        <v>1236</v>
      </c>
      <c r="C145" t="s">
        <v>1244</v>
      </c>
      <c r="D145" t="s">
        <v>1245</v>
      </c>
      <c r="E145" s="43" t="s">
        <v>1246</v>
      </c>
      <c r="F145">
        <v>1</v>
      </c>
      <c r="I145" s="23">
        <v>43801</v>
      </c>
      <c r="L145" s="43" t="s">
        <v>3204</v>
      </c>
      <c r="M145" t="s">
        <v>1247</v>
      </c>
      <c r="N145" t="s">
        <v>1248</v>
      </c>
      <c r="O145" t="s">
        <v>1249</v>
      </c>
      <c r="P145" t="s">
        <v>442</v>
      </c>
      <c r="Q145" t="s">
        <v>1250</v>
      </c>
      <c r="R145">
        <v>3.2059000000000002</v>
      </c>
      <c r="S145">
        <v>44109</v>
      </c>
      <c r="T145" t="s">
        <v>311</v>
      </c>
      <c r="U145" t="s">
        <v>266</v>
      </c>
      <c r="V145" t="s">
        <v>267</v>
      </c>
      <c r="W145" t="s">
        <v>268</v>
      </c>
      <c r="X145" t="s">
        <v>269</v>
      </c>
      <c r="Y145">
        <v>8883022894</v>
      </c>
      <c r="Z145" t="s">
        <v>270</v>
      </c>
      <c r="AA145" t="s">
        <v>271</v>
      </c>
      <c r="AB145" t="s">
        <v>969</v>
      </c>
      <c r="AC145">
        <v>0</v>
      </c>
      <c r="AD145" t="s">
        <v>415</v>
      </c>
      <c r="AE145" t="s">
        <v>364</v>
      </c>
      <c r="AF145">
        <v>3</v>
      </c>
      <c r="AG145" t="s">
        <v>275</v>
      </c>
      <c r="AH145" s="43" t="s">
        <v>3322</v>
      </c>
      <c r="AI145" s="43" t="s">
        <v>3323</v>
      </c>
      <c r="AJ145" s="43" t="s">
        <v>3309</v>
      </c>
      <c r="AK145" s="43" t="s">
        <v>3208</v>
      </c>
      <c r="AL145" s="43" t="s">
        <v>3209</v>
      </c>
      <c r="AO145" s="23">
        <v>43797</v>
      </c>
      <c r="AP145" s="23"/>
      <c r="AQ145" s="23">
        <v>43797</v>
      </c>
      <c r="BD145" s="43" t="s">
        <v>2018</v>
      </c>
      <c r="BE145" s="43" t="s">
        <v>2018</v>
      </c>
      <c r="BF145" s="43" t="s">
        <v>2018</v>
      </c>
      <c r="BG145" s="43" t="s">
        <v>2018</v>
      </c>
      <c r="BH145" s="43" t="s">
        <v>2018</v>
      </c>
      <c r="BI145" s="43" t="s">
        <v>2018</v>
      </c>
      <c r="BJ145">
        <v>0.11764705882352944</v>
      </c>
      <c r="BK145">
        <v>44109</v>
      </c>
      <c r="BL145">
        <v>44356</v>
      </c>
      <c r="BM145">
        <v>8505</v>
      </c>
      <c r="BN145">
        <v>8505</v>
      </c>
      <c r="BO145">
        <v>8505</v>
      </c>
      <c r="BP145">
        <v>25515</v>
      </c>
      <c r="BQ145">
        <v>3300</v>
      </c>
      <c r="BR145">
        <v>400</v>
      </c>
      <c r="BS145">
        <v>400</v>
      </c>
      <c r="BT145">
        <v>4100</v>
      </c>
      <c r="BU145">
        <v>2100</v>
      </c>
      <c r="BV145">
        <v>2100</v>
      </c>
      <c r="BW145">
        <v>2100</v>
      </c>
      <c r="BX145">
        <v>6300</v>
      </c>
      <c r="BY145">
        <v>1200</v>
      </c>
      <c r="BZ145">
        <v>1200</v>
      </c>
      <c r="CA145">
        <v>1200</v>
      </c>
      <c r="CB145">
        <v>3600</v>
      </c>
      <c r="CC145">
        <v>0</v>
      </c>
      <c r="CD145">
        <v>0</v>
      </c>
      <c r="CE145">
        <v>0</v>
      </c>
      <c r="CF145">
        <v>0</v>
      </c>
      <c r="CG145">
        <v>39515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1300</v>
      </c>
      <c r="CU145">
        <v>1300</v>
      </c>
      <c r="CV145">
        <v>1300</v>
      </c>
      <c r="CW145">
        <v>3900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3900</v>
      </c>
      <c r="EE145">
        <v>0</v>
      </c>
      <c r="EF145">
        <v>0</v>
      </c>
      <c r="EG145">
        <v>0</v>
      </c>
      <c r="EH145">
        <v>0</v>
      </c>
      <c r="EI145">
        <v>1154</v>
      </c>
      <c r="EJ145">
        <v>1154</v>
      </c>
      <c r="EK145">
        <v>1155</v>
      </c>
      <c r="EL145">
        <v>3500</v>
      </c>
      <c r="EM145">
        <v>37.065000000000005</v>
      </c>
      <c r="EN145">
        <v>660</v>
      </c>
      <c r="EO145">
        <v>660</v>
      </c>
      <c r="EP145">
        <v>659</v>
      </c>
      <c r="EQ145">
        <v>2000</v>
      </c>
      <c r="ER145">
        <v>21.18</v>
      </c>
      <c r="ES145">
        <v>0</v>
      </c>
      <c r="ET145">
        <v>0</v>
      </c>
      <c r="EU145">
        <v>0</v>
      </c>
      <c r="EV145">
        <v>0</v>
      </c>
      <c r="EW145">
        <v>0</v>
      </c>
      <c r="FA145">
        <v>0</v>
      </c>
      <c r="FE145">
        <v>0</v>
      </c>
      <c r="FI145">
        <v>0</v>
      </c>
      <c r="FJ145">
        <v>5441.7550000000001</v>
      </c>
      <c r="FK145">
        <v>35615</v>
      </c>
      <c r="FL145">
        <v>31507.920512927612</v>
      </c>
      <c r="FM145">
        <v>30173.244999999999</v>
      </c>
    </row>
    <row r="146" spans="1:169" x14ac:dyDescent="0.35">
      <c r="A146">
        <v>191641</v>
      </c>
      <c r="B146" t="s">
        <v>1236</v>
      </c>
      <c r="C146" t="s">
        <v>1251</v>
      </c>
      <c r="D146" t="s">
        <v>1252</v>
      </c>
      <c r="E146" s="43" t="s">
        <v>1253</v>
      </c>
      <c r="L146" s="43" t="s">
        <v>259</v>
      </c>
      <c r="M146" t="s">
        <v>1254</v>
      </c>
      <c r="N146" t="s">
        <v>1255</v>
      </c>
      <c r="O146" t="s">
        <v>1256</v>
      </c>
      <c r="P146" t="s">
        <v>309</v>
      </c>
      <c r="Q146" t="s">
        <v>1257</v>
      </c>
      <c r="R146">
        <v>3.395</v>
      </c>
      <c r="S146">
        <v>44109</v>
      </c>
      <c r="T146" t="s">
        <v>265</v>
      </c>
      <c r="U146" t="s">
        <v>266</v>
      </c>
      <c r="V146" t="s">
        <v>267</v>
      </c>
      <c r="W146" t="s">
        <v>268</v>
      </c>
      <c r="X146" t="s">
        <v>269</v>
      </c>
      <c r="Y146">
        <v>8883022894</v>
      </c>
      <c r="Z146" t="s">
        <v>270</v>
      </c>
      <c r="AA146" t="s">
        <v>271</v>
      </c>
      <c r="AB146">
        <v>0</v>
      </c>
      <c r="AC146">
        <v>0</v>
      </c>
      <c r="AD146" t="s">
        <v>313</v>
      </c>
      <c r="AE146" t="s">
        <v>416</v>
      </c>
      <c r="AF146">
        <v>5</v>
      </c>
      <c r="AG146" t="s">
        <v>275</v>
      </c>
      <c r="AH146" s="43" t="s">
        <v>259</v>
      </c>
      <c r="AI146" s="43" t="s">
        <v>259</v>
      </c>
      <c r="AJ146" s="43" t="s">
        <v>259</v>
      </c>
      <c r="AK146" s="43" t="s">
        <v>259</v>
      </c>
      <c r="AL146" s="43" t="s">
        <v>259</v>
      </c>
      <c r="AO146" s="23"/>
      <c r="AP146" s="23"/>
      <c r="AQ146" s="23"/>
      <c r="BD146" s="43" t="s">
        <v>259</v>
      </c>
      <c r="BE146" s="43" t="s">
        <v>259</v>
      </c>
      <c r="BF146" s="43" t="s">
        <v>259</v>
      </c>
      <c r="BG146" s="43" t="s">
        <v>259</v>
      </c>
      <c r="BH146" s="43" t="s">
        <v>259</v>
      </c>
      <c r="BI146" s="43" t="s">
        <v>259</v>
      </c>
      <c r="BJ146">
        <v>0</v>
      </c>
      <c r="BK146">
        <v>44109</v>
      </c>
      <c r="BL146">
        <v>44356</v>
      </c>
      <c r="BM146">
        <v>8505</v>
      </c>
      <c r="BN146">
        <v>8505</v>
      </c>
      <c r="BO146">
        <v>8505</v>
      </c>
      <c r="BP146">
        <v>25515</v>
      </c>
      <c r="BQ146">
        <v>3300</v>
      </c>
      <c r="BR146">
        <v>400</v>
      </c>
      <c r="BS146">
        <v>400</v>
      </c>
      <c r="BT146">
        <v>4100</v>
      </c>
      <c r="BU146">
        <v>2100</v>
      </c>
      <c r="BV146">
        <v>2100</v>
      </c>
      <c r="BW146">
        <v>2100</v>
      </c>
      <c r="BX146">
        <v>6300</v>
      </c>
      <c r="BY146">
        <v>1200</v>
      </c>
      <c r="BZ146">
        <v>1200</v>
      </c>
      <c r="CA146">
        <v>1200</v>
      </c>
      <c r="CB146">
        <v>3600</v>
      </c>
      <c r="CC146">
        <v>0</v>
      </c>
      <c r="CD146">
        <v>0</v>
      </c>
      <c r="CE146">
        <v>0</v>
      </c>
      <c r="CF146">
        <v>0</v>
      </c>
      <c r="CG146">
        <v>39515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1000</v>
      </c>
      <c r="CU146">
        <v>1000</v>
      </c>
      <c r="CV146">
        <v>1000</v>
      </c>
      <c r="CW146">
        <v>3000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3000</v>
      </c>
      <c r="EE146">
        <v>0</v>
      </c>
      <c r="EF146">
        <v>0</v>
      </c>
      <c r="EG146">
        <v>0</v>
      </c>
      <c r="EH146">
        <v>0</v>
      </c>
      <c r="EI146">
        <v>1154</v>
      </c>
      <c r="EJ146">
        <v>1154</v>
      </c>
      <c r="EK146">
        <v>1155</v>
      </c>
      <c r="EL146">
        <v>3500</v>
      </c>
      <c r="EM146">
        <v>37.065000000000005</v>
      </c>
      <c r="EN146">
        <v>660</v>
      </c>
      <c r="EO146">
        <v>660</v>
      </c>
      <c r="EP146">
        <v>659</v>
      </c>
      <c r="EQ146">
        <v>2000</v>
      </c>
      <c r="ER146">
        <v>21.18</v>
      </c>
      <c r="ES146">
        <v>0</v>
      </c>
      <c r="ET146">
        <v>0</v>
      </c>
      <c r="EU146">
        <v>0</v>
      </c>
      <c r="EV146">
        <v>0</v>
      </c>
      <c r="EW146">
        <v>0</v>
      </c>
      <c r="FA146">
        <v>0</v>
      </c>
      <c r="FE146">
        <v>0</v>
      </c>
      <c r="FI146">
        <v>0</v>
      </c>
      <c r="FJ146">
        <v>5441.7550000000001</v>
      </c>
      <c r="FK146">
        <v>36515</v>
      </c>
      <c r="FL146">
        <v>32447.730880080198</v>
      </c>
      <c r="FM146">
        <v>31073.245000000003</v>
      </c>
    </row>
    <row r="147" spans="1:169" x14ac:dyDescent="0.35">
      <c r="A147">
        <v>195989</v>
      </c>
      <c r="B147" t="s">
        <v>1236</v>
      </c>
      <c r="C147" t="s">
        <v>1258</v>
      </c>
      <c r="D147" t="s">
        <v>1259</v>
      </c>
      <c r="E147" s="43" t="s">
        <v>1260</v>
      </c>
      <c r="L147" s="43" t="s">
        <v>259</v>
      </c>
      <c r="M147" t="s">
        <v>1261</v>
      </c>
      <c r="N147" t="s">
        <v>1262</v>
      </c>
      <c r="O147" t="s">
        <v>1263</v>
      </c>
      <c r="P147" t="s">
        <v>542</v>
      </c>
      <c r="Q147" t="s">
        <v>1264</v>
      </c>
      <c r="R147">
        <v>3.1469999999999998</v>
      </c>
      <c r="S147">
        <v>44109</v>
      </c>
      <c r="T147" t="s">
        <v>544</v>
      </c>
      <c r="U147" t="s">
        <v>286</v>
      </c>
      <c r="V147" t="s">
        <v>267</v>
      </c>
      <c r="W147" t="s">
        <v>268</v>
      </c>
      <c r="X147" t="s">
        <v>269</v>
      </c>
      <c r="Y147">
        <v>8883022894</v>
      </c>
      <c r="Z147" t="s">
        <v>270</v>
      </c>
      <c r="AA147" t="s">
        <v>271</v>
      </c>
      <c r="AB147" t="s">
        <v>679</v>
      </c>
      <c r="AC147">
        <v>0</v>
      </c>
      <c r="AD147" t="s">
        <v>313</v>
      </c>
      <c r="AE147" t="s">
        <v>274</v>
      </c>
      <c r="AF147">
        <v>9</v>
      </c>
      <c r="AG147" t="s">
        <v>275</v>
      </c>
      <c r="AH147" s="43" t="s">
        <v>259</v>
      </c>
      <c r="AI147" s="43" t="s">
        <v>259</v>
      </c>
      <c r="AJ147" s="43" t="s">
        <v>259</v>
      </c>
      <c r="AK147" s="43" t="s">
        <v>259</v>
      </c>
      <c r="AL147" s="43" t="s">
        <v>259</v>
      </c>
      <c r="AO147" s="23"/>
      <c r="AP147" s="23"/>
      <c r="AQ147" s="23"/>
      <c r="BD147" s="43" t="s">
        <v>259</v>
      </c>
      <c r="BE147" s="43" t="s">
        <v>259</v>
      </c>
      <c r="BF147" s="43" t="s">
        <v>259</v>
      </c>
      <c r="BG147" s="43" t="s">
        <v>259</v>
      </c>
      <c r="BH147" s="43" t="s">
        <v>259</v>
      </c>
      <c r="BI147" s="43" t="s">
        <v>259</v>
      </c>
      <c r="BJ147">
        <v>0</v>
      </c>
      <c r="BK147">
        <v>44109</v>
      </c>
      <c r="BL147">
        <v>44356</v>
      </c>
      <c r="BM147">
        <v>8505</v>
      </c>
      <c r="BN147">
        <v>8505</v>
      </c>
      <c r="BO147">
        <v>8505</v>
      </c>
      <c r="BP147">
        <v>25515</v>
      </c>
      <c r="BQ147">
        <v>3300</v>
      </c>
      <c r="BR147">
        <v>400</v>
      </c>
      <c r="BS147">
        <v>400</v>
      </c>
      <c r="BT147">
        <v>4100</v>
      </c>
      <c r="BU147">
        <v>2100</v>
      </c>
      <c r="BV147">
        <v>2100</v>
      </c>
      <c r="BW147">
        <v>2100</v>
      </c>
      <c r="BX147">
        <v>6300</v>
      </c>
      <c r="BY147">
        <v>1200</v>
      </c>
      <c r="BZ147">
        <v>1200</v>
      </c>
      <c r="CA147">
        <v>1200</v>
      </c>
      <c r="CB147">
        <v>3600</v>
      </c>
      <c r="CC147">
        <v>0</v>
      </c>
      <c r="CD147">
        <v>0</v>
      </c>
      <c r="CE147">
        <v>0</v>
      </c>
      <c r="CF147">
        <v>0</v>
      </c>
      <c r="CG147">
        <v>39515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3000</v>
      </c>
      <c r="CY147">
        <v>3000</v>
      </c>
      <c r="CZ147">
        <v>3000</v>
      </c>
      <c r="DA147">
        <v>9000</v>
      </c>
      <c r="DB147">
        <v>1000</v>
      </c>
      <c r="DC147">
        <v>1000</v>
      </c>
      <c r="DD147">
        <v>1000</v>
      </c>
      <c r="DE147">
        <v>3000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12000</v>
      </c>
      <c r="EE147">
        <v>0</v>
      </c>
      <c r="EF147">
        <v>0</v>
      </c>
      <c r="EG147">
        <v>0</v>
      </c>
      <c r="EH147">
        <v>0</v>
      </c>
      <c r="EI147">
        <v>1154</v>
      </c>
      <c r="EJ147">
        <v>1154</v>
      </c>
      <c r="EK147">
        <v>1155</v>
      </c>
      <c r="EL147">
        <v>3500</v>
      </c>
      <c r="EM147">
        <v>37.065000000000005</v>
      </c>
      <c r="EN147">
        <v>660</v>
      </c>
      <c r="EO147">
        <v>660</v>
      </c>
      <c r="EP147">
        <v>659</v>
      </c>
      <c r="EQ147">
        <v>2000</v>
      </c>
      <c r="ER147">
        <v>21.18</v>
      </c>
      <c r="ES147">
        <v>0</v>
      </c>
      <c r="ET147">
        <v>0</v>
      </c>
      <c r="EU147">
        <v>0</v>
      </c>
      <c r="EV147">
        <v>0</v>
      </c>
      <c r="EW147">
        <v>0</v>
      </c>
      <c r="FA147">
        <v>0</v>
      </c>
      <c r="FE147">
        <v>0</v>
      </c>
      <c r="FI147">
        <v>0</v>
      </c>
      <c r="FJ147">
        <v>5441.7550000000001</v>
      </c>
      <c r="FK147">
        <v>27515</v>
      </c>
      <c r="FL147">
        <v>23049.627208554361</v>
      </c>
      <c r="FM147">
        <v>22073.244999999999</v>
      </c>
    </row>
    <row r="148" spans="1:169" x14ac:dyDescent="0.35">
      <c r="A148">
        <v>196497</v>
      </c>
      <c r="B148" t="s">
        <v>1265</v>
      </c>
      <c r="C148" t="s">
        <v>1266</v>
      </c>
      <c r="D148" t="s">
        <v>1267</v>
      </c>
      <c r="E148" s="43" t="s">
        <v>3296</v>
      </c>
      <c r="L148" s="43" t="s">
        <v>259</v>
      </c>
      <c r="M148" t="s">
        <v>1268</v>
      </c>
      <c r="N148" t="s">
        <v>1269</v>
      </c>
      <c r="O148" t="s">
        <v>1270</v>
      </c>
      <c r="P148" t="s">
        <v>384</v>
      </c>
      <c r="Q148" t="s">
        <v>1271</v>
      </c>
      <c r="R148">
        <v>3.5</v>
      </c>
      <c r="S148">
        <v>44109</v>
      </c>
      <c r="T148" t="s">
        <v>285</v>
      </c>
      <c r="U148" t="s">
        <v>266</v>
      </c>
      <c r="V148" t="s">
        <v>267</v>
      </c>
      <c r="W148" t="s">
        <v>268</v>
      </c>
      <c r="X148" t="s">
        <v>269</v>
      </c>
      <c r="Y148">
        <v>8883022894</v>
      </c>
      <c r="Z148" t="s">
        <v>270</v>
      </c>
      <c r="AA148" t="s">
        <v>271</v>
      </c>
      <c r="AB148" t="s">
        <v>562</v>
      </c>
      <c r="AC148">
        <v>0</v>
      </c>
      <c r="AD148" t="s">
        <v>387</v>
      </c>
      <c r="AE148" t="s">
        <v>289</v>
      </c>
      <c r="AF148">
        <v>2</v>
      </c>
      <c r="AG148" t="s">
        <v>446</v>
      </c>
      <c r="AH148" s="43" t="s">
        <v>259</v>
      </c>
      <c r="AI148" s="43" t="s">
        <v>259</v>
      </c>
      <c r="AJ148" s="43" t="s">
        <v>259</v>
      </c>
      <c r="AK148" s="43" t="s">
        <v>259</v>
      </c>
      <c r="AL148" s="43" t="s">
        <v>259</v>
      </c>
      <c r="AO148" s="23"/>
      <c r="AP148" s="23"/>
      <c r="AQ148" s="23"/>
      <c r="BD148" s="43" t="s">
        <v>259</v>
      </c>
      <c r="BE148" s="43" t="s">
        <v>259</v>
      </c>
      <c r="BF148" s="43" t="s">
        <v>259</v>
      </c>
      <c r="BG148" s="43" t="s">
        <v>259</v>
      </c>
      <c r="BH148" s="43" t="s">
        <v>259</v>
      </c>
      <c r="BI148" s="43" t="s">
        <v>259</v>
      </c>
      <c r="BJ148">
        <v>0</v>
      </c>
      <c r="BK148">
        <v>44109</v>
      </c>
      <c r="BL148">
        <v>44356</v>
      </c>
      <c r="BM148">
        <v>8505</v>
      </c>
      <c r="BN148">
        <v>8505</v>
      </c>
      <c r="BO148">
        <v>8505</v>
      </c>
      <c r="BP148">
        <v>25515</v>
      </c>
      <c r="BQ148">
        <v>3300</v>
      </c>
      <c r="BR148">
        <v>400</v>
      </c>
      <c r="BS148">
        <v>400</v>
      </c>
      <c r="BT148">
        <v>4100</v>
      </c>
      <c r="BU148">
        <v>2100</v>
      </c>
      <c r="BV148">
        <v>2100</v>
      </c>
      <c r="BW148">
        <v>2100</v>
      </c>
      <c r="BX148">
        <v>6300</v>
      </c>
      <c r="BY148">
        <v>1200</v>
      </c>
      <c r="BZ148">
        <v>1200</v>
      </c>
      <c r="CA148">
        <v>1200</v>
      </c>
      <c r="CB148">
        <v>3600</v>
      </c>
      <c r="CF148">
        <v>0</v>
      </c>
      <c r="CG148">
        <v>39515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1500</v>
      </c>
      <c r="CU148">
        <v>1500</v>
      </c>
      <c r="CV148">
        <v>1500</v>
      </c>
      <c r="CW148">
        <v>4500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N148">
        <v>0</v>
      </c>
      <c r="DO148">
        <v>0</v>
      </c>
      <c r="DP148">
        <v>0</v>
      </c>
      <c r="DR148">
        <v>0</v>
      </c>
      <c r="DS148">
        <v>0</v>
      </c>
      <c r="DT148">
        <v>0</v>
      </c>
      <c r="DY148">
        <v>0</v>
      </c>
      <c r="EC148">
        <v>0</v>
      </c>
      <c r="ED148">
        <v>4500</v>
      </c>
      <c r="EH148">
        <v>0</v>
      </c>
      <c r="EI148">
        <v>0</v>
      </c>
      <c r="EJ148">
        <v>0</v>
      </c>
      <c r="EK148">
        <v>0</v>
      </c>
      <c r="EM148">
        <v>0</v>
      </c>
      <c r="EN148">
        <v>660</v>
      </c>
      <c r="EO148">
        <v>660</v>
      </c>
      <c r="EP148">
        <v>659</v>
      </c>
      <c r="EQ148">
        <v>2000</v>
      </c>
      <c r="ER148">
        <v>21.24</v>
      </c>
      <c r="ES148">
        <v>0</v>
      </c>
      <c r="ET148">
        <v>0</v>
      </c>
      <c r="EU148">
        <v>0</v>
      </c>
      <c r="EW148">
        <v>0</v>
      </c>
      <c r="FA148">
        <v>0</v>
      </c>
      <c r="FE148">
        <v>0</v>
      </c>
      <c r="FI148">
        <v>0</v>
      </c>
      <c r="FJ148">
        <v>1978.76</v>
      </c>
      <c r="FK148">
        <v>35015</v>
      </c>
      <c r="FL148">
        <v>34501.879856295425</v>
      </c>
      <c r="FM148">
        <v>33036.239999999998</v>
      </c>
    </row>
    <row r="149" spans="1:169" x14ac:dyDescent="0.35">
      <c r="A149">
        <v>198034</v>
      </c>
      <c r="B149" t="s">
        <v>1272</v>
      </c>
      <c r="C149" t="s">
        <v>946</v>
      </c>
      <c r="D149" t="s">
        <v>1273</v>
      </c>
      <c r="E149" s="43" t="s">
        <v>1274</v>
      </c>
      <c r="L149" s="43" t="s">
        <v>259</v>
      </c>
      <c r="M149" t="s">
        <v>1275</v>
      </c>
      <c r="N149" t="s">
        <v>1276</v>
      </c>
      <c r="O149" t="s">
        <v>1277</v>
      </c>
      <c r="P149" t="s">
        <v>759</v>
      </c>
      <c r="Q149" t="s">
        <v>1278</v>
      </c>
      <c r="R149">
        <v>3.9</v>
      </c>
      <c r="S149">
        <v>44109</v>
      </c>
      <c r="T149" t="s">
        <v>285</v>
      </c>
      <c r="U149" t="s">
        <v>266</v>
      </c>
      <c r="V149" t="s">
        <v>267</v>
      </c>
      <c r="W149" t="s">
        <v>268</v>
      </c>
      <c r="X149" t="s">
        <v>269</v>
      </c>
      <c r="Y149">
        <v>8883022894</v>
      </c>
      <c r="Z149" t="s">
        <v>270</v>
      </c>
      <c r="AA149" t="s">
        <v>271</v>
      </c>
      <c r="AB149" t="s">
        <v>1279</v>
      </c>
      <c r="AC149" t="s">
        <v>480</v>
      </c>
      <c r="AD149" t="s">
        <v>1280</v>
      </c>
      <c r="AE149" t="s">
        <v>301</v>
      </c>
      <c r="AF149">
        <v>1</v>
      </c>
      <c r="AG149" t="s">
        <v>275</v>
      </c>
      <c r="AH149" s="43" t="s">
        <v>259</v>
      </c>
      <c r="AI149" s="43" t="s">
        <v>259</v>
      </c>
      <c r="AJ149" s="43" t="s">
        <v>259</v>
      </c>
      <c r="AK149" s="43" t="s">
        <v>259</v>
      </c>
      <c r="AL149" s="43" t="s">
        <v>259</v>
      </c>
      <c r="AO149" s="23"/>
      <c r="AP149" s="23"/>
      <c r="AQ149" s="23"/>
      <c r="BD149" s="43" t="s">
        <v>259</v>
      </c>
      <c r="BE149" s="43" t="s">
        <v>259</v>
      </c>
      <c r="BF149" s="43" t="s">
        <v>259</v>
      </c>
      <c r="BG149" s="43" t="s">
        <v>259</v>
      </c>
      <c r="BH149" s="43" t="s">
        <v>259</v>
      </c>
      <c r="BI149" s="43" t="s">
        <v>259</v>
      </c>
      <c r="BJ149">
        <v>0</v>
      </c>
      <c r="BK149">
        <v>44109</v>
      </c>
      <c r="BL149">
        <v>44356</v>
      </c>
      <c r="BM149">
        <v>8505</v>
      </c>
      <c r="BN149">
        <v>8505</v>
      </c>
      <c r="BO149">
        <v>8505</v>
      </c>
      <c r="BP149">
        <v>25515</v>
      </c>
      <c r="BQ149">
        <v>3300</v>
      </c>
      <c r="BR149">
        <v>400</v>
      </c>
      <c r="BS149">
        <v>400</v>
      </c>
      <c r="BT149">
        <v>4100</v>
      </c>
      <c r="BU149">
        <v>2100</v>
      </c>
      <c r="BV149">
        <v>2100</v>
      </c>
      <c r="BW149">
        <v>2100</v>
      </c>
      <c r="BX149">
        <v>6300</v>
      </c>
      <c r="BY149">
        <v>1200</v>
      </c>
      <c r="BZ149">
        <v>1200</v>
      </c>
      <c r="CA149">
        <v>1200</v>
      </c>
      <c r="CB149">
        <v>3600</v>
      </c>
      <c r="CC149">
        <v>0</v>
      </c>
      <c r="CD149">
        <v>0</v>
      </c>
      <c r="CE149">
        <v>0</v>
      </c>
      <c r="CF149">
        <v>0</v>
      </c>
      <c r="CG149">
        <v>39515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1700</v>
      </c>
      <c r="CU149">
        <v>1700</v>
      </c>
      <c r="CV149">
        <v>1700</v>
      </c>
      <c r="CW149">
        <v>5100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5100</v>
      </c>
      <c r="EE149">
        <v>0</v>
      </c>
      <c r="EF149">
        <v>0</v>
      </c>
      <c r="EG149">
        <v>0</v>
      </c>
      <c r="EH149">
        <v>0</v>
      </c>
      <c r="EI149">
        <v>1154</v>
      </c>
      <c r="EJ149">
        <v>1154</v>
      </c>
      <c r="EK149">
        <v>1155</v>
      </c>
      <c r="EL149">
        <v>3500</v>
      </c>
      <c r="EM149">
        <v>37.065000000000005</v>
      </c>
      <c r="EN149">
        <v>660</v>
      </c>
      <c r="EO149">
        <v>660</v>
      </c>
      <c r="EP149">
        <v>659</v>
      </c>
      <c r="EQ149">
        <v>2000</v>
      </c>
      <c r="ER149">
        <v>21.18</v>
      </c>
      <c r="ES149">
        <v>0</v>
      </c>
      <c r="ET149">
        <v>0</v>
      </c>
      <c r="EU149">
        <v>0</v>
      </c>
      <c r="EV149">
        <v>0</v>
      </c>
      <c r="EW149">
        <v>0</v>
      </c>
      <c r="FA149">
        <v>0</v>
      </c>
      <c r="FE149">
        <v>0</v>
      </c>
      <c r="FI149">
        <v>0</v>
      </c>
      <c r="FJ149">
        <v>5441.7550000000001</v>
      </c>
      <c r="FK149">
        <v>34415</v>
      </c>
      <c r="FL149">
        <v>30254.840023390832</v>
      </c>
      <c r="FM149">
        <v>28973.244999999999</v>
      </c>
    </row>
    <row r="150" spans="1:169" x14ac:dyDescent="0.35">
      <c r="A150">
        <v>192217</v>
      </c>
      <c r="B150" t="s">
        <v>1281</v>
      </c>
      <c r="C150" t="s">
        <v>1282</v>
      </c>
      <c r="D150" t="s">
        <v>1283</v>
      </c>
      <c r="E150" s="43" t="s">
        <v>1284</v>
      </c>
      <c r="L150" s="43" t="s">
        <v>259</v>
      </c>
      <c r="M150" t="s">
        <v>1285</v>
      </c>
      <c r="N150" t="s">
        <v>1286</v>
      </c>
      <c r="O150" t="s">
        <v>1287</v>
      </c>
      <c r="P150" t="s">
        <v>596</v>
      </c>
      <c r="Q150" t="s">
        <v>1288</v>
      </c>
      <c r="R150">
        <v>3.5</v>
      </c>
      <c r="S150">
        <v>44109</v>
      </c>
      <c r="T150" t="s">
        <v>265</v>
      </c>
      <c r="U150" t="s">
        <v>266</v>
      </c>
      <c r="V150" t="s">
        <v>267</v>
      </c>
      <c r="W150" t="s">
        <v>268</v>
      </c>
      <c r="X150" t="s">
        <v>269</v>
      </c>
      <c r="Y150">
        <v>8883022894</v>
      </c>
      <c r="Z150" t="s">
        <v>270</v>
      </c>
      <c r="AA150" t="s">
        <v>271</v>
      </c>
      <c r="AB150" t="s">
        <v>969</v>
      </c>
      <c r="AC150">
        <v>0</v>
      </c>
      <c r="AD150" t="s">
        <v>300</v>
      </c>
      <c r="AE150" t="s">
        <v>364</v>
      </c>
      <c r="AF150">
        <v>3</v>
      </c>
      <c r="AG150" t="s">
        <v>275</v>
      </c>
      <c r="AH150" s="43" t="s">
        <v>259</v>
      </c>
      <c r="AI150" s="43" t="s">
        <v>259</v>
      </c>
      <c r="AJ150" s="43" t="s">
        <v>259</v>
      </c>
      <c r="AK150" s="43" t="s">
        <v>259</v>
      </c>
      <c r="AL150" s="43" t="s">
        <v>259</v>
      </c>
      <c r="AO150" s="23"/>
      <c r="AP150" s="23"/>
      <c r="AQ150" s="23"/>
      <c r="BD150" s="43" t="s">
        <v>259</v>
      </c>
      <c r="BE150" s="43" t="s">
        <v>259</v>
      </c>
      <c r="BF150" s="43" t="s">
        <v>259</v>
      </c>
      <c r="BG150" s="43" t="s">
        <v>259</v>
      </c>
      <c r="BH150" s="43" t="s">
        <v>259</v>
      </c>
      <c r="BI150" s="43" t="s">
        <v>259</v>
      </c>
      <c r="BJ150">
        <v>0</v>
      </c>
      <c r="BK150">
        <v>44109</v>
      </c>
      <c r="BL150">
        <v>44356</v>
      </c>
      <c r="BM150">
        <v>8505</v>
      </c>
      <c r="BN150">
        <v>8505</v>
      </c>
      <c r="BO150">
        <v>8505</v>
      </c>
      <c r="BP150">
        <v>25515</v>
      </c>
      <c r="BQ150">
        <v>3300</v>
      </c>
      <c r="BR150">
        <v>400</v>
      </c>
      <c r="BS150">
        <v>400</v>
      </c>
      <c r="BT150">
        <v>4100</v>
      </c>
      <c r="BU150">
        <v>2100</v>
      </c>
      <c r="BV150">
        <v>2100</v>
      </c>
      <c r="BW150">
        <v>2100</v>
      </c>
      <c r="BX150">
        <v>6300</v>
      </c>
      <c r="BY150">
        <v>1200</v>
      </c>
      <c r="BZ150">
        <v>1200</v>
      </c>
      <c r="CA150">
        <v>1200</v>
      </c>
      <c r="CB150">
        <v>3600</v>
      </c>
      <c r="CC150">
        <v>0</v>
      </c>
      <c r="CD150">
        <v>0</v>
      </c>
      <c r="CE150">
        <v>0</v>
      </c>
      <c r="CF150">
        <v>0</v>
      </c>
      <c r="CG150">
        <v>39515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1300</v>
      </c>
      <c r="CU150">
        <v>1300</v>
      </c>
      <c r="CV150">
        <v>1300</v>
      </c>
      <c r="CW150">
        <v>3900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3900</v>
      </c>
      <c r="EE150">
        <v>0</v>
      </c>
      <c r="EF150">
        <v>0</v>
      </c>
      <c r="EG150">
        <v>0</v>
      </c>
      <c r="EH150">
        <v>0</v>
      </c>
      <c r="EI150">
        <v>1154</v>
      </c>
      <c r="EJ150">
        <v>1154</v>
      </c>
      <c r="EK150">
        <v>1155</v>
      </c>
      <c r="EL150">
        <v>3500</v>
      </c>
      <c r="EM150">
        <v>37.065000000000005</v>
      </c>
      <c r="EN150">
        <v>660</v>
      </c>
      <c r="EO150">
        <v>660</v>
      </c>
      <c r="EP150">
        <v>659</v>
      </c>
      <c r="EQ150">
        <v>2000</v>
      </c>
      <c r="ER150">
        <v>21.18</v>
      </c>
      <c r="ES150">
        <v>0</v>
      </c>
      <c r="ET150">
        <v>0</v>
      </c>
      <c r="EU150">
        <v>0</v>
      </c>
      <c r="EV150">
        <v>0</v>
      </c>
      <c r="EW150">
        <v>0</v>
      </c>
      <c r="FA150">
        <v>0</v>
      </c>
      <c r="FE150">
        <v>0</v>
      </c>
      <c r="FI150">
        <v>0</v>
      </c>
      <c r="FJ150">
        <v>5441.7550000000001</v>
      </c>
      <c r="FK150">
        <v>35615</v>
      </c>
      <c r="FL150">
        <v>31507.920512927612</v>
      </c>
      <c r="FM150">
        <v>30173.244999999999</v>
      </c>
    </row>
    <row r="151" spans="1:169" x14ac:dyDescent="0.35">
      <c r="A151">
        <v>195360</v>
      </c>
      <c r="B151" t="s">
        <v>1289</v>
      </c>
      <c r="C151" t="s">
        <v>1290</v>
      </c>
      <c r="D151" t="s">
        <v>1291</v>
      </c>
      <c r="E151" s="43" t="s">
        <v>1292</v>
      </c>
      <c r="L151" s="43" t="s">
        <v>3204</v>
      </c>
      <c r="M151" t="s">
        <v>1293</v>
      </c>
      <c r="N151" t="s">
        <v>1294</v>
      </c>
      <c r="O151" t="s">
        <v>1295</v>
      </c>
      <c r="P151" t="s">
        <v>1296</v>
      </c>
      <c r="Q151" t="s">
        <v>1297</v>
      </c>
      <c r="R151">
        <v>2.8570000000000002</v>
      </c>
      <c r="S151">
        <v>44109</v>
      </c>
      <c r="T151" t="s">
        <v>265</v>
      </c>
      <c r="U151" t="s">
        <v>266</v>
      </c>
      <c r="V151" t="s">
        <v>1110</v>
      </c>
      <c r="W151" t="s">
        <v>268</v>
      </c>
      <c r="X151" t="s">
        <v>269</v>
      </c>
      <c r="Y151">
        <v>8883022894</v>
      </c>
      <c r="Z151" t="s">
        <v>270</v>
      </c>
      <c r="AA151" t="s">
        <v>271</v>
      </c>
      <c r="AB151">
        <v>0</v>
      </c>
      <c r="AC151" t="s">
        <v>1164</v>
      </c>
      <c r="AD151" t="s">
        <v>273</v>
      </c>
      <c r="AE151" t="s">
        <v>344</v>
      </c>
      <c r="AF151">
        <v>10</v>
      </c>
      <c r="AG151" t="s">
        <v>275</v>
      </c>
      <c r="AH151" s="43" t="s">
        <v>3226</v>
      </c>
      <c r="AI151" s="43" t="s">
        <v>313</v>
      </c>
      <c r="AJ151" s="43" t="s">
        <v>3821</v>
      </c>
      <c r="AK151" s="43" t="s">
        <v>3208</v>
      </c>
      <c r="AL151" s="43" t="s">
        <v>3209</v>
      </c>
      <c r="AO151" s="23"/>
      <c r="AP151" s="23"/>
      <c r="AQ151" s="23"/>
      <c r="BD151" s="43" t="s">
        <v>2018</v>
      </c>
      <c r="BE151" s="43" t="s">
        <v>2018</v>
      </c>
      <c r="BF151" s="43" t="s">
        <v>2018</v>
      </c>
      <c r="BG151" s="43" t="s">
        <v>2018</v>
      </c>
      <c r="BH151" s="43" t="s">
        <v>2018</v>
      </c>
      <c r="BI151" s="43" t="s">
        <v>2018</v>
      </c>
      <c r="BJ151">
        <v>0</v>
      </c>
      <c r="BK151">
        <v>44109</v>
      </c>
      <c r="BL151">
        <v>44356</v>
      </c>
      <c r="BM151">
        <v>8505</v>
      </c>
      <c r="BN151">
        <v>8505</v>
      </c>
      <c r="BO151">
        <v>8505</v>
      </c>
      <c r="BP151">
        <v>25515</v>
      </c>
      <c r="BQ151">
        <v>3300</v>
      </c>
      <c r="BR151">
        <v>400</v>
      </c>
      <c r="BS151">
        <v>400</v>
      </c>
      <c r="BT151">
        <v>4100</v>
      </c>
      <c r="BU151">
        <v>2100</v>
      </c>
      <c r="BV151">
        <v>2100</v>
      </c>
      <c r="BW151">
        <v>2100</v>
      </c>
      <c r="BX151">
        <v>6300</v>
      </c>
      <c r="BY151">
        <v>1200</v>
      </c>
      <c r="BZ151">
        <v>1200</v>
      </c>
      <c r="CA151">
        <v>1200</v>
      </c>
      <c r="CB151">
        <v>3600</v>
      </c>
      <c r="CC151">
        <v>0</v>
      </c>
      <c r="CD151">
        <v>0</v>
      </c>
      <c r="CE151">
        <v>0</v>
      </c>
      <c r="CF151">
        <v>0</v>
      </c>
      <c r="CG151">
        <v>39515</v>
      </c>
      <c r="CH151">
        <v>0</v>
      </c>
      <c r="CI151">
        <v>0</v>
      </c>
      <c r="CJ151">
        <v>0</v>
      </c>
      <c r="CK151">
        <v>0</v>
      </c>
      <c r="CL151">
        <v>2065</v>
      </c>
      <c r="CM151">
        <v>2065</v>
      </c>
      <c r="CN151">
        <v>2065</v>
      </c>
      <c r="CO151">
        <v>6195</v>
      </c>
      <c r="CP151">
        <v>500</v>
      </c>
      <c r="CQ151">
        <v>500</v>
      </c>
      <c r="CR151">
        <v>500</v>
      </c>
      <c r="CS151">
        <v>1500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7695</v>
      </c>
      <c r="EE151">
        <v>0</v>
      </c>
      <c r="EF151">
        <v>0</v>
      </c>
      <c r="EG151">
        <v>0</v>
      </c>
      <c r="EH151">
        <v>0</v>
      </c>
      <c r="EI151">
        <v>1154</v>
      </c>
      <c r="EJ151">
        <v>1154</v>
      </c>
      <c r="EK151">
        <v>1155</v>
      </c>
      <c r="EL151">
        <v>3500</v>
      </c>
      <c r="EM151">
        <v>37.065000000000005</v>
      </c>
      <c r="EN151">
        <v>660</v>
      </c>
      <c r="EO151">
        <v>660</v>
      </c>
      <c r="EP151">
        <v>659</v>
      </c>
      <c r="EQ151">
        <v>2000</v>
      </c>
      <c r="ER151">
        <v>21.18</v>
      </c>
      <c r="ES151">
        <v>0</v>
      </c>
      <c r="ET151">
        <v>0</v>
      </c>
      <c r="EU151">
        <v>0</v>
      </c>
      <c r="EV151">
        <v>0</v>
      </c>
      <c r="EW151">
        <v>0</v>
      </c>
      <c r="FA151">
        <v>0</v>
      </c>
      <c r="FE151">
        <v>0</v>
      </c>
      <c r="FI151">
        <v>0</v>
      </c>
      <c r="FJ151">
        <v>5441.7550000000001</v>
      </c>
      <c r="FK151">
        <v>31820</v>
      </c>
      <c r="FL151">
        <v>27545.053464767552</v>
      </c>
      <c r="FM151">
        <v>26378.244999999999</v>
      </c>
    </row>
    <row r="152" spans="1:169" x14ac:dyDescent="0.35">
      <c r="A152">
        <v>197627</v>
      </c>
      <c r="B152" t="s">
        <v>1298</v>
      </c>
      <c r="C152" t="s">
        <v>1299</v>
      </c>
      <c r="D152" t="s">
        <v>1300</v>
      </c>
      <c r="E152" s="43" t="s">
        <v>1301</v>
      </c>
      <c r="F152">
        <v>1</v>
      </c>
      <c r="I152" s="23">
        <v>43794</v>
      </c>
      <c r="L152" s="43" t="s">
        <v>3204</v>
      </c>
      <c r="M152" t="s">
        <v>1302</v>
      </c>
      <c r="N152" t="s">
        <v>1303</v>
      </c>
      <c r="O152" t="s">
        <v>1304</v>
      </c>
      <c r="P152" t="s">
        <v>596</v>
      </c>
      <c r="Q152" t="s">
        <v>1305</v>
      </c>
      <c r="R152">
        <v>3.89</v>
      </c>
      <c r="S152">
        <v>44109</v>
      </c>
      <c r="T152" t="s">
        <v>311</v>
      </c>
      <c r="U152" t="s">
        <v>266</v>
      </c>
      <c r="V152" t="s">
        <v>267</v>
      </c>
      <c r="W152" t="s">
        <v>268</v>
      </c>
      <c r="X152" t="s">
        <v>269</v>
      </c>
      <c r="Y152">
        <v>8883022894</v>
      </c>
      <c r="Z152" t="s">
        <v>270</v>
      </c>
      <c r="AA152" t="s">
        <v>271</v>
      </c>
      <c r="AB152">
        <v>0</v>
      </c>
      <c r="AC152">
        <v>0</v>
      </c>
      <c r="AD152" t="s">
        <v>313</v>
      </c>
      <c r="AE152" t="s">
        <v>364</v>
      </c>
      <c r="AF152">
        <v>3</v>
      </c>
      <c r="AG152" t="s">
        <v>275</v>
      </c>
      <c r="AH152" s="43" t="s">
        <v>3257</v>
      </c>
      <c r="AI152" s="43" t="s">
        <v>3258</v>
      </c>
      <c r="AJ152" s="43" t="s">
        <v>3207</v>
      </c>
      <c r="AK152" s="43" t="s">
        <v>1715</v>
      </c>
      <c r="AL152" s="43" t="s">
        <v>259</v>
      </c>
      <c r="AO152" s="23"/>
      <c r="AP152" s="23"/>
      <c r="AQ152" s="23"/>
      <c r="BD152" s="43" t="s">
        <v>259</v>
      </c>
      <c r="BE152" s="43" t="s">
        <v>259</v>
      </c>
      <c r="BF152" s="43" t="s">
        <v>259</v>
      </c>
      <c r="BG152" s="43" t="s">
        <v>259</v>
      </c>
      <c r="BH152" s="43" t="s">
        <v>259</v>
      </c>
      <c r="BI152" s="43" t="s">
        <v>259</v>
      </c>
      <c r="BJ152">
        <v>0</v>
      </c>
      <c r="BK152">
        <v>44109</v>
      </c>
      <c r="BL152">
        <v>44356</v>
      </c>
      <c r="BM152">
        <v>8505</v>
      </c>
      <c r="BN152">
        <v>8505</v>
      </c>
      <c r="BO152">
        <v>8505</v>
      </c>
      <c r="BP152">
        <v>25515</v>
      </c>
      <c r="BQ152">
        <v>3300</v>
      </c>
      <c r="BR152">
        <v>400</v>
      </c>
      <c r="BS152">
        <v>400</v>
      </c>
      <c r="BT152">
        <v>4100</v>
      </c>
      <c r="BU152">
        <v>2100</v>
      </c>
      <c r="BV152">
        <v>2100</v>
      </c>
      <c r="BW152">
        <v>2100</v>
      </c>
      <c r="BX152">
        <v>6300</v>
      </c>
      <c r="BY152">
        <v>1200</v>
      </c>
      <c r="BZ152">
        <v>1200</v>
      </c>
      <c r="CA152">
        <v>1200</v>
      </c>
      <c r="CB152">
        <v>3600</v>
      </c>
      <c r="CC152">
        <v>0</v>
      </c>
      <c r="CD152">
        <v>0</v>
      </c>
      <c r="CE152">
        <v>0</v>
      </c>
      <c r="CF152">
        <v>0</v>
      </c>
      <c r="CG152">
        <v>39515</v>
      </c>
      <c r="CH152">
        <v>0</v>
      </c>
      <c r="CI152">
        <v>0</v>
      </c>
      <c r="CJ152">
        <v>0</v>
      </c>
      <c r="CK152">
        <v>0</v>
      </c>
      <c r="CL152">
        <v>1649</v>
      </c>
      <c r="CM152">
        <v>1648</v>
      </c>
      <c r="CN152">
        <v>1648</v>
      </c>
      <c r="CO152">
        <v>4945</v>
      </c>
      <c r="CP152">
        <v>500</v>
      </c>
      <c r="CQ152">
        <v>500</v>
      </c>
      <c r="CR152">
        <v>500</v>
      </c>
      <c r="CS152">
        <v>1500</v>
      </c>
      <c r="CT152">
        <v>1300</v>
      </c>
      <c r="CU152">
        <v>1300</v>
      </c>
      <c r="CV152">
        <v>1300</v>
      </c>
      <c r="CW152">
        <v>3900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10345</v>
      </c>
      <c r="EE152">
        <v>0</v>
      </c>
      <c r="EF152">
        <v>0</v>
      </c>
      <c r="EG152">
        <v>0</v>
      </c>
      <c r="EH152">
        <v>0</v>
      </c>
      <c r="EI152">
        <v>1154</v>
      </c>
      <c r="EJ152">
        <v>1154</v>
      </c>
      <c r="EK152">
        <v>1155</v>
      </c>
      <c r="EL152">
        <v>3500</v>
      </c>
      <c r="EM152">
        <v>37.065000000000005</v>
      </c>
      <c r="EN152">
        <v>660</v>
      </c>
      <c r="EO152">
        <v>660</v>
      </c>
      <c r="EP152">
        <v>659</v>
      </c>
      <c r="EQ152">
        <v>2000</v>
      </c>
      <c r="ER152">
        <v>21.18</v>
      </c>
      <c r="ES152">
        <v>0</v>
      </c>
      <c r="ET152">
        <v>0</v>
      </c>
      <c r="EU152">
        <v>0</v>
      </c>
      <c r="EV152">
        <v>0</v>
      </c>
      <c r="EW152">
        <v>0</v>
      </c>
      <c r="FA152">
        <v>0</v>
      </c>
      <c r="FE152">
        <v>0</v>
      </c>
      <c r="FI152">
        <v>0</v>
      </c>
      <c r="FJ152">
        <v>5441.7550000000001</v>
      </c>
      <c r="FK152">
        <v>29170</v>
      </c>
      <c r="FL152">
        <v>24777.834050373833</v>
      </c>
      <c r="FM152">
        <v>23728.244999999999</v>
      </c>
    </row>
    <row r="153" spans="1:169" x14ac:dyDescent="0.35">
      <c r="A153">
        <v>199374</v>
      </c>
      <c r="B153" t="s">
        <v>3776</v>
      </c>
      <c r="C153" t="s">
        <v>3777</v>
      </c>
      <c r="D153" t="s">
        <v>3778</v>
      </c>
      <c r="E153" s="43" t="s">
        <v>4215</v>
      </c>
      <c r="J153" t="s">
        <v>3745</v>
      </c>
      <c r="L153" s="43" t="s">
        <v>259</v>
      </c>
      <c r="M153" t="s">
        <v>3779</v>
      </c>
      <c r="N153" t="s">
        <v>3780</v>
      </c>
      <c r="O153" t="s">
        <v>3781</v>
      </c>
      <c r="P153" t="s">
        <v>297</v>
      </c>
      <c r="Q153" t="s">
        <v>3782</v>
      </c>
      <c r="R153">
        <v>3.1395300000000002</v>
      </c>
      <c r="S153">
        <v>44109</v>
      </c>
      <c r="T153" t="s">
        <v>265</v>
      </c>
      <c r="U153" t="s">
        <v>266</v>
      </c>
      <c r="V153" t="s">
        <v>267</v>
      </c>
      <c r="W153" t="s">
        <v>268</v>
      </c>
      <c r="X153" t="s">
        <v>269</v>
      </c>
      <c r="Y153">
        <v>8883022894</v>
      </c>
      <c r="Z153" t="s">
        <v>270</v>
      </c>
      <c r="AA153" t="s">
        <v>271</v>
      </c>
      <c r="AB153">
        <v>0</v>
      </c>
      <c r="AC153">
        <v>0</v>
      </c>
      <c r="AD153" t="s">
        <v>313</v>
      </c>
      <c r="AE153" t="s">
        <v>344</v>
      </c>
      <c r="AF153">
        <v>10</v>
      </c>
      <c r="AG153" t="s">
        <v>3345</v>
      </c>
      <c r="AH153" s="43" t="s">
        <v>259</v>
      </c>
      <c r="AI153" s="43" t="s">
        <v>259</v>
      </c>
      <c r="AJ153" s="43" t="s">
        <v>259</v>
      </c>
      <c r="AK153" s="43" t="s">
        <v>259</v>
      </c>
      <c r="AL153" s="43" t="s">
        <v>259</v>
      </c>
      <c r="AO153" s="23"/>
      <c r="AP153" s="23"/>
      <c r="AQ153" s="23"/>
      <c r="BD153" s="43" t="s">
        <v>259</v>
      </c>
      <c r="BE153" s="43" t="s">
        <v>259</v>
      </c>
      <c r="BF153" s="43" t="s">
        <v>259</v>
      </c>
      <c r="BG153" s="43" t="s">
        <v>259</v>
      </c>
      <c r="BH153" s="43" t="s">
        <v>259</v>
      </c>
      <c r="BI153" s="43" t="s">
        <v>259</v>
      </c>
      <c r="BJ153">
        <v>0</v>
      </c>
      <c r="BK153">
        <v>44109</v>
      </c>
      <c r="BL153">
        <v>44356</v>
      </c>
      <c r="BM153">
        <v>8505</v>
      </c>
      <c r="BN153">
        <v>8505</v>
      </c>
      <c r="BO153">
        <v>8505</v>
      </c>
      <c r="BP153">
        <v>25515</v>
      </c>
      <c r="BQ153">
        <v>3300</v>
      </c>
      <c r="BR153">
        <v>400</v>
      </c>
      <c r="BS153">
        <v>400</v>
      </c>
      <c r="BT153">
        <v>4100</v>
      </c>
      <c r="BU153">
        <v>2100</v>
      </c>
      <c r="BV153">
        <v>2100</v>
      </c>
      <c r="BW153">
        <v>2100</v>
      </c>
      <c r="BX153">
        <v>6300</v>
      </c>
      <c r="BY153">
        <v>1200</v>
      </c>
      <c r="BZ153">
        <v>1200</v>
      </c>
      <c r="CA153">
        <v>1200</v>
      </c>
      <c r="CB153">
        <v>3600</v>
      </c>
      <c r="CF153">
        <v>0</v>
      </c>
      <c r="CG153">
        <v>39515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N153">
        <v>0</v>
      </c>
      <c r="DO153">
        <v>0</v>
      </c>
      <c r="DP153">
        <v>0</v>
      </c>
      <c r="DR153">
        <v>0</v>
      </c>
      <c r="DS153">
        <v>0</v>
      </c>
      <c r="DT153">
        <v>0</v>
      </c>
      <c r="DY153">
        <v>0</v>
      </c>
      <c r="EC153">
        <v>0</v>
      </c>
      <c r="ED153">
        <v>0</v>
      </c>
      <c r="EH153">
        <v>0</v>
      </c>
      <c r="EI153">
        <v>0</v>
      </c>
      <c r="EJ153">
        <v>0</v>
      </c>
      <c r="EK153">
        <v>0</v>
      </c>
      <c r="EM153">
        <v>0</v>
      </c>
      <c r="EN153">
        <v>660</v>
      </c>
      <c r="EO153">
        <v>660</v>
      </c>
      <c r="EP153">
        <v>659</v>
      </c>
      <c r="EQ153">
        <v>2000</v>
      </c>
      <c r="ER153">
        <v>21.24</v>
      </c>
      <c r="ES153">
        <v>0</v>
      </c>
      <c r="ET153">
        <v>0</v>
      </c>
      <c r="EU153">
        <v>0</v>
      </c>
      <c r="EW153">
        <v>0</v>
      </c>
      <c r="FA153">
        <v>0</v>
      </c>
      <c r="FE153">
        <v>0</v>
      </c>
      <c r="FI153">
        <v>0</v>
      </c>
      <c r="FJ153">
        <v>1978.76</v>
      </c>
      <c r="FK153">
        <v>39515</v>
      </c>
      <c r="FL153">
        <v>39201.520594870075</v>
      </c>
      <c r="FM153">
        <v>37536.239999999998</v>
      </c>
    </row>
    <row r="154" spans="1:169" x14ac:dyDescent="0.35">
      <c r="A154">
        <v>193430</v>
      </c>
      <c r="B154" t="s">
        <v>1306</v>
      </c>
      <c r="C154" t="s">
        <v>1307</v>
      </c>
      <c r="D154" t="s">
        <v>1308</v>
      </c>
      <c r="E154" s="43" t="s">
        <v>1309</v>
      </c>
      <c r="L154" s="43" t="s">
        <v>3204</v>
      </c>
      <c r="M154" t="s">
        <v>1310</v>
      </c>
      <c r="N154" t="s">
        <v>1311</v>
      </c>
      <c r="O154" t="s">
        <v>1312</v>
      </c>
      <c r="P154" t="s">
        <v>297</v>
      </c>
      <c r="Q154" t="s">
        <v>1313</v>
      </c>
      <c r="R154">
        <v>3.1</v>
      </c>
      <c r="S154">
        <v>44109</v>
      </c>
      <c r="T154" t="s">
        <v>285</v>
      </c>
      <c r="U154" t="s">
        <v>266</v>
      </c>
      <c r="V154" t="s">
        <v>267</v>
      </c>
      <c r="W154" t="s">
        <v>268</v>
      </c>
      <c r="X154" t="s">
        <v>269</v>
      </c>
      <c r="Y154">
        <v>8883022894</v>
      </c>
      <c r="Z154" t="s">
        <v>270</v>
      </c>
      <c r="AA154" t="s">
        <v>271</v>
      </c>
      <c r="AB154">
        <v>0</v>
      </c>
      <c r="AC154">
        <v>0</v>
      </c>
      <c r="AD154" t="s">
        <v>313</v>
      </c>
      <c r="AE154" t="s">
        <v>324</v>
      </c>
      <c r="AF154">
        <v>8</v>
      </c>
      <c r="AG154" t="s">
        <v>275</v>
      </c>
      <c r="AH154" s="43" t="s">
        <v>3259</v>
      </c>
      <c r="AI154" s="43" t="s">
        <v>3260</v>
      </c>
      <c r="AJ154" s="43" t="s">
        <v>3590</v>
      </c>
      <c r="AK154" s="43" t="s">
        <v>1715</v>
      </c>
      <c r="AL154" s="43" t="s">
        <v>259</v>
      </c>
      <c r="AO154" s="23"/>
      <c r="AP154" s="23"/>
      <c r="AQ154" s="23"/>
      <c r="BD154" s="43" t="s">
        <v>259</v>
      </c>
      <c r="BE154" s="43" t="s">
        <v>259</v>
      </c>
      <c r="BF154" s="43" t="s">
        <v>259</v>
      </c>
      <c r="BG154" s="43" t="s">
        <v>259</v>
      </c>
      <c r="BH154" s="43" t="s">
        <v>259</v>
      </c>
      <c r="BI154" s="43" t="s">
        <v>259</v>
      </c>
      <c r="BJ154">
        <v>0</v>
      </c>
      <c r="BK154">
        <v>44109</v>
      </c>
      <c r="BL154">
        <v>44356</v>
      </c>
      <c r="BM154">
        <v>8505</v>
      </c>
      <c r="BN154">
        <v>8505</v>
      </c>
      <c r="BO154">
        <v>8505</v>
      </c>
      <c r="BP154">
        <v>25515</v>
      </c>
      <c r="BQ154">
        <v>3300</v>
      </c>
      <c r="BR154">
        <v>400</v>
      </c>
      <c r="BS154">
        <v>400</v>
      </c>
      <c r="BT154">
        <v>4100</v>
      </c>
      <c r="BU154">
        <v>2100</v>
      </c>
      <c r="BV154">
        <v>2100</v>
      </c>
      <c r="BW154">
        <v>2100</v>
      </c>
      <c r="BX154">
        <v>6300</v>
      </c>
      <c r="BY154">
        <v>1200</v>
      </c>
      <c r="BZ154">
        <v>1200</v>
      </c>
      <c r="CA154">
        <v>1200</v>
      </c>
      <c r="CB154">
        <v>3600</v>
      </c>
      <c r="CC154">
        <v>0</v>
      </c>
      <c r="CD154">
        <v>0</v>
      </c>
      <c r="CE154">
        <v>0</v>
      </c>
      <c r="CF154">
        <v>0</v>
      </c>
      <c r="CG154">
        <v>39515</v>
      </c>
      <c r="CH154">
        <v>0</v>
      </c>
      <c r="CI154">
        <v>0</v>
      </c>
      <c r="CJ154">
        <v>0</v>
      </c>
      <c r="CK154">
        <v>0</v>
      </c>
      <c r="CL154">
        <v>1449</v>
      </c>
      <c r="CM154">
        <v>1448</v>
      </c>
      <c r="CN154">
        <v>1448</v>
      </c>
      <c r="CO154">
        <v>4345</v>
      </c>
      <c r="CP154">
        <v>500</v>
      </c>
      <c r="CQ154">
        <v>500</v>
      </c>
      <c r="CR154">
        <v>500</v>
      </c>
      <c r="CS154">
        <v>1500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5845</v>
      </c>
      <c r="EE154">
        <v>0</v>
      </c>
      <c r="EF154">
        <v>0</v>
      </c>
      <c r="EG154">
        <v>0</v>
      </c>
      <c r="EH154">
        <v>0</v>
      </c>
      <c r="EI154">
        <v>1154</v>
      </c>
      <c r="EJ154">
        <v>1154</v>
      </c>
      <c r="EK154">
        <v>1155</v>
      </c>
      <c r="EL154">
        <v>3500</v>
      </c>
      <c r="EM154">
        <v>37.065000000000005</v>
      </c>
      <c r="EN154">
        <v>660</v>
      </c>
      <c r="EO154">
        <v>660</v>
      </c>
      <c r="EP154">
        <v>659</v>
      </c>
      <c r="EQ154">
        <v>2000</v>
      </c>
      <c r="ER154">
        <v>21.18</v>
      </c>
      <c r="ES154">
        <v>0</v>
      </c>
      <c r="ET154">
        <v>0</v>
      </c>
      <c r="EU154">
        <v>0</v>
      </c>
      <c r="EV154">
        <v>0</v>
      </c>
      <c r="EW154">
        <v>0</v>
      </c>
      <c r="FA154">
        <v>0</v>
      </c>
      <c r="FE154">
        <v>0</v>
      </c>
      <c r="FI154">
        <v>0</v>
      </c>
      <c r="FJ154">
        <v>5441.7550000000001</v>
      </c>
      <c r="FK154">
        <v>33670</v>
      </c>
      <c r="FL154">
        <v>29476.885886136752</v>
      </c>
      <c r="FM154">
        <v>28228.244999999999</v>
      </c>
    </row>
    <row r="155" spans="1:169" x14ac:dyDescent="0.35">
      <c r="A155">
        <v>197215</v>
      </c>
      <c r="B155" t="s">
        <v>1314</v>
      </c>
      <c r="C155" t="s">
        <v>1299</v>
      </c>
      <c r="D155" t="s">
        <v>1315</v>
      </c>
      <c r="E155" s="43" t="s">
        <v>1316</v>
      </c>
      <c r="F155">
        <v>1</v>
      </c>
      <c r="I155" s="23">
        <v>43783</v>
      </c>
      <c r="L155" s="43" t="s">
        <v>3204</v>
      </c>
      <c r="M155" t="s">
        <v>1317</v>
      </c>
      <c r="N155" t="s">
        <v>1318</v>
      </c>
      <c r="O155" t="s">
        <v>1319</v>
      </c>
      <c r="P155" t="s">
        <v>454</v>
      </c>
      <c r="Q155" t="s">
        <v>1320</v>
      </c>
      <c r="R155">
        <v>3.11</v>
      </c>
      <c r="S155">
        <v>44109</v>
      </c>
      <c r="T155" t="s">
        <v>311</v>
      </c>
      <c r="U155" t="s">
        <v>266</v>
      </c>
      <c r="V155" t="s">
        <v>267</v>
      </c>
      <c r="W155" t="s">
        <v>268</v>
      </c>
      <c r="X155" t="s">
        <v>269</v>
      </c>
      <c r="Y155">
        <v>8883022894</v>
      </c>
      <c r="Z155" t="s">
        <v>270</v>
      </c>
      <c r="AA155" t="s">
        <v>271</v>
      </c>
      <c r="AB155">
        <v>0</v>
      </c>
      <c r="AC155" t="s">
        <v>1321</v>
      </c>
      <c r="AD155" t="s">
        <v>771</v>
      </c>
      <c r="AE155" t="s">
        <v>416</v>
      </c>
      <c r="AF155">
        <v>5</v>
      </c>
      <c r="AG155" t="s">
        <v>275</v>
      </c>
      <c r="AH155" s="43" t="s">
        <v>3261</v>
      </c>
      <c r="AI155" s="43" t="s">
        <v>3262</v>
      </c>
      <c r="AJ155" s="43" t="s">
        <v>4169</v>
      </c>
      <c r="AK155" s="43" t="s">
        <v>3208</v>
      </c>
      <c r="AL155" s="43" t="s">
        <v>3209</v>
      </c>
      <c r="AO155" s="23"/>
      <c r="AP155" s="23"/>
      <c r="AQ155" s="23"/>
      <c r="BD155" s="43" t="s">
        <v>2018</v>
      </c>
      <c r="BE155" s="43" t="s">
        <v>2018</v>
      </c>
      <c r="BF155" s="43" t="s">
        <v>2018</v>
      </c>
      <c r="BG155" s="43" t="s">
        <v>2018</v>
      </c>
      <c r="BH155" s="43" t="s">
        <v>2018</v>
      </c>
      <c r="BI155" s="43" t="s">
        <v>2018</v>
      </c>
      <c r="BJ155">
        <v>0</v>
      </c>
      <c r="BK155">
        <v>44109</v>
      </c>
      <c r="BL155">
        <v>44356</v>
      </c>
      <c r="BM155">
        <v>8505</v>
      </c>
      <c r="BN155">
        <v>8505</v>
      </c>
      <c r="BO155">
        <v>8505</v>
      </c>
      <c r="BP155">
        <v>25515</v>
      </c>
      <c r="BQ155">
        <v>3300</v>
      </c>
      <c r="BR155">
        <v>400</v>
      </c>
      <c r="BS155">
        <v>400</v>
      </c>
      <c r="BT155">
        <v>4100</v>
      </c>
      <c r="BU155">
        <v>2100</v>
      </c>
      <c r="BV155">
        <v>2100</v>
      </c>
      <c r="BW155">
        <v>2100</v>
      </c>
      <c r="BX155">
        <v>6300</v>
      </c>
      <c r="BY155">
        <v>1200</v>
      </c>
      <c r="BZ155">
        <v>1200</v>
      </c>
      <c r="CA155">
        <v>1200</v>
      </c>
      <c r="CB155">
        <v>3600</v>
      </c>
      <c r="CC155">
        <v>0</v>
      </c>
      <c r="CD155">
        <v>0</v>
      </c>
      <c r="CE155">
        <v>0</v>
      </c>
      <c r="CF155">
        <v>0</v>
      </c>
      <c r="CG155">
        <v>39515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1000</v>
      </c>
      <c r="CU155">
        <v>1000</v>
      </c>
      <c r="CV155">
        <v>1000</v>
      </c>
      <c r="CW155">
        <v>3000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3000</v>
      </c>
      <c r="EE155">
        <v>0</v>
      </c>
      <c r="EF155">
        <v>0</v>
      </c>
      <c r="EG155">
        <v>0</v>
      </c>
      <c r="EH155">
        <v>0</v>
      </c>
      <c r="EI155">
        <v>1154</v>
      </c>
      <c r="EJ155">
        <v>1154</v>
      </c>
      <c r="EK155">
        <v>1155</v>
      </c>
      <c r="EL155">
        <v>3500</v>
      </c>
      <c r="EM155">
        <v>37.065000000000005</v>
      </c>
      <c r="EN155">
        <v>660</v>
      </c>
      <c r="EO155">
        <v>660</v>
      </c>
      <c r="EP155">
        <v>659</v>
      </c>
      <c r="EQ155">
        <v>2000</v>
      </c>
      <c r="ER155">
        <v>21.18</v>
      </c>
      <c r="ES155">
        <v>0</v>
      </c>
      <c r="ET155">
        <v>0</v>
      </c>
      <c r="EU155">
        <v>0</v>
      </c>
      <c r="EV155">
        <v>0</v>
      </c>
      <c r="EW155">
        <v>0</v>
      </c>
      <c r="FA155">
        <v>0</v>
      </c>
      <c r="FE155">
        <v>0</v>
      </c>
      <c r="FI155">
        <v>0</v>
      </c>
      <c r="FJ155">
        <v>5441.7550000000001</v>
      </c>
      <c r="FK155">
        <v>36515</v>
      </c>
      <c r="FL155">
        <v>32447.730880080198</v>
      </c>
      <c r="FM155">
        <v>31073.245000000003</v>
      </c>
    </row>
    <row r="156" spans="1:169" x14ac:dyDescent="0.35">
      <c r="A156">
        <v>193530</v>
      </c>
      <c r="B156" t="s">
        <v>1322</v>
      </c>
      <c r="C156" t="s">
        <v>1323</v>
      </c>
      <c r="D156" t="s">
        <v>1324</v>
      </c>
      <c r="E156" s="43" t="s">
        <v>1325</v>
      </c>
      <c r="F156">
        <v>1</v>
      </c>
      <c r="G156" s="23">
        <v>43776</v>
      </c>
      <c r="H156" s="23">
        <v>43794</v>
      </c>
      <c r="I156" s="23">
        <v>43794</v>
      </c>
      <c r="K156" t="s">
        <v>3307</v>
      </c>
      <c r="L156" s="43" t="s">
        <v>344</v>
      </c>
      <c r="M156" t="s">
        <v>1326</v>
      </c>
      <c r="N156" t="s">
        <v>1327</v>
      </c>
      <c r="O156" t="s">
        <v>1328</v>
      </c>
      <c r="P156" t="s">
        <v>553</v>
      </c>
      <c r="Q156" t="s">
        <v>1329</v>
      </c>
      <c r="R156">
        <v>3.0832999999999999</v>
      </c>
      <c r="S156">
        <v>44109</v>
      </c>
      <c r="T156" t="s">
        <v>311</v>
      </c>
      <c r="U156" t="s">
        <v>266</v>
      </c>
      <c r="V156" t="s">
        <v>267</v>
      </c>
      <c r="W156" t="s">
        <v>268</v>
      </c>
      <c r="X156" t="s">
        <v>269</v>
      </c>
      <c r="Y156">
        <v>8883022894</v>
      </c>
      <c r="Z156" t="s">
        <v>270</v>
      </c>
      <c r="AA156" t="s">
        <v>271</v>
      </c>
      <c r="AB156" t="s">
        <v>444</v>
      </c>
      <c r="AC156">
        <v>0</v>
      </c>
      <c r="AD156" t="s">
        <v>771</v>
      </c>
      <c r="AE156" t="s">
        <v>376</v>
      </c>
      <c r="AF156">
        <v>7</v>
      </c>
      <c r="AG156" t="s">
        <v>275</v>
      </c>
      <c r="AH156" s="43" t="s">
        <v>313</v>
      </c>
      <c r="AI156" s="43" t="s">
        <v>313</v>
      </c>
      <c r="AJ156" s="43" t="s">
        <v>3207</v>
      </c>
      <c r="AK156" s="43" t="s">
        <v>3208</v>
      </c>
      <c r="AL156" s="43" t="s">
        <v>3209</v>
      </c>
      <c r="AO156" s="23">
        <v>43764</v>
      </c>
      <c r="AP156" s="23">
        <v>43776</v>
      </c>
      <c r="AQ156" s="23">
        <v>43767</v>
      </c>
      <c r="BD156" s="43" t="s">
        <v>2018</v>
      </c>
      <c r="BE156" s="43" t="s">
        <v>2018</v>
      </c>
      <c r="BF156" s="43" t="s">
        <v>2018</v>
      </c>
      <c r="BG156" s="43" t="s">
        <v>2018</v>
      </c>
      <c r="BH156" s="43" t="s">
        <v>2018</v>
      </c>
      <c r="BI156" s="43" t="s">
        <v>2018</v>
      </c>
      <c r="BJ156">
        <v>0.17647058823529416</v>
      </c>
      <c r="BK156">
        <v>44109</v>
      </c>
      <c r="BL156">
        <v>44356</v>
      </c>
      <c r="BM156">
        <v>8505</v>
      </c>
      <c r="BN156">
        <v>8505</v>
      </c>
      <c r="BO156">
        <v>8505</v>
      </c>
      <c r="BP156">
        <v>25515</v>
      </c>
      <c r="BQ156">
        <v>3300</v>
      </c>
      <c r="BR156">
        <v>400</v>
      </c>
      <c r="BS156">
        <v>400</v>
      </c>
      <c r="BT156">
        <v>4100</v>
      </c>
      <c r="BU156">
        <v>2100</v>
      </c>
      <c r="BV156">
        <v>2100</v>
      </c>
      <c r="BW156">
        <v>2100</v>
      </c>
      <c r="BX156">
        <v>6300</v>
      </c>
      <c r="BY156">
        <v>1200</v>
      </c>
      <c r="BZ156">
        <v>1200</v>
      </c>
      <c r="CA156">
        <v>1200</v>
      </c>
      <c r="CB156">
        <v>3600</v>
      </c>
      <c r="CC156">
        <v>0</v>
      </c>
      <c r="CD156">
        <v>0</v>
      </c>
      <c r="CE156">
        <v>0</v>
      </c>
      <c r="CF156">
        <v>0</v>
      </c>
      <c r="CG156">
        <v>39515</v>
      </c>
      <c r="CH156">
        <v>0</v>
      </c>
      <c r="CI156">
        <v>0</v>
      </c>
      <c r="CJ156">
        <v>0</v>
      </c>
      <c r="CK156">
        <v>0</v>
      </c>
      <c r="CL156">
        <v>2065</v>
      </c>
      <c r="CM156">
        <v>2065</v>
      </c>
      <c r="CN156">
        <v>2065</v>
      </c>
      <c r="CO156">
        <v>6195</v>
      </c>
      <c r="CP156">
        <v>500</v>
      </c>
      <c r="CQ156">
        <v>500</v>
      </c>
      <c r="CR156">
        <v>500</v>
      </c>
      <c r="CS156">
        <v>1500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7695</v>
      </c>
      <c r="EE156">
        <v>0</v>
      </c>
      <c r="EF156">
        <v>0</v>
      </c>
      <c r="EG156">
        <v>0</v>
      </c>
      <c r="EH156">
        <v>0</v>
      </c>
      <c r="EI156">
        <v>1154</v>
      </c>
      <c r="EJ156">
        <v>1154</v>
      </c>
      <c r="EK156">
        <v>1155</v>
      </c>
      <c r="EL156">
        <v>3500</v>
      </c>
      <c r="EM156">
        <v>37.065000000000005</v>
      </c>
      <c r="EN156">
        <v>660</v>
      </c>
      <c r="EO156">
        <v>660</v>
      </c>
      <c r="EP156">
        <v>659</v>
      </c>
      <c r="EQ156">
        <v>2000</v>
      </c>
      <c r="ER156">
        <v>21.18</v>
      </c>
      <c r="ES156">
        <v>0</v>
      </c>
      <c r="ET156">
        <v>0</v>
      </c>
      <c r="EU156">
        <v>0</v>
      </c>
      <c r="EV156">
        <v>0</v>
      </c>
      <c r="EW156">
        <v>0</v>
      </c>
      <c r="FA156">
        <v>0</v>
      </c>
      <c r="FE156">
        <v>0</v>
      </c>
      <c r="FI156">
        <v>0</v>
      </c>
      <c r="FJ156">
        <v>5441.7550000000001</v>
      </c>
      <c r="FK156">
        <v>31820</v>
      </c>
      <c r="FL156">
        <v>27545.053464767552</v>
      </c>
      <c r="FM156">
        <v>26378.244999999999</v>
      </c>
    </row>
    <row r="157" spans="1:169" x14ac:dyDescent="0.35">
      <c r="A157">
        <v>191890</v>
      </c>
      <c r="B157" t="s">
        <v>3929</v>
      </c>
      <c r="C157" t="s">
        <v>3930</v>
      </c>
      <c r="D157" t="s">
        <v>3931</v>
      </c>
      <c r="E157" s="43" t="s">
        <v>4216</v>
      </c>
      <c r="J157" t="s">
        <v>3830</v>
      </c>
      <c r="L157" s="43" t="s">
        <v>259</v>
      </c>
      <c r="M157" t="s">
        <v>3932</v>
      </c>
      <c r="N157" t="s">
        <v>3933</v>
      </c>
      <c r="O157" t="s">
        <v>3934</v>
      </c>
      <c r="P157" t="s">
        <v>596</v>
      </c>
      <c r="Q157" t="s">
        <v>3935</v>
      </c>
      <c r="R157">
        <v>3.88</v>
      </c>
      <c r="S157">
        <v>44109</v>
      </c>
      <c r="T157" t="s">
        <v>311</v>
      </c>
      <c r="U157" t="s">
        <v>286</v>
      </c>
      <c r="V157" t="s">
        <v>267</v>
      </c>
      <c r="W157" t="s">
        <v>268</v>
      </c>
      <c r="X157" t="s">
        <v>269</v>
      </c>
      <c r="Y157">
        <v>8883022894</v>
      </c>
      <c r="Z157" t="s">
        <v>270</v>
      </c>
      <c r="AA157" t="s">
        <v>271</v>
      </c>
      <c r="AB157">
        <v>0</v>
      </c>
      <c r="AC157">
        <v>0</v>
      </c>
      <c r="AD157" t="s">
        <v>313</v>
      </c>
      <c r="AE157" t="s">
        <v>289</v>
      </c>
      <c r="AF157">
        <v>2</v>
      </c>
      <c r="AG157" t="s">
        <v>3345</v>
      </c>
      <c r="AH157" s="43" t="s">
        <v>259</v>
      </c>
      <c r="AI157" s="43" t="s">
        <v>259</v>
      </c>
      <c r="AJ157" s="43" t="s">
        <v>259</v>
      </c>
      <c r="AK157" s="43" t="s">
        <v>259</v>
      </c>
      <c r="AL157" s="43" t="s">
        <v>259</v>
      </c>
      <c r="AO157" s="23"/>
      <c r="AP157" s="23"/>
      <c r="AQ157" s="23"/>
      <c r="BD157" s="43" t="s">
        <v>259</v>
      </c>
      <c r="BE157" s="43" t="s">
        <v>259</v>
      </c>
      <c r="BF157" s="43" t="s">
        <v>259</v>
      </c>
      <c r="BG157" s="43" t="s">
        <v>259</v>
      </c>
      <c r="BH157" s="43" t="s">
        <v>259</v>
      </c>
      <c r="BI157" s="43" t="s">
        <v>259</v>
      </c>
      <c r="BJ157">
        <v>0</v>
      </c>
      <c r="BK157">
        <v>44109</v>
      </c>
      <c r="BL157">
        <v>44356</v>
      </c>
      <c r="BP157">
        <v>0</v>
      </c>
      <c r="BT157">
        <v>0</v>
      </c>
      <c r="BX157">
        <v>0</v>
      </c>
      <c r="CB157">
        <v>0</v>
      </c>
      <c r="CF157">
        <v>0</v>
      </c>
      <c r="CG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1500</v>
      </c>
      <c r="CU157">
        <v>1500</v>
      </c>
      <c r="CV157">
        <v>1500</v>
      </c>
      <c r="CW157">
        <v>4500</v>
      </c>
      <c r="CX157">
        <v>0</v>
      </c>
      <c r="CY157">
        <v>0</v>
      </c>
      <c r="CZ157">
        <v>0</v>
      </c>
      <c r="DA157">
        <v>0</v>
      </c>
      <c r="DB157">
        <v>1000</v>
      </c>
      <c r="DC157">
        <v>1000</v>
      </c>
      <c r="DD157">
        <v>1000</v>
      </c>
      <c r="DE157">
        <v>3000</v>
      </c>
      <c r="DF157">
        <v>0</v>
      </c>
      <c r="DG157">
        <v>0</v>
      </c>
      <c r="DH157">
        <v>0</v>
      </c>
      <c r="DN157">
        <v>0</v>
      </c>
      <c r="DO157">
        <v>0</v>
      </c>
      <c r="DP157">
        <v>0</v>
      </c>
      <c r="DR157">
        <v>0</v>
      </c>
      <c r="DS157">
        <v>0</v>
      </c>
      <c r="DT157">
        <v>0</v>
      </c>
      <c r="DY157">
        <v>0</v>
      </c>
      <c r="EC157">
        <v>0</v>
      </c>
      <c r="ED157">
        <v>7500</v>
      </c>
      <c r="EH157">
        <v>0</v>
      </c>
      <c r="EI157">
        <v>0</v>
      </c>
      <c r="EJ157">
        <v>0</v>
      </c>
      <c r="EK157">
        <v>0</v>
      </c>
      <c r="EM157">
        <v>0</v>
      </c>
      <c r="EN157">
        <v>660</v>
      </c>
      <c r="EO157">
        <v>660</v>
      </c>
      <c r="EP157">
        <v>659</v>
      </c>
      <c r="EQ157">
        <v>2000</v>
      </c>
      <c r="ER157">
        <v>21.24</v>
      </c>
      <c r="ES157">
        <v>0</v>
      </c>
      <c r="ET157">
        <v>0</v>
      </c>
      <c r="EU157">
        <v>0</v>
      </c>
      <c r="EW157">
        <v>0</v>
      </c>
      <c r="FA157">
        <v>0</v>
      </c>
      <c r="FE157">
        <v>0</v>
      </c>
      <c r="FI157">
        <v>0</v>
      </c>
      <c r="FJ157">
        <v>1978.76</v>
      </c>
      <c r="FK157">
        <v>-7500</v>
      </c>
      <c r="FL157">
        <v>-9899.2814771493031</v>
      </c>
      <c r="FM157">
        <v>-9478.76</v>
      </c>
    </row>
    <row r="158" spans="1:169" x14ac:dyDescent="0.35">
      <c r="A158">
        <v>196516</v>
      </c>
      <c r="B158" t="s">
        <v>1330</v>
      </c>
      <c r="C158" t="s">
        <v>1331</v>
      </c>
      <c r="D158" t="s">
        <v>1332</v>
      </c>
      <c r="E158" s="43" t="s">
        <v>1333</v>
      </c>
      <c r="L158" s="43" t="s">
        <v>259</v>
      </c>
      <c r="M158" t="s">
        <v>1334</v>
      </c>
      <c r="N158" t="s">
        <v>1335</v>
      </c>
      <c r="O158" t="s">
        <v>1336</v>
      </c>
      <c r="P158" t="s">
        <v>263</v>
      </c>
      <c r="Q158" t="s">
        <v>1337</v>
      </c>
      <c r="R158">
        <v>3.7857099999999999</v>
      </c>
      <c r="S158">
        <v>44109</v>
      </c>
      <c r="T158" t="s">
        <v>265</v>
      </c>
      <c r="U158" t="s">
        <v>266</v>
      </c>
      <c r="V158" t="s">
        <v>267</v>
      </c>
      <c r="W158" t="s">
        <v>268</v>
      </c>
      <c r="X158" t="s">
        <v>269</v>
      </c>
      <c r="Y158">
        <v>8883022894</v>
      </c>
      <c r="Z158" t="s">
        <v>270</v>
      </c>
      <c r="AA158" t="s">
        <v>271</v>
      </c>
      <c r="AB158" t="s">
        <v>374</v>
      </c>
      <c r="AC158">
        <v>0</v>
      </c>
      <c r="AD158" t="s">
        <v>288</v>
      </c>
      <c r="AE158" t="s">
        <v>445</v>
      </c>
      <c r="AF158">
        <v>4</v>
      </c>
      <c r="AG158" t="s">
        <v>275</v>
      </c>
      <c r="AH158" s="43" t="s">
        <v>259</v>
      </c>
      <c r="AI158" s="43" t="s">
        <v>259</v>
      </c>
      <c r="AJ158" s="43" t="s">
        <v>259</v>
      </c>
      <c r="AK158" s="43" t="s">
        <v>259</v>
      </c>
      <c r="AL158" s="43" t="s">
        <v>259</v>
      </c>
      <c r="AO158" s="23"/>
      <c r="AP158" s="23"/>
      <c r="AQ158" s="23"/>
      <c r="BD158" s="43" t="s">
        <v>259</v>
      </c>
      <c r="BE158" s="43" t="s">
        <v>259</v>
      </c>
      <c r="BF158" s="43" t="s">
        <v>259</v>
      </c>
      <c r="BG158" s="43" t="s">
        <v>259</v>
      </c>
      <c r="BH158" s="43" t="s">
        <v>259</v>
      </c>
      <c r="BI158" s="43" t="s">
        <v>259</v>
      </c>
      <c r="BJ158">
        <v>0</v>
      </c>
      <c r="BK158">
        <v>44109</v>
      </c>
      <c r="BL158">
        <v>44356</v>
      </c>
      <c r="BM158">
        <v>8505</v>
      </c>
      <c r="BN158">
        <v>8505</v>
      </c>
      <c r="BO158">
        <v>8505</v>
      </c>
      <c r="BP158">
        <v>25515</v>
      </c>
      <c r="BQ158">
        <v>3300</v>
      </c>
      <c r="BR158">
        <v>400</v>
      </c>
      <c r="BS158">
        <v>400</v>
      </c>
      <c r="BT158">
        <v>4100</v>
      </c>
      <c r="BU158">
        <v>2100</v>
      </c>
      <c r="BV158">
        <v>2100</v>
      </c>
      <c r="BW158">
        <v>2100</v>
      </c>
      <c r="BX158">
        <v>6300</v>
      </c>
      <c r="BY158">
        <v>1200</v>
      </c>
      <c r="BZ158">
        <v>1200</v>
      </c>
      <c r="CA158">
        <v>1200</v>
      </c>
      <c r="CB158">
        <v>3600</v>
      </c>
      <c r="CC158">
        <v>0</v>
      </c>
      <c r="CD158">
        <v>0</v>
      </c>
      <c r="CE158">
        <v>0</v>
      </c>
      <c r="CF158">
        <v>0</v>
      </c>
      <c r="CG158">
        <v>39515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1250</v>
      </c>
      <c r="CU158">
        <v>1250</v>
      </c>
      <c r="CV158">
        <v>1250</v>
      </c>
      <c r="CW158">
        <v>3750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3750</v>
      </c>
      <c r="EE158">
        <v>0</v>
      </c>
      <c r="EF158">
        <v>0</v>
      </c>
      <c r="EG158">
        <v>0</v>
      </c>
      <c r="EH158">
        <v>0</v>
      </c>
      <c r="EI158">
        <v>1154</v>
      </c>
      <c r="EJ158">
        <v>1154</v>
      </c>
      <c r="EK158">
        <v>1155</v>
      </c>
      <c r="EL158">
        <v>3500</v>
      </c>
      <c r="EM158">
        <v>37.065000000000005</v>
      </c>
      <c r="EN158">
        <v>660</v>
      </c>
      <c r="EO158">
        <v>660</v>
      </c>
      <c r="EP158">
        <v>659</v>
      </c>
      <c r="EQ158">
        <v>2000</v>
      </c>
      <c r="ER158">
        <v>21.18</v>
      </c>
      <c r="ES158">
        <v>0</v>
      </c>
      <c r="ET158">
        <v>0</v>
      </c>
      <c r="EU158">
        <v>0</v>
      </c>
      <c r="EV158">
        <v>0</v>
      </c>
      <c r="EW158">
        <v>0</v>
      </c>
      <c r="FA158">
        <v>0</v>
      </c>
      <c r="FE158">
        <v>0</v>
      </c>
      <c r="FI158">
        <v>0</v>
      </c>
      <c r="FJ158">
        <v>5441.7550000000001</v>
      </c>
      <c r="FK158">
        <v>35765</v>
      </c>
      <c r="FL158">
        <v>31664.555574119709</v>
      </c>
      <c r="FM158">
        <v>30323.244999999999</v>
      </c>
    </row>
    <row r="159" spans="1:169" x14ac:dyDescent="0.35">
      <c r="A159">
        <v>196040</v>
      </c>
      <c r="B159" t="s">
        <v>1338</v>
      </c>
      <c r="C159" t="s">
        <v>1339</v>
      </c>
      <c r="D159" t="s">
        <v>1340</v>
      </c>
      <c r="E159" s="43" t="s">
        <v>1341</v>
      </c>
      <c r="L159" s="43" t="s">
        <v>259</v>
      </c>
      <c r="M159" t="s">
        <v>1342</v>
      </c>
      <c r="N159" t="s">
        <v>1343</v>
      </c>
      <c r="O159" t="s">
        <v>1344</v>
      </c>
      <c r="P159" t="s">
        <v>831</v>
      </c>
      <c r="Q159" t="s">
        <v>1345</v>
      </c>
      <c r="R159">
        <v>2.1</v>
      </c>
      <c r="S159">
        <v>44109</v>
      </c>
      <c r="T159" t="s">
        <v>285</v>
      </c>
      <c r="U159" t="s">
        <v>266</v>
      </c>
      <c r="V159" t="s">
        <v>267</v>
      </c>
      <c r="W159" t="s">
        <v>268</v>
      </c>
      <c r="X159" t="s">
        <v>269</v>
      </c>
      <c r="Y159">
        <v>8883022894</v>
      </c>
      <c r="Z159" t="s">
        <v>508</v>
      </c>
      <c r="AA159" t="s">
        <v>271</v>
      </c>
      <c r="AB159" t="s">
        <v>562</v>
      </c>
      <c r="AC159" t="s">
        <v>1346</v>
      </c>
      <c r="AD159" t="s">
        <v>780</v>
      </c>
      <c r="AE159" t="s">
        <v>344</v>
      </c>
      <c r="AF159">
        <v>10</v>
      </c>
      <c r="AG159" t="s">
        <v>275</v>
      </c>
      <c r="AH159" s="43" t="s">
        <v>259</v>
      </c>
      <c r="AI159" s="43" t="s">
        <v>259</v>
      </c>
      <c r="AJ159" s="43" t="s">
        <v>259</v>
      </c>
      <c r="AK159" s="43" t="s">
        <v>259</v>
      </c>
      <c r="AL159" s="43" t="s">
        <v>259</v>
      </c>
      <c r="AO159" s="23"/>
      <c r="AP159" s="23"/>
      <c r="AQ159" s="23"/>
      <c r="BD159" s="43" t="s">
        <v>259</v>
      </c>
      <c r="BE159" s="43" t="s">
        <v>259</v>
      </c>
      <c r="BF159" s="43" t="s">
        <v>259</v>
      </c>
      <c r="BG159" s="43" t="s">
        <v>259</v>
      </c>
      <c r="BH159" s="43" t="s">
        <v>259</v>
      </c>
      <c r="BI159" s="43" t="s">
        <v>259</v>
      </c>
      <c r="BJ159">
        <v>0</v>
      </c>
      <c r="BK159">
        <v>44109</v>
      </c>
      <c r="BL159">
        <v>44356</v>
      </c>
      <c r="BM159">
        <v>8505</v>
      </c>
      <c r="BN159">
        <v>8505</v>
      </c>
      <c r="BO159">
        <v>8505</v>
      </c>
      <c r="BP159">
        <v>25515</v>
      </c>
      <c r="BQ159">
        <v>3300</v>
      </c>
      <c r="BR159">
        <v>400</v>
      </c>
      <c r="BS159">
        <v>400</v>
      </c>
      <c r="BT159">
        <v>4100</v>
      </c>
      <c r="BU159">
        <v>2100</v>
      </c>
      <c r="BV159">
        <v>2100</v>
      </c>
      <c r="BW159">
        <v>2100</v>
      </c>
      <c r="BX159">
        <v>6300</v>
      </c>
      <c r="BY159">
        <v>1200</v>
      </c>
      <c r="BZ159">
        <v>1200</v>
      </c>
      <c r="CA159">
        <v>1200</v>
      </c>
      <c r="CB159">
        <v>3600</v>
      </c>
      <c r="CC159">
        <v>0</v>
      </c>
      <c r="CD159">
        <v>0</v>
      </c>
      <c r="CE159">
        <v>0</v>
      </c>
      <c r="CF159">
        <v>0</v>
      </c>
      <c r="CG159">
        <v>39515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1154</v>
      </c>
      <c r="EJ159">
        <v>1154</v>
      </c>
      <c r="EK159">
        <v>1155</v>
      </c>
      <c r="EL159">
        <v>3500</v>
      </c>
      <c r="EM159">
        <v>37.065000000000005</v>
      </c>
      <c r="EN159">
        <v>660</v>
      </c>
      <c r="EO159">
        <v>660</v>
      </c>
      <c r="EP159">
        <v>659</v>
      </c>
      <c r="EQ159">
        <v>2000</v>
      </c>
      <c r="ER159">
        <v>21.18</v>
      </c>
      <c r="ES159">
        <v>0</v>
      </c>
      <c r="ET159">
        <v>0</v>
      </c>
      <c r="EU159">
        <v>0</v>
      </c>
      <c r="EV159">
        <v>0</v>
      </c>
      <c r="EW159">
        <v>0</v>
      </c>
      <c r="FA159">
        <v>0</v>
      </c>
      <c r="FE159">
        <v>0</v>
      </c>
      <c r="FI159">
        <v>0</v>
      </c>
      <c r="FJ159">
        <v>5441.7550000000001</v>
      </c>
      <c r="FK159">
        <v>39515</v>
      </c>
      <c r="FL159">
        <v>35580.43210392214</v>
      </c>
      <c r="FM159">
        <v>34073.245000000003</v>
      </c>
    </row>
    <row r="160" spans="1:169" x14ac:dyDescent="0.35">
      <c r="A160">
        <v>198969</v>
      </c>
      <c r="B160" t="s">
        <v>3536</v>
      </c>
      <c r="C160" t="s">
        <v>3537</v>
      </c>
      <c r="D160" t="s">
        <v>3538</v>
      </c>
      <c r="E160" s="43" t="s">
        <v>4188</v>
      </c>
      <c r="J160" t="s">
        <v>3425</v>
      </c>
      <c r="L160" s="43" t="s">
        <v>3204</v>
      </c>
      <c r="M160" t="s">
        <v>4189</v>
      </c>
      <c r="N160" t="s">
        <v>4190</v>
      </c>
      <c r="O160" t="s">
        <v>4191</v>
      </c>
      <c r="P160" t="s">
        <v>553</v>
      </c>
      <c r="Q160" t="s">
        <v>3539</v>
      </c>
      <c r="R160">
        <v>2.54</v>
      </c>
      <c r="S160">
        <v>44109</v>
      </c>
      <c r="T160" t="s">
        <v>311</v>
      </c>
      <c r="U160" t="s">
        <v>286</v>
      </c>
      <c r="V160" t="s">
        <v>267</v>
      </c>
      <c r="W160" t="s">
        <v>268</v>
      </c>
      <c r="X160" t="s">
        <v>269</v>
      </c>
      <c r="Y160">
        <v>8883022894</v>
      </c>
      <c r="Z160" t="s">
        <v>270</v>
      </c>
      <c r="AA160" t="s">
        <v>271</v>
      </c>
      <c r="AB160">
        <v>0</v>
      </c>
      <c r="AC160" t="s">
        <v>788</v>
      </c>
      <c r="AD160" t="s">
        <v>3783</v>
      </c>
      <c r="AE160" t="s">
        <v>376</v>
      </c>
      <c r="AF160">
        <v>7</v>
      </c>
      <c r="AG160" t="s">
        <v>3345</v>
      </c>
      <c r="AH160" s="43" t="s">
        <v>3226</v>
      </c>
      <c r="AI160" s="43" t="s">
        <v>313</v>
      </c>
      <c r="AJ160" s="43" t="s">
        <v>4237</v>
      </c>
      <c r="AK160" s="43" t="s">
        <v>3208</v>
      </c>
      <c r="AL160" s="43" t="s">
        <v>3209</v>
      </c>
      <c r="AO160" s="23"/>
      <c r="AP160" s="23"/>
      <c r="AQ160" s="23"/>
      <c r="BD160" s="43" t="s">
        <v>2018</v>
      </c>
      <c r="BE160" s="43" t="s">
        <v>2018</v>
      </c>
      <c r="BF160" s="43" t="s">
        <v>2018</v>
      </c>
      <c r="BG160" s="43" t="s">
        <v>2018</v>
      </c>
      <c r="BH160" s="43" t="s">
        <v>2018</v>
      </c>
      <c r="BI160" s="43" t="s">
        <v>2018</v>
      </c>
      <c r="BJ160">
        <v>0</v>
      </c>
      <c r="BK160">
        <v>44109</v>
      </c>
      <c r="BL160">
        <v>44356</v>
      </c>
      <c r="BM160">
        <v>8505</v>
      </c>
      <c r="BN160">
        <v>8505</v>
      </c>
      <c r="BO160">
        <v>8505</v>
      </c>
      <c r="BP160">
        <v>25515</v>
      </c>
      <c r="BQ160">
        <v>3300</v>
      </c>
      <c r="BR160">
        <v>400</v>
      </c>
      <c r="BS160">
        <v>400</v>
      </c>
      <c r="BT160">
        <v>4100</v>
      </c>
      <c r="BU160">
        <v>2100</v>
      </c>
      <c r="BV160">
        <v>2100</v>
      </c>
      <c r="BW160">
        <v>2100</v>
      </c>
      <c r="BX160">
        <v>6300</v>
      </c>
      <c r="BY160">
        <v>1200</v>
      </c>
      <c r="BZ160">
        <v>1200</v>
      </c>
      <c r="CA160">
        <v>1200</v>
      </c>
      <c r="CB160">
        <v>3600</v>
      </c>
      <c r="CF160">
        <v>0</v>
      </c>
      <c r="CG160">
        <v>39515</v>
      </c>
      <c r="CK160">
        <v>0</v>
      </c>
      <c r="CL160">
        <v>2065</v>
      </c>
      <c r="CM160">
        <v>2065</v>
      </c>
      <c r="CN160">
        <v>2065</v>
      </c>
      <c r="CO160">
        <v>6195</v>
      </c>
      <c r="CP160">
        <v>500</v>
      </c>
      <c r="CQ160">
        <v>500</v>
      </c>
      <c r="CR160">
        <v>500</v>
      </c>
      <c r="CS160">
        <v>1500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1000</v>
      </c>
      <c r="DC160">
        <v>1000</v>
      </c>
      <c r="DD160">
        <v>1000</v>
      </c>
      <c r="DE160">
        <v>3000</v>
      </c>
      <c r="DF160">
        <v>0</v>
      </c>
      <c r="DG160">
        <v>0</v>
      </c>
      <c r="DH160">
        <v>0</v>
      </c>
      <c r="DN160">
        <v>0</v>
      </c>
      <c r="DO160">
        <v>0</v>
      </c>
      <c r="DP160">
        <v>0</v>
      </c>
      <c r="DR160">
        <v>0</v>
      </c>
      <c r="DS160">
        <v>0</v>
      </c>
      <c r="DT160">
        <v>0</v>
      </c>
      <c r="DY160">
        <v>0</v>
      </c>
      <c r="EC160">
        <v>0</v>
      </c>
      <c r="ED160">
        <v>10695</v>
      </c>
      <c r="EH160">
        <v>0</v>
      </c>
      <c r="EI160">
        <v>0</v>
      </c>
      <c r="EJ160">
        <v>0</v>
      </c>
      <c r="EK160">
        <v>0</v>
      </c>
      <c r="EM160">
        <v>0</v>
      </c>
      <c r="EN160">
        <v>660</v>
      </c>
      <c r="EO160">
        <v>660</v>
      </c>
      <c r="EP160">
        <v>659</v>
      </c>
      <c r="EQ160">
        <v>2000</v>
      </c>
      <c r="ER160">
        <v>21.24</v>
      </c>
      <c r="ES160">
        <v>0</v>
      </c>
      <c r="ET160">
        <v>0</v>
      </c>
      <c r="EU160">
        <v>0</v>
      </c>
      <c r="EW160">
        <v>0</v>
      </c>
      <c r="FA160">
        <v>0</v>
      </c>
      <c r="FE160">
        <v>0</v>
      </c>
      <c r="FI160">
        <v>0</v>
      </c>
      <c r="FJ160">
        <v>1978.76</v>
      </c>
      <c r="FK160">
        <v>28820</v>
      </c>
      <c r="FL160">
        <v>28032.041106190991</v>
      </c>
      <c r="FM160">
        <v>26841.24</v>
      </c>
    </row>
    <row r="161" spans="1:169" x14ac:dyDescent="0.35">
      <c r="A161">
        <v>196434</v>
      </c>
      <c r="B161" t="s">
        <v>1347</v>
      </c>
      <c r="C161" t="s">
        <v>1348</v>
      </c>
      <c r="D161" t="s">
        <v>1349</v>
      </c>
      <c r="E161" s="43" t="s">
        <v>1350</v>
      </c>
      <c r="L161" s="43" t="s">
        <v>3204</v>
      </c>
      <c r="M161" t="s">
        <v>1351</v>
      </c>
      <c r="N161" t="s">
        <v>1352</v>
      </c>
      <c r="O161" t="s">
        <v>1353</v>
      </c>
      <c r="P161" t="s">
        <v>524</v>
      </c>
      <c r="Q161" t="s">
        <v>1354</v>
      </c>
      <c r="R161">
        <v>3.5</v>
      </c>
      <c r="S161">
        <v>44109</v>
      </c>
      <c r="T161" t="s">
        <v>311</v>
      </c>
      <c r="U161" t="s">
        <v>266</v>
      </c>
      <c r="V161" t="s">
        <v>267</v>
      </c>
      <c r="W161" t="s">
        <v>268</v>
      </c>
      <c r="X161" t="s">
        <v>269</v>
      </c>
      <c r="Y161">
        <v>8883022894</v>
      </c>
      <c r="Z161" t="s">
        <v>270</v>
      </c>
      <c r="AA161" t="s">
        <v>271</v>
      </c>
      <c r="AB161" t="s">
        <v>779</v>
      </c>
      <c r="AC161">
        <v>0</v>
      </c>
      <c r="AD161" t="s">
        <v>860</v>
      </c>
      <c r="AE161" t="s">
        <v>416</v>
      </c>
      <c r="AF161">
        <v>5</v>
      </c>
      <c r="AG161" t="s">
        <v>275</v>
      </c>
      <c r="AH161" s="43" t="s">
        <v>3226</v>
      </c>
      <c r="AI161" s="43" t="s">
        <v>313</v>
      </c>
      <c r="AJ161" s="43" t="s">
        <v>3821</v>
      </c>
      <c r="AK161" s="43" t="s">
        <v>1715</v>
      </c>
      <c r="AL161" s="43" t="s">
        <v>259</v>
      </c>
      <c r="AO161" s="23"/>
      <c r="AP161" s="23"/>
      <c r="AQ161" s="23"/>
      <c r="BD161" s="43" t="s">
        <v>259</v>
      </c>
      <c r="BE161" s="43" t="s">
        <v>259</v>
      </c>
      <c r="BF161" s="43" t="s">
        <v>259</v>
      </c>
      <c r="BG161" s="43" t="s">
        <v>259</v>
      </c>
      <c r="BH161" s="43" t="s">
        <v>259</v>
      </c>
      <c r="BI161" s="43" t="s">
        <v>259</v>
      </c>
      <c r="BJ161">
        <v>0</v>
      </c>
      <c r="BK161">
        <v>44109</v>
      </c>
      <c r="BL161">
        <v>44356</v>
      </c>
      <c r="BM161">
        <v>8505</v>
      </c>
      <c r="BN161">
        <v>8505</v>
      </c>
      <c r="BO161">
        <v>8505</v>
      </c>
      <c r="BP161">
        <v>25515</v>
      </c>
      <c r="BQ161">
        <v>3300</v>
      </c>
      <c r="BR161">
        <v>400</v>
      </c>
      <c r="BS161">
        <v>400</v>
      </c>
      <c r="BT161">
        <v>4100</v>
      </c>
      <c r="BU161">
        <v>2100</v>
      </c>
      <c r="BV161">
        <v>2100</v>
      </c>
      <c r="BW161">
        <v>2100</v>
      </c>
      <c r="BX161">
        <v>6300</v>
      </c>
      <c r="BY161">
        <v>1200</v>
      </c>
      <c r="BZ161">
        <v>1200</v>
      </c>
      <c r="CA161">
        <v>1200</v>
      </c>
      <c r="CB161">
        <v>3600</v>
      </c>
      <c r="CC161">
        <v>0</v>
      </c>
      <c r="CD161">
        <v>0</v>
      </c>
      <c r="CE161">
        <v>0</v>
      </c>
      <c r="CF161">
        <v>0</v>
      </c>
      <c r="CG161">
        <v>39515</v>
      </c>
      <c r="CH161">
        <v>0</v>
      </c>
      <c r="CI161">
        <v>0</v>
      </c>
      <c r="CJ161">
        <v>0</v>
      </c>
      <c r="CK161">
        <v>0</v>
      </c>
      <c r="CL161">
        <v>2065</v>
      </c>
      <c r="CM161">
        <v>2065</v>
      </c>
      <c r="CN161">
        <v>2065</v>
      </c>
      <c r="CO161">
        <v>6195</v>
      </c>
      <c r="CP161">
        <v>500</v>
      </c>
      <c r="CQ161">
        <v>500</v>
      </c>
      <c r="CR161">
        <v>500</v>
      </c>
      <c r="CS161">
        <v>1500</v>
      </c>
      <c r="CT161">
        <v>1000</v>
      </c>
      <c r="CU161">
        <v>1000</v>
      </c>
      <c r="CV161">
        <v>1000</v>
      </c>
      <c r="CW161">
        <v>3000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10695</v>
      </c>
      <c r="EE161">
        <v>0</v>
      </c>
      <c r="EF161">
        <v>0</v>
      </c>
      <c r="EG161">
        <v>0</v>
      </c>
      <c r="EH161">
        <v>0</v>
      </c>
      <c r="EI161">
        <v>1154</v>
      </c>
      <c r="EJ161">
        <v>1154</v>
      </c>
      <c r="EK161">
        <v>1155</v>
      </c>
      <c r="EL161">
        <v>3500</v>
      </c>
      <c r="EM161">
        <v>37.065000000000005</v>
      </c>
      <c r="EN161">
        <v>660</v>
      </c>
      <c r="EO161">
        <v>660</v>
      </c>
      <c r="EP161">
        <v>659</v>
      </c>
      <c r="EQ161">
        <v>2000</v>
      </c>
      <c r="ER161">
        <v>21.18</v>
      </c>
      <c r="ES161">
        <v>0</v>
      </c>
      <c r="ET161">
        <v>0</v>
      </c>
      <c r="EU161">
        <v>0</v>
      </c>
      <c r="EV161">
        <v>0</v>
      </c>
      <c r="EW161">
        <v>0</v>
      </c>
      <c r="FA161">
        <v>0</v>
      </c>
      <c r="FE161">
        <v>0</v>
      </c>
      <c r="FI161">
        <v>0</v>
      </c>
      <c r="FJ161">
        <v>5441.7550000000001</v>
      </c>
      <c r="FK161">
        <v>28820</v>
      </c>
      <c r="FL161">
        <v>24412.352240925607</v>
      </c>
      <c r="FM161">
        <v>23378.244999999999</v>
      </c>
    </row>
    <row r="162" spans="1:169" x14ac:dyDescent="0.35">
      <c r="A162">
        <v>197102</v>
      </c>
      <c r="B162" t="s">
        <v>1355</v>
      </c>
      <c r="C162" t="s">
        <v>1356</v>
      </c>
      <c r="D162" t="s">
        <v>1357</v>
      </c>
      <c r="E162" s="43" t="s">
        <v>1358</v>
      </c>
      <c r="L162" s="43" t="s">
        <v>3204</v>
      </c>
      <c r="M162" t="s">
        <v>1359</v>
      </c>
      <c r="N162" t="s">
        <v>1360</v>
      </c>
      <c r="O162" t="s">
        <v>1361</v>
      </c>
      <c r="P162" t="s">
        <v>297</v>
      </c>
      <c r="Q162" t="s">
        <v>1362</v>
      </c>
      <c r="R162">
        <v>4.0999999999999996</v>
      </c>
      <c r="S162">
        <v>44109</v>
      </c>
      <c r="T162" t="s">
        <v>285</v>
      </c>
      <c r="U162" t="s">
        <v>266</v>
      </c>
      <c r="V162" t="s">
        <v>267</v>
      </c>
      <c r="W162" t="s">
        <v>268</v>
      </c>
      <c r="X162" t="s">
        <v>269</v>
      </c>
      <c r="Y162">
        <v>8883022894</v>
      </c>
      <c r="Z162" t="s">
        <v>270</v>
      </c>
      <c r="AA162" t="s">
        <v>271</v>
      </c>
      <c r="AB162" t="s">
        <v>545</v>
      </c>
      <c r="AC162" t="s">
        <v>669</v>
      </c>
      <c r="AD162" t="s">
        <v>313</v>
      </c>
      <c r="AE162" t="s">
        <v>301</v>
      </c>
      <c r="AF162">
        <v>1</v>
      </c>
      <c r="AG162" t="s">
        <v>275</v>
      </c>
      <c r="AH162" s="43" t="s">
        <v>3602</v>
      </c>
      <c r="AI162" s="43" t="s">
        <v>3603</v>
      </c>
      <c r="AJ162" s="43" t="s">
        <v>3590</v>
      </c>
      <c r="AK162" s="43" t="s">
        <v>3208</v>
      </c>
      <c r="AL162" s="43" t="s">
        <v>3209</v>
      </c>
      <c r="AO162" s="23"/>
      <c r="AP162" s="23"/>
      <c r="AQ162" s="23"/>
      <c r="BD162" s="43" t="s">
        <v>2018</v>
      </c>
      <c r="BE162" s="43" t="s">
        <v>2018</v>
      </c>
      <c r="BF162" s="43" t="s">
        <v>2018</v>
      </c>
      <c r="BG162" s="43" t="s">
        <v>2018</v>
      </c>
      <c r="BH162" s="43" t="s">
        <v>2018</v>
      </c>
      <c r="BI162" s="43" t="s">
        <v>2018</v>
      </c>
      <c r="BJ162">
        <v>0</v>
      </c>
      <c r="BK162">
        <v>44109</v>
      </c>
      <c r="BL162">
        <v>44356</v>
      </c>
      <c r="BM162">
        <v>8505</v>
      </c>
      <c r="BN162">
        <v>8505</v>
      </c>
      <c r="BO162">
        <v>8505</v>
      </c>
      <c r="BP162">
        <v>25515</v>
      </c>
      <c r="BQ162">
        <v>3300</v>
      </c>
      <c r="BR162">
        <v>400</v>
      </c>
      <c r="BS162">
        <v>400</v>
      </c>
      <c r="BT162">
        <v>4100</v>
      </c>
      <c r="BU162">
        <v>2100</v>
      </c>
      <c r="BV162">
        <v>2100</v>
      </c>
      <c r="BW162">
        <v>2100</v>
      </c>
      <c r="BX162">
        <v>6300</v>
      </c>
      <c r="BY162">
        <v>1200</v>
      </c>
      <c r="BZ162">
        <v>1200</v>
      </c>
      <c r="CA162">
        <v>1200</v>
      </c>
      <c r="CB162">
        <v>3600</v>
      </c>
      <c r="CC162">
        <v>0</v>
      </c>
      <c r="CD162">
        <v>0</v>
      </c>
      <c r="CE162">
        <v>0</v>
      </c>
      <c r="CF162">
        <v>0</v>
      </c>
      <c r="CG162">
        <v>39515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1700</v>
      </c>
      <c r="CU162">
        <v>1700</v>
      </c>
      <c r="CV162">
        <v>1700</v>
      </c>
      <c r="CW162">
        <v>5100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5100</v>
      </c>
      <c r="EE162">
        <v>0</v>
      </c>
      <c r="EF162">
        <v>0</v>
      </c>
      <c r="EG162">
        <v>0</v>
      </c>
      <c r="EH162">
        <v>0</v>
      </c>
      <c r="EI162">
        <v>1154</v>
      </c>
      <c r="EJ162">
        <v>1154</v>
      </c>
      <c r="EK162">
        <v>1155</v>
      </c>
      <c r="EL162">
        <v>3500</v>
      </c>
      <c r="EM162">
        <v>37.065000000000005</v>
      </c>
      <c r="EN162">
        <v>660</v>
      </c>
      <c r="EO162">
        <v>660</v>
      </c>
      <c r="EP162">
        <v>659</v>
      </c>
      <c r="EQ162">
        <v>2000</v>
      </c>
      <c r="ER162">
        <v>21.18</v>
      </c>
      <c r="ES162">
        <v>0</v>
      </c>
      <c r="ET162">
        <v>0</v>
      </c>
      <c r="EU162">
        <v>0</v>
      </c>
      <c r="EV162">
        <v>0</v>
      </c>
      <c r="EW162">
        <v>0</v>
      </c>
      <c r="FA162">
        <v>0</v>
      </c>
      <c r="FE162">
        <v>0</v>
      </c>
      <c r="FI162">
        <v>0</v>
      </c>
      <c r="FJ162">
        <v>5441.7550000000001</v>
      </c>
      <c r="FK162">
        <v>34415</v>
      </c>
      <c r="FL162">
        <v>30254.840023390832</v>
      </c>
      <c r="FM162">
        <v>28973.244999999999</v>
      </c>
    </row>
    <row r="163" spans="1:169" x14ac:dyDescent="0.35">
      <c r="A163">
        <v>197411</v>
      </c>
      <c r="B163" t="s">
        <v>3540</v>
      </c>
      <c r="C163" t="s">
        <v>2918</v>
      </c>
      <c r="D163" t="s">
        <v>3541</v>
      </c>
      <c r="E163" s="43" t="s">
        <v>4217</v>
      </c>
      <c r="J163" t="s">
        <v>3425</v>
      </c>
      <c r="L163" s="43" t="s">
        <v>259</v>
      </c>
      <c r="M163" t="s">
        <v>3542</v>
      </c>
      <c r="N163" t="s">
        <v>3543</v>
      </c>
      <c r="O163" t="s">
        <v>3544</v>
      </c>
      <c r="P163" t="s">
        <v>542</v>
      </c>
      <c r="Q163" t="s">
        <v>3545</v>
      </c>
      <c r="R163">
        <v>2.923</v>
      </c>
      <c r="S163">
        <v>44109</v>
      </c>
      <c r="T163" t="s">
        <v>544</v>
      </c>
      <c r="U163" t="s">
        <v>266</v>
      </c>
      <c r="V163" t="s">
        <v>267</v>
      </c>
      <c r="W163" t="s">
        <v>268</v>
      </c>
      <c r="X163" t="s">
        <v>269</v>
      </c>
      <c r="Y163">
        <v>8883022894</v>
      </c>
      <c r="Z163" t="s">
        <v>270</v>
      </c>
      <c r="AA163" t="s">
        <v>271</v>
      </c>
      <c r="AB163" t="s">
        <v>969</v>
      </c>
      <c r="AC163">
        <v>0</v>
      </c>
      <c r="AD163" t="s">
        <v>1011</v>
      </c>
      <c r="AE163" t="s">
        <v>416</v>
      </c>
      <c r="AF163">
        <v>5</v>
      </c>
      <c r="AG163" t="s">
        <v>3345</v>
      </c>
      <c r="AH163" s="43" t="s">
        <v>259</v>
      </c>
      <c r="AI163" s="43" t="s">
        <v>259</v>
      </c>
      <c r="AJ163" s="43" t="s">
        <v>259</v>
      </c>
      <c r="AK163" s="43" t="s">
        <v>259</v>
      </c>
      <c r="AL163" s="43" t="s">
        <v>259</v>
      </c>
      <c r="AO163" s="23"/>
      <c r="AP163" s="23"/>
      <c r="AQ163" s="23"/>
      <c r="BD163" s="43" t="s">
        <v>259</v>
      </c>
      <c r="BE163" s="43" t="s">
        <v>259</v>
      </c>
      <c r="BF163" s="43" t="s">
        <v>259</v>
      </c>
      <c r="BG163" s="43" t="s">
        <v>259</v>
      </c>
      <c r="BH163" s="43" t="s">
        <v>259</v>
      </c>
      <c r="BI163" s="43" t="s">
        <v>259</v>
      </c>
      <c r="BJ163">
        <v>0</v>
      </c>
      <c r="BK163">
        <v>44109</v>
      </c>
      <c r="BL163">
        <v>44356</v>
      </c>
      <c r="BM163">
        <v>8505</v>
      </c>
      <c r="BN163">
        <v>8505</v>
      </c>
      <c r="BO163">
        <v>8505</v>
      </c>
      <c r="BP163">
        <v>25515</v>
      </c>
      <c r="BQ163">
        <v>3300</v>
      </c>
      <c r="BR163">
        <v>400</v>
      </c>
      <c r="BS163">
        <v>400</v>
      </c>
      <c r="BT163">
        <v>4100</v>
      </c>
      <c r="BU163">
        <v>2100</v>
      </c>
      <c r="BV163">
        <v>2100</v>
      </c>
      <c r="BW163">
        <v>2100</v>
      </c>
      <c r="BX163">
        <v>6300</v>
      </c>
      <c r="BY163">
        <v>1200</v>
      </c>
      <c r="BZ163">
        <v>1200</v>
      </c>
      <c r="CA163">
        <v>1200</v>
      </c>
      <c r="CB163">
        <v>3600</v>
      </c>
      <c r="CF163">
        <v>0</v>
      </c>
      <c r="CG163">
        <v>39515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1000</v>
      </c>
      <c r="CU163">
        <v>1000</v>
      </c>
      <c r="CV163">
        <v>1000</v>
      </c>
      <c r="CW163">
        <v>3000</v>
      </c>
      <c r="CX163">
        <v>3000</v>
      </c>
      <c r="CY163">
        <v>3000</v>
      </c>
      <c r="CZ163">
        <v>3000</v>
      </c>
      <c r="DA163">
        <v>9000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N163">
        <v>0</v>
      </c>
      <c r="DO163">
        <v>0</v>
      </c>
      <c r="DP163">
        <v>0</v>
      </c>
      <c r="DR163">
        <v>0</v>
      </c>
      <c r="DS163">
        <v>0</v>
      </c>
      <c r="DT163">
        <v>0</v>
      </c>
      <c r="DY163">
        <v>0</v>
      </c>
      <c r="EC163">
        <v>0</v>
      </c>
      <c r="ED163">
        <v>12000</v>
      </c>
      <c r="EH163">
        <v>0</v>
      </c>
      <c r="EI163">
        <v>0</v>
      </c>
      <c r="EJ163">
        <v>0</v>
      </c>
      <c r="EK163">
        <v>0</v>
      </c>
      <c r="EM163">
        <v>0</v>
      </c>
      <c r="EN163">
        <v>660</v>
      </c>
      <c r="EO163">
        <v>660</v>
      </c>
      <c r="EP163">
        <v>659</v>
      </c>
      <c r="EQ163">
        <v>2000</v>
      </c>
      <c r="ER163">
        <v>21.24</v>
      </c>
      <c r="ES163">
        <v>0</v>
      </c>
      <c r="ET163">
        <v>0</v>
      </c>
      <c r="EU163">
        <v>0</v>
      </c>
      <c r="EW163">
        <v>0</v>
      </c>
      <c r="FA163">
        <v>0</v>
      </c>
      <c r="FE163">
        <v>0</v>
      </c>
      <c r="FI163">
        <v>0</v>
      </c>
      <c r="FJ163">
        <v>1978.76</v>
      </c>
      <c r="FK163">
        <v>27515</v>
      </c>
      <c r="FL163">
        <v>26669.145292004345</v>
      </c>
      <c r="FM163">
        <v>25536.240000000002</v>
      </c>
    </row>
    <row r="164" spans="1:169" x14ac:dyDescent="0.35">
      <c r="A164">
        <v>196270</v>
      </c>
      <c r="B164" t="s">
        <v>1363</v>
      </c>
      <c r="C164" t="s">
        <v>1364</v>
      </c>
      <c r="D164" t="s">
        <v>1365</v>
      </c>
      <c r="E164" s="43" t="s">
        <v>1366</v>
      </c>
      <c r="L164" s="43" t="s">
        <v>259</v>
      </c>
      <c r="M164" t="s">
        <v>1367</v>
      </c>
      <c r="N164" t="s">
        <v>1368</v>
      </c>
      <c r="O164" t="s">
        <v>1369</v>
      </c>
      <c r="P164" t="s">
        <v>1370</v>
      </c>
      <c r="Q164" t="s">
        <v>1371</v>
      </c>
      <c r="R164">
        <v>2.214</v>
      </c>
      <c r="S164">
        <v>44109</v>
      </c>
      <c r="T164" t="s">
        <v>311</v>
      </c>
      <c r="U164" t="s">
        <v>266</v>
      </c>
      <c r="V164" t="s">
        <v>267</v>
      </c>
      <c r="W164" t="s">
        <v>268</v>
      </c>
      <c r="X164" t="s">
        <v>269</v>
      </c>
      <c r="Y164">
        <v>8883022894</v>
      </c>
      <c r="Z164" t="s">
        <v>270</v>
      </c>
      <c r="AA164" t="s">
        <v>271</v>
      </c>
      <c r="AB164">
        <v>0</v>
      </c>
      <c r="AC164" t="s">
        <v>752</v>
      </c>
      <c r="AD164" t="s">
        <v>1372</v>
      </c>
      <c r="AE164" t="s">
        <v>344</v>
      </c>
      <c r="AF164">
        <v>10</v>
      </c>
      <c r="AG164" t="s">
        <v>275</v>
      </c>
      <c r="AH164" s="43" t="s">
        <v>259</v>
      </c>
      <c r="AI164" s="43" t="s">
        <v>259</v>
      </c>
      <c r="AJ164" s="43" t="s">
        <v>259</v>
      </c>
      <c r="AK164" s="43" t="s">
        <v>259</v>
      </c>
      <c r="AL164" s="43" t="s">
        <v>259</v>
      </c>
      <c r="AO164" s="23"/>
      <c r="AP164" s="23"/>
      <c r="AQ164" s="23"/>
      <c r="BD164" s="43" t="s">
        <v>259</v>
      </c>
      <c r="BE164" s="43" t="s">
        <v>259</v>
      </c>
      <c r="BF164" s="43" t="s">
        <v>259</v>
      </c>
      <c r="BG164" s="43" t="s">
        <v>259</v>
      </c>
      <c r="BH164" s="43" t="s">
        <v>259</v>
      </c>
      <c r="BI164" s="43" t="s">
        <v>259</v>
      </c>
      <c r="BJ164">
        <v>0</v>
      </c>
      <c r="BK164">
        <v>44109</v>
      </c>
      <c r="BL164">
        <v>44356</v>
      </c>
      <c r="BM164">
        <v>8505</v>
      </c>
      <c r="BN164">
        <v>8505</v>
      </c>
      <c r="BO164">
        <v>8505</v>
      </c>
      <c r="BP164">
        <v>25515</v>
      </c>
      <c r="BQ164">
        <v>3300</v>
      </c>
      <c r="BR164">
        <v>400</v>
      </c>
      <c r="BS164">
        <v>400</v>
      </c>
      <c r="BT164">
        <v>4100</v>
      </c>
      <c r="BU164">
        <v>2100</v>
      </c>
      <c r="BV164">
        <v>2100</v>
      </c>
      <c r="BW164">
        <v>2100</v>
      </c>
      <c r="BX164">
        <v>6300</v>
      </c>
      <c r="BY164">
        <v>1200</v>
      </c>
      <c r="BZ164">
        <v>1200</v>
      </c>
      <c r="CA164">
        <v>1200</v>
      </c>
      <c r="CB164">
        <v>3600</v>
      </c>
      <c r="CC164">
        <v>0</v>
      </c>
      <c r="CD164">
        <v>0</v>
      </c>
      <c r="CE164">
        <v>0</v>
      </c>
      <c r="CF164">
        <v>0</v>
      </c>
      <c r="CG164">
        <v>39515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N164">
        <v>0</v>
      </c>
      <c r="DO164">
        <v>0</v>
      </c>
      <c r="DP164">
        <v>0</v>
      </c>
      <c r="DR164">
        <v>0</v>
      </c>
      <c r="DS164">
        <v>0</v>
      </c>
      <c r="DT164">
        <v>0</v>
      </c>
      <c r="DU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1154</v>
      </c>
      <c r="EJ164">
        <v>1154</v>
      </c>
      <c r="EK164">
        <v>1155</v>
      </c>
      <c r="EL164">
        <v>3500</v>
      </c>
      <c r="EM164">
        <v>37.065000000000005</v>
      </c>
      <c r="EN164">
        <v>660</v>
      </c>
      <c r="EO164">
        <v>660</v>
      </c>
      <c r="EP164">
        <v>659</v>
      </c>
      <c r="EQ164">
        <v>2000</v>
      </c>
      <c r="ER164">
        <v>21.18</v>
      </c>
      <c r="ES164">
        <v>0</v>
      </c>
      <c r="ET164">
        <v>0</v>
      </c>
      <c r="EU164">
        <v>0</v>
      </c>
      <c r="EV164">
        <v>0</v>
      </c>
      <c r="EW164">
        <v>0</v>
      </c>
      <c r="FA164">
        <v>0</v>
      </c>
      <c r="FE164">
        <v>0</v>
      </c>
      <c r="FI164">
        <v>0</v>
      </c>
      <c r="FJ164">
        <v>5441.7550000000001</v>
      </c>
      <c r="FK164">
        <v>39515</v>
      </c>
      <c r="FL164">
        <v>35584.891177207784</v>
      </c>
      <c r="FM164">
        <v>34073.245000000003</v>
      </c>
    </row>
    <row r="165" spans="1:169" x14ac:dyDescent="0.35">
      <c r="A165">
        <v>198623</v>
      </c>
      <c r="B165" t="s">
        <v>1373</v>
      </c>
      <c r="C165" t="s">
        <v>1374</v>
      </c>
      <c r="D165" t="s">
        <v>1375</v>
      </c>
      <c r="E165" s="43" t="s">
        <v>1376</v>
      </c>
      <c r="L165" s="43" t="s">
        <v>259</v>
      </c>
      <c r="M165" t="s">
        <v>1377</v>
      </c>
      <c r="N165" t="s">
        <v>1378</v>
      </c>
      <c r="O165" t="s">
        <v>1379</v>
      </c>
      <c r="P165" t="s">
        <v>265</v>
      </c>
      <c r="Q165" t="s">
        <v>1380</v>
      </c>
      <c r="R165">
        <v>3.82</v>
      </c>
      <c r="S165">
        <v>44109</v>
      </c>
      <c r="T165" t="s">
        <v>311</v>
      </c>
      <c r="U165" t="s">
        <v>266</v>
      </c>
      <c r="V165" t="s">
        <v>267</v>
      </c>
      <c r="W165" t="s">
        <v>268</v>
      </c>
      <c r="X165" t="s">
        <v>269</v>
      </c>
      <c r="Y165">
        <v>8883022894</v>
      </c>
      <c r="Z165" t="s">
        <v>270</v>
      </c>
      <c r="AA165" t="s">
        <v>271</v>
      </c>
      <c r="AB165" t="s">
        <v>545</v>
      </c>
      <c r="AC165">
        <v>0</v>
      </c>
      <c r="AD165" t="s">
        <v>1381</v>
      </c>
      <c r="AE165" t="s">
        <v>301</v>
      </c>
      <c r="AF165">
        <v>1</v>
      </c>
      <c r="AG165" t="s">
        <v>275</v>
      </c>
      <c r="AH165" s="43" t="s">
        <v>259</v>
      </c>
      <c r="AI165" s="43" t="s">
        <v>259</v>
      </c>
      <c r="AJ165" s="43" t="s">
        <v>259</v>
      </c>
      <c r="AK165" s="43" t="s">
        <v>259</v>
      </c>
      <c r="AL165" s="43" t="s">
        <v>259</v>
      </c>
      <c r="AO165" s="23"/>
      <c r="AP165" s="23"/>
      <c r="AQ165" s="23"/>
      <c r="BD165" s="43" t="s">
        <v>259</v>
      </c>
      <c r="BE165" s="43" t="s">
        <v>259</v>
      </c>
      <c r="BF165" s="43" t="s">
        <v>259</v>
      </c>
      <c r="BG165" s="43" t="s">
        <v>259</v>
      </c>
      <c r="BH165" s="43" t="s">
        <v>259</v>
      </c>
      <c r="BI165" s="43" t="s">
        <v>259</v>
      </c>
      <c r="BJ165">
        <v>0</v>
      </c>
      <c r="BK165">
        <v>44109</v>
      </c>
      <c r="BL165">
        <v>44356</v>
      </c>
      <c r="BM165">
        <v>8505</v>
      </c>
      <c r="BN165">
        <v>8505</v>
      </c>
      <c r="BO165">
        <v>8505</v>
      </c>
      <c r="BP165">
        <v>25515</v>
      </c>
      <c r="BQ165">
        <v>3300</v>
      </c>
      <c r="BR165">
        <v>400</v>
      </c>
      <c r="BS165">
        <v>400</v>
      </c>
      <c r="BT165">
        <v>4100</v>
      </c>
      <c r="BU165">
        <v>2100</v>
      </c>
      <c r="BV165">
        <v>2100</v>
      </c>
      <c r="BW165">
        <v>2100</v>
      </c>
      <c r="BX165">
        <v>6300</v>
      </c>
      <c r="BY165">
        <v>1200</v>
      </c>
      <c r="BZ165">
        <v>1200</v>
      </c>
      <c r="CA165">
        <v>1200</v>
      </c>
      <c r="CB165">
        <v>3600</v>
      </c>
      <c r="CC165">
        <v>0</v>
      </c>
      <c r="CD165">
        <v>0</v>
      </c>
      <c r="CE165">
        <v>0</v>
      </c>
      <c r="CF165">
        <v>0</v>
      </c>
      <c r="CG165">
        <v>39515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1700</v>
      </c>
      <c r="CU165">
        <v>1700</v>
      </c>
      <c r="CV165">
        <v>1700</v>
      </c>
      <c r="CW165">
        <v>5100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N165">
        <v>0</v>
      </c>
      <c r="DO165">
        <v>0</v>
      </c>
      <c r="DP165">
        <v>0</v>
      </c>
      <c r="DR165">
        <v>0</v>
      </c>
      <c r="DS165">
        <v>0</v>
      </c>
      <c r="DT165">
        <v>0</v>
      </c>
      <c r="DU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5100</v>
      </c>
      <c r="EE165">
        <v>0</v>
      </c>
      <c r="EF165">
        <v>0</v>
      </c>
      <c r="EG165">
        <v>0</v>
      </c>
      <c r="EH165">
        <v>0</v>
      </c>
      <c r="EI165">
        <v>1154</v>
      </c>
      <c r="EJ165">
        <v>1154</v>
      </c>
      <c r="EK165">
        <v>1155</v>
      </c>
      <c r="EL165">
        <v>3500</v>
      </c>
      <c r="EM165">
        <v>37.065000000000005</v>
      </c>
      <c r="EN165">
        <v>660</v>
      </c>
      <c r="EO165">
        <v>660</v>
      </c>
      <c r="EP165">
        <v>659</v>
      </c>
      <c r="EQ165">
        <v>2000</v>
      </c>
      <c r="ER165">
        <v>21.18</v>
      </c>
      <c r="ES165">
        <v>0</v>
      </c>
      <c r="ET165">
        <v>0</v>
      </c>
      <c r="EU165">
        <v>0</v>
      </c>
      <c r="EV165">
        <v>0</v>
      </c>
      <c r="EW165">
        <v>0</v>
      </c>
      <c r="FA165">
        <v>0</v>
      </c>
      <c r="FE165">
        <v>0</v>
      </c>
      <c r="FI165">
        <v>0</v>
      </c>
      <c r="FJ165">
        <v>5441.7550000000001</v>
      </c>
      <c r="FK165">
        <v>34415</v>
      </c>
      <c r="FL165">
        <v>30258.631673489846</v>
      </c>
      <c r="FM165">
        <v>28973.244999999999</v>
      </c>
    </row>
    <row r="166" spans="1:169" x14ac:dyDescent="0.35">
      <c r="A166">
        <v>198522</v>
      </c>
      <c r="B166" t="s">
        <v>1382</v>
      </c>
      <c r="C166" t="s">
        <v>1383</v>
      </c>
      <c r="D166" t="s">
        <v>1384</v>
      </c>
      <c r="E166" s="43" t="s">
        <v>3297</v>
      </c>
      <c r="L166" s="43" t="s">
        <v>259</v>
      </c>
      <c r="M166" t="s">
        <v>1385</v>
      </c>
      <c r="N166" t="s">
        <v>1386</v>
      </c>
      <c r="O166" t="s">
        <v>1387</v>
      </c>
      <c r="P166" t="s">
        <v>553</v>
      </c>
      <c r="Q166" t="s">
        <v>1388</v>
      </c>
      <c r="R166">
        <v>3.8</v>
      </c>
      <c r="S166">
        <v>44109</v>
      </c>
      <c r="T166" t="s">
        <v>285</v>
      </c>
      <c r="U166" t="s">
        <v>286</v>
      </c>
      <c r="V166" t="s">
        <v>267</v>
      </c>
      <c r="W166" t="s">
        <v>268</v>
      </c>
      <c r="X166" t="s">
        <v>269</v>
      </c>
      <c r="Y166">
        <v>8883022894</v>
      </c>
      <c r="Z166" t="s">
        <v>270</v>
      </c>
      <c r="AA166" t="s">
        <v>271</v>
      </c>
      <c r="AB166">
        <v>0</v>
      </c>
      <c r="AC166">
        <v>0</v>
      </c>
      <c r="AD166" t="s">
        <v>313</v>
      </c>
      <c r="AE166" t="s">
        <v>354</v>
      </c>
      <c r="AF166">
        <v>6</v>
      </c>
      <c r="AG166" t="s">
        <v>446</v>
      </c>
      <c r="AH166" s="43" t="s">
        <v>259</v>
      </c>
      <c r="AI166" s="43" t="s">
        <v>259</v>
      </c>
      <c r="AJ166" s="43" t="s">
        <v>259</v>
      </c>
      <c r="AK166" s="43" t="s">
        <v>259</v>
      </c>
      <c r="AL166" s="43" t="s">
        <v>259</v>
      </c>
      <c r="AO166" s="23"/>
      <c r="AP166" s="23"/>
      <c r="AQ166" s="23"/>
      <c r="BD166" s="43" t="s">
        <v>259</v>
      </c>
      <c r="BE166" s="43" t="s">
        <v>259</v>
      </c>
      <c r="BF166" s="43" t="s">
        <v>259</v>
      </c>
      <c r="BG166" s="43" t="s">
        <v>259</v>
      </c>
      <c r="BH166" s="43" t="s">
        <v>259</v>
      </c>
      <c r="BI166" s="43" t="s">
        <v>259</v>
      </c>
      <c r="BJ166">
        <v>0</v>
      </c>
      <c r="BK166">
        <v>44109</v>
      </c>
      <c r="BL166">
        <v>44356</v>
      </c>
      <c r="BM166">
        <v>8505</v>
      </c>
      <c r="BN166">
        <v>8505</v>
      </c>
      <c r="BO166">
        <v>8505</v>
      </c>
      <c r="BP166">
        <v>25515</v>
      </c>
      <c r="BQ166">
        <v>3300</v>
      </c>
      <c r="BR166">
        <v>400</v>
      </c>
      <c r="BS166">
        <v>400</v>
      </c>
      <c r="BT166">
        <v>4100</v>
      </c>
      <c r="BU166">
        <v>2100</v>
      </c>
      <c r="BV166">
        <v>2100</v>
      </c>
      <c r="BW166">
        <v>2100</v>
      </c>
      <c r="BX166">
        <v>6300</v>
      </c>
      <c r="BY166">
        <v>1200</v>
      </c>
      <c r="BZ166">
        <v>1200</v>
      </c>
      <c r="CA166">
        <v>1200</v>
      </c>
      <c r="CB166">
        <v>3600</v>
      </c>
      <c r="CF166">
        <v>0</v>
      </c>
      <c r="CG166">
        <v>39515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750</v>
      </c>
      <c r="CU166">
        <v>750</v>
      </c>
      <c r="CV166">
        <v>750</v>
      </c>
      <c r="CW166">
        <v>2250</v>
      </c>
      <c r="CX166">
        <v>0</v>
      </c>
      <c r="CY166">
        <v>0</v>
      </c>
      <c r="CZ166">
        <v>0</v>
      </c>
      <c r="DA166">
        <v>0</v>
      </c>
      <c r="DB166">
        <v>1000</v>
      </c>
      <c r="DC166">
        <v>1000</v>
      </c>
      <c r="DD166">
        <v>1000</v>
      </c>
      <c r="DE166">
        <v>3000</v>
      </c>
      <c r="DF166">
        <v>0</v>
      </c>
      <c r="DG166">
        <v>0</v>
      </c>
      <c r="DH166">
        <v>0</v>
      </c>
      <c r="DN166">
        <v>0</v>
      </c>
      <c r="DO166">
        <v>0</v>
      </c>
      <c r="DP166">
        <v>0</v>
      </c>
      <c r="DR166">
        <v>0</v>
      </c>
      <c r="DS166">
        <v>0</v>
      </c>
      <c r="DT166">
        <v>0</v>
      </c>
      <c r="DY166">
        <v>0</v>
      </c>
      <c r="EC166">
        <v>0</v>
      </c>
      <c r="ED166">
        <v>5250</v>
      </c>
      <c r="EH166">
        <v>0</v>
      </c>
      <c r="EI166">
        <v>0</v>
      </c>
      <c r="EJ166">
        <v>0</v>
      </c>
      <c r="EK166">
        <v>0</v>
      </c>
      <c r="EM166">
        <v>0</v>
      </c>
      <c r="EN166">
        <v>660</v>
      </c>
      <c r="EO166">
        <v>660</v>
      </c>
      <c r="EP166">
        <v>659</v>
      </c>
      <c r="EQ166">
        <v>2000</v>
      </c>
      <c r="ER166">
        <v>21.24</v>
      </c>
      <c r="ES166">
        <v>0</v>
      </c>
      <c r="ET166">
        <v>0</v>
      </c>
      <c r="EU166">
        <v>0</v>
      </c>
      <c r="EW166">
        <v>0</v>
      </c>
      <c r="FA166">
        <v>0</v>
      </c>
      <c r="FE166">
        <v>0</v>
      </c>
      <c r="FI166">
        <v>0</v>
      </c>
      <c r="FJ166">
        <v>1978.76</v>
      </c>
      <c r="FK166">
        <v>34265</v>
      </c>
      <c r="FL166">
        <v>33718.606399866323</v>
      </c>
      <c r="FM166">
        <v>32286.240000000002</v>
      </c>
    </row>
    <row r="167" spans="1:169" x14ac:dyDescent="0.35">
      <c r="A167">
        <v>199355</v>
      </c>
      <c r="B167" t="s">
        <v>1382</v>
      </c>
      <c r="C167" t="s">
        <v>3546</v>
      </c>
      <c r="D167" t="s">
        <v>3547</v>
      </c>
      <c r="E167" s="43" t="s">
        <v>4218</v>
      </c>
      <c r="J167" t="s">
        <v>3425</v>
      </c>
      <c r="L167" s="43" t="s">
        <v>259</v>
      </c>
      <c r="M167" t="s">
        <v>3548</v>
      </c>
      <c r="N167" t="s">
        <v>3549</v>
      </c>
      <c r="O167" t="s">
        <v>3550</v>
      </c>
      <c r="P167" t="s">
        <v>342</v>
      </c>
      <c r="Q167" t="s">
        <v>3551</v>
      </c>
      <c r="R167">
        <v>3.2778</v>
      </c>
      <c r="S167">
        <v>44109</v>
      </c>
      <c r="T167" t="s">
        <v>311</v>
      </c>
      <c r="U167" t="s">
        <v>266</v>
      </c>
      <c r="V167" t="s">
        <v>267</v>
      </c>
      <c r="W167" t="s">
        <v>268</v>
      </c>
      <c r="X167" t="s">
        <v>269</v>
      </c>
      <c r="Y167">
        <v>8883022894</v>
      </c>
      <c r="Z167" t="s">
        <v>270</v>
      </c>
      <c r="AA167" t="s">
        <v>271</v>
      </c>
      <c r="AB167">
        <v>0</v>
      </c>
      <c r="AC167">
        <v>0</v>
      </c>
      <c r="AD167" t="s">
        <v>313</v>
      </c>
      <c r="AE167" t="s">
        <v>445</v>
      </c>
      <c r="AF167">
        <v>4</v>
      </c>
      <c r="AG167" t="s">
        <v>3345</v>
      </c>
      <c r="AH167" s="43" t="s">
        <v>259</v>
      </c>
      <c r="AI167" s="43" t="s">
        <v>259</v>
      </c>
      <c r="AJ167" s="43" t="s">
        <v>259</v>
      </c>
      <c r="AK167" s="43" t="s">
        <v>259</v>
      </c>
      <c r="AL167" s="43" t="s">
        <v>259</v>
      </c>
      <c r="AO167" s="23"/>
      <c r="AP167" s="23"/>
      <c r="AQ167" s="23"/>
      <c r="BD167" s="43" t="s">
        <v>259</v>
      </c>
      <c r="BE167" s="43" t="s">
        <v>259</v>
      </c>
      <c r="BF167" s="43" t="s">
        <v>259</v>
      </c>
      <c r="BG167" s="43" t="s">
        <v>259</v>
      </c>
      <c r="BH167" s="43" t="s">
        <v>259</v>
      </c>
      <c r="BI167" s="43" t="s">
        <v>259</v>
      </c>
      <c r="BJ167">
        <v>0</v>
      </c>
      <c r="BK167">
        <v>44109</v>
      </c>
      <c r="BL167">
        <v>44356</v>
      </c>
      <c r="BM167">
        <v>8505</v>
      </c>
      <c r="BN167">
        <v>8505</v>
      </c>
      <c r="BO167">
        <v>8505</v>
      </c>
      <c r="BP167">
        <v>25515</v>
      </c>
      <c r="BQ167">
        <v>3300</v>
      </c>
      <c r="BR167">
        <v>400</v>
      </c>
      <c r="BS167">
        <v>400</v>
      </c>
      <c r="BT167">
        <v>4100</v>
      </c>
      <c r="BU167">
        <v>2100</v>
      </c>
      <c r="BV167">
        <v>2100</v>
      </c>
      <c r="BW167">
        <v>2100</v>
      </c>
      <c r="BX167">
        <v>6300</v>
      </c>
      <c r="BY167">
        <v>1200</v>
      </c>
      <c r="BZ167">
        <v>1200</v>
      </c>
      <c r="CA167">
        <v>1200</v>
      </c>
      <c r="CB167">
        <v>3600</v>
      </c>
      <c r="CF167">
        <v>0</v>
      </c>
      <c r="CG167">
        <v>39515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1250</v>
      </c>
      <c r="CU167">
        <v>1250</v>
      </c>
      <c r="CV167">
        <v>1250</v>
      </c>
      <c r="CW167">
        <v>3750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N167">
        <v>0</v>
      </c>
      <c r="DO167">
        <v>0</v>
      </c>
      <c r="DP167">
        <v>0</v>
      </c>
      <c r="DR167">
        <v>0</v>
      </c>
      <c r="DS167">
        <v>0</v>
      </c>
      <c r="DT167">
        <v>0</v>
      </c>
      <c r="DY167">
        <v>0</v>
      </c>
      <c r="EC167">
        <v>0</v>
      </c>
      <c r="ED167">
        <v>3750</v>
      </c>
      <c r="EH167">
        <v>0</v>
      </c>
      <c r="EI167">
        <v>0</v>
      </c>
      <c r="EJ167">
        <v>0</v>
      </c>
      <c r="EK167">
        <v>0</v>
      </c>
      <c r="EM167">
        <v>0</v>
      </c>
      <c r="EN167">
        <v>660</v>
      </c>
      <c r="EO167">
        <v>660</v>
      </c>
      <c r="EP167">
        <v>659</v>
      </c>
      <c r="EQ167">
        <v>2000</v>
      </c>
      <c r="ER167">
        <v>21.24</v>
      </c>
      <c r="ES167">
        <v>0</v>
      </c>
      <c r="ET167">
        <v>0</v>
      </c>
      <c r="EU167">
        <v>0</v>
      </c>
      <c r="EW167">
        <v>0</v>
      </c>
      <c r="FA167">
        <v>0</v>
      </c>
      <c r="FE167">
        <v>0</v>
      </c>
      <c r="FI167">
        <v>0</v>
      </c>
      <c r="FJ167">
        <v>1978.76</v>
      </c>
      <c r="FK167">
        <v>35765</v>
      </c>
      <c r="FL167">
        <v>35285.153312724535</v>
      </c>
      <c r="FM167">
        <v>33786.239999999998</v>
      </c>
    </row>
    <row r="168" spans="1:169" x14ac:dyDescent="0.35">
      <c r="A168">
        <v>198763</v>
      </c>
      <c r="B168" t="s">
        <v>1382</v>
      </c>
      <c r="C168" t="s">
        <v>1389</v>
      </c>
      <c r="D168" t="s">
        <v>1390</v>
      </c>
      <c r="E168" s="43" t="s">
        <v>1391</v>
      </c>
      <c r="L168" s="43" t="s">
        <v>259</v>
      </c>
      <c r="M168" t="s">
        <v>1392</v>
      </c>
      <c r="N168" t="s">
        <v>1393</v>
      </c>
      <c r="O168" t="s">
        <v>1394</v>
      </c>
      <c r="P168" t="s">
        <v>705</v>
      </c>
      <c r="Q168" t="s">
        <v>1395</v>
      </c>
      <c r="R168">
        <v>2.7</v>
      </c>
      <c r="S168">
        <v>44109</v>
      </c>
      <c r="T168" t="s">
        <v>311</v>
      </c>
      <c r="U168" t="s">
        <v>286</v>
      </c>
      <c r="V168" t="s">
        <v>267</v>
      </c>
      <c r="W168" t="s">
        <v>268</v>
      </c>
      <c r="X168" t="s">
        <v>269</v>
      </c>
      <c r="Y168">
        <v>8883022894</v>
      </c>
      <c r="Z168" t="s">
        <v>270</v>
      </c>
      <c r="AA168" t="s">
        <v>271</v>
      </c>
      <c r="AB168">
        <v>0</v>
      </c>
      <c r="AC168">
        <v>0</v>
      </c>
      <c r="AD168" t="s">
        <v>313</v>
      </c>
      <c r="AE168" t="s">
        <v>274</v>
      </c>
      <c r="AF168">
        <v>9</v>
      </c>
      <c r="AG168" t="s">
        <v>275</v>
      </c>
      <c r="AH168" s="43" t="s">
        <v>259</v>
      </c>
      <c r="AI168" s="43" t="s">
        <v>259</v>
      </c>
      <c r="AJ168" s="43" t="s">
        <v>259</v>
      </c>
      <c r="AK168" s="43" t="s">
        <v>259</v>
      </c>
      <c r="AL168" s="43" t="s">
        <v>259</v>
      </c>
      <c r="AO168" s="23"/>
      <c r="AP168" s="23"/>
      <c r="AQ168" s="23"/>
      <c r="BD168" s="43" t="s">
        <v>259</v>
      </c>
      <c r="BE168" s="43" t="s">
        <v>259</v>
      </c>
      <c r="BF168" s="43" t="s">
        <v>259</v>
      </c>
      <c r="BG168" s="43" t="s">
        <v>259</v>
      </c>
      <c r="BH168" s="43" t="s">
        <v>259</v>
      </c>
      <c r="BI168" s="43" t="s">
        <v>259</v>
      </c>
      <c r="BJ168">
        <v>0</v>
      </c>
      <c r="BK168">
        <v>44109</v>
      </c>
      <c r="BL168">
        <v>44356</v>
      </c>
      <c r="BM168">
        <v>8505</v>
      </c>
      <c r="BN168">
        <v>8505</v>
      </c>
      <c r="BO168">
        <v>8505</v>
      </c>
      <c r="BP168">
        <v>25515</v>
      </c>
      <c r="BQ168">
        <v>3300</v>
      </c>
      <c r="BR168">
        <v>400</v>
      </c>
      <c r="BS168">
        <v>400</v>
      </c>
      <c r="BT168">
        <v>4100</v>
      </c>
      <c r="BU168">
        <v>2100</v>
      </c>
      <c r="BV168">
        <v>2100</v>
      </c>
      <c r="BW168">
        <v>2100</v>
      </c>
      <c r="BX168">
        <v>6300</v>
      </c>
      <c r="BY168">
        <v>1200</v>
      </c>
      <c r="BZ168">
        <v>1200</v>
      </c>
      <c r="CA168">
        <v>1200</v>
      </c>
      <c r="CB168">
        <v>3600</v>
      </c>
      <c r="CC168">
        <v>0</v>
      </c>
      <c r="CD168">
        <v>0</v>
      </c>
      <c r="CE168">
        <v>0</v>
      </c>
      <c r="CF168">
        <v>0</v>
      </c>
      <c r="CG168">
        <v>39515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1000</v>
      </c>
      <c r="DC168">
        <v>1000</v>
      </c>
      <c r="DD168">
        <v>1000</v>
      </c>
      <c r="DE168">
        <v>3000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3000</v>
      </c>
      <c r="EE168">
        <v>0</v>
      </c>
      <c r="EF168">
        <v>0</v>
      </c>
      <c r="EG168">
        <v>0</v>
      </c>
      <c r="EH168">
        <v>0</v>
      </c>
      <c r="EI168">
        <v>1154</v>
      </c>
      <c r="EJ168">
        <v>1154</v>
      </c>
      <c r="EK168">
        <v>1155</v>
      </c>
      <c r="EL168">
        <v>3500</v>
      </c>
      <c r="EM168">
        <v>37.065000000000005</v>
      </c>
      <c r="EN168">
        <v>660</v>
      </c>
      <c r="EO168">
        <v>660</v>
      </c>
      <c r="EP168">
        <v>659</v>
      </c>
      <c r="EQ168">
        <v>2000</v>
      </c>
      <c r="ER168">
        <v>21.18</v>
      </c>
      <c r="ES168">
        <v>0</v>
      </c>
      <c r="ET168">
        <v>0</v>
      </c>
      <c r="EU168">
        <v>0</v>
      </c>
      <c r="EV168">
        <v>0</v>
      </c>
      <c r="EW168">
        <v>0</v>
      </c>
      <c r="FA168">
        <v>0</v>
      </c>
      <c r="FE168">
        <v>0</v>
      </c>
      <c r="FI168">
        <v>0</v>
      </c>
      <c r="FJ168">
        <v>5441.7550000000001</v>
      </c>
      <c r="FK168">
        <v>36515</v>
      </c>
      <c r="FL168">
        <v>32447.730880080198</v>
      </c>
      <c r="FM168">
        <v>31073.245000000003</v>
      </c>
    </row>
    <row r="169" spans="1:169" x14ac:dyDescent="0.35">
      <c r="A169">
        <v>192847</v>
      </c>
      <c r="B169" t="s">
        <v>3936</v>
      </c>
      <c r="C169" t="s">
        <v>2607</v>
      </c>
      <c r="D169" t="s">
        <v>3937</v>
      </c>
      <c r="E169" s="43" t="s">
        <v>4219</v>
      </c>
      <c r="J169" t="s">
        <v>3830</v>
      </c>
      <c r="L169" s="43" t="s">
        <v>259</v>
      </c>
      <c r="M169" t="s">
        <v>3938</v>
      </c>
      <c r="N169" t="s">
        <v>3939</v>
      </c>
      <c r="O169" t="s">
        <v>3940</v>
      </c>
      <c r="P169" t="s">
        <v>1296</v>
      </c>
      <c r="Q169" t="s">
        <v>3941</v>
      </c>
      <c r="R169">
        <v>3</v>
      </c>
      <c r="S169">
        <v>44109</v>
      </c>
      <c r="T169" t="s">
        <v>285</v>
      </c>
      <c r="U169" t="s">
        <v>266</v>
      </c>
      <c r="V169" t="s">
        <v>267</v>
      </c>
      <c r="W169" t="s">
        <v>268</v>
      </c>
      <c r="X169" t="s">
        <v>269</v>
      </c>
      <c r="Y169">
        <v>8883022894</v>
      </c>
      <c r="Z169" t="s">
        <v>270</v>
      </c>
      <c r="AA169" t="s">
        <v>271</v>
      </c>
      <c r="AB169">
        <v>0</v>
      </c>
      <c r="AC169">
        <v>0</v>
      </c>
      <c r="AD169" t="s">
        <v>313</v>
      </c>
      <c r="AE169" t="s">
        <v>324</v>
      </c>
      <c r="AF169">
        <v>8</v>
      </c>
      <c r="AG169" t="s">
        <v>3345</v>
      </c>
      <c r="AH169" s="43" t="s">
        <v>259</v>
      </c>
      <c r="AI169" s="43" t="s">
        <v>259</v>
      </c>
      <c r="AJ169" s="43" t="s">
        <v>259</v>
      </c>
      <c r="AK169" s="43" t="s">
        <v>259</v>
      </c>
      <c r="AL169" s="43" t="s">
        <v>259</v>
      </c>
      <c r="AO169" s="23"/>
      <c r="AP169" s="23"/>
      <c r="AQ169" s="23"/>
      <c r="BD169" s="43" t="s">
        <v>259</v>
      </c>
      <c r="BE169" s="43" t="s">
        <v>259</v>
      </c>
      <c r="BF169" s="43" t="s">
        <v>259</v>
      </c>
      <c r="BG169" s="43" t="s">
        <v>259</v>
      </c>
      <c r="BH169" s="43" t="s">
        <v>259</v>
      </c>
      <c r="BI169" s="43" t="s">
        <v>259</v>
      </c>
      <c r="BJ169">
        <v>0</v>
      </c>
      <c r="BK169">
        <v>44109</v>
      </c>
      <c r="BL169">
        <v>44356</v>
      </c>
      <c r="BP169">
        <v>0</v>
      </c>
      <c r="BT169">
        <v>0</v>
      </c>
      <c r="BX169">
        <v>0</v>
      </c>
      <c r="CB169">
        <v>0</v>
      </c>
      <c r="CF169">
        <v>0</v>
      </c>
      <c r="CG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N169">
        <v>0</v>
      </c>
      <c r="DO169">
        <v>0</v>
      </c>
      <c r="DP169">
        <v>0</v>
      </c>
      <c r="DR169">
        <v>0</v>
      </c>
      <c r="DS169">
        <v>0</v>
      </c>
      <c r="DT169">
        <v>0</v>
      </c>
      <c r="DY169">
        <v>0</v>
      </c>
      <c r="EC169">
        <v>0</v>
      </c>
      <c r="ED169">
        <v>0</v>
      </c>
      <c r="EH169">
        <v>0</v>
      </c>
      <c r="EI169">
        <v>0</v>
      </c>
      <c r="EJ169">
        <v>0</v>
      </c>
      <c r="EK169">
        <v>0</v>
      </c>
      <c r="EM169">
        <v>0</v>
      </c>
      <c r="EN169">
        <v>660</v>
      </c>
      <c r="EO169">
        <v>660</v>
      </c>
      <c r="EP169">
        <v>659</v>
      </c>
      <c r="EQ169">
        <v>2000</v>
      </c>
      <c r="ER169">
        <v>21.24</v>
      </c>
      <c r="ES169">
        <v>0</v>
      </c>
      <c r="ET169">
        <v>0</v>
      </c>
      <c r="EU169">
        <v>0</v>
      </c>
      <c r="EW169">
        <v>0</v>
      </c>
      <c r="FA169">
        <v>0</v>
      </c>
      <c r="FE169">
        <v>0</v>
      </c>
      <c r="FI169">
        <v>0</v>
      </c>
      <c r="FJ169">
        <v>1978.76</v>
      </c>
      <c r="FK169">
        <v>0</v>
      </c>
      <c r="FL169">
        <v>-2066.5469128582172</v>
      </c>
      <c r="FM169">
        <v>-1978.76</v>
      </c>
    </row>
    <row r="170" spans="1:169" x14ac:dyDescent="0.35">
      <c r="A170">
        <v>198761</v>
      </c>
      <c r="B170" t="s">
        <v>1396</v>
      </c>
      <c r="C170" t="s">
        <v>896</v>
      </c>
      <c r="D170" t="s">
        <v>1397</v>
      </c>
      <c r="E170" s="43" t="s">
        <v>1398</v>
      </c>
      <c r="L170" s="43" t="s">
        <v>259</v>
      </c>
      <c r="M170" t="s">
        <v>1399</v>
      </c>
      <c r="N170" t="s">
        <v>1400</v>
      </c>
      <c r="O170" t="s">
        <v>1401</v>
      </c>
      <c r="P170" t="s">
        <v>342</v>
      </c>
      <c r="Q170" t="s">
        <v>1402</v>
      </c>
      <c r="R170">
        <v>3.6</v>
      </c>
      <c r="S170">
        <v>44109</v>
      </c>
      <c r="T170" t="s">
        <v>311</v>
      </c>
      <c r="U170" t="s">
        <v>266</v>
      </c>
      <c r="V170" t="s">
        <v>267</v>
      </c>
      <c r="W170" t="s">
        <v>268</v>
      </c>
      <c r="X170" t="s">
        <v>269</v>
      </c>
      <c r="Y170">
        <v>8883022894</v>
      </c>
      <c r="Z170" t="s">
        <v>270</v>
      </c>
      <c r="AA170" t="s">
        <v>271</v>
      </c>
      <c r="AB170">
        <v>0</v>
      </c>
      <c r="AC170" t="s">
        <v>414</v>
      </c>
      <c r="AD170" t="s">
        <v>1381</v>
      </c>
      <c r="AE170" t="s">
        <v>364</v>
      </c>
      <c r="AF170">
        <v>3</v>
      </c>
      <c r="AG170" t="s">
        <v>275</v>
      </c>
      <c r="AH170" s="43" t="s">
        <v>259</v>
      </c>
      <c r="AI170" s="43" t="s">
        <v>259</v>
      </c>
      <c r="AJ170" s="43" t="s">
        <v>259</v>
      </c>
      <c r="AK170" s="43" t="s">
        <v>259</v>
      </c>
      <c r="AL170" s="43" t="s">
        <v>259</v>
      </c>
      <c r="AO170" s="23"/>
      <c r="AP170" s="23"/>
      <c r="AQ170" s="23"/>
      <c r="BD170" s="43" t="s">
        <v>259</v>
      </c>
      <c r="BE170" s="43" t="s">
        <v>259</v>
      </c>
      <c r="BF170" s="43" t="s">
        <v>259</v>
      </c>
      <c r="BG170" s="43" t="s">
        <v>259</v>
      </c>
      <c r="BH170" s="43" t="s">
        <v>259</v>
      </c>
      <c r="BI170" s="43" t="s">
        <v>259</v>
      </c>
      <c r="BJ170">
        <v>0</v>
      </c>
      <c r="BK170">
        <v>44109</v>
      </c>
      <c r="BL170">
        <v>44356</v>
      </c>
      <c r="BM170">
        <v>8505</v>
      </c>
      <c r="BN170">
        <v>8505</v>
      </c>
      <c r="BO170">
        <v>8505</v>
      </c>
      <c r="BP170">
        <v>25515</v>
      </c>
      <c r="BQ170">
        <v>3300</v>
      </c>
      <c r="BR170">
        <v>400</v>
      </c>
      <c r="BS170">
        <v>400</v>
      </c>
      <c r="BT170">
        <v>4100</v>
      </c>
      <c r="BU170">
        <v>2100</v>
      </c>
      <c r="BV170">
        <v>2100</v>
      </c>
      <c r="BW170">
        <v>2100</v>
      </c>
      <c r="BX170">
        <v>6300</v>
      </c>
      <c r="BY170">
        <v>1200</v>
      </c>
      <c r="BZ170">
        <v>1200</v>
      </c>
      <c r="CA170">
        <v>1200</v>
      </c>
      <c r="CB170">
        <v>3600</v>
      </c>
      <c r="CC170">
        <v>0</v>
      </c>
      <c r="CD170">
        <v>0</v>
      </c>
      <c r="CE170">
        <v>0</v>
      </c>
      <c r="CF170">
        <v>0</v>
      </c>
      <c r="CG170">
        <v>39515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3825</v>
      </c>
      <c r="CU170">
        <v>3825</v>
      </c>
      <c r="CV170">
        <v>3825</v>
      </c>
      <c r="CW170">
        <v>11475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11475</v>
      </c>
      <c r="EE170">
        <v>0</v>
      </c>
      <c r="EF170">
        <v>0</v>
      </c>
      <c r="EG170">
        <v>0</v>
      </c>
      <c r="EH170">
        <v>0</v>
      </c>
      <c r="EI170">
        <v>1154</v>
      </c>
      <c r="EJ170">
        <v>1154</v>
      </c>
      <c r="EK170">
        <v>1155</v>
      </c>
      <c r="EL170">
        <v>3500</v>
      </c>
      <c r="EM170">
        <v>37.065000000000005</v>
      </c>
      <c r="EN170">
        <v>660</v>
      </c>
      <c r="EO170">
        <v>660</v>
      </c>
      <c r="EP170">
        <v>659</v>
      </c>
      <c r="EQ170">
        <v>2000</v>
      </c>
      <c r="ER170">
        <v>21.18</v>
      </c>
      <c r="ES170">
        <v>0</v>
      </c>
      <c r="ET170">
        <v>0</v>
      </c>
      <c r="EU170">
        <v>0</v>
      </c>
      <c r="EV170">
        <v>0</v>
      </c>
      <c r="EW170">
        <v>0</v>
      </c>
      <c r="FA170">
        <v>0</v>
      </c>
      <c r="FE170">
        <v>0</v>
      </c>
      <c r="FI170">
        <v>0</v>
      </c>
      <c r="FJ170">
        <v>5441.7550000000001</v>
      </c>
      <c r="FK170">
        <v>28040</v>
      </c>
      <c r="FL170">
        <v>23597.849922726706</v>
      </c>
      <c r="FM170">
        <v>22598.244999999999</v>
      </c>
    </row>
    <row r="171" spans="1:169" x14ac:dyDescent="0.35">
      <c r="A171">
        <v>197549</v>
      </c>
      <c r="B171" t="s">
        <v>1403</v>
      </c>
      <c r="C171" t="s">
        <v>1404</v>
      </c>
      <c r="D171" t="s">
        <v>1405</v>
      </c>
      <c r="E171" s="43" t="s">
        <v>1406</v>
      </c>
      <c r="F171">
        <v>1</v>
      </c>
      <c r="I171" s="23">
        <v>43783</v>
      </c>
      <c r="L171" s="43" t="s">
        <v>344</v>
      </c>
      <c r="M171" t="s">
        <v>1407</v>
      </c>
      <c r="N171" t="s">
        <v>1408</v>
      </c>
      <c r="O171" t="s">
        <v>1409</v>
      </c>
      <c r="P171" t="s">
        <v>705</v>
      </c>
      <c r="Q171" t="s">
        <v>1410</v>
      </c>
      <c r="R171">
        <v>3.7957999999999998</v>
      </c>
      <c r="S171">
        <v>44109</v>
      </c>
      <c r="T171" t="s">
        <v>311</v>
      </c>
      <c r="U171" t="s">
        <v>286</v>
      </c>
      <c r="V171" t="s">
        <v>267</v>
      </c>
      <c r="W171" t="s">
        <v>268</v>
      </c>
      <c r="X171" t="s">
        <v>269</v>
      </c>
      <c r="Y171">
        <v>8883022894</v>
      </c>
      <c r="Z171" t="s">
        <v>270</v>
      </c>
      <c r="AA171" t="s">
        <v>271</v>
      </c>
      <c r="AB171" t="s">
        <v>598</v>
      </c>
      <c r="AC171" t="s">
        <v>770</v>
      </c>
      <c r="AD171" t="s">
        <v>1411</v>
      </c>
      <c r="AE171" t="s">
        <v>301</v>
      </c>
      <c r="AF171">
        <v>1</v>
      </c>
      <c r="AG171" t="s">
        <v>275</v>
      </c>
      <c r="AH171" s="43" t="s">
        <v>313</v>
      </c>
      <c r="AI171" s="43" t="s">
        <v>313</v>
      </c>
      <c r="AJ171" s="43" t="s">
        <v>3207</v>
      </c>
      <c r="AK171" s="43" t="s">
        <v>3208</v>
      </c>
      <c r="AL171" s="43" t="s">
        <v>3209</v>
      </c>
      <c r="AO171" s="23"/>
      <c r="AP171" s="23"/>
      <c r="AQ171" s="23"/>
      <c r="BD171" s="43" t="s">
        <v>2018</v>
      </c>
      <c r="BE171" s="43" t="s">
        <v>2018</v>
      </c>
      <c r="BF171" s="43" t="s">
        <v>2018</v>
      </c>
      <c r="BG171" s="43" t="s">
        <v>2018</v>
      </c>
      <c r="BH171" s="43" t="s">
        <v>2018</v>
      </c>
      <c r="BI171" s="43" t="s">
        <v>2018</v>
      </c>
      <c r="BJ171">
        <v>0</v>
      </c>
      <c r="BK171">
        <v>44109</v>
      </c>
      <c r="BL171">
        <v>44356</v>
      </c>
      <c r="BM171">
        <v>8505</v>
      </c>
      <c r="BN171">
        <v>8505</v>
      </c>
      <c r="BO171">
        <v>8505</v>
      </c>
      <c r="BP171">
        <v>25515</v>
      </c>
      <c r="BQ171">
        <v>3300</v>
      </c>
      <c r="BR171">
        <v>400</v>
      </c>
      <c r="BS171">
        <v>400</v>
      </c>
      <c r="BT171">
        <v>4100</v>
      </c>
      <c r="BU171">
        <v>2100</v>
      </c>
      <c r="BV171">
        <v>2100</v>
      </c>
      <c r="BW171">
        <v>2100</v>
      </c>
      <c r="BX171">
        <v>6300</v>
      </c>
      <c r="BY171">
        <v>1200</v>
      </c>
      <c r="BZ171">
        <v>1200</v>
      </c>
      <c r="CA171">
        <v>1200</v>
      </c>
      <c r="CB171">
        <v>3600</v>
      </c>
      <c r="CC171">
        <v>0</v>
      </c>
      <c r="CD171">
        <v>0</v>
      </c>
      <c r="CE171">
        <v>0</v>
      </c>
      <c r="CF171">
        <v>0</v>
      </c>
      <c r="CG171">
        <v>39515</v>
      </c>
      <c r="CH171">
        <v>0</v>
      </c>
      <c r="CI171">
        <v>0</v>
      </c>
      <c r="CJ171">
        <v>0</v>
      </c>
      <c r="CK171">
        <v>0</v>
      </c>
      <c r="CL171">
        <v>2065</v>
      </c>
      <c r="CM171">
        <v>2065</v>
      </c>
      <c r="CN171">
        <v>2065</v>
      </c>
      <c r="CO171">
        <v>6195</v>
      </c>
      <c r="CP171">
        <v>500</v>
      </c>
      <c r="CQ171">
        <v>500</v>
      </c>
      <c r="CR171">
        <v>500</v>
      </c>
      <c r="CS171">
        <v>1500</v>
      </c>
      <c r="CT171">
        <v>1700</v>
      </c>
      <c r="CU171">
        <v>1700</v>
      </c>
      <c r="CV171">
        <v>1700</v>
      </c>
      <c r="CW171">
        <v>5100</v>
      </c>
      <c r="CX171">
        <v>0</v>
      </c>
      <c r="CY171">
        <v>0</v>
      </c>
      <c r="CZ171">
        <v>0</v>
      </c>
      <c r="DA171">
        <v>0</v>
      </c>
      <c r="DB171">
        <v>1000</v>
      </c>
      <c r="DC171">
        <v>1000</v>
      </c>
      <c r="DD171">
        <v>1000</v>
      </c>
      <c r="DE171">
        <v>3000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15795</v>
      </c>
      <c r="EE171">
        <v>0</v>
      </c>
      <c r="EF171">
        <v>0</v>
      </c>
      <c r="EG171">
        <v>0</v>
      </c>
      <c r="EH171">
        <v>0</v>
      </c>
      <c r="EI171">
        <v>1154</v>
      </c>
      <c r="EJ171">
        <v>1154</v>
      </c>
      <c r="EK171">
        <v>1155</v>
      </c>
      <c r="EL171">
        <v>3500</v>
      </c>
      <c r="EM171">
        <v>37.065000000000005</v>
      </c>
      <c r="EN171">
        <v>660</v>
      </c>
      <c r="EO171">
        <v>660</v>
      </c>
      <c r="EP171">
        <v>659</v>
      </c>
      <c r="EQ171">
        <v>2000</v>
      </c>
      <c r="ER171">
        <v>21.18</v>
      </c>
      <c r="ES171">
        <v>0</v>
      </c>
      <c r="ET171">
        <v>0</v>
      </c>
      <c r="EU171">
        <v>0</v>
      </c>
      <c r="EV171">
        <v>0</v>
      </c>
      <c r="EW171">
        <v>0</v>
      </c>
      <c r="FA171">
        <v>0</v>
      </c>
      <c r="FE171">
        <v>0</v>
      </c>
      <c r="FI171">
        <v>0</v>
      </c>
      <c r="FJ171">
        <v>5441.7550000000001</v>
      </c>
      <c r="FK171">
        <v>23720</v>
      </c>
      <c r="FL171">
        <v>19086.7601603943</v>
      </c>
      <c r="FM171">
        <v>18278.244999999999</v>
      </c>
    </row>
    <row r="172" spans="1:169" x14ac:dyDescent="0.35">
      <c r="A172">
        <v>196217</v>
      </c>
      <c r="B172" t="s">
        <v>3552</v>
      </c>
      <c r="C172" t="s">
        <v>3553</v>
      </c>
      <c r="D172" t="s">
        <v>3554</v>
      </c>
      <c r="E172" s="43" t="s">
        <v>4220</v>
      </c>
      <c r="J172" t="s">
        <v>3425</v>
      </c>
      <c r="L172" s="43" t="s">
        <v>259</v>
      </c>
      <c r="M172" t="s">
        <v>3555</v>
      </c>
      <c r="N172" t="s">
        <v>3556</v>
      </c>
      <c r="O172" t="s">
        <v>3557</v>
      </c>
      <c r="P172" t="s">
        <v>372</v>
      </c>
      <c r="Q172" t="s">
        <v>3558</v>
      </c>
      <c r="R172">
        <v>4</v>
      </c>
      <c r="S172">
        <v>44109</v>
      </c>
      <c r="T172" t="s">
        <v>311</v>
      </c>
      <c r="U172" t="s">
        <v>266</v>
      </c>
      <c r="V172" t="s">
        <v>267</v>
      </c>
      <c r="W172" t="s">
        <v>268</v>
      </c>
      <c r="X172" t="s">
        <v>269</v>
      </c>
      <c r="Y172">
        <v>8883022894</v>
      </c>
      <c r="Z172" t="s">
        <v>270</v>
      </c>
      <c r="AA172" t="s">
        <v>271</v>
      </c>
      <c r="AB172">
        <v>0</v>
      </c>
      <c r="AC172">
        <v>0</v>
      </c>
      <c r="AD172" t="s">
        <v>313</v>
      </c>
      <c r="AE172" t="s">
        <v>364</v>
      </c>
      <c r="AF172">
        <v>3</v>
      </c>
      <c r="AG172" t="s">
        <v>3345</v>
      </c>
      <c r="AH172" s="43" t="s">
        <v>259</v>
      </c>
      <c r="AI172" s="43" t="s">
        <v>259</v>
      </c>
      <c r="AJ172" s="43" t="s">
        <v>259</v>
      </c>
      <c r="AK172" s="43" t="s">
        <v>259</v>
      </c>
      <c r="AL172" s="43" t="s">
        <v>259</v>
      </c>
      <c r="AO172" s="23"/>
      <c r="AP172" s="23"/>
      <c r="AQ172" s="23"/>
      <c r="BD172" s="43" t="s">
        <v>259</v>
      </c>
      <c r="BE172" s="43" t="s">
        <v>259</v>
      </c>
      <c r="BF172" s="43" t="s">
        <v>259</v>
      </c>
      <c r="BG172" s="43" t="s">
        <v>259</v>
      </c>
      <c r="BH172" s="43" t="s">
        <v>259</v>
      </c>
      <c r="BI172" s="43" t="s">
        <v>259</v>
      </c>
      <c r="BJ172">
        <v>0</v>
      </c>
      <c r="BK172">
        <v>44109</v>
      </c>
      <c r="BL172">
        <v>44356</v>
      </c>
      <c r="BM172">
        <v>8505</v>
      </c>
      <c r="BN172">
        <v>8505</v>
      </c>
      <c r="BO172">
        <v>8505</v>
      </c>
      <c r="BP172">
        <v>25515</v>
      </c>
      <c r="BQ172">
        <v>3300</v>
      </c>
      <c r="BR172">
        <v>400</v>
      </c>
      <c r="BS172">
        <v>400</v>
      </c>
      <c r="BT172">
        <v>4100</v>
      </c>
      <c r="BU172">
        <v>2100</v>
      </c>
      <c r="BV172">
        <v>2100</v>
      </c>
      <c r="BW172">
        <v>2100</v>
      </c>
      <c r="BX172">
        <v>6300</v>
      </c>
      <c r="BY172">
        <v>1200</v>
      </c>
      <c r="BZ172">
        <v>1200</v>
      </c>
      <c r="CA172">
        <v>1200</v>
      </c>
      <c r="CB172">
        <v>3600</v>
      </c>
      <c r="CF172">
        <v>0</v>
      </c>
      <c r="CG172">
        <v>39515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1300</v>
      </c>
      <c r="CU172">
        <v>1300</v>
      </c>
      <c r="CV172">
        <v>1300</v>
      </c>
      <c r="CW172">
        <v>3900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N172">
        <v>0</v>
      </c>
      <c r="DO172">
        <v>0</v>
      </c>
      <c r="DP172">
        <v>0</v>
      </c>
      <c r="DR172">
        <v>0</v>
      </c>
      <c r="DS172">
        <v>0</v>
      </c>
      <c r="DT172">
        <v>0</v>
      </c>
      <c r="DY172">
        <v>0</v>
      </c>
      <c r="EC172">
        <v>0</v>
      </c>
      <c r="ED172">
        <v>3900</v>
      </c>
      <c r="EH172">
        <v>0</v>
      </c>
      <c r="EI172">
        <v>0</v>
      </c>
      <c r="EJ172">
        <v>0</v>
      </c>
      <c r="EK172">
        <v>0</v>
      </c>
      <c r="EM172">
        <v>0</v>
      </c>
      <c r="EN172">
        <v>660</v>
      </c>
      <c r="EO172">
        <v>660</v>
      </c>
      <c r="EP172">
        <v>659</v>
      </c>
      <c r="EQ172">
        <v>2000</v>
      </c>
      <c r="ER172">
        <v>21.24</v>
      </c>
      <c r="ES172">
        <v>0</v>
      </c>
      <c r="ET172">
        <v>0</v>
      </c>
      <c r="EU172">
        <v>0</v>
      </c>
      <c r="EW172">
        <v>0</v>
      </c>
      <c r="FA172">
        <v>0</v>
      </c>
      <c r="FE172">
        <v>0</v>
      </c>
      <c r="FI172">
        <v>0</v>
      </c>
      <c r="FJ172">
        <v>1978.76</v>
      </c>
      <c r="FK172">
        <v>35615</v>
      </c>
      <c r="FL172">
        <v>35128.49862143871</v>
      </c>
      <c r="FM172">
        <v>33636.239999999998</v>
      </c>
    </row>
    <row r="173" spans="1:169" x14ac:dyDescent="0.35">
      <c r="A173">
        <v>195366</v>
      </c>
      <c r="B173" t="s">
        <v>3559</v>
      </c>
      <c r="C173" t="s">
        <v>1987</v>
      </c>
      <c r="D173" t="s">
        <v>3560</v>
      </c>
      <c r="E173" s="43" t="s">
        <v>4221</v>
      </c>
      <c r="J173" t="s">
        <v>3425</v>
      </c>
      <c r="L173" s="43" t="s">
        <v>259</v>
      </c>
      <c r="M173" t="s">
        <v>3561</v>
      </c>
      <c r="N173" t="s">
        <v>3562</v>
      </c>
      <c r="O173" t="s">
        <v>3563</v>
      </c>
      <c r="P173" t="s">
        <v>596</v>
      </c>
      <c r="Q173" t="s">
        <v>3564</v>
      </c>
      <c r="R173">
        <v>2.5830000000000002</v>
      </c>
      <c r="S173">
        <v>44109</v>
      </c>
      <c r="T173" t="s">
        <v>265</v>
      </c>
      <c r="U173" t="s">
        <v>266</v>
      </c>
      <c r="V173" t="s">
        <v>267</v>
      </c>
      <c r="W173" t="s">
        <v>268</v>
      </c>
      <c r="X173" t="s">
        <v>269</v>
      </c>
      <c r="Y173">
        <v>8883022894</v>
      </c>
      <c r="Z173" t="s">
        <v>508</v>
      </c>
      <c r="AA173" t="s">
        <v>271</v>
      </c>
      <c r="AB173" t="s">
        <v>272</v>
      </c>
      <c r="AC173">
        <v>0</v>
      </c>
      <c r="AD173" t="s">
        <v>1372</v>
      </c>
      <c r="AE173" t="s">
        <v>274</v>
      </c>
      <c r="AF173">
        <v>9</v>
      </c>
      <c r="AG173" t="s">
        <v>3345</v>
      </c>
      <c r="AH173" s="43" t="s">
        <v>259</v>
      </c>
      <c r="AI173" s="43" t="s">
        <v>259</v>
      </c>
      <c r="AJ173" s="43" t="s">
        <v>259</v>
      </c>
      <c r="AK173" s="43" t="s">
        <v>259</v>
      </c>
      <c r="AL173" s="43" t="s">
        <v>259</v>
      </c>
      <c r="AO173" s="23"/>
      <c r="AP173" s="23"/>
      <c r="AQ173" s="23"/>
      <c r="BD173" s="43" t="s">
        <v>259</v>
      </c>
      <c r="BE173" s="43" t="s">
        <v>259</v>
      </c>
      <c r="BF173" s="43" t="s">
        <v>259</v>
      </c>
      <c r="BG173" s="43" t="s">
        <v>259</v>
      </c>
      <c r="BH173" s="43" t="s">
        <v>259</v>
      </c>
      <c r="BI173" s="43" t="s">
        <v>259</v>
      </c>
      <c r="BJ173">
        <v>0</v>
      </c>
      <c r="BK173">
        <v>44109</v>
      </c>
      <c r="BL173">
        <v>44356</v>
      </c>
      <c r="BM173">
        <v>8505</v>
      </c>
      <c r="BN173">
        <v>8505</v>
      </c>
      <c r="BO173">
        <v>8505</v>
      </c>
      <c r="BP173">
        <v>25515</v>
      </c>
      <c r="BQ173">
        <v>3300</v>
      </c>
      <c r="BR173">
        <v>400</v>
      </c>
      <c r="BS173">
        <v>400</v>
      </c>
      <c r="BT173">
        <v>4100</v>
      </c>
      <c r="BU173">
        <v>2100</v>
      </c>
      <c r="BV173">
        <v>2100</v>
      </c>
      <c r="BW173">
        <v>2100</v>
      </c>
      <c r="BX173">
        <v>6300</v>
      </c>
      <c r="BY173">
        <v>1200</v>
      </c>
      <c r="BZ173">
        <v>1200</v>
      </c>
      <c r="CA173">
        <v>1200</v>
      </c>
      <c r="CB173">
        <v>3600</v>
      </c>
      <c r="CF173">
        <v>0</v>
      </c>
      <c r="CG173">
        <v>39515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N173">
        <v>0</v>
      </c>
      <c r="DO173">
        <v>0</v>
      </c>
      <c r="DP173">
        <v>0</v>
      </c>
      <c r="DR173">
        <v>0</v>
      </c>
      <c r="DS173">
        <v>0</v>
      </c>
      <c r="DT173">
        <v>0</v>
      </c>
      <c r="DY173">
        <v>0</v>
      </c>
      <c r="EC173">
        <v>0</v>
      </c>
      <c r="ED173">
        <v>0</v>
      </c>
      <c r="EH173">
        <v>0</v>
      </c>
      <c r="EI173">
        <v>0</v>
      </c>
      <c r="EJ173">
        <v>0</v>
      </c>
      <c r="EK173">
        <v>0</v>
      </c>
      <c r="EM173">
        <v>0</v>
      </c>
      <c r="EN173">
        <v>660</v>
      </c>
      <c r="EO173">
        <v>660</v>
      </c>
      <c r="EP173">
        <v>659</v>
      </c>
      <c r="EQ173">
        <v>2000</v>
      </c>
      <c r="ER173">
        <v>21.24</v>
      </c>
      <c r="ES173">
        <v>0</v>
      </c>
      <c r="ET173">
        <v>0</v>
      </c>
      <c r="EU173">
        <v>0</v>
      </c>
      <c r="EW173">
        <v>0</v>
      </c>
      <c r="FA173">
        <v>0</v>
      </c>
      <c r="FE173">
        <v>0</v>
      </c>
      <c r="FI173">
        <v>0</v>
      </c>
      <c r="FJ173">
        <v>1978.76</v>
      </c>
      <c r="FK173">
        <v>39515</v>
      </c>
      <c r="FL173">
        <v>39201.520594870075</v>
      </c>
      <c r="FM173">
        <v>37536.239999999998</v>
      </c>
    </row>
    <row r="174" spans="1:169" x14ac:dyDescent="0.35">
      <c r="A174">
        <v>193206</v>
      </c>
      <c r="B174" t="s">
        <v>1412</v>
      </c>
      <c r="C174" t="s">
        <v>1413</v>
      </c>
      <c r="D174" t="s">
        <v>1414</v>
      </c>
      <c r="E174" s="43" t="s">
        <v>1415</v>
      </c>
      <c r="L174" s="43" t="s">
        <v>259</v>
      </c>
      <c r="M174" t="s">
        <v>1416</v>
      </c>
      <c r="N174" t="s">
        <v>1417</v>
      </c>
      <c r="O174" t="s">
        <v>1418</v>
      </c>
      <c r="P174" t="s">
        <v>687</v>
      </c>
      <c r="Q174" t="s">
        <v>1419</v>
      </c>
      <c r="R174">
        <v>3.6</v>
      </c>
      <c r="S174">
        <v>44109</v>
      </c>
      <c r="T174" t="s">
        <v>311</v>
      </c>
      <c r="U174" t="s">
        <v>266</v>
      </c>
      <c r="V174" t="s">
        <v>267</v>
      </c>
      <c r="W174" t="s">
        <v>268</v>
      </c>
      <c r="X174" t="s">
        <v>269</v>
      </c>
      <c r="Y174">
        <v>8883022894</v>
      </c>
      <c r="Z174" t="s">
        <v>270</v>
      </c>
      <c r="AA174" t="s">
        <v>271</v>
      </c>
      <c r="AB174" t="s">
        <v>562</v>
      </c>
      <c r="AC174">
        <v>0</v>
      </c>
      <c r="AD174" t="s">
        <v>1381</v>
      </c>
      <c r="AE174" t="s">
        <v>301</v>
      </c>
      <c r="AF174">
        <v>1</v>
      </c>
      <c r="AG174" t="s">
        <v>275</v>
      </c>
      <c r="AH174" s="43" t="s">
        <v>259</v>
      </c>
      <c r="AI174" s="43" t="s">
        <v>259</v>
      </c>
      <c r="AJ174" s="43" t="s">
        <v>259</v>
      </c>
      <c r="AK174" s="43" t="s">
        <v>259</v>
      </c>
      <c r="AL174" s="43" t="s">
        <v>259</v>
      </c>
      <c r="AO174" s="23"/>
      <c r="AP174" s="23"/>
      <c r="AQ174" s="23"/>
      <c r="BD174" s="43" t="s">
        <v>259</v>
      </c>
      <c r="BE174" s="43" t="s">
        <v>259</v>
      </c>
      <c r="BF174" s="43" t="s">
        <v>259</v>
      </c>
      <c r="BG174" s="43" t="s">
        <v>259</v>
      </c>
      <c r="BH174" s="43" t="s">
        <v>259</v>
      </c>
      <c r="BI174" s="43" t="s">
        <v>259</v>
      </c>
      <c r="BJ174">
        <v>0</v>
      </c>
      <c r="BK174">
        <v>44109</v>
      </c>
      <c r="BL174">
        <v>44356</v>
      </c>
      <c r="BM174">
        <v>8505</v>
      </c>
      <c r="BN174">
        <v>8505</v>
      </c>
      <c r="BO174">
        <v>8505</v>
      </c>
      <c r="BP174">
        <v>25515</v>
      </c>
      <c r="BQ174">
        <v>3300</v>
      </c>
      <c r="BR174">
        <v>400</v>
      </c>
      <c r="BS174">
        <v>400</v>
      </c>
      <c r="BT174">
        <v>4100</v>
      </c>
      <c r="BU174">
        <v>2100</v>
      </c>
      <c r="BV174">
        <v>2100</v>
      </c>
      <c r="BW174">
        <v>2100</v>
      </c>
      <c r="BX174">
        <v>6300</v>
      </c>
      <c r="BY174">
        <v>1200</v>
      </c>
      <c r="BZ174">
        <v>1200</v>
      </c>
      <c r="CA174">
        <v>1200</v>
      </c>
      <c r="CB174">
        <v>3600</v>
      </c>
      <c r="CC174">
        <v>0</v>
      </c>
      <c r="CD174">
        <v>0</v>
      </c>
      <c r="CE174">
        <v>0</v>
      </c>
      <c r="CF174">
        <v>0</v>
      </c>
      <c r="CG174">
        <v>39515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1700</v>
      </c>
      <c r="CU174">
        <v>1700</v>
      </c>
      <c r="CV174">
        <v>1700</v>
      </c>
      <c r="CW174">
        <v>5100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5100</v>
      </c>
      <c r="EE174">
        <v>0</v>
      </c>
      <c r="EF174">
        <v>0</v>
      </c>
      <c r="EG174">
        <v>0</v>
      </c>
      <c r="EH174">
        <v>0</v>
      </c>
      <c r="EI174">
        <v>1154</v>
      </c>
      <c r="EJ174">
        <v>1154</v>
      </c>
      <c r="EK174">
        <v>1155</v>
      </c>
      <c r="EL174">
        <v>3500</v>
      </c>
      <c r="EM174">
        <v>37.065000000000005</v>
      </c>
      <c r="EN174">
        <v>660</v>
      </c>
      <c r="EO174">
        <v>660</v>
      </c>
      <c r="EP174">
        <v>659</v>
      </c>
      <c r="EQ174">
        <v>2000</v>
      </c>
      <c r="ER174">
        <v>21.18</v>
      </c>
      <c r="ES174">
        <v>0</v>
      </c>
      <c r="ET174">
        <v>0</v>
      </c>
      <c r="EU174">
        <v>0</v>
      </c>
      <c r="EV174">
        <v>0</v>
      </c>
      <c r="EW174">
        <v>0</v>
      </c>
      <c r="FA174">
        <v>0</v>
      </c>
      <c r="FE174">
        <v>0</v>
      </c>
      <c r="FI174">
        <v>0</v>
      </c>
      <c r="FJ174">
        <v>5441.7550000000001</v>
      </c>
      <c r="FK174">
        <v>34415</v>
      </c>
      <c r="FL174">
        <v>30254.840023390832</v>
      </c>
      <c r="FM174">
        <v>28973.244999999999</v>
      </c>
    </row>
    <row r="175" spans="1:169" x14ac:dyDescent="0.35">
      <c r="A175">
        <v>197751</v>
      </c>
      <c r="B175" t="s">
        <v>1420</v>
      </c>
      <c r="C175" t="s">
        <v>1421</v>
      </c>
      <c r="D175" t="s">
        <v>1422</v>
      </c>
      <c r="E175" s="43" t="s">
        <v>1423</v>
      </c>
      <c r="F175">
        <v>1</v>
      </c>
      <c r="G175" s="23">
        <v>43794</v>
      </c>
      <c r="H175" s="23">
        <v>43794</v>
      </c>
      <c r="I175" s="23">
        <v>43794</v>
      </c>
      <c r="J175" t="s">
        <v>3843</v>
      </c>
      <c r="L175" s="43" t="s">
        <v>3204</v>
      </c>
      <c r="M175" t="s">
        <v>1424</v>
      </c>
      <c r="N175" t="s">
        <v>1425</v>
      </c>
      <c r="O175" t="s">
        <v>1426</v>
      </c>
      <c r="P175" t="s">
        <v>297</v>
      </c>
      <c r="Q175" t="s">
        <v>1427</v>
      </c>
      <c r="R175">
        <v>3.23</v>
      </c>
      <c r="S175">
        <v>44109</v>
      </c>
      <c r="T175" t="s">
        <v>265</v>
      </c>
      <c r="U175" t="s">
        <v>266</v>
      </c>
      <c r="V175" t="s">
        <v>267</v>
      </c>
      <c r="W175" t="s">
        <v>268</v>
      </c>
      <c r="X175" t="s">
        <v>269</v>
      </c>
      <c r="Y175">
        <v>8883022894</v>
      </c>
      <c r="Z175" t="s">
        <v>270</v>
      </c>
      <c r="AA175" t="s">
        <v>271</v>
      </c>
      <c r="AB175">
        <v>0</v>
      </c>
      <c r="AC175" t="s">
        <v>1428</v>
      </c>
      <c r="AD175" t="s">
        <v>1381</v>
      </c>
      <c r="AE175" t="s">
        <v>301</v>
      </c>
      <c r="AF175">
        <v>1</v>
      </c>
      <c r="AG175" t="s">
        <v>275</v>
      </c>
      <c r="AH175" s="43" t="s">
        <v>3226</v>
      </c>
      <c r="AI175" s="43" t="s">
        <v>313</v>
      </c>
      <c r="AJ175" s="43" t="s">
        <v>3207</v>
      </c>
      <c r="AK175" s="43" t="s">
        <v>3208</v>
      </c>
      <c r="AL175" s="43" t="s">
        <v>3209</v>
      </c>
      <c r="AO175" s="23"/>
      <c r="AP175" s="23"/>
      <c r="AQ175" s="23"/>
      <c r="BD175" s="43" t="s">
        <v>2018</v>
      </c>
      <c r="BE175" s="43" t="s">
        <v>2018</v>
      </c>
      <c r="BF175" s="43" t="s">
        <v>2018</v>
      </c>
      <c r="BG175" s="43" t="s">
        <v>2018</v>
      </c>
      <c r="BH175" s="43" t="s">
        <v>2018</v>
      </c>
      <c r="BI175" s="43" t="s">
        <v>2018</v>
      </c>
      <c r="BJ175">
        <v>0</v>
      </c>
      <c r="BK175">
        <v>44109</v>
      </c>
      <c r="BL175">
        <v>44356</v>
      </c>
      <c r="BM175">
        <v>8505</v>
      </c>
      <c r="BN175">
        <v>8505</v>
      </c>
      <c r="BO175">
        <v>8505</v>
      </c>
      <c r="BP175">
        <v>25515</v>
      </c>
      <c r="BQ175">
        <v>3300</v>
      </c>
      <c r="BR175">
        <v>400</v>
      </c>
      <c r="BS175">
        <v>400</v>
      </c>
      <c r="BT175">
        <v>4100</v>
      </c>
      <c r="BU175">
        <v>2100</v>
      </c>
      <c r="BV175">
        <v>2100</v>
      </c>
      <c r="BW175">
        <v>2100</v>
      </c>
      <c r="BX175">
        <v>6300</v>
      </c>
      <c r="BY175">
        <v>1200</v>
      </c>
      <c r="BZ175">
        <v>1200</v>
      </c>
      <c r="CA175">
        <v>1200</v>
      </c>
      <c r="CB175">
        <v>3600</v>
      </c>
      <c r="CC175">
        <v>0</v>
      </c>
      <c r="CD175">
        <v>0</v>
      </c>
      <c r="CE175">
        <v>0</v>
      </c>
      <c r="CF175">
        <v>0</v>
      </c>
      <c r="CG175">
        <v>39515</v>
      </c>
      <c r="CH175">
        <v>0</v>
      </c>
      <c r="CI175">
        <v>0</v>
      </c>
      <c r="CJ175">
        <v>0</v>
      </c>
      <c r="CK175">
        <v>0</v>
      </c>
      <c r="CL175">
        <v>2065</v>
      </c>
      <c r="CM175">
        <v>2065</v>
      </c>
      <c r="CN175">
        <v>2065</v>
      </c>
      <c r="CO175">
        <v>6195</v>
      </c>
      <c r="CP175">
        <v>500</v>
      </c>
      <c r="CQ175">
        <v>500</v>
      </c>
      <c r="CR175">
        <v>500</v>
      </c>
      <c r="CS175">
        <v>1500</v>
      </c>
      <c r="CT175">
        <v>1700</v>
      </c>
      <c r="CU175">
        <v>1700</v>
      </c>
      <c r="CV175">
        <v>1700</v>
      </c>
      <c r="CW175">
        <v>5100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12795</v>
      </c>
      <c r="EE175">
        <v>0</v>
      </c>
      <c r="EF175">
        <v>0</v>
      </c>
      <c r="EG175">
        <v>0</v>
      </c>
      <c r="EH175">
        <v>0</v>
      </c>
      <c r="EI175">
        <v>1154</v>
      </c>
      <c r="EJ175">
        <v>1154</v>
      </c>
      <c r="EK175">
        <v>1155</v>
      </c>
      <c r="EL175">
        <v>3500</v>
      </c>
      <c r="EM175">
        <v>37.065000000000005</v>
      </c>
      <c r="EN175">
        <v>660</v>
      </c>
      <c r="EO175">
        <v>660</v>
      </c>
      <c r="EP175">
        <v>659</v>
      </c>
      <c r="EQ175">
        <v>2000</v>
      </c>
      <c r="ER175">
        <v>21.18</v>
      </c>
      <c r="ES175">
        <v>0</v>
      </c>
      <c r="ET175">
        <v>0</v>
      </c>
      <c r="EU175">
        <v>0</v>
      </c>
      <c r="EV175">
        <v>0</v>
      </c>
      <c r="EW175">
        <v>0</v>
      </c>
      <c r="FA175">
        <v>0</v>
      </c>
      <c r="FE175">
        <v>0</v>
      </c>
      <c r="FI175">
        <v>0</v>
      </c>
      <c r="FJ175">
        <v>5441.7550000000001</v>
      </c>
      <c r="FK175">
        <v>26720</v>
      </c>
      <c r="FL175">
        <v>22219.461384236245</v>
      </c>
      <c r="FM175">
        <v>21278.244999999999</v>
      </c>
    </row>
    <row r="176" spans="1:169" x14ac:dyDescent="0.35">
      <c r="A176">
        <v>197955</v>
      </c>
      <c r="B176" t="s">
        <v>1420</v>
      </c>
      <c r="C176" t="s">
        <v>1429</v>
      </c>
      <c r="D176" t="s">
        <v>1430</v>
      </c>
      <c r="E176" s="43" t="s">
        <v>1431</v>
      </c>
      <c r="L176" s="43" t="s">
        <v>259</v>
      </c>
      <c r="M176" t="s">
        <v>1432</v>
      </c>
      <c r="N176" t="s">
        <v>1433</v>
      </c>
      <c r="O176" t="s">
        <v>858</v>
      </c>
      <c r="P176" t="s">
        <v>596</v>
      </c>
      <c r="Q176" t="s">
        <v>859</v>
      </c>
      <c r="R176">
        <v>4</v>
      </c>
      <c r="S176">
        <v>44109</v>
      </c>
      <c r="T176" t="s">
        <v>285</v>
      </c>
      <c r="U176" t="s">
        <v>266</v>
      </c>
      <c r="V176" t="s">
        <v>267</v>
      </c>
      <c r="W176" t="s">
        <v>268</v>
      </c>
      <c r="X176" t="s">
        <v>269</v>
      </c>
      <c r="Y176">
        <v>8883022894</v>
      </c>
      <c r="Z176" t="s">
        <v>270</v>
      </c>
      <c r="AA176" t="s">
        <v>271</v>
      </c>
      <c r="AB176" t="s">
        <v>334</v>
      </c>
      <c r="AC176">
        <v>0</v>
      </c>
      <c r="AD176" t="s">
        <v>481</v>
      </c>
      <c r="AE176" t="s">
        <v>301</v>
      </c>
      <c r="AF176">
        <v>1</v>
      </c>
      <c r="AG176" t="s">
        <v>275</v>
      </c>
      <c r="AH176" s="43" t="s">
        <v>259</v>
      </c>
      <c r="AI176" s="43" t="s">
        <v>259</v>
      </c>
      <c r="AJ176" s="43" t="s">
        <v>259</v>
      </c>
      <c r="AK176" s="43" t="s">
        <v>259</v>
      </c>
      <c r="AL176" s="43" t="s">
        <v>259</v>
      </c>
      <c r="AO176" s="23"/>
      <c r="AP176" s="23"/>
      <c r="AQ176" s="23"/>
      <c r="BD176" s="43" t="s">
        <v>259</v>
      </c>
      <c r="BE176" s="43" t="s">
        <v>259</v>
      </c>
      <c r="BF176" s="43" t="s">
        <v>259</v>
      </c>
      <c r="BG176" s="43" t="s">
        <v>259</v>
      </c>
      <c r="BH176" s="43" t="s">
        <v>259</v>
      </c>
      <c r="BI176" s="43" t="s">
        <v>259</v>
      </c>
      <c r="BJ176">
        <v>0</v>
      </c>
      <c r="BK176">
        <v>44109</v>
      </c>
      <c r="BL176">
        <v>44356</v>
      </c>
      <c r="BM176">
        <v>8505</v>
      </c>
      <c r="BN176">
        <v>8505</v>
      </c>
      <c r="BO176">
        <v>8505</v>
      </c>
      <c r="BP176">
        <v>25515</v>
      </c>
      <c r="BQ176">
        <v>3300</v>
      </c>
      <c r="BR176">
        <v>400</v>
      </c>
      <c r="BS176">
        <v>400</v>
      </c>
      <c r="BT176">
        <v>4100</v>
      </c>
      <c r="BU176">
        <v>2100</v>
      </c>
      <c r="BV176">
        <v>2100</v>
      </c>
      <c r="BW176">
        <v>2100</v>
      </c>
      <c r="BX176">
        <v>6300</v>
      </c>
      <c r="BY176">
        <v>1200</v>
      </c>
      <c r="BZ176">
        <v>1200</v>
      </c>
      <c r="CA176">
        <v>1200</v>
      </c>
      <c r="CB176">
        <v>3600</v>
      </c>
      <c r="CC176">
        <v>0</v>
      </c>
      <c r="CD176">
        <v>0</v>
      </c>
      <c r="CE176">
        <v>0</v>
      </c>
      <c r="CF176">
        <v>0</v>
      </c>
      <c r="CG176">
        <v>39515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1700</v>
      </c>
      <c r="CU176">
        <v>1700</v>
      </c>
      <c r="CV176">
        <v>1700</v>
      </c>
      <c r="CW176">
        <v>5100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N176">
        <v>0</v>
      </c>
      <c r="DO176">
        <v>0</v>
      </c>
      <c r="DP176">
        <v>0</v>
      </c>
      <c r="DR176">
        <v>0</v>
      </c>
      <c r="DS176">
        <v>0</v>
      </c>
      <c r="DT176">
        <v>0</v>
      </c>
      <c r="DU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5100</v>
      </c>
      <c r="EE176">
        <v>0</v>
      </c>
      <c r="EF176">
        <v>0</v>
      </c>
      <c r="EG176">
        <v>0</v>
      </c>
      <c r="EH176">
        <v>0</v>
      </c>
      <c r="EI176">
        <v>1154</v>
      </c>
      <c r="EJ176">
        <v>1154</v>
      </c>
      <c r="EK176">
        <v>1155</v>
      </c>
      <c r="EL176">
        <v>3500</v>
      </c>
      <c r="EM176">
        <v>37.065000000000005</v>
      </c>
      <c r="EN176">
        <v>660</v>
      </c>
      <c r="EO176">
        <v>660</v>
      </c>
      <c r="EP176">
        <v>659</v>
      </c>
      <c r="EQ176">
        <v>2000</v>
      </c>
      <c r="ER176">
        <v>21.18</v>
      </c>
      <c r="ES176">
        <v>0</v>
      </c>
      <c r="ET176">
        <v>0</v>
      </c>
      <c r="EU176">
        <v>0</v>
      </c>
      <c r="EV176">
        <v>0</v>
      </c>
      <c r="EW176">
        <v>0</v>
      </c>
      <c r="FA176">
        <v>0</v>
      </c>
      <c r="FE176">
        <v>0</v>
      </c>
      <c r="FI176">
        <v>0</v>
      </c>
      <c r="FJ176">
        <v>5441.7550000000001</v>
      </c>
      <c r="FK176">
        <v>34415</v>
      </c>
      <c r="FL176">
        <v>30258.631673489846</v>
      </c>
      <c r="FM176">
        <v>28973.244999999999</v>
      </c>
    </row>
    <row r="177" spans="1:169" x14ac:dyDescent="0.35">
      <c r="A177">
        <v>193741</v>
      </c>
      <c r="B177" t="s">
        <v>1434</v>
      </c>
      <c r="C177" t="s">
        <v>1435</v>
      </c>
      <c r="D177" t="s">
        <v>1436</v>
      </c>
      <c r="E177" s="43" t="s">
        <v>1437</v>
      </c>
      <c r="L177" s="43" t="s">
        <v>3204</v>
      </c>
      <c r="M177" t="s">
        <v>1438</v>
      </c>
      <c r="N177" t="s">
        <v>1439</v>
      </c>
      <c r="O177" t="s">
        <v>1440</v>
      </c>
      <c r="P177" t="s">
        <v>283</v>
      </c>
      <c r="Q177" t="s">
        <v>1441</v>
      </c>
      <c r="R177">
        <v>3.4</v>
      </c>
      <c r="S177">
        <v>44109</v>
      </c>
      <c r="T177" t="s">
        <v>285</v>
      </c>
      <c r="U177" t="s">
        <v>266</v>
      </c>
      <c r="V177" t="s">
        <v>267</v>
      </c>
      <c r="W177" t="s">
        <v>268</v>
      </c>
      <c r="X177" t="s">
        <v>269</v>
      </c>
      <c r="Y177">
        <v>8883022894</v>
      </c>
      <c r="Z177" t="s">
        <v>270</v>
      </c>
      <c r="AA177" t="s">
        <v>271</v>
      </c>
      <c r="AB177" t="s">
        <v>969</v>
      </c>
      <c r="AC177">
        <v>0</v>
      </c>
      <c r="AD177" t="s">
        <v>1141</v>
      </c>
      <c r="AE177" t="s">
        <v>301</v>
      </c>
      <c r="AF177">
        <v>1</v>
      </c>
      <c r="AG177" t="s">
        <v>275</v>
      </c>
      <c r="AH177" s="43" t="s">
        <v>3226</v>
      </c>
      <c r="AI177" s="43" t="s">
        <v>313</v>
      </c>
      <c r="AJ177" s="43" t="s">
        <v>3821</v>
      </c>
      <c r="AK177" s="43" t="s">
        <v>3208</v>
      </c>
      <c r="AL177" s="43" t="s">
        <v>3209</v>
      </c>
      <c r="AO177" s="23"/>
      <c r="AP177" s="23"/>
      <c r="AQ177" s="23"/>
      <c r="BD177" s="43" t="s">
        <v>2018</v>
      </c>
      <c r="BE177" s="43" t="s">
        <v>2018</v>
      </c>
      <c r="BF177" s="43" t="s">
        <v>2018</v>
      </c>
      <c r="BG177" s="43" t="s">
        <v>2018</v>
      </c>
      <c r="BH177" s="43" t="s">
        <v>2018</v>
      </c>
      <c r="BI177" s="43" t="s">
        <v>2018</v>
      </c>
      <c r="BJ177">
        <v>0</v>
      </c>
      <c r="BK177">
        <v>44109</v>
      </c>
      <c r="BL177">
        <v>44356</v>
      </c>
      <c r="BM177">
        <v>8505</v>
      </c>
      <c r="BN177">
        <v>8505</v>
      </c>
      <c r="BO177">
        <v>8505</v>
      </c>
      <c r="BP177">
        <v>25515</v>
      </c>
      <c r="BQ177">
        <v>3300</v>
      </c>
      <c r="BR177">
        <v>400</v>
      </c>
      <c r="BS177">
        <v>400</v>
      </c>
      <c r="BT177">
        <v>4100</v>
      </c>
      <c r="BU177">
        <v>2100</v>
      </c>
      <c r="BV177">
        <v>2100</v>
      </c>
      <c r="BW177">
        <v>2100</v>
      </c>
      <c r="BX177">
        <v>6300</v>
      </c>
      <c r="BY177">
        <v>1200</v>
      </c>
      <c r="BZ177">
        <v>1200</v>
      </c>
      <c r="CA177">
        <v>1200</v>
      </c>
      <c r="CB177">
        <v>3600</v>
      </c>
      <c r="CC177">
        <v>0</v>
      </c>
      <c r="CD177">
        <v>0</v>
      </c>
      <c r="CE177">
        <v>0</v>
      </c>
      <c r="CF177">
        <v>0</v>
      </c>
      <c r="CG177">
        <v>39515</v>
      </c>
      <c r="CH177">
        <v>0</v>
      </c>
      <c r="CI177">
        <v>0</v>
      </c>
      <c r="CJ177">
        <v>0</v>
      </c>
      <c r="CK177">
        <v>0</v>
      </c>
      <c r="CL177">
        <v>2065</v>
      </c>
      <c r="CM177">
        <v>2065</v>
      </c>
      <c r="CN177">
        <v>2065</v>
      </c>
      <c r="CO177">
        <v>6195</v>
      </c>
      <c r="CP177">
        <v>500</v>
      </c>
      <c r="CQ177">
        <v>500</v>
      </c>
      <c r="CR177">
        <v>500</v>
      </c>
      <c r="CS177">
        <v>1500</v>
      </c>
      <c r="CT177">
        <v>1700</v>
      </c>
      <c r="CU177">
        <v>1700</v>
      </c>
      <c r="CV177">
        <v>1700</v>
      </c>
      <c r="CW177">
        <v>5100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12795</v>
      </c>
      <c r="EE177">
        <v>0</v>
      </c>
      <c r="EF177">
        <v>0</v>
      </c>
      <c r="EG177">
        <v>0</v>
      </c>
      <c r="EH177">
        <v>0</v>
      </c>
      <c r="EI177">
        <v>1154</v>
      </c>
      <c r="EJ177">
        <v>1154</v>
      </c>
      <c r="EK177">
        <v>1155</v>
      </c>
      <c r="EL177">
        <v>3500</v>
      </c>
      <c r="EM177">
        <v>37.065000000000005</v>
      </c>
      <c r="EN177">
        <v>660</v>
      </c>
      <c r="EO177">
        <v>660</v>
      </c>
      <c r="EP177">
        <v>659</v>
      </c>
      <c r="EQ177">
        <v>2000</v>
      </c>
      <c r="ER177">
        <v>21.18</v>
      </c>
      <c r="ES177">
        <v>0</v>
      </c>
      <c r="ET177">
        <v>0</v>
      </c>
      <c r="EU177">
        <v>0</v>
      </c>
      <c r="EV177">
        <v>0</v>
      </c>
      <c r="EW177">
        <v>0</v>
      </c>
      <c r="FA177">
        <v>0</v>
      </c>
      <c r="FE177">
        <v>0</v>
      </c>
      <c r="FI177">
        <v>0</v>
      </c>
      <c r="FJ177">
        <v>5441.7550000000001</v>
      </c>
      <c r="FK177">
        <v>26720</v>
      </c>
      <c r="FL177">
        <v>22219.461384236245</v>
      </c>
      <c r="FM177">
        <v>21278.244999999999</v>
      </c>
    </row>
    <row r="178" spans="1:169" x14ac:dyDescent="0.35">
      <c r="A178">
        <v>199197</v>
      </c>
      <c r="B178" t="s">
        <v>3784</v>
      </c>
      <c r="C178" t="s">
        <v>3785</v>
      </c>
      <c r="D178" t="s">
        <v>3786</v>
      </c>
      <c r="E178" s="43" t="s">
        <v>4183</v>
      </c>
      <c r="F178">
        <v>1</v>
      </c>
      <c r="I178" s="23">
        <v>43794</v>
      </c>
      <c r="L178" s="43" t="s">
        <v>3204</v>
      </c>
      <c r="M178" t="s">
        <v>3787</v>
      </c>
      <c r="N178" t="s">
        <v>3788</v>
      </c>
      <c r="O178" t="s">
        <v>3789</v>
      </c>
      <c r="P178" t="s">
        <v>1018</v>
      </c>
      <c r="Q178" t="s">
        <v>3790</v>
      </c>
      <c r="R178">
        <v>3.26</v>
      </c>
      <c r="S178">
        <v>44109</v>
      </c>
      <c r="T178" t="s">
        <v>311</v>
      </c>
      <c r="U178" t="s">
        <v>266</v>
      </c>
      <c r="V178" t="s">
        <v>267</v>
      </c>
      <c r="W178" t="s">
        <v>268</v>
      </c>
      <c r="X178" t="s">
        <v>269</v>
      </c>
      <c r="Y178">
        <v>8883022894</v>
      </c>
      <c r="Z178" t="s">
        <v>270</v>
      </c>
      <c r="AA178" t="s">
        <v>271</v>
      </c>
      <c r="AB178">
        <v>0</v>
      </c>
      <c r="AC178">
        <v>0</v>
      </c>
      <c r="AD178" t="s">
        <v>313</v>
      </c>
      <c r="AE178" t="s">
        <v>376</v>
      </c>
      <c r="AF178">
        <v>7</v>
      </c>
      <c r="AG178" t="s">
        <v>3345</v>
      </c>
      <c r="AH178" s="43" t="s">
        <v>3844</v>
      </c>
      <c r="AI178" s="43" t="s">
        <v>3845</v>
      </c>
      <c r="AJ178" s="43" t="s">
        <v>3207</v>
      </c>
      <c r="AK178" s="43" t="s">
        <v>1715</v>
      </c>
      <c r="AL178" s="43" t="s">
        <v>259</v>
      </c>
      <c r="AO178" s="23"/>
      <c r="AP178" s="23"/>
      <c r="AQ178" s="23"/>
      <c r="BD178" s="43" t="s">
        <v>259</v>
      </c>
      <c r="BE178" s="43" t="s">
        <v>259</v>
      </c>
      <c r="BF178" s="43" t="s">
        <v>259</v>
      </c>
      <c r="BG178" s="43" t="s">
        <v>259</v>
      </c>
      <c r="BH178" s="43" t="s">
        <v>259</v>
      </c>
      <c r="BI178" s="43" t="s">
        <v>259</v>
      </c>
      <c r="BJ178">
        <v>0</v>
      </c>
      <c r="BK178">
        <v>44109</v>
      </c>
      <c r="BL178">
        <v>44356</v>
      </c>
      <c r="BM178">
        <v>8505</v>
      </c>
      <c r="BN178">
        <v>8505</v>
      </c>
      <c r="BO178">
        <v>8505</v>
      </c>
      <c r="BP178">
        <v>25515</v>
      </c>
      <c r="BQ178">
        <v>3300</v>
      </c>
      <c r="BR178">
        <v>400</v>
      </c>
      <c r="BS178">
        <v>400</v>
      </c>
      <c r="BT178">
        <v>4100</v>
      </c>
      <c r="BU178">
        <v>2100</v>
      </c>
      <c r="BV178">
        <v>2100</v>
      </c>
      <c r="BW178">
        <v>2100</v>
      </c>
      <c r="BX178">
        <v>6300</v>
      </c>
      <c r="BY178">
        <v>1200</v>
      </c>
      <c r="BZ178">
        <v>1200</v>
      </c>
      <c r="CA178">
        <v>1200</v>
      </c>
      <c r="CB178">
        <v>3600</v>
      </c>
      <c r="CF178">
        <v>0</v>
      </c>
      <c r="CG178">
        <v>39515</v>
      </c>
      <c r="CK178">
        <v>0</v>
      </c>
      <c r="CL178">
        <v>582</v>
      </c>
      <c r="CM178">
        <v>582</v>
      </c>
      <c r="CN178">
        <v>581</v>
      </c>
      <c r="CO178">
        <v>1745</v>
      </c>
      <c r="CP178">
        <v>500</v>
      </c>
      <c r="CQ178">
        <v>500</v>
      </c>
      <c r="CR178">
        <v>500</v>
      </c>
      <c r="CS178">
        <v>1500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N178">
        <v>0</v>
      </c>
      <c r="DO178">
        <v>0</v>
      </c>
      <c r="DP178">
        <v>0</v>
      </c>
      <c r="DR178">
        <v>0</v>
      </c>
      <c r="DS178">
        <v>0</v>
      </c>
      <c r="DT178">
        <v>0</v>
      </c>
      <c r="DY178">
        <v>0</v>
      </c>
      <c r="EC178">
        <v>0</v>
      </c>
      <c r="ED178">
        <v>3245</v>
      </c>
      <c r="EH178">
        <v>0</v>
      </c>
      <c r="EI178">
        <v>0</v>
      </c>
      <c r="EJ178">
        <v>0</v>
      </c>
      <c r="EK178">
        <v>0</v>
      </c>
      <c r="EM178">
        <v>0</v>
      </c>
      <c r="EN178">
        <v>660</v>
      </c>
      <c r="EO178">
        <v>660</v>
      </c>
      <c r="EP178">
        <v>659</v>
      </c>
      <c r="EQ178">
        <v>2000</v>
      </c>
      <c r="ER178">
        <v>21.24</v>
      </c>
      <c r="ES178">
        <v>0</v>
      </c>
      <c r="ET178">
        <v>0</v>
      </c>
      <c r="EU178">
        <v>0</v>
      </c>
      <c r="EW178">
        <v>0</v>
      </c>
      <c r="FA178">
        <v>0</v>
      </c>
      <c r="FE178">
        <v>0</v>
      </c>
      <c r="FI178">
        <v>0</v>
      </c>
      <c r="FJ178">
        <v>1978.76</v>
      </c>
      <c r="FK178">
        <v>36270</v>
      </c>
      <c r="FL178">
        <v>35812.557440053468</v>
      </c>
      <c r="FM178">
        <v>34291.24</v>
      </c>
    </row>
    <row r="179" spans="1:169" x14ac:dyDescent="0.35">
      <c r="A179">
        <v>199075</v>
      </c>
      <c r="B179" t="s">
        <v>3942</v>
      </c>
      <c r="C179" t="s">
        <v>1970</v>
      </c>
      <c r="D179" t="s">
        <v>3943</v>
      </c>
      <c r="E179" s="43" t="s">
        <v>4222</v>
      </c>
      <c r="J179" t="s">
        <v>3830</v>
      </c>
      <c r="L179" s="43" t="s">
        <v>259</v>
      </c>
      <c r="M179" t="s">
        <v>3944</v>
      </c>
      <c r="N179" t="s">
        <v>3945</v>
      </c>
      <c r="O179" t="s">
        <v>3946</v>
      </c>
      <c r="P179" t="s">
        <v>1296</v>
      </c>
      <c r="Q179" t="s">
        <v>3947</v>
      </c>
      <c r="R179">
        <v>3.6640000000000001</v>
      </c>
      <c r="S179">
        <v>44109</v>
      </c>
      <c r="T179" t="s">
        <v>265</v>
      </c>
      <c r="U179" t="s">
        <v>266</v>
      </c>
      <c r="V179" t="s">
        <v>267</v>
      </c>
      <c r="W179" t="s">
        <v>268</v>
      </c>
      <c r="X179" t="s">
        <v>269</v>
      </c>
      <c r="Y179">
        <v>8883022894</v>
      </c>
      <c r="Z179" t="s">
        <v>270</v>
      </c>
      <c r="AA179" t="s">
        <v>271</v>
      </c>
      <c r="AB179" t="s">
        <v>679</v>
      </c>
      <c r="AC179">
        <v>0</v>
      </c>
      <c r="AD179" t="s">
        <v>300</v>
      </c>
      <c r="AE179" t="s">
        <v>364</v>
      </c>
      <c r="AF179">
        <v>3</v>
      </c>
      <c r="AG179" t="s">
        <v>3345</v>
      </c>
      <c r="AH179" s="43" t="s">
        <v>259</v>
      </c>
      <c r="AI179" s="43" t="s">
        <v>259</v>
      </c>
      <c r="AJ179" s="43" t="s">
        <v>259</v>
      </c>
      <c r="AK179" s="43" t="s">
        <v>259</v>
      </c>
      <c r="AL179" s="43" t="s">
        <v>259</v>
      </c>
      <c r="AO179" s="23"/>
      <c r="AP179" s="23"/>
      <c r="AQ179" s="23"/>
      <c r="BD179" s="43" t="s">
        <v>259</v>
      </c>
      <c r="BE179" s="43" t="s">
        <v>259</v>
      </c>
      <c r="BF179" s="43" t="s">
        <v>259</v>
      </c>
      <c r="BG179" s="43" t="s">
        <v>259</v>
      </c>
      <c r="BH179" s="43" t="s">
        <v>259</v>
      </c>
      <c r="BI179" s="43" t="s">
        <v>259</v>
      </c>
      <c r="BJ179">
        <v>0</v>
      </c>
      <c r="BK179">
        <v>44109</v>
      </c>
      <c r="BL179">
        <v>44356</v>
      </c>
      <c r="BP179">
        <v>0</v>
      </c>
      <c r="BT179">
        <v>0</v>
      </c>
      <c r="BX179">
        <v>0</v>
      </c>
      <c r="CB179">
        <v>0</v>
      </c>
      <c r="CF179">
        <v>0</v>
      </c>
      <c r="CG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1300</v>
      </c>
      <c r="CU179">
        <v>1300</v>
      </c>
      <c r="CV179">
        <v>1300</v>
      </c>
      <c r="CW179">
        <v>3900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N179">
        <v>0</v>
      </c>
      <c r="DO179">
        <v>0</v>
      </c>
      <c r="DP179">
        <v>0</v>
      </c>
      <c r="DR179">
        <v>0</v>
      </c>
      <c r="DS179">
        <v>0</v>
      </c>
      <c r="DT179">
        <v>0</v>
      </c>
      <c r="DY179">
        <v>0</v>
      </c>
      <c r="EC179">
        <v>0</v>
      </c>
      <c r="ED179">
        <v>3900</v>
      </c>
      <c r="EH179">
        <v>0</v>
      </c>
      <c r="EI179">
        <v>0</v>
      </c>
      <c r="EJ179">
        <v>0</v>
      </c>
      <c r="EK179">
        <v>0</v>
      </c>
      <c r="EM179">
        <v>0</v>
      </c>
      <c r="EN179">
        <v>660</v>
      </c>
      <c r="EO179">
        <v>660</v>
      </c>
      <c r="EP179">
        <v>659</v>
      </c>
      <c r="EQ179">
        <v>2000</v>
      </c>
      <c r="ER179">
        <v>21.24</v>
      </c>
      <c r="ES179">
        <v>0</v>
      </c>
      <c r="ET179">
        <v>0</v>
      </c>
      <c r="EU179">
        <v>0</v>
      </c>
      <c r="EW179">
        <v>0</v>
      </c>
      <c r="FA179">
        <v>0</v>
      </c>
      <c r="FE179">
        <v>0</v>
      </c>
      <c r="FI179">
        <v>0</v>
      </c>
      <c r="FJ179">
        <v>1978.76</v>
      </c>
      <c r="FK179">
        <v>-3900</v>
      </c>
      <c r="FL179">
        <v>-6139.5688862895813</v>
      </c>
      <c r="FM179">
        <v>-5878.76</v>
      </c>
    </row>
    <row r="180" spans="1:169" x14ac:dyDescent="0.35">
      <c r="A180">
        <v>195299</v>
      </c>
      <c r="B180" t="s">
        <v>1442</v>
      </c>
      <c r="C180" t="s">
        <v>1443</v>
      </c>
      <c r="D180" t="s">
        <v>1444</v>
      </c>
      <c r="E180" s="43" t="s">
        <v>1445</v>
      </c>
      <c r="F180">
        <v>2</v>
      </c>
      <c r="G180" s="23">
        <v>43795</v>
      </c>
      <c r="H180" s="23">
        <v>43795</v>
      </c>
      <c r="I180" s="23">
        <v>43795</v>
      </c>
      <c r="J180" t="s">
        <v>4162</v>
      </c>
      <c r="L180" s="43" t="s">
        <v>3204</v>
      </c>
      <c r="M180" t="s">
        <v>1446</v>
      </c>
      <c r="N180" t="s">
        <v>3791</v>
      </c>
      <c r="O180" t="s">
        <v>1447</v>
      </c>
      <c r="P180" t="s">
        <v>442</v>
      </c>
      <c r="Q180" t="s">
        <v>1448</v>
      </c>
      <c r="R180">
        <v>4</v>
      </c>
      <c r="S180">
        <v>44109</v>
      </c>
      <c r="T180" t="s">
        <v>311</v>
      </c>
      <c r="U180" t="s">
        <v>266</v>
      </c>
      <c r="V180" t="s">
        <v>267</v>
      </c>
      <c r="W180" t="s">
        <v>268</v>
      </c>
      <c r="X180" t="s">
        <v>269</v>
      </c>
      <c r="Y180">
        <v>8883022894</v>
      </c>
      <c r="Z180" t="s">
        <v>270</v>
      </c>
      <c r="AA180" t="s">
        <v>271</v>
      </c>
      <c r="AB180" t="s">
        <v>1228</v>
      </c>
      <c r="AC180">
        <v>0</v>
      </c>
      <c r="AD180" t="s">
        <v>3263</v>
      </c>
      <c r="AE180" t="s">
        <v>301</v>
      </c>
      <c r="AF180">
        <v>1</v>
      </c>
      <c r="AG180" t="s">
        <v>275</v>
      </c>
      <c r="AH180" s="43" t="s">
        <v>3226</v>
      </c>
      <c r="AI180" s="43" t="s">
        <v>313</v>
      </c>
      <c r="AJ180" s="43" t="s">
        <v>3821</v>
      </c>
      <c r="AK180" s="43" t="s">
        <v>3208</v>
      </c>
      <c r="AL180" s="43" t="s">
        <v>3209</v>
      </c>
      <c r="AM180">
        <v>43795</v>
      </c>
      <c r="AN180">
        <v>43795</v>
      </c>
      <c r="AO180" s="23">
        <v>43786</v>
      </c>
      <c r="AP180" s="23"/>
      <c r="AQ180" s="23"/>
      <c r="BD180" s="43" t="s">
        <v>2018</v>
      </c>
      <c r="BE180" s="43" t="s">
        <v>2018</v>
      </c>
      <c r="BF180" s="43" t="s">
        <v>2018</v>
      </c>
      <c r="BG180" s="43" t="s">
        <v>2018</v>
      </c>
      <c r="BH180" s="43" t="s">
        <v>2018</v>
      </c>
      <c r="BI180" s="43" t="s">
        <v>2018</v>
      </c>
      <c r="BJ180">
        <v>0.17647058823529416</v>
      </c>
      <c r="BK180">
        <v>44109</v>
      </c>
      <c r="BL180">
        <v>44356</v>
      </c>
      <c r="BM180">
        <v>8505</v>
      </c>
      <c r="BN180">
        <v>8505</v>
      </c>
      <c r="BO180">
        <v>8505</v>
      </c>
      <c r="BP180">
        <v>25515</v>
      </c>
      <c r="BQ180">
        <v>3300</v>
      </c>
      <c r="BR180">
        <v>400</v>
      </c>
      <c r="BS180">
        <v>400</v>
      </c>
      <c r="BT180">
        <v>4100</v>
      </c>
      <c r="BU180">
        <v>2100</v>
      </c>
      <c r="BV180">
        <v>2100</v>
      </c>
      <c r="BW180">
        <v>2100</v>
      </c>
      <c r="BX180">
        <v>6300</v>
      </c>
      <c r="BY180">
        <v>1200</v>
      </c>
      <c r="BZ180">
        <v>1200</v>
      </c>
      <c r="CA180">
        <v>1200</v>
      </c>
      <c r="CB180">
        <v>3600</v>
      </c>
      <c r="CC180">
        <v>0</v>
      </c>
      <c r="CD180">
        <v>0</v>
      </c>
      <c r="CE180">
        <v>0</v>
      </c>
      <c r="CF180">
        <v>0</v>
      </c>
      <c r="CG180">
        <v>39515</v>
      </c>
      <c r="CH180">
        <v>0</v>
      </c>
      <c r="CI180">
        <v>0</v>
      </c>
      <c r="CJ180">
        <v>0</v>
      </c>
      <c r="CK180">
        <v>0</v>
      </c>
      <c r="CL180">
        <v>2065</v>
      </c>
      <c r="CM180">
        <v>2065</v>
      </c>
      <c r="CN180">
        <v>2065</v>
      </c>
      <c r="CO180">
        <v>6195</v>
      </c>
      <c r="CP180">
        <v>500</v>
      </c>
      <c r="CQ180">
        <v>500</v>
      </c>
      <c r="CR180">
        <v>500</v>
      </c>
      <c r="CS180">
        <v>1500</v>
      </c>
      <c r="CT180">
        <v>1700</v>
      </c>
      <c r="CU180">
        <v>1700</v>
      </c>
      <c r="CV180">
        <v>1700</v>
      </c>
      <c r="CW180">
        <v>5100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12795</v>
      </c>
      <c r="EE180">
        <v>0</v>
      </c>
      <c r="EF180">
        <v>0</v>
      </c>
      <c r="EG180">
        <v>0</v>
      </c>
      <c r="EH180">
        <v>0</v>
      </c>
      <c r="EI180">
        <v>1154</v>
      </c>
      <c r="EJ180">
        <v>1154</v>
      </c>
      <c r="EK180">
        <v>1155</v>
      </c>
      <c r="EL180">
        <v>3500</v>
      </c>
      <c r="EM180">
        <v>37.065000000000005</v>
      </c>
      <c r="EN180">
        <v>660</v>
      </c>
      <c r="EO180">
        <v>660</v>
      </c>
      <c r="EP180">
        <v>659</v>
      </c>
      <c r="EQ180">
        <v>2000</v>
      </c>
      <c r="ER180">
        <v>21.18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7093</v>
      </c>
      <c r="EY180">
        <v>7093</v>
      </c>
      <c r="EZ180">
        <v>7092</v>
      </c>
      <c r="FA180">
        <v>21278</v>
      </c>
      <c r="FE180">
        <v>0</v>
      </c>
      <c r="FI180">
        <v>0</v>
      </c>
      <c r="FJ180">
        <v>26719.755000000001</v>
      </c>
      <c r="FK180">
        <v>26720</v>
      </c>
      <c r="FL180">
        <v>0.25583726661269512</v>
      </c>
      <c r="FM180">
        <v>0.24499999999898137</v>
      </c>
    </row>
    <row r="181" spans="1:169" x14ac:dyDescent="0.35">
      <c r="A181">
        <v>198855</v>
      </c>
      <c r="B181" t="s">
        <v>1449</v>
      </c>
      <c r="C181" t="s">
        <v>1450</v>
      </c>
      <c r="D181" t="s">
        <v>1451</v>
      </c>
      <c r="E181" s="43" t="s">
        <v>3298</v>
      </c>
      <c r="F181">
        <v>1</v>
      </c>
      <c r="G181" s="23">
        <v>43794</v>
      </c>
      <c r="H181" s="23">
        <v>43794</v>
      </c>
      <c r="I181" s="23">
        <v>43794</v>
      </c>
      <c r="J181" t="s">
        <v>3827</v>
      </c>
      <c r="K181" t="s">
        <v>3307</v>
      </c>
      <c r="L181" s="43" t="s">
        <v>3204</v>
      </c>
      <c r="M181" t="s">
        <v>1452</v>
      </c>
      <c r="N181" t="s">
        <v>1453</v>
      </c>
      <c r="O181" t="s">
        <v>1454</v>
      </c>
      <c r="P181" t="s">
        <v>1091</v>
      </c>
      <c r="Q181" t="s">
        <v>1455</v>
      </c>
      <c r="R181">
        <v>3.25</v>
      </c>
      <c r="S181">
        <v>44109</v>
      </c>
      <c r="T181" t="s">
        <v>311</v>
      </c>
      <c r="U181" t="s">
        <v>266</v>
      </c>
      <c r="V181" t="s">
        <v>267</v>
      </c>
      <c r="W181" t="s">
        <v>268</v>
      </c>
      <c r="X181" t="s">
        <v>269</v>
      </c>
      <c r="Y181">
        <v>8883022894</v>
      </c>
      <c r="Z181" t="s">
        <v>270</v>
      </c>
      <c r="AA181" t="s">
        <v>271</v>
      </c>
      <c r="AB181">
        <v>0</v>
      </c>
      <c r="AC181">
        <v>0</v>
      </c>
      <c r="AD181" t="s">
        <v>313</v>
      </c>
      <c r="AE181" t="s">
        <v>354</v>
      </c>
      <c r="AF181">
        <v>6</v>
      </c>
      <c r="AG181" t="s">
        <v>446</v>
      </c>
      <c r="AH181" s="43" t="s">
        <v>3604</v>
      </c>
      <c r="AI181" s="43" t="s">
        <v>3605</v>
      </c>
      <c r="AJ181" s="43" t="s">
        <v>4169</v>
      </c>
      <c r="AK181" s="43" t="s">
        <v>1715</v>
      </c>
      <c r="AL181" s="43" t="s">
        <v>259</v>
      </c>
      <c r="AO181" s="23">
        <v>43794</v>
      </c>
      <c r="AP181" s="23"/>
      <c r="AQ181" s="23"/>
      <c r="BD181" s="43" t="s">
        <v>259</v>
      </c>
      <c r="BE181" s="43" t="s">
        <v>259</v>
      </c>
      <c r="BF181" s="43" t="s">
        <v>259</v>
      </c>
      <c r="BG181" s="43" t="s">
        <v>259</v>
      </c>
      <c r="BH181" s="43" t="s">
        <v>259</v>
      </c>
      <c r="BI181" s="43" t="s">
        <v>259</v>
      </c>
      <c r="BJ181">
        <v>4.3478260869565188E-2</v>
      </c>
      <c r="BK181">
        <v>44109</v>
      </c>
      <c r="BL181">
        <v>44356</v>
      </c>
      <c r="BM181">
        <v>8505</v>
      </c>
      <c r="BN181">
        <v>8505</v>
      </c>
      <c r="BO181">
        <v>8505</v>
      </c>
      <c r="BP181">
        <v>25515</v>
      </c>
      <c r="BQ181">
        <v>3300</v>
      </c>
      <c r="BR181">
        <v>400</v>
      </c>
      <c r="BS181">
        <v>400</v>
      </c>
      <c r="BT181">
        <v>4100</v>
      </c>
      <c r="BU181">
        <v>2100</v>
      </c>
      <c r="BV181">
        <v>2100</v>
      </c>
      <c r="BW181">
        <v>2100</v>
      </c>
      <c r="BX181">
        <v>6300</v>
      </c>
      <c r="BY181">
        <v>1200</v>
      </c>
      <c r="BZ181">
        <v>1200</v>
      </c>
      <c r="CA181">
        <v>1200</v>
      </c>
      <c r="CB181">
        <v>3600</v>
      </c>
      <c r="CF181">
        <v>0</v>
      </c>
      <c r="CG181">
        <v>39515</v>
      </c>
      <c r="CK181">
        <v>0</v>
      </c>
      <c r="CL181">
        <v>1582</v>
      </c>
      <c r="CM181">
        <v>1582</v>
      </c>
      <c r="CN181">
        <v>1581</v>
      </c>
      <c r="CO181">
        <v>4745</v>
      </c>
      <c r="CP181">
        <v>500</v>
      </c>
      <c r="CQ181">
        <v>500</v>
      </c>
      <c r="CR181">
        <v>500</v>
      </c>
      <c r="CS181">
        <v>1500</v>
      </c>
      <c r="CT181">
        <v>750</v>
      </c>
      <c r="CU181">
        <v>750</v>
      </c>
      <c r="CV181">
        <v>750</v>
      </c>
      <c r="CW181">
        <v>2250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N181">
        <v>0</v>
      </c>
      <c r="DO181">
        <v>0</v>
      </c>
      <c r="DP181">
        <v>0</v>
      </c>
      <c r="DR181">
        <v>0</v>
      </c>
      <c r="DS181">
        <v>0</v>
      </c>
      <c r="DT181">
        <v>0</v>
      </c>
      <c r="DY181">
        <v>0</v>
      </c>
      <c r="EC181">
        <v>0</v>
      </c>
      <c r="ED181">
        <v>8495</v>
      </c>
      <c r="EH181">
        <v>0</v>
      </c>
      <c r="EI181">
        <v>0</v>
      </c>
      <c r="EJ181">
        <v>0</v>
      </c>
      <c r="EK181">
        <v>0</v>
      </c>
      <c r="EM181">
        <v>0</v>
      </c>
      <c r="EN181">
        <v>660</v>
      </c>
      <c r="EO181">
        <v>660</v>
      </c>
      <c r="EP181">
        <v>659</v>
      </c>
      <c r="EQ181">
        <v>2000</v>
      </c>
      <c r="ER181">
        <v>21.24</v>
      </c>
      <c r="ES181">
        <v>0</v>
      </c>
      <c r="ET181">
        <v>0</v>
      </c>
      <c r="EU181">
        <v>0</v>
      </c>
      <c r="EW181">
        <v>0</v>
      </c>
      <c r="FA181">
        <v>0</v>
      </c>
      <c r="FE181">
        <v>0</v>
      </c>
      <c r="FI181">
        <v>0</v>
      </c>
      <c r="FJ181">
        <v>1978.76</v>
      </c>
      <c r="FK181">
        <v>31020</v>
      </c>
      <c r="FL181">
        <v>30329.643245049712</v>
      </c>
      <c r="FM181">
        <v>29041.24</v>
      </c>
    </row>
    <row r="182" spans="1:169" x14ac:dyDescent="0.35">
      <c r="A182">
        <v>198263</v>
      </c>
      <c r="B182" t="s">
        <v>1456</v>
      </c>
      <c r="C182" t="s">
        <v>1457</v>
      </c>
      <c r="D182" t="s">
        <v>1458</v>
      </c>
      <c r="E182" s="43" t="s">
        <v>1459</v>
      </c>
      <c r="L182" s="43" t="s">
        <v>3204</v>
      </c>
      <c r="M182" t="s">
        <v>1460</v>
      </c>
      <c r="N182" t="s">
        <v>1461</v>
      </c>
      <c r="O182" t="s">
        <v>1462</v>
      </c>
      <c r="P182" t="s">
        <v>687</v>
      </c>
      <c r="Q182" t="s">
        <v>1463</v>
      </c>
      <c r="R182">
        <v>2.82</v>
      </c>
      <c r="S182">
        <v>44109</v>
      </c>
      <c r="T182" t="s">
        <v>311</v>
      </c>
      <c r="U182" t="s">
        <v>266</v>
      </c>
      <c r="V182" t="s">
        <v>267</v>
      </c>
      <c r="W182" t="s">
        <v>268</v>
      </c>
      <c r="X182" t="s">
        <v>269</v>
      </c>
      <c r="Y182">
        <v>8883022894</v>
      </c>
      <c r="Z182" t="s">
        <v>270</v>
      </c>
      <c r="AA182" t="s">
        <v>271</v>
      </c>
      <c r="AB182">
        <v>0</v>
      </c>
      <c r="AC182" t="s">
        <v>752</v>
      </c>
      <c r="AD182" t="s">
        <v>353</v>
      </c>
      <c r="AE182" t="s">
        <v>354</v>
      </c>
      <c r="AF182">
        <v>6</v>
      </c>
      <c r="AG182" t="s">
        <v>275</v>
      </c>
      <c r="AH182" s="43" t="s">
        <v>4195</v>
      </c>
      <c r="AI182" s="43" t="s">
        <v>4196</v>
      </c>
      <c r="AJ182" s="43" t="s">
        <v>4169</v>
      </c>
      <c r="AK182" s="43" t="s">
        <v>1715</v>
      </c>
      <c r="AL182" s="43" t="s">
        <v>259</v>
      </c>
      <c r="AO182" s="23"/>
      <c r="AP182" s="23"/>
      <c r="AQ182" s="23"/>
      <c r="BD182" s="43" t="s">
        <v>259</v>
      </c>
      <c r="BE182" s="43" t="s">
        <v>259</v>
      </c>
      <c r="BF182" s="43" t="s">
        <v>259</v>
      </c>
      <c r="BG182" s="43" t="s">
        <v>259</v>
      </c>
      <c r="BH182" s="43" t="s">
        <v>259</v>
      </c>
      <c r="BI182" s="43" t="s">
        <v>259</v>
      </c>
      <c r="BJ182">
        <v>0</v>
      </c>
      <c r="BK182">
        <v>44109</v>
      </c>
      <c r="BL182">
        <v>44356</v>
      </c>
      <c r="BM182">
        <v>8505</v>
      </c>
      <c r="BN182">
        <v>8505</v>
      </c>
      <c r="BO182">
        <v>8505</v>
      </c>
      <c r="BP182">
        <v>25515</v>
      </c>
      <c r="BQ182">
        <v>3300</v>
      </c>
      <c r="BR182">
        <v>400</v>
      </c>
      <c r="BS182">
        <v>400</v>
      </c>
      <c r="BT182">
        <v>4100</v>
      </c>
      <c r="BU182">
        <v>2100</v>
      </c>
      <c r="BV182">
        <v>2100</v>
      </c>
      <c r="BW182">
        <v>2100</v>
      </c>
      <c r="BX182">
        <v>6300</v>
      </c>
      <c r="BY182">
        <v>1200</v>
      </c>
      <c r="BZ182">
        <v>1200</v>
      </c>
      <c r="CA182">
        <v>1200</v>
      </c>
      <c r="CB182">
        <v>3600</v>
      </c>
      <c r="CC182">
        <v>0</v>
      </c>
      <c r="CD182">
        <v>0</v>
      </c>
      <c r="CE182">
        <v>0</v>
      </c>
      <c r="CF182">
        <v>0</v>
      </c>
      <c r="CG182">
        <v>39515</v>
      </c>
      <c r="CH182">
        <v>0</v>
      </c>
      <c r="CI182">
        <v>0</v>
      </c>
      <c r="CJ182">
        <v>0</v>
      </c>
      <c r="CK182">
        <v>0</v>
      </c>
      <c r="CL182">
        <v>782</v>
      </c>
      <c r="CM182">
        <v>782</v>
      </c>
      <c r="CN182">
        <v>781</v>
      </c>
      <c r="CO182">
        <v>2345</v>
      </c>
      <c r="CP182">
        <v>500</v>
      </c>
      <c r="CQ182">
        <v>500</v>
      </c>
      <c r="CR182">
        <v>500</v>
      </c>
      <c r="CS182">
        <v>1500</v>
      </c>
      <c r="CT182">
        <v>750</v>
      </c>
      <c r="CU182">
        <v>750</v>
      </c>
      <c r="CV182">
        <v>750</v>
      </c>
      <c r="CW182">
        <v>2250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6095</v>
      </c>
      <c r="EE182">
        <v>0</v>
      </c>
      <c r="EF182">
        <v>0</v>
      </c>
      <c r="EG182">
        <v>0</v>
      </c>
      <c r="EH182">
        <v>0</v>
      </c>
      <c r="EI182">
        <v>1154</v>
      </c>
      <c r="EJ182">
        <v>1154</v>
      </c>
      <c r="EK182">
        <v>1155</v>
      </c>
      <c r="EL182">
        <v>3500</v>
      </c>
      <c r="EM182">
        <v>37.065000000000005</v>
      </c>
      <c r="EN182">
        <v>660</v>
      </c>
      <c r="EO182">
        <v>660</v>
      </c>
      <c r="EP182">
        <v>659</v>
      </c>
      <c r="EQ182">
        <v>2000</v>
      </c>
      <c r="ER182">
        <v>21.18</v>
      </c>
      <c r="ES182">
        <v>0</v>
      </c>
      <c r="ET182">
        <v>0</v>
      </c>
      <c r="EU182">
        <v>0</v>
      </c>
      <c r="EV182">
        <v>0</v>
      </c>
      <c r="EW182">
        <v>0</v>
      </c>
      <c r="FA182">
        <v>0</v>
      </c>
      <c r="FE182">
        <v>0</v>
      </c>
      <c r="FI182">
        <v>0</v>
      </c>
      <c r="FJ182">
        <v>5441.7550000000001</v>
      </c>
      <c r="FK182">
        <v>33420</v>
      </c>
      <c r="FL182">
        <v>29215.827450816589</v>
      </c>
      <c r="FM182">
        <v>27978.244999999999</v>
      </c>
    </row>
    <row r="183" spans="1:169" x14ac:dyDescent="0.35">
      <c r="A183">
        <v>196108</v>
      </c>
      <c r="B183" t="s">
        <v>1464</v>
      </c>
      <c r="C183" t="s">
        <v>590</v>
      </c>
      <c r="D183" t="s">
        <v>1465</v>
      </c>
      <c r="E183" s="43" t="s">
        <v>1466</v>
      </c>
      <c r="F183">
        <v>1</v>
      </c>
      <c r="G183" s="23">
        <v>43795</v>
      </c>
      <c r="H183" s="23">
        <v>43795</v>
      </c>
      <c r="I183" s="23">
        <v>43795</v>
      </c>
      <c r="K183" t="s">
        <v>1715</v>
      </c>
      <c r="L183" s="43" t="s">
        <v>3204</v>
      </c>
      <c r="M183" t="s">
        <v>1467</v>
      </c>
      <c r="N183" t="s">
        <v>1468</v>
      </c>
      <c r="O183" t="s">
        <v>1469</v>
      </c>
      <c r="P183" t="s">
        <v>403</v>
      </c>
      <c r="Q183" t="s">
        <v>1470</v>
      </c>
      <c r="R183">
        <v>3.09</v>
      </c>
      <c r="S183">
        <v>44109</v>
      </c>
      <c r="T183" t="s">
        <v>285</v>
      </c>
      <c r="U183" t="s">
        <v>266</v>
      </c>
      <c r="V183" t="s">
        <v>267</v>
      </c>
      <c r="W183" t="s">
        <v>268</v>
      </c>
      <c r="X183" t="s">
        <v>269</v>
      </c>
      <c r="Y183">
        <v>8883022894</v>
      </c>
      <c r="Z183" t="s">
        <v>270</v>
      </c>
      <c r="AA183" t="s">
        <v>271</v>
      </c>
      <c r="AB183">
        <v>0</v>
      </c>
      <c r="AC183" t="s">
        <v>636</v>
      </c>
      <c r="AD183" t="s">
        <v>637</v>
      </c>
      <c r="AE183" t="s">
        <v>376</v>
      </c>
      <c r="AF183">
        <v>7</v>
      </c>
      <c r="AG183" t="s">
        <v>275</v>
      </c>
      <c r="AH183" s="43" t="s">
        <v>3226</v>
      </c>
      <c r="AI183" s="43" t="s">
        <v>313</v>
      </c>
      <c r="AJ183" s="43" t="s">
        <v>4169</v>
      </c>
      <c r="AK183" s="43" t="s">
        <v>3208</v>
      </c>
      <c r="AL183" s="43" t="s">
        <v>3209</v>
      </c>
      <c r="AO183" s="23"/>
      <c r="AP183" s="23"/>
      <c r="AQ183" s="23"/>
      <c r="BD183" s="43" t="s">
        <v>2018</v>
      </c>
      <c r="BE183" s="43" t="s">
        <v>2018</v>
      </c>
      <c r="BF183" s="43" t="s">
        <v>2018</v>
      </c>
      <c r="BG183" s="43" t="s">
        <v>2018</v>
      </c>
      <c r="BH183" s="43" t="s">
        <v>2018</v>
      </c>
      <c r="BI183" s="43" t="s">
        <v>2018</v>
      </c>
      <c r="BJ183">
        <v>0</v>
      </c>
      <c r="BK183">
        <v>44109</v>
      </c>
      <c r="BL183">
        <v>44356</v>
      </c>
      <c r="BM183">
        <v>8505</v>
      </c>
      <c r="BN183">
        <v>8505</v>
      </c>
      <c r="BO183">
        <v>8505</v>
      </c>
      <c r="BP183">
        <v>25515</v>
      </c>
      <c r="BQ183">
        <v>3300</v>
      </c>
      <c r="BR183">
        <v>400</v>
      </c>
      <c r="BS183">
        <v>400</v>
      </c>
      <c r="BT183">
        <v>4100</v>
      </c>
      <c r="BU183">
        <v>2100</v>
      </c>
      <c r="BV183">
        <v>2100</v>
      </c>
      <c r="BW183">
        <v>2100</v>
      </c>
      <c r="BX183">
        <v>6300</v>
      </c>
      <c r="BY183">
        <v>1200</v>
      </c>
      <c r="BZ183">
        <v>1200</v>
      </c>
      <c r="CA183">
        <v>1200</v>
      </c>
      <c r="CB183">
        <v>3600</v>
      </c>
      <c r="CC183">
        <v>0</v>
      </c>
      <c r="CD183">
        <v>0</v>
      </c>
      <c r="CE183">
        <v>0</v>
      </c>
      <c r="CF183">
        <v>0</v>
      </c>
      <c r="CG183">
        <v>39515</v>
      </c>
      <c r="CK183">
        <v>0</v>
      </c>
      <c r="CL183">
        <v>2065</v>
      </c>
      <c r="CM183">
        <v>2065</v>
      </c>
      <c r="CN183">
        <v>2065</v>
      </c>
      <c r="CO183">
        <v>6195</v>
      </c>
      <c r="CP183">
        <v>500</v>
      </c>
      <c r="CQ183">
        <v>500</v>
      </c>
      <c r="CR183">
        <v>500</v>
      </c>
      <c r="CS183">
        <v>1500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N183">
        <v>0</v>
      </c>
      <c r="DO183">
        <v>0</v>
      </c>
      <c r="DP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7695</v>
      </c>
      <c r="EE183">
        <v>0</v>
      </c>
      <c r="EF183">
        <v>0</v>
      </c>
      <c r="EG183">
        <v>0</v>
      </c>
      <c r="EH183">
        <v>0</v>
      </c>
      <c r="EI183">
        <v>1154</v>
      </c>
      <c r="EJ183">
        <v>1154</v>
      </c>
      <c r="EK183">
        <v>1155</v>
      </c>
      <c r="EL183">
        <v>3500</v>
      </c>
      <c r="EM183">
        <v>37.065000000000005</v>
      </c>
      <c r="EN183">
        <v>660</v>
      </c>
      <c r="EO183">
        <v>660</v>
      </c>
      <c r="EP183">
        <v>659</v>
      </c>
      <c r="EQ183">
        <v>2000</v>
      </c>
      <c r="ER183">
        <v>21.18</v>
      </c>
      <c r="ES183">
        <v>0</v>
      </c>
      <c r="ET183">
        <v>0</v>
      </c>
      <c r="EU183">
        <v>0</v>
      </c>
      <c r="EV183">
        <v>0</v>
      </c>
      <c r="EW183">
        <v>0</v>
      </c>
      <c r="FA183">
        <v>0</v>
      </c>
      <c r="FE183">
        <v>0</v>
      </c>
      <c r="FI183">
        <v>0</v>
      </c>
      <c r="FJ183">
        <v>5441.7550000000001</v>
      </c>
      <c r="FK183">
        <v>31820</v>
      </c>
      <c r="FL183">
        <v>27548.505514245131</v>
      </c>
      <c r="FM183">
        <v>26378.244999999999</v>
      </c>
    </row>
    <row r="184" spans="1:169" x14ac:dyDescent="0.35">
      <c r="A184">
        <v>198212</v>
      </c>
      <c r="B184" t="s">
        <v>1471</v>
      </c>
      <c r="C184" t="s">
        <v>1472</v>
      </c>
      <c r="D184" t="s">
        <v>1473</v>
      </c>
      <c r="E184" s="43" t="s">
        <v>1474</v>
      </c>
      <c r="L184" s="43" t="s">
        <v>259</v>
      </c>
      <c r="M184" t="s">
        <v>1475</v>
      </c>
      <c r="N184" t="s">
        <v>1476</v>
      </c>
      <c r="O184" t="s">
        <v>1477</v>
      </c>
      <c r="P184" t="s">
        <v>542</v>
      </c>
      <c r="Q184" t="s">
        <v>1478</v>
      </c>
      <c r="R184">
        <v>3.4</v>
      </c>
      <c r="S184">
        <v>44109</v>
      </c>
      <c r="T184" t="s">
        <v>544</v>
      </c>
      <c r="U184" t="s">
        <v>266</v>
      </c>
      <c r="V184" t="s">
        <v>267</v>
      </c>
      <c r="W184" t="s">
        <v>268</v>
      </c>
      <c r="X184" t="s">
        <v>269</v>
      </c>
      <c r="Y184">
        <v>8883022894</v>
      </c>
      <c r="Z184" t="s">
        <v>270</v>
      </c>
      <c r="AA184" t="s">
        <v>271</v>
      </c>
      <c r="AB184">
        <v>0</v>
      </c>
      <c r="AC184">
        <v>0</v>
      </c>
      <c r="AD184" t="s">
        <v>313</v>
      </c>
      <c r="AE184" t="s">
        <v>344</v>
      </c>
      <c r="AF184">
        <v>10</v>
      </c>
      <c r="AG184" t="s">
        <v>275</v>
      </c>
      <c r="AH184" s="43" t="s">
        <v>259</v>
      </c>
      <c r="AI184" s="43" t="s">
        <v>259</v>
      </c>
      <c r="AJ184" s="43" t="s">
        <v>259</v>
      </c>
      <c r="AK184" s="43" t="s">
        <v>259</v>
      </c>
      <c r="AL184" s="43" t="s">
        <v>259</v>
      </c>
      <c r="AO184" s="23"/>
      <c r="AP184" s="23"/>
      <c r="AQ184" s="23"/>
      <c r="BD184" s="43" t="s">
        <v>259</v>
      </c>
      <c r="BE184" s="43" t="s">
        <v>259</v>
      </c>
      <c r="BF184" s="43" t="s">
        <v>259</v>
      </c>
      <c r="BG184" s="43" t="s">
        <v>259</v>
      </c>
      <c r="BH184" s="43" t="s">
        <v>259</v>
      </c>
      <c r="BI184" s="43" t="s">
        <v>259</v>
      </c>
      <c r="BJ184">
        <v>0</v>
      </c>
      <c r="BK184">
        <v>44109</v>
      </c>
      <c r="BL184">
        <v>44356</v>
      </c>
      <c r="BM184">
        <v>8505</v>
      </c>
      <c r="BN184">
        <v>8505</v>
      </c>
      <c r="BO184">
        <v>8505</v>
      </c>
      <c r="BP184">
        <v>25515</v>
      </c>
      <c r="BQ184">
        <v>3300</v>
      </c>
      <c r="BR184">
        <v>400</v>
      </c>
      <c r="BS184">
        <v>400</v>
      </c>
      <c r="BT184">
        <v>4100</v>
      </c>
      <c r="BU184">
        <v>2100</v>
      </c>
      <c r="BV184">
        <v>2100</v>
      </c>
      <c r="BW184">
        <v>2100</v>
      </c>
      <c r="BX184">
        <v>6300</v>
      </c>
      <c r="BY184">
        <v>1200</v>
      </c>
      <c r="BZ184">
        <v>1200</v>
      </c>
      <c r="CA184">
        <v>1200</v>
      </c>
      <c r="CB184">
        <v>3600</v>
      </c>
      <c r="CC184">
        <v>0</v>
      </c>
      <c r="CD184">
        <v>0</v>
      </c>
      <c r="CE184">
        <v>0</v>
      </c>
      <c r="CF184">
        <v>0</v>
      </c>
      <c r="CG184">
        <v>39515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3000</v>
      </c>
      <c r="CY184">
        <v>3000</v>
      </c>
      <c r="CZ184">
        <v>3000</v>
      </c>
      <c r="DA184">
        <v>9000</v>
      </c>
      <c r="DB184">
        <v>0</v>
      </c>
      <c r="DC184">
        <v>0</v>
      </c>
      <c r="DD184">
        <v>0</v>
      </c>
      <c r="DE184">
        <v>0</v>
      </c>
      <c r="DF184">
        <v>1000</v>
      </c>
      <c r="DG184">
        <v>1000</v>
      </c>
      <c r="DH184">
        <v>1000</v>
      </c>
      <c r="DI184">
        <v>3000</v>
      </c>
      <c r="DJ184">
        <v>1000</v>
      </c>
      <c r="DK184">
        <v>1000</v>
      </c>
      <c r="DL184">
        <v>1000</v>
      </c>
      <c r="DM184">
        <v>3000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15000</v>
      </c>
      <c r="EE184">
        <v>0</v>
      </c>
      <c r="EF184">
        <v>0</v>
      </c>
      <c r="EG184">
        <v>0</v>
      </c>
      <c r="EH184">
        <v>0</v>
      </c>
      <c r="EI184">
        <v>1154</v>
      </c>
      <c r="EJ184">
        <v>1154</v>
      </c>
      <c r="EK184">
        <v>1155</v>
      </c>
      <c r="EL184">
        <v>3500</v>
      </c>
      <c r="EM184">
        <v>37.065000000000005</v>
      </c>
      <c r="EN184">
        <v>660</v>
      </c>
      <c r="EO184">
        <v>660</v>
      </c>
      <c r="EP184">
        <v>659</v>
      </c>
      <c r="EQ184">
        <v>2000</v>
      </c>
      <c r="ER184">
        <v>21.18</v>
      </c>
      <c r="ES184">
        <v>0</v>
      </c>
      <c r="ET184">
        <v>0</v>
      </c>
      <c r="EU184">
        <v>0</v>
      </c>
      <c r="EV184">
        <v>0</v>
      </c>
      <c r="EW184">
        <v>0</v>
      </c>
      <c r="FA184">
        <v>0</v>
      </c>
      <c r="FE184">
        <v>0</v>
      </c>
      <c r="FI184">
        <v>0</v>
      </c>
      <c r="FJ184">
        <v>5441.7550000000001</v>
      </c>
      <c r="FK184">
        <v>24515</v>
      </c>
      <c r="FL184">
        <v>19916.925984712416</v>
      </c>
      <c r="FM184">
        <v>19073.244999999999</v>
      </c>
    </row>
    <row r="185" spans="1:169" x14ac:dyDescent="0.35">
      <c r="A185">
        <v>195156</v>
      </c>
      <c r="B185" t="s">
        <v>1479</v>
      </c>
      <c r="C185" t="s">
        <v>426</v>
      </c>
      <c r="D185" t="s">
        <v>1480</v>
      </c>
      <c r="E185" s="43" t="s">
        <v>1481</v>
      </c>
      <c r="F185">
        <v>1</v>
      </c>
      <c r="I185" s="23">
        <v>43795</v>
      </c>
      <c r="L185" s="43" t="s">
        <v>301</v>
      </c>
      <c r="M185" t="s">
        <v>1482</v>
      </c>
      <c r="N185" t="s">
        <v>1483</v>
      </c>
      <c r="O185" t="s">
        <v>1484</v>
      </c>
      <c r="P185" t="s">
        <v>297</v>
      </c>
      <c r="Q185" t="s">
        <v>1485</v>
      </c>
      <c r="R185">
        <v>3.5049999999999999</v>
      </c>
      <c r="S185">
        <v>44109</v>
      </c>
      <c r="T185" t="s">
        <v>311</v>
      </c>
      <c r="U185" t="s">
        <v>266</v>
      </c>
      <c r="V185" t="s">
        <v>267</v>
      </c>
      <c r="W185" t="s">
        <v>268</v>
      </c>
      <c r="X185" t="s">
        <v>269</v>
      </c>
      <c r="Y185">
        <v>8883022894</v>
      </c>
      <c r="Z185" t="s">
        <v>270</v>
      </c>
      <c r="AA185" t="s">
        <v>271</v>
      </c>
      <c r="AB185">
        <v>0</v>
      </c>
      <c r="AC185" t="s">
        <v>1486</v>
      </c>
      <c r="AD185" t="s">
        <v>1487</v>
      </c>
      <c r="AE185" t="s">
        <v>301</v>
      </c>
      <c r="AF185">
        <v>1</v>
      </c>
      <c r="AG185" t="s">
        <v>275</v>
      </c>
      <c r="AH185" s="43" t="s">
        <v>3324</v>
      </c>
      <c r="AI185" s="43" t="s">
        <v>3325</v>
      </c>
      <c r="AJ185" s="43" t="s">
        <v>3207</v>
      </c>
      <c r="AK185" s="43" t="s">
        <v>3208</v>
      </c>
      <c r="AL185" s="43" t="s">
        <v>3209</v>
      </c>
      <c r="AO185" s="23"/>
      <c r="AP185" s="23"/>
      <c r="AQ185" s="23"/>
      <c r="BD185" s="43" t="s">
        <v>2018</v>
      </c>
      <c r="BE185" s="43" t="s">
        <v>2018</v>
      </c>
      <c r="BF185" s="43" t="s">
        <v>2018</v>
      </c>
      <c r="BG185" s="43" t="s">
        <v>2018</v>
      </c>
      <c r="BH185" s="43" t="s">
        <v>2018</v>
      </c>
      <c r="BI185" s="43" t="s">
        <v>2018</v>
      </c>
      <c r="BJ185">
        <v>0</v>
      </c>
      <c r="BK185">
        <v>44109</v>
      </c>
      <c r="BL185">
        <v>44356</v>
      </c>
      <c r="BM185">
        <v>8505</v>
      </c>
      <c r="BN185">
        <v>8505</v>
      </c>
      <c r="BO185">
        <v>8505</v>
      </c>
      <c r="BP185">
        <v>25515</v>
      </c>
      <c r="BQ185">
        <v>3300</v>
      </c>
      <c r="BR185">
        <v>400</v>
      </c>
      <c r="BS185">
        <v>400</v>
      </c>
      <c r="BT185">
        <v>4100</v>
      </c>
      <c r="BU185">
        <v>2100</v>
      </c>
      <c r="BV185">
        <v>2100</v>
      </c>
      <c r="BW185">
        <v>2100</v>
      </c>
      <c r="BX185">
        <v>6300</v>
      </c>
      <c r="BY185">
        <v>1200</v>
      </c>
      <c r="BZ185">
        <v>1200</v>
      </c>
      <c r="CA185">
        <v>1200</v>
      </c>
      <c r="CB185">
        <v>3600</v>
      </c>
      <c r="CC185">
        <v>0</v>
      </c>
      <c r="CD185">
        <v>0</v>
      </c>
      <c r="CE185">
        <v>0</v>
      </c>
      <c r="CF185">
        <v>0</v>
      </c>
      <c r="CG185">
        <v>39515</v>
      </c>
      <c r="CH185">
        <v>0</v>
      </c>
      <c r="CI185">
        <v>0</v>
      </c>
      <c r="CJ185">
        <v>0</v>
      </c>
      <c r="CK185">
        <v>0</v>
      </c>
      <c r="CL185">
        <v>2015</v>
      </c>
      <c r="CM185">
        <v>2015</v>
      </c>
      <c r="CN185">
        <v>2015</v>
      </c>
      <c r="CO185">
        <v>6045</v>
      </c>
      <c r="CP185">
        <v>500</v>
      </c>
      <c r="CQ185">
        <v>500</v>
      </c>
      <c r="CR185">
        <v>500</v>
      </c>
      <c r="CS185">
        <v>1500</v>
      </c>
      <c r="CT185">
        <v>1700</v>
      </c>
      <c r="CU185">
        <v>1700</v>
      </c>
      <c r="CV185">
        <v>1700</v>
      </c>
      <c r="CW185">
        <v>5100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12645</v>
      </c>
      <c r="EE185">
        <v>0</v>
      </c>
      <c r="EF185">
        <v>0</v>
      </c>
      <c r="EG185">
        <v>0</v>
      </c>
      <c r="EH185">
        <v>0</v>
      </c>
      <c r="EI185">
        <v>1154</v>
      </c>
      <c r="EJ185">
        <v>1154</v>
      </c>
      <c r="EK185">
        <v>1155</v>
      </c>
      <c r="EL185">
        <v>3500</v>
      </c>
      <c r="EM185">
        <v>37.065000000000005</v>
      </c>
      <c r="EN185">
        <v>1979</v>
      </c>
      <c r="EO185">
        <v>1979</v>
      </c>
      <c r="EP185">
        <v>1978</v>
      </c>
      <c r="EQ185">
        <v>6000</v>
      </c>
      <c r="ER185">
        <v>63.540000000000006</v>
      </c>
      <c r="ES185">
        <v>0</v>
      </c>
      <c r="ET185">
        <v>0</v>
      </c>
      <c r="EU185">
        <v>0</v>
      </c>
      <c r="EV185">
        <v>0</v>
      </c>
      <c r="EW185">
        <v>0</v>
      </c>
      <c r="FA185">
        <v>0</v>
      </c>
      <c r="FE185">
        <v>0</v>
      </c>
      <c r="FI185">
        <v>0</v>
      </c>
      <c r="FJ185">
        <v>9399.3950000000004</v>
      </c>
      <c r="FK185">
        <v>26870</v>
      </c>
      <c r="FL185">
        <v>18243.395221586397</v>
      </c>
      <c r="FM185">
        <v>17470.605</v>
      </c>
    </row>
    <row r="186" spans="1:169" x14ac:dyDescent="0.35">
      <c r="A186">
        <v>196303</v>
      </c>
      <c r="B186" t="s">
        <v>1488</v>
      </c>
      <c r="C186" t="s">
        <v>3792</v>
      </c>
      <c r="D186" t="s">
        <v>3793</v>
      </c>
      <c r="E186" s="43" t="s">
        <v>4187</v>
      </c>
      <c r="F186">
        <v>1</v>
      </c>
      <c r="I186" s="23">
        <v>43801</v>
      </c>
      <c r="L186" s="43" t="s">
        <v>3204</v>
      </c>
      <c r="M186" t="s">
        <v>3794</v>
      </c>
      <c r="N186" t="s">
        <v>3795</v>
      </c>
      <c r="O186" t="s">
        <v>3796</v>
      </c>
      <c r="P186" t="s">
        <v>342</v>
      </c>
      <c r="Q186" t="s">
        <v>3797</v>
      </c>
      <c r="R186">
        <v>2.37</v>
      </c>
      <c r="S186">
        <v>44109</v>
      </c>
      <c r="T186" t="s">
        <v>311</v>
      </c>
      <c r="U186" t="s">
        <v>266</v>
      </c>
      <c r="V186" t="s">
        <v>267</v>
      </c>
      <c r="W186" t="s">
        <v>268</v>
      </c>
      <c r="X186" t="s">
        <v>269</v>
      </c>
      <c r="Y186">
        <v>8883022894</v>
      </c>
      <c r="Z186" t="s">
        <v>270</v>
      </c>
      <c r="AA186" t="s">
        <v>271</v>
      </c>
      <c r="AB186">
        <v>0</v>
      </c>
      <c r="AC186" t="s">
        <v>936</v>
      </c>
      <c r="AD186" t="s">
        <v>375</v>
      </c>
      <c r="AE186" t="s">
        <v>344</v>
      </c>
      <c r="AF186">
        <v>10</v>
      </c>
      <c r="AG186" t="s">
        <v>3345</v>
      </c>
      <c r="AH186" s="43" t="s">
        <v>3226</v>
      </c>
      <c r="AI186" s="43" t="s">
        <v>313</v>
      </c>
      <c r="AJ186" s="43" t="s">
        <v>3309</v>
      </c>
      <c r="AK186" s="43" t="s">
        <v>3208</v>
      </c>
      <c r="AL186" s="43" t="s">
        <v>3209</v>
      </c>
      <c r="AO186" s="23"/>
      <c r="AP186" s="23"/>
      <c r="AQ186" s="23"/>
      <c r="BD186" s="43" t="s">
        <v>2018</v>
      </c>
      <c r="BE186" s="43" t="s">
        <v>2018</v>
      </c>
      <c r="BF186" s="43" t="s">
        <v>2018</v>
      </c>
      <c r="BG186" s="43" t="s">
        <v>2018</v>
      </c>
      <c r="BH186" s="43" t="s">
        <v>2018</v>
      </c>
      <c r="BI186" s="43" t="s">
        <v>2018</v>
      </c>
      <c r="BJ186">
        <v>0</v>
      </c>
      <c r="BK186">
        <v>44109</v>
      </c>
      <c r="BL186">
        <v>44356</v>
      </c>
      <c r="BM186">
        <v>8505</v>
      </c>
      <c r="BN186">
        <v>8505</v>
      </c>
      <c r="BO186">
        <v>8505</v>
      </c>
      <c r="BP186">
        <v>25515</v>
      </c>
      <c r="BQ186">
        <v>3300</v>
      </c>
      <c r="BR186">
        <v>400</v>
      </c>
      <c r="BS186">
        <v>400</v>
      </c>
      <c r="BT186">
        <v>4100</v>
      </c>
      <c r="BU186">
        <v>2100</v>
      </c>
      <c r="BV186">
        <v>2100</v>
      </c>
      <c r="BW186">
        <v>2100</v>
      </c>
      <c r="BX186">
        <v>6300</v>
      </c>
      <c r="BY186">
        <v>1200</v>
      </c>
      <c r="BZ186">
        <v>1200</v>
      </c>
      <c r="CA186">
        <v>1200</v>
      </c>
      <c r="CB186">
        <v>3600</v>
      </c>
      <c r="CF186">
        <v>0</v>
      </c>
      <c r="CG186">
        <v>39515</v>
      </c>
      <c r="CK186">
        <v>0</v>
      </c>
      <c r="CL186">
        <v>2065</v>
      </c>
      <c r="CM186">
        <v>2065</v>
      </c>
      <c r="CN186">
        <v>2065</v>
      </c>
      <c r="CO186">
        <v>6195</v>
      </c>
      <c r="CP186">
        <v>500</v>
      </c>
      <c r="CQ186">
        <v>500</v>
      </c>
      <c r="CR186">
        <v>500</v>
      </c>
      <c r="CS186">
        <v>1500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N186">
        <v>0</v>
      </c>
      <c r="DO186">
        <v>0</v>
      </c>
      <c r="DP186">
        <v>0</v>
      </c>
      <c r="DR186">
        <v>0</v>
      </c>
      <c r="DS186">
        <v>0</v>
      </c>
      <c r="DT186">
        <v>0</v>
      </c>
      <c r="DY186">
        <v>0</v>
      </c>
      <c r="EC186">
        <v>0</v>
      </c>
      <c r="ED186">
        <v>7695</v>
      </c>
      <c r="EH186">
        <v>0</v>
      </c>
      <c r="EI186">
        <v>0</v>
      </c>
      <c r="EJ186">
        <v>0</v>
      </c>
      <c r="EK186">
        <v>0</v>
      </c>
      <c r="EM186">
        <v>0</v>
      </c>
      <c r="EN186">
        <v>660</v>
      </c>
      <c r="EO186">
        <v>660</v>
      </c>
      <c r="EP186">
        <v>659</v>
      </c>
      <c r="EQ186">
        <v>2000</v>
      </c>
      <c r="ER186">
        <v>21.24</v>
      </c>
      <c r="ES186">
        <v>0</v>
      </c>
      <c r="ET186">
        <v>0</v>
      </c>
      <c r="EU186">
        <v>0</v>
      </c>
      <c r="EW186">
        <v>0</v>
      </c>
      <c r="FA186">
        <v>0</v>
      </c>
      <c r="FE186">
        <v>0</v>
      </c>
      <c r="FI186">
        <v>0</v>
      </c>
      <c r="FJ186">
        <v>1978.76</v>
      </c>
      <c r="FK186">
        <v>31820</v>
      </c>
      <c r="FL186">
        <v>31165.134931907429</v>
      </c>
      <c r="FM186">
        <v>29841.24</v>
      </c>
    </row>
    <row r="187" spans="1:169" x14ac:dyDescent="0.35">
      <c r="A187">
        <v>196222</v>
      </c>
      <c r="B187" t="s">
        <v>1488</v>
      </c>
      <c r="C187" t="s">
        <v>1489</v>
      </c>
      <c r="D187" t="s">
        <v>1490</v>
      </c>
      <c r="E187" s="43" t="s">
        <v>1491</v>
      </c>
      <c r="F187">
        <v>1</v>
      </c>
      <c r="I187" s="23">
        <v>43782</v>
      </c>
      <c r="L187" s="43" t="s">
        <v>3204</v>
      </c>
      <c r="M187" t="s">
        <v>1492</v>
      </c>
      <c r="N187" t="s">
        <v>1493</v>
      </c>
      <c r="O187" t="s">
        <v>3565</v>
      </c>
      <c r="P187" t="s">
        <v>1091</v>
      </c>
      <c r="Q187" t="s">
        <v>3566</v>
      </c>
      <c r="R187">
        <v>2.746</v>
      </c>
      <c r="S187">
        <v>44109</v>
      </c>
      <c r="T187" t="s">
        <v>265</v>
      </c>
      <c r="U187" t="s">
        <v>266</v>
      </c>
      <c r="V187" t="s">
        <v>267</v>
      </c>
      <c r="W187" t="s">
        <v>268</v>
      </c>
      <c r="X187" t="s">
        <v>269</v>
      </c>
      <c r="Y187">
        <v>8883022894</v>
      </c>
      <c r="Z187" t="s">
        <v>270</v>
      </c>
      <c r="AA187" t="s">
        <v>271</v>
      </c>
      <c r="AB187">
        <v>0</v>
      </c>
      <c r="AC187">
        <v>0</v>
      </c>
      <c r="AD187" t="s">
        <v>313</v>
      </c>
      <c r="AE187" t="s">
        <v>274</v>
      </c>
      <c r="AF187">
        <v>9</v>
      </c>
      <c r="AG187" t="s">
        <v>275</v>
      </c>
      <c r="AH187" s="43" t="s">
        <v>3226</v>
      </c>
      <c r="AI187" s="43" t="s">
        <v>313</v>
      </c>
      <c r="AJ187" s="43" t="s">
        <v>3207</v>
      </c>
      <c r="AK187" s="43" t="s">
        <v>1715</v>
      </c>
      <c r="AL187" s="43" t="s">
        <v>259</v>
      </c>
      <c r="AO187" s="23"/>
      <c r="AP187" s="23"/>
      <c r="AQ187" s="23"/>
      <c r="BD187" s="43" t="s">
        <v>259</v>
      </c>
      <c r="BE187" s="43" t="s">
        <v>259</v>
      </c>
      <c r="BF187" s="43" t="s">
        <v>259</v>
      </c>
      <c r="BG187" s="43" t="s">
        <v>259</v>
      </c>
      <c r="BH187" s="43" t="s">
        <v>259</v>
      </c>
      <c r="BI187" s="43" t="s">
        <v>259</v>
      </c>
      <c r="BJ187">
        <v>0</v>
      </c>
      <c r="BK187">
        <v>44109</v>
      </c>
      <c r="BL187">
        <v>44356</v>
      </c>
      <c r="BM187">
        <v>8505</v>
      </c>
      <c r="BN187">
        <v>8505</v>
      </c>
      <c r="BO187">
        <v>8505</v>
      </c>
      <c r="BP187">
        <v>25515</v>
      </c>
      <c r="BQ187">
        <v>3300</v>
      </c>
      <c r="BR187">
        <v>400</v>
      </c>
      <c r="BS187">
        <v>400</v>
      </c>
      <c r="BT187">
        <v>4100</v>
      </c>
      <c r="BU187">
        <v>2100</v>
      </c>
      <c r="BV187">
        <v>2100</v>
      </c>
      <c r="BW187">
        <v>2100</v>
      </c>
      <c r="BX187">
        <v>6300</v>
      </c>
      <c r="BY187">
        <v>1200</v>
      </c>
      <c r="BZ187">
        <v>1200</v>
      </c>
      <c r="CA187">
        <v>1200</v>
      </c>
      <c r="CB187">
        <v>3600</v>
      </c>
      <c r="CC187">
        <v>0</v>
      </c>
      <c r="CD187">
        <v>0</v>
      </c>
      <c r="CE187">
        <v>0</v>
      </c>
      <c r="CF187">
        <v>0</v>
      </c>
      <c r="CG187">
        <v>39515</v>
      </c>
      <c r="CH187">
        <v>0</v>
      </c>
      <c r="CI187">
        <v>0</v>
      </c>
      <c r="CJ187">
        <v>0</v>
      </c>
      <c r="CK187">
        <v>0</v>
      </c>
      <c r="CL187">
        <v>2065</v>
      </c>
      <c r="CM187">
        <v>2065</v>
      </c>
      <c r="CN187">
        <v>2065</v>
      </c>
      <c r="CO187">
        <v>6195</v>
      </c>
      <c r="CP187">
        <v>500</v>
      </c>
      <c r="CQ187">
        <v>500</v>
      </c>
      <c r="CR187">
        <v>500</v>
      </c>
      <c r="CS187">
        <v>1500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7695</v>
      </c>
      <c r="EE187">
        <v>0</v>
      </c>
      <c r="EF187">
        <v>0</v>
      </c>
      <c r="EG187">
        <v>0</v>
      </c>
      <c r="EH187">
        <v>0</v>
      </c>
      <c r="EI187">
        <v>1154</v>
      </c>
      <c r="EJ187">
        <v>1154</v>
      </c>
      <c r="EK187">
        <v>1155</v>
      </c>
      <c r="EL187">
        <v>3500</v>
      </c>
      <c r="EM187">
        <v>37.065000000000005</v>
      </c>
      <c r="EN187">
        <v>660</v>
      </c>
      <c r="EO187">
        <v>660</v>
      </c>
      <c r="EP187">
        <v>659</v>
      </c>
      <c r="EQ187">
        <v>2000</v>
      </c>
      <c r="ER187">
        <v>21.18</v>
      </c>
      <c r="ES187">
        <v>0</v>
      </c>
      <c r="ET187">
        <v>0</v>
      </c>
      <c r="EU187">
        <v>0</v>
      </c>
      <c r="EV187">
        <v>0</v>
      </c>
      <c r="EW187">
        <v>0</v>
      </c>
      <c r="FA187">
        <v>0</v>
      </c>
      <c r="FE187">
        <v>0</v>
      </c>
      <c r="FI187">
        <v>0</v>
      </c>
      <c r="FJ187">
        <v>5441.7550000000001</v>
      </c>
      <c r="FK187">
        <v>31820</v>
      </c>
      <c r="FL187">
        <v>27545.053464767552</v>
      </c>
      <c r="FM187">
        <v>26378.244999999999</v>
      </c>
    </row>
    <row r="188" spans="1:169" x14ac:dyDescent="0.35">
      <c r="A188">
        <v>198355</v>
      </c>
      <c r="B188" t="s">
        <v>1494</v>
      </c>
      <c r="C188" t="s">
        <v>1193</v>
      </c>
      <c r="D188" t="s">
        <v>1495</v>
      </c>
      <c r="E188" s="43" t="s">
        <v>1496</v>
      </c>
      <c r="F188">
        <v>1</v>
      </c>
      <c r="G188" s="23">
        <v>43783</v>
      </c>
      <c r="H188" s="23">
        <v>43783</v>
      </c>
      <c r="I188" s="23">
        <v>43783</v>
      </c>
      <c r="L188" s="43" t="s">
        <v>3204</v>
      </c>
      <c r="M188" t="s">
        <v>1497</v>
      </c>
      <c r="N188" t="s">
        <v>1498</v>
      </c>
      <c r="O188" t="s">
        <v>1499</v>
      </c>
      <c r="P188" t="s">
        <v>553</v>
      </c>
      <c r="Q188" t="s">
        <v>1500</v>
      </c>
      <c r="R188">
        <v>3.9523999999999999</v>
      </c>
      <c r="S188">
        <v>44109</v>
      </c>
      <c r="T188" t="s">
        <v>311</v>
      </c>
      <c r="U188" t="s">
        <v>266</v>
      </c>
      <c r="V188" t="s">
        <v>267</v>
      </c>
      <c r="W188" t="s">
        <v>268</v>
      </c>
      <c r="X188" t="s">
        <v>269</v>
      </c>
      <c r="Y188">
        <v>8883022894</v>
      </c>
      <c r="Z188" t="s">
        <v>270</v>
      </c>
      <c r="AA188" t="s">
        <v>271</v>
      </c>
      <c r="AB188" t="s">
        <v>374</v>
      </c>
      <c r="AC188">
        <v>0</v>
      </c>
      <c r="AD188" t="s">
        <v>300</v>
      </c>
      <c r="AE188" t="s">
        <v>301</v>
      </c>
      <c r="AF188">
        <v>1</v>
      </c>
      <c r="AG188" t="s">
        <v>275</v>
      </c>
      <c r="AH188" s="43" t="s">
        <v>3264</v>
      </c>
      <c r="AI188" s="43" t="s">
        <v>3265</v>
      </c>
      <c r="AJ188" s="43" t="s">
        <v>3207</v>
      </c>
      <c r="AK188" s="43" t="s">
        <v>1715</v>
      </c>
      <c r="AL188" s="43" t="s">
        <v>259</v>
      </c>
      <c r="AO188" s="23"/>
      <c r="AP188" s="23"/>
      <c r="AQ188" s="23"/>
      <c r="BD188" s="43" t="s">
        <v>259</v>
      </c>
      <c r="BE188" s="43" t="s">
        <v>259</v>
      </c>
      <c r="BF188" s="43" t="s">
        <v>259</v>
      </c>
      <c r="BG188" s="43" t="s">
        <v>259</v>
      </c>
      <c r="BH188" s="43" t="s">
        <v>259</v>
      </c>
      <c r="BI188" s="43" t="s">
        <v>259</v>
      </c>
      <c r="BJ188">
        <v>0</v>
      </c>
      <c r="BK188">
        <v>44109</v>
      </c>
      <c r="BL188">
        <v>44356</v>
      </c>
      <c r="BM188">
        <v>8505</v>
      </c>
      <c r="BN188">
        <v>8505</v>
      </c>
      <c r="BO188">
        <v>8505</v>
      </c>
      <c r="BP188">
        <v>25515</v>
      </c>
      <c r="BQ188">
        <v>3300</v>
      </c>
      <c r="BR188">
        <v>400</v>
      </c>
      <c r="BS188">
        <v>400</v>
      </c>
      <c r="BT188">
        <v>4100</v>
      </c>
      <c r="BU188">
        <v>2100</v>
      </c>
      <c r="BV188">
        <v>2100</v>
      </c>
      <c r="BW188">
        <v>2100</v>
      </c>
      <c r="BX188">
        <v>6300</v>
      </c>
      <c r="BY188">
        <v>1200</v>
      </c>
      <c r="BZ188">
        <v>1200</v>
      </c>
      <c r="CA188">
        <v>1200</v>
      </c>
      <c r="CB188">
        <v>3600</v>
      </c>
      <c r="CC188">
        <v>0</v>
      </c>
      <c r="CD188">
        <v>0</v>
      </c>
      <c r="CE188">
        <v>0</v>
      </c>
      <c r="CF188">
        <v>0</v>
      </c>
      <c r="CG188">
        <v>39515</v>
      </c>
      <c r="CH188">
        <v>0</v>
      </c>
      <c r="CI188">
        <v>0</v>
      </c>
      <c r="CJ188">
        <v>0</v>
      </c>
      <c r="CK188">
        <v>0</v>
      </c>
      <c r="CL188">
        <v>882</v>
      </c>
      <c r="CM188">
        <v>882</v>
      </c>
      <c r="CN188">
        <v>881</v>
      </c>
      <c r="CO188">
        <v>2645</v>
      </c>
      <c r="CP188">
        <v>500</v>
      </c>
      <c r="CQ188">
        <v>500</v>
      </c>
      <c r="CR188">
        <v>500</v>
      </c>
      <c r="CS188">
        <v>1500</v>
      </c>
      <c r="CT188">
        <v>1700</v>
      </c>
      <c r="CU188">
        <v>1700</v>
      </c>
      <c r="CV188">
        <v>1700</v>
      </c>
      <c r="CW188">
        <v>5100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9245</v>
      </c>
      <c r="EE188">
        <v>0</v>
      </c>
      <c r="EF188">
        <v>0</v>
      </c>
      <c r="EG188">
        <v>0</v>
      </c>
      <c r="EH188">
        <v>0</v>
      </c>
      <c r="EI188">
        <v>1154</v>
      </c>
      <c r="EJ188">
        <v>1154</v>
      </c>
      <c r="EK188">
        <v>1155</v>
      </c>
      <c r="EL188">
        <v>3500</v>
      </c>
      <c r="EM188">
        <v>37.065000000000005</v>
      </c>
      <c r="EN188">
        <v>660</v>
      </c>
      <c r="EO188">
        <v>660</v>
      </c>
      <c r="EP188">
        <v>659</v>
      </c>
      <c r="EQ188">
        <v>2000</v>
      </c>
      <c r="ER188">
        <v>21.18</v>
      </c>
      <c r="ES188">
        <v>0</v>
      </c>
      <c r="ET188">
        <v>0</v>
      </c>
      <c r="EU188">
        <v>0</v>
      </c>
      <c r="EV188">
        <v>0</v>
      </c>
      <c r="EW188">
        <v>0</v>
      </c>
      <c r="FA188">
        <v>0</v>
      </c>
      <c r="FE188">
        <v>0</v>
      </c>
      <c r="FI188">
        <v>0</v>
      </c>
      <c r="FJ188">
        <v>5441.7550000000001</v>
      </c>
      <c r="FK188">
        <v>30270</v>
      </c>
      <c r="FL188">
        <v>25926.491165782547</v>
      </c>
      <c r="FM188">
        <v>24828.244999999999</v>
      </c>
    </row>
    <row r="189" spans="1:169" x14ac:dyDescent="0.35">
      <c r="A189">
        <v>196426</v>
      </c>
      <c r="B189" t="s">
        <v>1501</v>
      </c>
      <c r="C189" t="s">
        <v>537</v>
      </c>
      <c r="D189" t="s">
        <v>1502</v>
      </c>
      <c r="E189" s="43" t="s">
        <v>1503</v>
      </c>
      <c r="L189" s="43" t="s">
        <v>259</v>
      </c>
      <c r="M189" t="s">
        <v>1504</v>
      </c>
      <c r="N189" t="s">
        <v>1505</v>
      </c>
      <c r="O189" t="s">
        <v>1506</v>
      </c>
      <c r="P189" t="s">
        <v>1296</v>
      </c>
      <c r="Q189" t="s">
        <v>1507</v>
      </c>
      <c r="R189">
        <v>3.57</v>
      </c>
      <c r="S189">
        <v>44109</v>
      </c>
      <c r="T189" t="s">
        <v>311</v>
      </c>
      <c r="U189" t="s">
        <v>266</v>
      </c>
      <c r="V189" t="s">
        <v>267</v>
      </c>
      <c r="W189" t="s">
        <v>268</v>
      </c>
      <c r="X189" t="s">
        <v>269</v>
      </c>
      <c r="Y189">
        <v>8883022894</v>
      </c>
      <c r="Z189" t="s">
        <v>270</v>
      </c>
      <c r="AA189" t="s">
        <v>271</v>
      </c>
      <c r="AB189">
        <v>0</v>
      </c>
      <c r="AC189">
        <v>0</v>
      </c>
      <c r="AD189" t="s">
        <v>313</v>
      </c>
      <c r="AE189" t="s">
        <v>376</v>
      </c>
      <c r="AF189">
        <v>7</v>
      </c>
      <c r="AG189" t="s">
        <v>275</v>
      </c>
      <c r="AH189" s="43" t="s">
        <v>259</v>
      </c>
      <c r="AI189" s="43" t="s">
        <v>259</v>
      </c>
      <c r="AJ189" s="43" t="s">
        <v>259</v>
      </c>
      <c r="AK189" s="43" t="s">
        <v>259</v>
      </c>
      <c r="AL189" s="43" t="s">
        <v>259</v>
      </c>
      <c r="AO189" s="23"/>
      <c r="AP189" s="23"/>
      <c r="AQ189" s="23"/>
      <c r="BD189" s="43" t="s">
        <v>259</v>
      </c>
      <c r="BE189" s="43" t="s">
        <v>259</v>
      </c>
      <c r="BF189" s="43" t="s">
        <v>259</v>
      </c>
      <c r="BG189" s="43" t="s">
        <v>259</v>
      </c>
      <c r="BH189" s="43" t="s">
        <v>259</v>
      </c>
      <c r="BI189" s="43" t="s">
        <v>259</v>
      </c>
      <c r="BJ189">
        <v>0</v>
      </c>
      <c r="BK189">
        <v>44109</v>
      </c>
      <c r="BL189">
        <v>44356</v>
      </c>
      <c r="BM189">
        <v>8505</v>
      </c>
      <c r="BN189">
        <v>8505</v>
      </c>
      <c r="BO189">
        <v>8505</v>
      </c>
      <c r="BP189">
        <v>25515</v>
      </c>
      <c r="BQ189">
        <v>3300</v>
      </c>
      <c r="BR189">
        <v>400</v>
      </c>
      <c r="BS189">
        <v>400</v>
      </c>
      <c r="BT189">
        <v>4100</v>
      </c>
      <c r="BU189">
        <v>2100</v>
      </c>
      <c r="BV189">
        <v>2100</v>
      </c>
      <c r="BW189">
        <v>2100</v>
      </c>
      <c r="BX189">
        <v>6300</v>
      </c>
      <c r="BY189">
        <v>1200</v>
      </c>
      <c r="BZ189">
        <v>1200</v>
      </c>
      <c r="CA189">
        <v>1200</v>
      </c>
      <c r="CB189">
        <v>3600</v>
      </c>
      <c r="CC189">
        <v>0</v>
      </c>
      <c r="CD189">
        <v>0</v>
      </c>
      <c r="CE189">
        <v>0</v>
      </c>
      <c r="CF189">
        <v>0</v>
      </c>
      <c r="CG189">
        <v>39515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1154</v>
      </c>
      <c r="EJ189">
        <v>1154</v>
      </c>
      <c r="EK189">
        <v>1155</v>
      </c>
      <c r="EL189">
        <v>3500</v>
      </c>
      <c r="EM189">
        <v>37.065000000000005</v>
      </c>
      <c r="EN189">
        <v>660</v>
      </c>
      <c r="EO189">
        <v>660</v>
      </c>
      <c r="EP189">
        <v>659</v>
      </c>
      <c r="EQ189">
        <v>2000</v>
      </c>
      <c r="ER189">
        <v>21.18</v>
      </c>
      <c r="ES189">
        <v>0</v>
      </c>
      <c r="ET189">
        <v>0</v>
      </c>
      <c r="EU189">
        <v>0</v>
      </c>
      <c r="EV189">
        <v>0</v>
      </c>
      <c r="EW189">
        <v>0</v>
      </c>
      <c r="FA189">
        <v>0</v>
      </c>
      <c r="FE189">
        <v>0</v>
      </c>
      <c r="FI189">
        <v>0</v>
      </c>
      <c r="FJ189">
        <v>5441.7550000000001</v>
      </c>
      <c r="FK189">
        <v>39515</v>
      </c>
      <c r="FL189">
        <v>35580.43210392214</v>
      </c>
      <c r="FM189">
        <v>34073.245000000003</v>
      </c>
    </row>
    <row r="190" spans="1:169" x14ac:dyDescent="0.35">
      <c r="A190">
        <v>195084</v>
      </c>
      <c r="B190" t="s">
        <v>1508</v>
      </c>
      <c r="C190" t="s">
        <v>1450</v>
      </c>
      <c r="D190" t="s">
        <v>1509</v>
      </c>
      <c r="E190" s="43" t="s">
        <v>1510</v>
      </c>
      <c r="F190">
        <v>1</v>
      </c>
      <c r="I190" s="23">
        <v>43795</v>
      </c>
      <c r="L190" s="43" t="s">
        <v>3204</v>
      </c>
      <c r="M190" t="s">
        <v>1511</v>
      </c>
      <c r="N190" t="s">
        <v>1512</v>
      </c>
      <c r="O190" t="s">
        <v>1513</v>
      </c>
      <c r="P190" t="s">
        <v>1514</v>
      </c>
      <c r="Q190" t="s">
        <v>1515</v>
      </c>
      <c r="R190">
        <v>2.8094999999999999</v>
      </c>
      <c r="S190">
        <v>44109</v>
      </c>
      <c r="T190" t="s">
        <v>265</v>
      </c>
      <c r="U190" t="s">
        <v>266</v>
      </c>
      <c r="V190" t="s">
        <v>267</v>
      </c>
      <c r="W190" t="s">
        <v>268</v>
      </c>
      <c r="X190" t="s">
        <v>269</v>
      </c>
      <c r="Y190">
        <v>8883022894</v>
      </c>
      <c r="Z190" t="s">
        <v>270</v>
      </c>
      <c r="AA190" t="s">
        <v>271</v>
      </c>
      <c r="AB190" t="s">
        <v>374</v>
      </c>
      <c r="AC190">
        <v>0</v>
      </c>
      <c r="AD190" t="s">
        <v>375</v>
      </c>
      <c r="AE190" t="s">
        <v>354</v>
      </c>
      <c r="AF190">
        <v>6</v>
      </c>
      <c r="AG190" t="s">
        <v>275</v>
      </c>
      <c r="AH190" s="43" t="s">
        <v>3266</v>
      </c>
      <c r="AI190" s="43" t="s">
        <v>3267</v>
      </c>
      <c r="AJ190" s="43" t="s">
        <v>3207</v>
      </c>
      <c r="AK190" s="43" t="s">
        <v>3208</v>
      </c>
      <c r="AL190" s="43" t="s">
        <v>3209</v>
      </c>
      <c r="AO190" s="23"/>
      <c r="AP190" s="23"/>
      <c r="AQ190" s="23"/>
      <c r="BD190" s="43" t="s">
        <v>2018</v>
      </c>
      <c r="BE190" s="43" t="s">
        <v>2018</v>
      </c>
      <c r="BF190" s="43" t="s">
        <v>2018</v>
      </c>
      <c r="BG190" s="43" t="s">
        <v>2018</v>
      </c>
      <c r="BH190" s="43" t="s">
        <v>2018</v>
      </c>
      <c r="BI190" s="43" t="s">
        <v>2018</v>
      </c>
      <c r="BJ190">
        <v>0</v>
      </c>
      <c r="BK190">
        <v>44109</v>
      </c>
      <c r="BL190">
        <v>44356</v>
      </c>
      <c r="BM190">
        <v>8505</v>
      </c>
      <c r="BN190">
        <v>8505</v>
      </c>
      <c r="BO190">
        <v>8505</v>
      </c>
      <c r="BP190">
        <v>25515</v>
      </c>
      <c r="BQ190">
        <v>3300</v>
      </c>
      <c r="BR190">
        <v>400</v>
      </c>
      <c r="BS190">
        <v>400</v>
      </c>
      <c r="BT190">
        <v>4100</v>
      </c>
      <c r="BU190">
        <v>2100</v>
      </c>
      <c r="BV190">
        <v>2100</v>
      </c>
      <c r="BW190">
        <v>2100</v>
      </c>
      <c r="BX190">
        <v>6300</v>
      </c>
      <c r="BY190">
        <v>1200</v>
      </c>
      <c r="BZ190">
        <v>1200</v>
      </c>
      <c r="CA190">
        <v>1200</v>
      </c>
      <c r="CB190">
        <v>3600</v>
      </c>
      <c r="CC190">
        <v>0</v>
      </c>
      <c r="CD190">
        <v>0</v>
      </c>
      <c r="CE190">
        <v>0</v>
      </c>
      <c r="CF190">
        <v>0</v>
      </c>
      <c r="CG190">
        <v>39515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750</v>
      </c>
      <c r="CU190">
        <v>750</v>
      </c>
      <c r="CV190">
        <v>750</v>
      </c>
      <c r="CW190">
        <v>2250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1000</v>
      </c>
      <c r="DG190">
        <v>1000</v>
      </c>
      <c r="DH190">
        <v>1000</v>
      </c>
      <c r="DI190">
        <v>3000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5250</v>
      </c>
      <c r="EE190">
        <v>0</v>
      </c>
      <c r="EF190">
        <v>0</v>
      </c>
      <c r="EG190">
        <v>0</v>
      </c>
      <c r="EH190">
        <v>0</v>
      </c>
      <c r="EI190">
        <v>1154</v>
      </c>
      <c r="EJ190">
        <v>1154</v>
      </c>
      <c r="EK190">
        <v>1155</v>
      </c>
      <c r="EL190">
        <v>3500</v>
      </c>
      <c r="EM190">
        <v>37.065000000000005</v>
      </c>
      <c r="EN190">
        <v>660</v>
      </c>
      <c r="EO190">
        <v>660</v>
      </c>
      <c r="EP190">
        <v>659</v>
      </c>
      <c r="EQ190">
        <v>2000</v>
      </c>
      <c r="ER190">
        <v>21.18</v>
      </c>
      <c r="ES190">
        <v>0</v>
      </c>
      <c r="ET190">
        <v>0</v>
      </c>
      <c r="EU190">
        <v>0</v>
      </c>
      <c r="EV190">
        <v>0</v>
      </c>
      <c r="EW190">
        <v>0</v>
      </c>
      <c r="FA190">
        <v>0</v>
      </c>
      <c r="FE190">
        <v>0</v>
      </c>
      <c r="FI190">
        <v>0</v>
      </c>
      <c r="FJ190">
        <v>5441.7550000000001</v>
      </c>
      <c r="FK190">
        <v>34265</v>
      </c>
      <c r="FL190">
        <v>30098.204962198735</v>
      </c>
      <c r="FM190">
        <v>28823.244999999999</v>
      </c>
    </row>
    <row r="191" spans="1:169" x14ac:dyDescent="0.35">
      <c r="A191">
        <v>196010</v>
      </c>
      <c r="B191" t="s">
        <v>1516</v>
      </c>
      <c r="C191" t="s">
        <v>1517</v>
      </c>
      <c r="D191" t="s">
        <v>1518</v>
      </c>
      <c r="E191" s="43" t="s">
        <v>1519</v>
      </c>
      <c r="L191" s="43" t="s">
        <v>3204</v>
      </c>
      <c r="M191" t="s">
        <v>1520</v>
      </c>
      <c r="N191" t="s">
        <v>1521</v>
      </c>
      <c r="O191" t="s">
        <v>1522</v>
      </c>
      <c r="P191" t="s">
        <v>524</v>
      </c>
      <c r="Q191" t="s">
        <v>1523</v>
      </c>
      <c r="R191">
        <v>3.5</v>
      </c>
      <c r="S191">
        <v>44109</v>
      </c>
      <c r="T191" t="s">
        <v>265</v>
      </c>
      <c r="U191" t="s">
        <v>266</v>
      </c>
      <c r="V191" t="s">
        <v>267</v>
      </c>
      <c r="W191" t="s">
        <v>268</v>
      </c>
      <c r="X191" t="s">
        <v>269</v>
      </c>
      <c r="Y191">
        <v>8883022894</v>
      </c>
      <c r="Z191" t="s">
        <v>270</v>
      </c>
      <c r="AA191" t="s">
        <v>271</v>
      </c>
      <c r="AB191" t="s">
        <v>386</v>
      </c>
      <c r="AC191">
        <v>0</v>
      </c>
      <c r="AD191" t="s">
        <v>387</v>
      </c>
      <c r="AE191" t="s">
        <v>301</v>
      </c>
      <c r="AF191">
        <v>1</v>
      </c>
      <c r="AG191" t="s">
        <v>275</v>
      </c>
      <c r="AH191" s="43" t="s">
        <v>3861</v>
      </c>
      <c r="AI191" s="43" t="s">
        <v>3862</v>
      </c>
      <c r="AJ191" s="43" t="s">
        <v>3821</v>
      </c>
      <c r="AK191" s="43" t="s">
        <v>3208</v>
      </c>
      <c r="AL191" s="43" t="s">
        <v>3209</v>
      </c>
      <c r="AO191" s="23"/>
      <c r="AP191" s="23"/>
      <c r="AQ191" s="23"/>
      <c r="BD191" s="43" t="s">
        <v>2018</v>
      </c>
      <c r="BE191" s="43" t="s">
        <v>2018</v>
      </c>
      <c r="BF191" s="43" t="s">
        <v>2018</v>
      </c>
      <c r="BG191" s="43" t="s">
        <v>2018</v>
      </c>
      <c r="BH191" s="43" t="s">
        <v>2018</v>
      </c>
      <c r="BI191" s="43" t="s">
        <v>2018</v>
      </c>
      <c r="BJ191">
        <v>0</v>
      </c>
      <c r="BK191">
        <v>44109</v>
      </c>
      <c r="BL191">
        <v>44356</v>
      </c>
      <c r="BM191">
        <v>8505</v>
      </c>
      <c r="BN191">
        <v>8505</v>
      </c>
      <c r="BO191">
        <v>8505</v>
      </c>
      <c r="BP191">
        <v>25515</v>
      </c>
      <c r="BQ191">
        <v>3300</v>
      </c>
      <c r="BR191">
        <v>400</v>
      </c>
      <c r="BS191">
        <v>400</v>
      </c>
      <c r="BT191">
        <v>4100</v>
      </c>
      <c r="BU191">
        <v>2100</v>
      </c>
      <c r="BV191">
        <v>2100</v>
      </c>
      <c r="BW191">
        <v>2100</v>
      </c>
      <c r="BX191">
        <v>6300</v>
      </c>
      <c r="BY191">
        <v>1200</v>
      </c>
      <c r="BZ191">
        <v>1200</v>
      </c>
      <c r="CA191">
        <v>1200</v>
      </c>
      <c r="CB191">
        <v>3600</v>
      </c>
      <c r="CC191">
        <v>0</v>
      </c>
      <c r="CD191">
        <v>0</v>
      </c>
      <c r="CE191">
        <v>0</v>
      </c>
      <c r="CF191">
        <v>0</v>
      </c>
      <c r="CG191">
        <v>39515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1700</v>
      </c>
      <c r="CU191">
        <v>1700</v>
      </c>
      <c r="CV191">
        <v>1700</v>
      </c>
      <c r="CW191">
        <v>5100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N191">
        <v>0</v>
      </c>
      <c r="DO191">
        <v>0</v>
      </c>
      <c r="DP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5100</v>
      </c>
      <c r="EE191">
        <v>0</v>
      </c>
      <c r="EF191">
        <v>0</v>
      </c>
      <c r="EG191">
        <v>0</v>
      </c>
      <c r="EH191">
        <v>0</v>
      </c>
      <c r="EI191">
        <v>1154</v>
      </c>
      <c r="EJ191">
        <v>1154</v>
      </c>
      <c r="EK191">
        <v>1155</v>
      </c>
      <c r="EL191">
        <v>3500</v>
      </c>
      <c r="EM191">
        <v>37.065000000000005</v>
      </c>
      <c r="EN191">
        <v>660</v>
      </c>
      <c r="EO191">
        <v>660</v>
      </c>
      <c r="EP191">
        <v>659</v>
      </c>
      <c r="EQ191">
        <v>2000</v>
      </c>
      <c r="ER191">
        <v>21.18</v>
      </c>
      <c r="ES191">
        <v>0</v>
      </c>
      <c r="ET191">
        <v>0</v>
      </c>
      <c r="EU191">
        <v>0</v>
      </c>
      <c r="EV191">
        <v>0</v>
      </c>
      <c r="EW191">
        <v>0</v>
      </c>
      <c r="FA191">
        <v>0</v>
      </c>
      <c r="FE191">
        <v>0</v>
      </c>
      <c r="FI191">
        <v>0</v>
      </c>
      <c r="FJ191">
        <v>5441.7550000000001</v>
      </c>
      <c r="FK191">
        <v>34415</v>
      </c>
      <c r="FL191">
        <v>30258.631673489846</v>
      </c>
      <c r="FM191">
        <v>28973.244999999999</v>
      </c>
    </row>
    <row r="192" spans="1:169" x14ac:dyDescent="0.35">
      <c r="A192">
        <v>196057</v>
      </c>
      <c r="B192" t="s">
        <v>1516</v>
      </c>
      <c r="C192" t="s">
        <v>3948</v>
      </c>
      <c r="D192" t="s">
        <v>3949</v>
      </c>
      <c r="E192" s="43" t="s">
        <v>4223</v>
      </c>
      <c r="J192" t="s">
        <v>3830</v>
      </c>
      <c r="L192" s="43" t="s">
        <v>259</v>
      </c>
      <c r="M192" t="s">
        <v>3950</v>
      </c>
      <c r="N192" t="s">
        <v>3951</v>
      </c>
      <c r="O192" t="s">
        <v>3952</v>
      </c>
      <c r="P192" t="s">
        <v>263</v>
      </c>
      <c r="Q192" t="s">
        <v>3953</v>
      </c>
      <c r="R192">
        <v>3.2618999999999998</v>
      </c>
      <c r="S192">
        <v>44109</v>
      </c>
      <c r="T192" t="s">
        <v>265</v>
      </c>
      <c r="U192" t="s">
        <v>312</v>
      </c>
      <c r="V192" t="s">
        <v>267</v>
      </c>
      <c r="W192" t="s">
        <v>268</v>
      </c>
      <c r="X192" t="s">
        <v>269</v>
      </c>
      <c r="Y192">
        <v>8883022894</v>
      </c>
      <c r="Z192" t="s">
        <v>270</v>
      </c>
      <c r="AA192" t="s">
        <v>271</v>
      </c>
      <c r="AB192" t="s">
        <v>842</v>
      </c>
      <c r="AC192">
        <v>0</v>
      </c>
      <c r="AD192" t="s">
        <v>353</v>
      </c>
      <c r="AE192" t="s">
        <v>416</v>
      </c>
      <c r="AF192">
        <v>5</v>
      </c>
      <c r="AG192" t="s">
        <v>3345</v>
      </c>
      <c r="AH192" s="43" t="s">
        <v>259</v>
      </c>
      <c r="AI192" s="43" t="s">
        <v>259</v>
      </c>
      <c r="AJ192" s="43" t="s">
        <v>259</v>
      </c>
      <c r="AK192" s="43" t="s">
        <v>259</v>
      </c>
      <c r="AL192" s="43" t="s">
        <v>259</v>
      </c>
      <c r="AO192" s="23"/>
      <c r="AP192" s="23"/>
      <c r="AQ192" s="23"/>
      <c r="BD192" s="43" t="s">
        <v>259</v>
      </c>
      <c r="BE192" s="43" t="s">
        <v>259</v>
      </c>
      <c r="BF192" s="43" t="s">
        <v>259</v>
      </c>
      <c r="BG192" s="43" t="s">
        <v>259</v>
      </c>
      <c r="BH192" s="43" t="s">
        <v>259</v>
      </c>
      <c r="BI192" s="43" t="s">
        <v>259</v>
      </c>
      <c r="BJ192">
        <v>0</v>
      </c>
      <c r="BK192">
        <v>44109</v>
      </c>
      <c r="BL192">
        <v>44356</v>
      </c>
      <c r="BP192">
        <v>0</v>
      </c>
      <c r="BT192">
        <v>0</v>
      </c>
      <c r="BX192">
        <v>0</v>
      </c>
      <c r="CB192">
        <v>0</v>
      </c>
      <c r="CF192">
        <v>0</v>
      </c>
      <c r="CG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1000</v>
      </c>
      <c r="CU192">
        <v>1000</v>
      </c>
      <c r="CV192">
        <v>1000</v>
      </c>
      <c r="CW192">
        <v>3000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N192">
        <v>0</v>
      </c>
      <c r="DO192">
        <v>0</v>
      </c>
      <c r="DP192">
        <v>0</v>
      </c>
      <c r="DR192">
        <v>0</v>
      </c>
      <c r="DS192">
        <v>0</v>
      </c>
      <c r="DT192">
        <v>0</v>
      </c>
      <c r="DY192">
        <v>0</v>
      </c>
      <c r="EC192">
        <v>0</v>
      </c>
      <c r="ED192">
        <v>3000</v>
      </c>
      <c r="EH192">
        <v>0</v>
      </c>
      <c r="EI192">
        <v>0</v>
      </c>
      <c r="EJ192">
        <v>0</v>
      </c>
      <c r="EK192">
        <v>0</v>
      </c>
      <c r="EM192">
        <v>0</v>
      </c>
      <c r="EN192">
        <v>660</v>
      </c>
      <c r="EO192">
        <v>660</v>
      </c>
      <c r="EP192">
        <v>659</v>
      </c>
      <c r="EQ192">
        <v>2000</v>
      </c>
      <c r="ER192">
        <v>21.24</v>
      </c>
      <c r="ES192">
        <v>0</v>
      </c>
      <c r="ET192">
        <v>0</v>
      </c>
      <c r="EU192">
        <v>0</v>
      </c>
      <c r="EW192">
        <v>0</v>
      </c>
      <c r="FA192">
        <v>0</v>
      </c>
      <c r="FE192">
        <v>0</v>
      </c>
      <c r="FI192">
        <v>0</v>
      </c>
      <c r="FJ192">
        <v>1978.76</v>
      </c>
      <c r="FK192">
        <v>-3000</v>
      </c>
      <c r="FL192">
        <v>-5199.6407385746516</v>
      </c>
      <c r="FM192">
        <v>-4978.76</v>
      </c>
    </row>
    <row r="193" spans="1:169" x14ac:dyDescent="0.35">
      <c r="A193">
        <v>197336</v>
      </c>
      <c r="B193" t="s">
        <v>1524</v>
      </c>
      <c r="C193" t="s">
        <v>1525</v>
      </c>
      <c r="D193" t="s">
        <v>1526</v>
      </c>
      <c r="E193" s="43" t="s">
        <v>1527</v>
      </c>
      <c r="L193" s="43" t="s">
        <v>3204</v>
      </c>
      <c r="M193" t="s">
        <v>1528</v>
      </c>
      <c r="N193" t="s">
        <v>1529</v>
      </c>
      <c r="O193" t="s">
        <v>1530</v>
      </c>
      <c r="P193" t="s">
        <v>283</v>
      </c>
      <c r="Q193" t="s">
        <v>1531</v>
      </c>
      <c r="R193">
        <v>2.75</v>
      </c>
      <c r="S193">
        <v>44109</v>
      </c>
      <c r="T193" t="s">
        <v>311</v>
      </c>
      <c r="U193" t="s">
        <v>266</v>
      </c>
      <c r="V193" t="s">
        <v>267</v>
      </c>
      <c r="W193" t="s">
        <v>268</v>
      </c>
      <c r="X193" t="s">
        <v>269</v>
      </c>
      <c r="Y193">
        <v>8883022894</v>
      </c>
      <c r="Z193" t="s">
        <v>508</v>
      </c>
      <c r="AA193" t="s">
        <v>271</v>
      </c>
      <c r="AB193" t="s">
        <v>545</v>
      </c>
      <c r="AC193">
        <v>0</v>
      </c>
      <c r="AD193" t="s">
        <v>771</v>
      </c>
      <c r="AE193" t="s">
        <v>445</v>
      </c>
      <c r="AF193">
        <v>4</v>
      </c>
      <c r="AG193" t="s">
        <v>275</v>
      </c>
      <c r="AH193" s="43" t="s">
        <v>3326</v>
      </c>
      <c r="AI193" s="43" t="s">
        <v>3327</v>
      </c>
      <c r="AJ193" s="43" t="s">
        <v>3309</v>
      </c>
      <c r="AK193" s="43" t="s">
        <v>1715</v>
      </c>
      <c r="AL193" s="43" t="s">
        <v>259</v>
      </c>
      <c r="AO193" s="23"/>
      <c r="AP193" s="23">
        <v>43770</v>
      </c>
      <c r="AQ193" s="23">
        <v>43770</v>
      </c>
      <c r="BD193" s="43" t="s">
        <v>259</v>
      </c>
      <c r="BE193" s="43" t="s">
        <v>259</v>
      </c>
      <c r="BF193" s="43" t="s">
        <v>259</v>
      </c>
      <c r="BG193" s="43" t="s">
        <v>259</v>
      </c>
      <c r="BH193" s="43" t="s">
        <v>259</v>
      </c>
      <c r="BI193" s="43" t="s">
        <v>259</v>
      </c>
      <c r="BJ193">
        <v>8.6956521739130488E-2</v>
      </c>
      <c r="BK193">
        <v>44109</v>
      </c>
      <c r="BL193">
        <v>44356</v>
      </c>
      <c r="BM193">
        <v>8505</v>
      </c>
      <c r="BN193">
        <v>8505</v>
      </c>
      <c r="BO193">
        <v>8505</v>
      </c>
      <c r="BP193">
        <v>25515</v>
      </c>
      <c r="BQ193">
        <v>3300</v>
      </c>
      <c r="BR193">
        <v>400</v>
      </c>
      <c r="BS193">
        <v>400</v>
      </c>
      <c r="BT193">
        <v>4100</v>
      </c>
      <c r="BU193">
        <v>2100</v>
      </c>
      <c r="BV193">
        <v>2100</v>
      </c>
      <c r="BW193">
        <v>2100</v>
      </c>
      <c r="BX193">
        <v>6300</v>
      </c>
      <c r="BY193">
        <v>1200</v>
      </c>
      <c r="BZ193">
        <v>1200</v>
      </c>
      <c r="CA193">
        <v>1200</v>
      </c>
      <c r="CB193">
        <v>3600</v>
      </c>
      <c r="CC193">
        <v>0</v>
      </c>
      <c r="CD193">
        <v>0</v>
      </c>
      <c r="CE193">
        <v>0</v>
      </c>
      <c r="CF193">
        <v>0</v>
      </c>
      <c r="CG193">
        <v>39515</v>
      </c>
      <c r="CH193">
        <v>0</v>
      </c>
      <c r="CI193">
        <v>0</v>
      </c>
      <c r="CJ193">
        <v>0</v>
      </c>
      <c r="CK193">
        <v>0</v>
      </c>
      <c r="CL193">
        <v>1015</v>
      </c>
      <c r="CM193">
        <v>1015</v>
      </c>
      <c r="CN193">
        <v>1015</v>
      </c>
      <c r="CO193">
        <v>3045</v>
      </c>
      <c r="CP193">
        <v>500</v>
      </c>
      <c r="CQ193">
        <v>500</v>
      </c>
      <c r="CR193">
        <v>500</v>
      </c>
      <c r="CS193">
        <v>1500</v>
      </c>
      <c r="CT193">
        <v>1250</v>
      </c>
      <c r="CU193">
        <v>1250</v>
      </c>
      <c r="CV193">
        <v>1250</v>
      </c>
      <c r="CW193">
        <v>3750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8295</v>
      </c>
      <c r="EE193">
        <v>0</v>
      </c>
      <c r="EF193">
        <v>0</v>
      </c>
      <c r="EG193">
        <v>0</v>
      </c>
      <c r="EH193">
        <v>0</v>
      </c>
      <c r="EI193">
        <v>1154</v>
      </c>
      <c r="EJ193">
        <v>1154</v>
      </c>
      <c r="EK193">
        <v>1155</v>
      </c>
      <c r="EL193">
        <v>3500</v>
      </c>
      <c r="EM193">
        <v>37.065000000000005</v>
      </c>
      <c r="EN193">
        <v>660</v>
      </c>
      <c r="EO193">
        <v>660</v>
      </c>
      <c r="EP193">
        <v>659</v>
      </c>
      <c r="EQ193">
        <v>2000</v>
      </c>
      <c r="ER193">
        <v>21.18</v>
      </c>
      <c r="ES193">
        <v>0</v>
      </c>
      <c r="ET193">
        <v>0</v>
      </c>
      <c r="EU193">
        <v>0</v>
      </c>
      <c r="EV193">
        <v>0</v>
      </c>
      <c r="EW193">
        <v>0</v>
      </c>
      <c r="FA193">
        <v>0</v>
      </c>
      <c r="FE193">
        <v>0</v>
      </c>
      <c r="FI193">
        <v>0</v>
      </c>
      <c r="FJ193">
        <v>5441.7550000000001</v>
      </c>
      <c r="FK193">
        <v>31220</v>
      </c>
      <c r="FL193">
        <v>26918.513219999164</v>
      </c>
      <c r="FM193">
        <v>25778.244999999999</v>
      </c>
    </row>
    <row r="194" spans="1:169" x14ac:dyDescent="0.35">
      <c r="A194">
        <v>198759</v>
      </c>
      <c r="B194" t="s">
        <v>3798</v>
      </c>
      <c r="C194" t="s">
        <v>1780</v>
      </c>
      <c r="D194" t="s">
        <v>3799</v>
      </c>
      <c r="E194" s="43" t="s">
        <v>4224</v>
      </c>
      <c r="J194" t="s">
        <v>3745</v>
      </c>
      <c r="L194" s="43" t="s">
        <v>259</v>
      </c>
      <c r="M194" t="s">
        <v>3800</v>
      </c>
      <c r="N194" t="s">
        <v>3801</v>
      </c>
      <c r="O194" t="s">
        <v>3802</v>
      </c>
      <c r="P194" t="s">
        <v>265</v>
      </c>
      <c r="Q194" t="s">
        <v>3803</v>
      </c>
      <c r="R194">
        <v>3.78</v>
      </c>
      <c r="S194">
        <v>44109</v>
      </c>
      <c r="T194" t="s">
        <v>265</v>
      </c>
      <c r="U194" t="s">
        <v>266</v>
      </c>
      <c r="V194" t="s">
        <v>267</v>
      </c>
      <c r="W194" t="s">
        <v>268</v>
      </c>
      <c r="X194" t="s">
        <v>269</v>
      </c>
      <c r="Y194">
        <v>8883022894</v>
      </c>
      <c r="Z194" t="s">
        <v>270</v>
      </c>
      <c r="AA194" t="s">
        <v>271</v>
      </c>
      <c r="AB194">
        <v>0</v>
      </c>
      <c r="AC194">
        <v>0</v>
      </c>
      <c r="AD194" t="s">
        <v>313</v>
      </c>
      <c r="AE194" t="s">
        <v>445</v>
      </c>
      <c r="AF194">
        <v>4</v>
      </c>
      <c r="AG194" t="s">
        <v>3345</v>
      </c>
      <c r="AH194" s="43" t="s">
        <v>259</v>
      </c>
      <c r="AI194" s="43" t="s">
        <v>259</v>
      </c>
      <c r="AJ194" s="43" t="s">
        <v>259</v>
      </c>
      <c r="AK194" s="43" t="s">
        <v>259</v>
      </c>
      <c r="AL194" s="43" t="s">
        <v>259</v>
      </c>
      <c r="AO194" s="23"/>
      <c r="AP194" s="23"/>
      <c r="AQ194" s="23"/>
      <c r="BD194" s="43" t="s">
        <v>259</v>
      </c>
      <c r="BE194" s="43" t="s">
        <v>259</v>
      </c>
      <c r="BF194" s="43" t="s">
        <v>259</v>
      </c>
      <c r="BG194" s="43" t="s">
        <v>259</v>
      </c>
      <c r="BH194" s="43" t="s">
        <v>259</v>
      </c>
      <c r="BI194" s="43" t="s">
        <v>259</v>
      </c>
      <c r="BJ194">
        <v>0</v>
      </c>
      <c r="BK194">
        <v>44109</v>
      </c>
      <c r="BL194">
        <v>44356</v>
      </c>
      <c r="BM194">
        <v>8505</v>
      </c>
      <c r="BN194">
        <v>8505</v>
      </c>
      <c r="BO194">
        <v>8505</v>
      </c>
      <c r="BP194">
        <v>25515</v>
      </c>
      <c r="BQ194">
        <v>3300</v>
      </c>
      <c r="BR194">
        <v>400</v>
      </c>
      <c r="BS194">
        <v>400</v>
      </c>
      <c r="BT194">
        <v>4100</v>
      </c>
      <c r="BU194">
        <v>2100</v>
      </c>
      <c r="BV194">
        <v>2100</v>
      </c>
      <c r="BW194">
        <v>2100</v>
      </c>
      <c r="BX194">
        <v>6300</v>
      </c>
      <c r="BY194">
        <v>1200</v>
      </c>
      <c r="BZ194">
        <v>1200</v>
      </c>
      <c r="CA194">
        <v>1200</v>
      </c>
      <c r="CB194">
        <v>3600</v>
      </c>
      <c r="CF194">
        <v>0</v>
      </c>
      <c r="CG194">
        <v>39515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1250</v>
      </c>
      <c r="CU194">
        <v>1250</v>
      </c>
      <c r="CV194">
        <v>1250</v>
      </c>
      <c r="CW194">
        <v>3750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N194">
        <v>0</v>
      </c>
      <c r="DO194">
        <v>0</v>
      </c>
      <c r="DP194">
        <v>0</v>
      </c>
      <c r="DR194">
        <v>0</v>
      </c>
      <c r="DS194">
        <v>0</v>
      </c>
      <c r="DT194">
        <v>0</v>
      </c>
      <c r="DY194">
        <v>0</v>
      </c>
      <c r="EC194">
        <v>0</v>
      </c>
      <c r="ED194">
        <v>3750</v>
      </c>
      <c r="EH194">
        <v>0</v>
      </c>
      <c r="EI194">
        <v>0</v>
      </c>
      <c r="EJ194">
        <v>0</v>
      </c>
      <c r="EK194">
        <v>0</v>
      </c>
      <c r="EM194">
        <v>0</v>
      </c>
      <c r="EN194">
        <v>660</v>
      </c>
      <c r="EO194">
        <v>660</v>
      </c>
      <c r="EP194">
        <v>659</v>
      </c>
      <c r="EQ194">
        <v>2000</v>
      </c>
      <c r="ER194">
        <v>21.24</v>
      </c>
      <c r="ES194">
        <v>0</v>
      </c>
      <c r="ET194">
        <v>0</v>
      </c>
      <c r="EU194">
        <v>0</v>
      </c>
      <c r="EW194">
        <v>0</v>
      </c>
      <c r="FA194">
        <v>0</v>
      </c>
      <c r="FE194">
        <v>0</v>
      </c>
      <c r="FI194">
        <v>0</v>
      </c>
      <c r="FJ194">
        <v>1978.76</v>
      </c>
      <c r="FK194">
        <v>35765</v>
      </c>
      <c r="FL194">
        <v>35285.153312724535</v>
      </c>
      <c r="FM194">
        <v>33786.239999999998</v>
      </c>
    </row>
    <row r="195" spans="1:169" x14ac:dyDescent="0.35">
      <c r="A195">
        <v>197997</v>
      </c>
      <c r="B195" t="s">
        <v>1532</v>
      </c>
      <c r="C195" t="s">
        <v>1533</v>
      </c>
      <c r="D195" t="s">
        <v>1534</v>
      </c>
      <c r="E195" s="43" t="s">
        <v>1535</v>
      </c>
      <c r="F195">
        <v>1</v>
      </c>
      <c r="G195" s="23">
        <v>43776</v>
      </c>
      <c r="H195" s="23">
        <v>43776</v>
      </c>
      <c r="I195" s="23">
        <v>43776</v>
      </c>
      <c r="K195" t="s">
        <v>1715</v>
      </c>
      <c r="L195" s="43" t="s">
        <v>259</v>
      </c>
      <c r="M195" t="s">
        <v>1536</v>
      </c>
      <c r="N195" t="s">
        <v>1537</v>
      </c>
      <c r="O195" t="s">
        <v>1328</v>
      </c>
      <c r="P195" t="s">
        <v>297</v>
      </c>
      <c r="Q195" t="s">
        <v>1538</v>
      </c>
      <c r="R195">
        <v>3.6789999999999998</v>
      </c>
      <c r="S195">
        <v>44109</v>
      </c>
      <c r="T195" t="s">
        <v>265</v>
      </c>
      <c r="U195" t="s">
        <v>266</v>
      </c>
      <c r="V195" t="s">
        <v>267</v>
      </c>
      <c r="W195" t="s">
        <v>268</v>
      </c>
      <c r="X195" t="s">
        <v>269</v>
      </c>
      <c r="Y195">
        <v>8883022894</v>
      </c>
      <c r="Z195" t="s">
        <v>270</v>
      </c>
      <c r="AA195" t="s">
        <v>271</v>
      </c>
      <c r="AB195">
        <v>0</v>
      </c>
      <c r="AC195" t="s">
        <v>563</v>
      </c>
      <c r="AD195" t="s">
        <v>527</v>
      </c>
      <c r="AE195" t="s">
        <v>289</v>
      </c>
      <c r="AF195">
        <v>2</v>
      </c>
      <c r="AG195" t="s">
        <v>275</v>
      </c>
      <c r="AH195" s="43" t="s">
        <v>259</v>
      </c>
      <c r="AI195" s="43" t="s">
        <v>259</v>
      </c>
      <c r="AJ195" s="43" t="s">
        <v>259</v>
      </c>
      <c r="AK195" s="43" t="s">
        <v>259</v>
      </c>
      <c r="AL195" s="43" t="s">
        <v>259</v>
      </c>
      <c r="AO195" s="23">
        <v>43768</v>
      </c>
      <c r="AP195" s="23">
        <v>43770</v>
      </c>
      <c r="AQ195" s="23">
        <v>43770</v>
      </c>
      <c r="BD195" s="43" t="s">
        <v>259</v>
      </c>
      <c r="BE195" s="43" t="s">
        <v>259</v>
      </c>
      <c r="BF195" s="43" t="s">
        <v>259</v>
      </c>
      <c r="BG195" s="43" t="s">
        <v>259</v>
      </c>
      <c r="BH195" s="43" t="s">
        <v>259</v>
      </c>
      <c r="BI195" s="43" t="s">
        <v>259</v>
      </c>
      <c r="BJ195">
        <v>0.13043478260869568</v>
      </c>
      <c r="BK195">
        <v>44109</v>
      </c>
      <c r="BL195">
        <v>44356</v>
      </c>
      <c r="BM195">
        <v>8505</v>
      </c>
      <c r="BN195">
        <v>8505</v>
      </c>
      <c r="BO195">
        <v>8505</v>
      </c>
      <c r="BP195">
        <v>25515</v>
      </c>
      <c r="BQ195">
        <v>3300</v>
      </c>
      <c r="BR195">
        <v>400</v>
      </c>
      <c r="BS195">
        <v>400</v>
      </c>
      <c r="BT195">
        <v>4100</v>
      </c>
      <c r="BU195">
        <v>2100</v>
      </c>
      <c r="BV195">
        <v>2100</v>
      </c>
      <c r="BW195">
        <v>2100</v>
      </c>
      <c r="BX195">
        <v>6300</v>
      </c>
      <c r="BY195">
        <v>1200</v>
      </c>
      <c r="BZ195">
        <v>1200</v>
      </c>
      <c r="CA195">
        <v>1200</v>
      </c>
      <c r="CB195">
        <v>3600</v>
      </c>
      <c r="CC195">
        <v>0</v>
      </c>
      <c r="CD195">
        <v>0</v>
      </c>
      <c r="CE195">
        <v>0</v>
      </c>
      <c r="CF195">
        <v>0</v>
      </c>
      <c r="CG195">
        <v>39515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1500</v>
      </c>
      <c r="CU195">
        <v>1500</v>
      </c>
      <c r="CV195">
        <v>1500</v>
      </c>
      <c r="CW195">
        <v>4500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4500</v>
      </c>
      <c r="EE195">
        <v>0</v>
      </c>
      <c r="EF195">
        <v>0</v>
      </c>
      <c r="EG195">
        <v>0</v>
      </c>
      <c r="EH195">
        <v>0</v>
      </c>
      <c r="EI195">
        <v>1154</v>
      </c>
      <c r="EJ195">
        <v>1154</v>
      </c>
      <c r="EK195">
        <v>1155</v>
      </c>
      <c r="EL195">
        <v>3500</v>
      </c>
      <c r="EM195">
        <v>37.065000000000005</v>
      </c>
      <c r="EN195">
        <v>660</v>
      </c>
      <c r="EO195">
        <v>660</v>
      </c>
      <c r="EP195">
        <v>659</v>
      </c>
      <c r="EQ195">
        <v>2000</v>
      </c>
      <c r="ER195">
        <v>21.18</v>
      </c>
      <c r="ES195">
        <v>0</v>
      </c>
      <c r="ET195">
        <v>0</v>
      </c>
      <c r="EU195">
        <v>0</v>
      </c>
      <c r="EV195">
        <v>0</v>
      </c>
      <c r="EW195">
        <v>0</v>
      </c>
      <c r="FA195">
        <v>0</v>
      </c>
      <c r="FE195">
        <v>0</v>
      </c>
      <c r="FI195">
        <v>0</v>
      </c>
      <c r="FJ195">
        <v>5441.7550000000001</v>
      </c>
      <c r="FK195">
        <v>35015</v>
      </c>
      <c r="FL195">
        <v>30881.380268159221</v>
      </c>
      <c r="FM195">
        <v>29573.244999999999</v>
      </c>
    </row>
    <row r="196" spans="1:169" x14ac:dyDescent="0.35">
      <c r="A196">
        <v>198691</v>
      </c>
      <c r="B196" t="s">
        <v>3567</v>
      </c>
      <c r="C196" t="s">
        <v>915</v>
      </c>
      <c r="D196" t="s">
        <v>3568</v>
      </c>
      <c r="E196" s="43" t="s">
        <v>4192</v>
      </c>
      <c r="J196" t="s">
        <v>3425</v>
      </c>
      <c r="L196" s="43" t="s">
        <v>3204</v>
      </c>
      <c r="M196" t="s">
        <v>3569</v>
      </c>
      <c r="N196" t="s">
        <v>3570</v>
      </c>
      <c r="O196" t="s">
        <v>3353</v>
      </c>
      <c r="P196" t="s">
        <v>705</v>
      </c>
      <c r="Q196" t="s">
        <v>3571</v>
      </c>
      <c r="R196">
        <v>2.7869999999999999</v>
      </c>
      <c r="S196">
        <v>44109</v>
      </c>
      <c r="T196" t="s">
        <v>311</v>
      </c>
      <c r="U196" t="s">
        <v>266</v>
      </c>
      <c r="V196" t="s">
        <v>267</v>
      </c>
      <c r="W196" t="s">
        <v>268</v>
      </c>
      <c r="X196" t="s">
        <v>269</v>
      </c>
      <c r="Y196">
        <v>8883022894</v>
      </c>
      <c r="Z196" t="s">
        <v>270</v>
      </c>
      <c r="AA196" t="s">
        <v>271</v>
      </c>
      <c r="AB196">
        <v>0</v>
      </c>
      <c r="AC196" t="s">
        <v>1659</v>
      </c>
      <c r="AD196" t="s">
        <v>375</v>
      </c>
      <c r="AE196" t="s">
        <v>376</v>
      </c>
      <c r="AF196">
        <v>7</v>
      </c>
      <c r="AG196" t="s">
        <v>3345</v>
      </c>
      <c r="AH196" s="43" t="s">
        <v>3226</v>
      </c>
      <c r="AI196" s="43" t="s">
        <v>313</v>
      </c>
      <c r="AJ196" s="43" t="s">
        <v>3590</v>
      </c>
      <c r="AK196" s="43" t="s">
        <v>1715</v>
      </c>
      <c r="AL196" s="43" t="s">
        <v>259</v>
      </c>
      <c r="AO196" s="23"/>
      <c r="AP196" s="23"/>
      <c r="AQ196" s="23"/>
      <c r="BD196" s="43" t="s">
        <v>259</v>
      </c>
      <c r="BE196" s="43" t="s">
        <v>259</v>
      </c>
      <c r="BF196" s="43" t="s">
        <v>259</v>
      </c>
      <c r="BG196" s="43" t="s">
        <v>259</v>
      </c>
      <c r="BH196" s="43" t="s">
        <v>259</v>
      </c>
      <c r="BI196" s="43" t="s">
        <v>259</v>
      </c>
      <c r="BJ196">
        <v>0</v>
      </c>
      <c r="BK196">
        <v>44109</v>
      </c>
      <c r="BL196">
        <v>44356</v>
      </c>
      <c r="BM196">
        <v>8505</v>
      </c>
      <c r="BN196">
        <v>8505</v>
      </c>
      <c r="BO196">
        <v>8505</v>
      </c>
      <c r="BP196">
        <v>25515</v>
      </c>
      <c r="BQ196">
        <v>3300</v>
      </c>
      <c r="BR196">
        <v>400</v>
      </c>
      <c r="BS196">
        <v>400</v>
      </c>
      <c r="BT196">
        <v>4100</v>
      </c>
      <c r="BU196">
        <v>2100</v>
      </c>
      <c r="BV196">
        <v>2100</v>
      </c>
      <c r="BW196">
        <v>2100</v>
      </c>
      <c r="BX196">
        <v>6300</v>
      </c>
      <c r="BY196">
        <v>1200</v>
      </c>
      <c r="BZ196">
        <v>1200</v>
      </c>
      <c r="CA196">
        <v>1200</v>
      </c>
      <c r="CB196">
        <v>3600</v>
      </c>
      <c r="CF196">
        <v>0</v>
      </c>
      <c r="CG196">
        <v>39515</v>
      </c>
      <c r="CK196">
        <v>0</v>
      </c>
      <c r="CL196">
        <v>2065</v>
      </c>
      <c r="CM196">
        <v>2065</v>
      </c>
      <c r="CN196">
        <v>2065</v>
      </c>
      <c r="CO196">
        <v>6195</v>
      </c>
      <c r="CP196">
        <v>500</v>
      </c>
      <c r="CQ196">
        <v>500</v>
      </c>
      <c r="CR196">
        <v>500</v>
      </c>
      <c r="CS196">
        <v>1500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N196">
        <v>0</v>
      </c>
      <c r="DO196">
        <v>0</v>
      </c>
      <c r="DP196">
        <v>0</v>
      </c>
      <c r="DR196">
        <v>0</v>
      </c>
      <c r="DS196">
        <v>0</v>
      </c>
      <c r="DT196">
        <v>0</v>
      </c>
      <c r="DY196">
        <v>0</v>
      </c>
      <c r="EC196">
        <v>0</v>
      </c>
      <c r="ED196">
        <v>7695</v>
      </c>
      <c r="EH196">
        <v>0</v>
      </c>
      <c r="EI196">
        <v>0</v>
      </c>
      <c r="EJ196">
        <v>0</v>
      </c>
      <c r="EK196">
        <v>0</v>
      </c>
      <c r="EM196">
        <v>0</v>
      </c>
      <c r="EN196">
        <v>660</v>
      </c>
      <c r="EO196">
        <v>660</v>
      </c>
      <c r="EP196">
        <v>659</v>
      </c>
      <c r="EQ196">
        <v>2000</v>
      </c>
      <c r="ER196">
        <v>21.24</v>
      </c>
      <c r="ES196">
        <v>0</v>
      </c>
      <c r="ET196">
        <v>0</v>
      </c>
      <c r="EU196">
        <v>0</v>
      </c>
      <c r="EW196">
        <v>0</v>
      </c>
      <c r="FA196">
        <v>0</v>
      </c>
      <c r="FE196">
        <v>0</v>
      </c>
      <c r="FI196">
        <v>0</v>
      </c>
      <c r="FJ196">
        <v>1978.76</v>
      </c>
      <c r="FK196">
        <v>31820</v>
      </c>
      <c r="FL196">
        <v>31165.134931907429</v>
      </c>
      <c r="FM196">
        <v>29841.24</v>
      </c>
    </row>
    <row r="197" spans="1:169" x14ac:dyDescent="0.35">
      <c r="A197">
        <v>198105</v>
      </c>
      <c r="B197" t="s">
        <v>1539</v>
      </c>
      <c r="C197" t="s">
        <v>426</v>
      </c>
      <c r="D197" t="s">
        <v>1540</v>
      </c>
      <c r="E197" s="43" t="s">
        <v>1541</v>
      </c>
      <c r="F197">
        <v>1</v>
      </c>
      <c r="G197" s="23">
        <v>43795</v>
      </c>
      <c r="H197" s="23">
        <v>43795</v>
      </c>
      <c r="I197" s="23">
        <v>43795</v>
      </c>
      <c r="J197" t="s">
        <v>4184</v>
      </c>
      <c r="L197" s="43" t="s">
        <v>3204</v>
      </c>
      <c r="M197" t="s">
        <v>1542</v>
      </c>
      <c r="N197" t="s">
        <v>1543</v>
      </c>
      <c r="O197" t="s">
        <v>1544</v>
      </c>
      <c r="P197" t="s">
        <v>283</v>
      </c>
      <c r="Q197" t="s">
        <v>1545</v>
      </c>
      <c r="R197">
        <v>3.1259999999999999</v>
      </c>
      <c r="S197">
        <v>44109</v>
      </c>
      <c r="T197" t="s">
        <v>311</v>
      </c>
      <c r="U197" t="s">
        <v>266</v>
      </c>
      <c r="V197" t="s">
        <v>267</v>
      </c>
      <c r="W197" t="s">
        <v>268</v>
      </c>
      <c r="X197" t="s">
        <v>269</v>
      </c>
      <c r="Y197">
        <v>8883022894</v>
      </c>
      <c r="Z197" t="s">
        <v>270</v>
      </c>
      <c r="AA197" t="s">
        <v>271</v>
      </c>
      <c r="AB197" t="s">
        <v>374</v>
      </c>
      <c r="AC197">
        <v>0</v>
      </c>
      <c r="AD197" t="s">
        <v>637</v>
      </c>
      <c r="AE197" t="s">
        <v>416</v>
      </c>
      <c r="AF197">
        <v>5</v>
      </c>
      <c r="AG197" t="s">
        <v>275</v>
      </c>
      <c r="AH197" s="43" t="s">
        <v>3226</v>
      </c>
      <c r="AI197" s="43" t="s">
        <v>313</v>
      </c>
      <c r="AJ197" s="43" t="s">
        <v>3207</v>
      </c>
      <c r="AK197" s="43" t="s">
        <v>3208</v>
      </c>
      <c r="AL197" s="43" t="s">
        <v>3209</v>
      </c>
      <c r="AO197" s="23"/>
      <c r="AP197" s="23"/>
      <c r="AQ197" s="23"/>
      <c r="BD197" s="43" t="s">
        <v>2018</v>
      </c>
      <c r="BE197" s="43" t="s">
        <v>2018</v>
      </c>
      <c r="BF197" s="43" t="s">
        <v>2018</v>
      </c>
      <c r="BG197" s="43" t="s">
        <v>2018</v>
      </c>
      <c r="BH197" s="43" t="s">
        <v>2018</v>
      </c>
      <c r="BI197" s="43" t="s">
        <v>2018</v>
      </c>
      <c r="BJ197">
        <v>0</v>
      </c>
      <c r="BK197">
        <v>44109</v>
      </c>
      <c r="BL197">
        <v>44356</v>
      </c>
      <c r="BM197">
        <v>8505</v>
      </c>
      <c r="BN197">
        <v>8505</v>
      </c>
      <c r="BO197">
        <v>8505</v>
      </c>
      <c r="BP197">
        <v>25515</v>
      </c>
      <c r="BQ197">
        <v>3300</v>
      </c>
      <c r="BR197">
        <v>400</v>
      </c>
      <c r="BS197">
        <v>400</v>
      </c>
      <c r="BT197">
        <v>4100</v>
      </c>
      <c r="BU197">
        <v>2100</v>
      </c>
      <c r="BV197">
        <v>2100</v>
      </c>
      <c r="BW197">
        <v>2100</v>
      </c>
      <c r="BX197">
        <v>6300</v>
      </c>
      <c r="BY197">
        <v>1200</v>
      </c>
      <c r="BZ197">
        <v>1200</v>
      </c>
      <c r="CA197">
        <v>1200</v>
      </c>
      <c r="CB197">
        <v>3600</v>
      </c>
      <c r="CC197">
        <v>0</v>
      </c>
      <c r="CD197">
        <v>0</v>
      </c>
      <c r="CE197">
        <v>0</v>
      </c>
      <c r="CF197">
        <v>0</v>
      </c>
      <c r="CG197">
        <v>39515</v>
      </c>
      <c r="CH197">
        <v>0</v>
      </c>
      <c r="CI197">
        <v>0</v>
      </c>
      <c r="CJ197">
        <v>0</v>
      </c>
      <c r="CK197">
        <v>0</v>
      </c>
      <c r="CL197">
        <v>2065</v>
      </c>
      <c r="CM197">
        <v>2065</v>
      </c>
      <c r="CN197">
        <v>2065</v>
      </c>
      <c r="CO197">
        <v>6195</v>
      </c>
      <c r="CP197">
        <v>500</v>
      </c>
      <c r="CQ197">
        <v>500</v>
      </c>
      <c r="CR197">
        <v>500</v>
      </c>
      <c r="CS197">
        <v>1500</v>
      </c>
      <c r="CT197">
        <v>1000</v>
      </c>
      <c r="CU197">
        <v>1000</v>
      </c>
      <c r="CV197">
        <v>1000</v>
      </c>
      <c r="CW197">
        <v>3000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10695</v>
      </c>
      <c r="EE197">
        <v>0</v>
      </c>
      <c r="EF197">
        <v>0</v>
      </c>
      <c r="EG197">
        <v>0</v>
      </c>
      <c r="EH197">
        <v>0</v>
      </c>
      <c r="EI197">
        <v>1154</v>
      </c>
      <c r="EJ197">
        <v>1154</v>
      </c>
      <c r="EK197">
        <v>1155</v>
      </c>
      <c r="EL197">
        <v>3500</v>
      </c>
      <c r="EM197">
        <v>37.065000000000005</v>
      </c>
      <c r="EN197">
        <v>660</v>
      </c>
      <c r="EO197">
        <v>660</v>
      </c>
      <c r="EP197">
        <v>659</v>
      </c>
      <c r="EQ197">
        <v>2000</v>
      </c>
      <c r="ER197">
        <v>21.18</v>
      </c>
      <c r="ES197">
        <v>0</v>
      </c>
      <c r="ET197">
        <v>0</v>
      </c>
      <c r="EU197">
        <v>0</v>
      </c>
      <c r="EV197">
        <v>0</v>
      </c>
      <c r="EW197">
        <v>0</v>
      </c>
      <c r="FA197">
        <v>0</v>
      </c>
      <c r="FE197">
        <v>0</v>
      </c>
      <c r="FI197">
        <v>0</v>
      </c>
      <c r="FJ197">
        <v>5441.7550000000001</v>
      </c>
      <c r="FK197">
        <v>28820</v>
      </c>
      <c r="FL197">
        <v>24412.352240925607</v>
      </c>
      <c r="FM197">
        <v>23378.244999999999</v>
      </c>
    </row>
    <row r="198" spans="1:169" x14ac:dyDescent="0.35">
      <c r="A198">
        <v>196423</v>
      </c>
      <c r="B198" t="s">
        <v>1539</v>
      </c>
      <c r="C198" t="s">
        <v>1339</v>
      </c>
      <c r="D198" t="s">
        <v>1546</v>
      </c>
      <c r="E198" s="43" t="s">
        <v>1547</v>
      </c>
      <c r="F198">
        <v>1</v>
      </c>
      <c r="G198" s="23">
        <v>43783</v>
      </c>
      <c r="H198" s="23">
        <v>43783</v>
      </c>
      <c r="I198" s="23">
        <v>43783</v>
      </c>
      <c r="L198" s="43" t="s">
        <v>3204</v>
      </c>
      <c r="M198" t="s">
        <v>1548</v>
      </c>
      <c r="N198" t="s">
        <v>1543</v>
      </c>
      <c r="O198" t="s">
        <v>1544</v>
      </c>
      <c r="P198" t="s">
        <v>283</v>
      </c>
      <c r="Q198" t="s">
        <v>1545</v>
      </c>
      <c r="R198">
        <v>2.7</v>
      </c>
      <c r="S198">
        <v>44109</v>
      </c>
      <c r="T198" t="s">
        <v>285</v>
      </c>
      <c r="U198" t="s">
        <v>266</v>
      </c>
      <c r="V198" t="s">
        <v>1549</v>
      </c>
      <c r="W198" t="s">
        <v>268</v>
      </c>
      <c r="X198" t="s">
        <v>269</v>
      </c>
      <c r="Y198">
        <v>8883022894</v>
      </c>
      <c r="Z198" t="s">
        <v>270</v>
      </c>
      <c r="AA198" t="s">
        <v>271</v>
      </c>
      <c r="AB198" t="s">
        <v>842</v>
      </c>
      <c r="AC198">
        <v>0</v>
      </c>
      <c r="AD198" t="s">
        <v>1372</v>
      </c>
      <c r="AE198" t="s">
        <v>274</v>
      </c>
      <c r="AF198">
        <v>9</v>
      </c>
      <c r="AG198" t="s">
        <v>275</v>
      </c>
      <c r="AH198" s="43" t="s">
        <v>3226</v>
      </c>
      <c r="AI198" s="43" t="s">
        <v>313</v>
      </c>
      <c r="AJ198" s="43" t="s">
        <v>3309</v>
      </c>
      <c r="AK198" s="43" t="s">
        <v>3208</v>
      </c>
      <c r="AL198" s="43" t="s">
        <v>3209</v>
      </c>
      <c r="AO198" s="23"/>
      <c r="AP198" s="23"/>
      <c r="AQ198" s="23"/>
      <c r="BD198" s="43" t="s">
        <v>2018</v>
      </c>
      <c r="BE198" s="43" t="s">
        <v>2018</v>
      </c>
      <c r="BF198" s="43" t="s">
        <v>2018</v>
      </c>
      <c r="BG198" s="43" t="s">
        <v>2018</v>
      </c>
      <c r="BH198" s="43" t="s">
        <v>2018</v>
      </c>
      <c r="BI198" s="43" t="s">
        <v>2018</v>
      </c>
      <c r="BJ198">
        <v>0</v>
      </c>
      <c r="BK198">
        <v>44109</v>
      </c>
      <c r="BL198">
        <v>44356</v>
      </c>
      <c r="BM198">
        <v>8505</v>
      </c>
      <c r="BN198">
        <v>8505</v>
      </c>
      <c r="BO198">
        <v>8505</v>
      </c>
      <c r="BP198">
        <v>25515</v>
      </c>
      <c r="BQ198">
        <v>3300</v>
      </c>
      <c r="BR198">
        <v>400</v>
      </c>
      <c r="BS198">
        <v>400</v>
      </c>
      <c r="BT198">
        <v>4100</v>
      </c>
      <c r="BU198">
        <v>2100</v>
      </c>
      <c r="BV198">
        <v>2100</v>
      </c>
      <c r="BW198">
        <v>2100</v>
      </c>
      <c r="BX198">
        <v>6300</v>
      </c>
      <c r="BY198">
        <v>1200</v>
      </c>
      <c r="BZ198">
        <v>1200</v>
      </c>
      <c r="CA198">
        <v>1200</v>
      </c>
      <c r="CB198">
        <v>3600</v>
      </c>
      <c r="CC198">
        <v>0</v>
      </c>
      <c r="CD198">
        <v>0</v>
      </c>
      <c r="CE198">
        <v>0</v>
      </c>
      <c r="CF198">
        <v>0</v>
      </c>
      <c r="CG198">
        <v>39515</v>
      </c>
      <c r="CH198">
        <v>0</v>
      </c>
      <c r="CI198">
        <v>0</v>
      </c>
      <c r="CJ198">
        <v>0</v>
      </c>
      <c r="CK198">
        <v>0</v>
      </c>
      <c r="CL198">
        <v>2065</v>
      </c>
      <c r="CM198">
        <v>2065</v>
      </c>
      <c r="CN198">
        <v>2065</v>
      </c>
      <c r="CO198">
        <v>6195</v>
      </c>
      <c r="CP198">
        <v>500</v>
      </c>
      <c r="CQ198">
        <v>500</v>
      </c>
      <c r="CR198">
        <v>500</v>
      </c>
      <c r="CS198">
        <v>1500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7695</v>
      </c>
      <c r="EE198">
        <v>0</v>
      </c>
      <c r="EF198">
        <v>0</v>
      </c>
      <c r="EG198">
        <v>0</v>
      </c>
      <c r="EH198">
        <v>0</v>
      </c>
      <c r="EI198">
        <v>1154</v>
      </c>
      <c r="EJ198">
        <v>1154</v>
      </c>
      <c r="EK198">
        <v>1155</v>
      </c>
      <c r="EL198">
        <v>3500</v>
      </c>
      <c r="EM198">
        <v>37.065000000000005</v>
      </c>
      <c r="EN198">
        <v>660</v>
      </c>
      <c r="EO198">
        <v>660</v>
      </c>
      <c r="EP198">
        <v>659</v>
      </c>
      <c r="EQ198">
        <v>2000</v>
      </c>
      <c r="ER198">
        <v>21.18</v>
      </c>
      <c r="ES198">
        <v>0</v>
      </c>
      <c r="ET198">
        <v>0</v>
      </c>
      <c r="EU198">
        <v>0</v>
      </c>
      <c r="EV198">
        <v>0</v>
      </c>
      <c r="EW198">
        <v>0</v>
      </c>
      <c r="FA198">
        <v>0</v>
      </c>
      <c r="FE198">
        <v>0</v>
      </c>
      <c r="FI198">
        <v>0</v>
      </c>
      <c r="FJ198">
        <v>5441.7550000000001</v>
      </c>
      <c r="FK198">
        <v>31820</v>
      </c>
      <c r="FL198">
        <v>27545.053464767552</v>
      </c>
      <c r="FM198">
        <v>26378.244999999999</v>
      </c>
    </row>
    <row r="199" spans="1:169" x14ac:dyDescent="0.35">
      <c r="A199">
        <v>199273</v>
      </c>
      <c r="B199" t="s">
        <v>1539</v>
      </c>
      <c r="C199" t="s">
        <v>3804</v>
      </c>
      <c r="D199" t="s">
        <v>3805</v>
      </c>
      <c r="E199" s="43" t="s">
        <v>4173</v>
      </c>
      <c r="J199" t="s">
        <v>3826</v>
      </c>
      <c r="L199" s="43" t="s">
        <v>3204</v>
      </c>
      <c r="M199" t="s">
        <v>3806</v>
      </c>
      <c r="N199" t="s">
        <v>3807</v>
      </c>
      <c r="O199" t="s">
        <v>3353</v>
      </c>
      <c r="P199" t="s">
        <v>705</v>
      </c>
      <c r="Q199" t="s">
        <v>3808</v>
      </c>
      <c r="R199">
        <v>2.88</v>
      </c>
      <c r="S199">
        <v>44109</v>
      </c>
      <c r="T199" t="s">
        <v>311</v>
      </c>
      <c r="U199" t="s">
        <v>286</v>
      </c>
      <c r="V199" t="s">
        <v>267</v>
      </c>
      <c r="W199" t="s">
        <v>268</v>
      </c>
      <c r="X199" t="s">
        <v>269</v>
      </c>
      <c r="Y199">
        <v>8883022894</v>
      </c>
      <c r="Z199" t="s">
        <v>270</v>
      </c>
      <c r="AA199" t="s">
        <v>271</v>
      </c>
      <c r="AB199">
        <v>0</v>
      </c>
      <c r="AC199">
        <v>0</v>
      </c>
      <c r="AD199" t="s">
        <v>313</v>
      </c>
      <c r="AE199" t="s">
        <v>344</v>
      </c>
      <c r="AF199">
        <v>10</v>
      </c>
      <c r="AG199" t="s">
        <v>3345</v>
      </c>
      <c r="AH199" s="43" t="s">
        <v>3226</v>
      </c>
      <c r="AI199" s="43" t="s">
        <v>313</v>
      </c>
      <c r="AJ199" s="43" t="s">
        <v>3821</v>
      </c>
      <c r="AK199" s="43" t="s">
        <v>3208</v>
      </c>
      <c r="AL199" s="43" t="s">
        <v>3209</v>
      </c>
      <c r="AO199" s="23">
        <v>43790</v>
      </c>
      <c r="AP199" s="23"/>
      <c r="AQ199" s="23">
        <v>43790</v>
      </c>
      <c r="BD199" s="43" t="s">
        <v>2018</v>
      </c>
      <c r="BE199" s="43" t="s">
        <v>2018</v>
      </c>
      <c r="BF199" s="43" t="s">
        <v>2018</v>
      </c>
      <c r="BG199" s="43" t="s">
        <v>2018</v>
      </c>
      <c r="BH199" s="43" t="s">
        <v>2018</v>
      </c>
      <c r="BI199" s="43" t="s">
        <v>2018</v>
      </c>
      <c r="BJ199">
        <v>0.11764705882352944</v>
      </c>
      <c r="BK199">
        <v>44109</v>
      </c>
      <c r="BL199">
        <v>44356</v>
      </c>
      <c r="BM199">
        <v>8505</v>
      </c>
      <c r="BN199">
        <v>8505</v>
      </c>
      <c r="BO199">
        <v>8505</v>
      </c>
      <c r="BP199">
        <v>25515</v>
      </c>
      <c r="BQ199">
        <v>3300</v>
      </c>
      <c r="BR199">
        <v>400</v>
      </c>
      <c r="BS199">
        <v>400</v>
      </c>
      <c r="BT199">
        <v>4100</v>
      </c>
      <c r="BU199">
        <v>2100</v>
      </c>
      <c r="BV199">
        <v>2100</v>
      </c>
      <c r="BW199">
        <v>2100</v>
      </c>
      <c r="BX199">
        <v>6300</v>
      </c>
      <c r="BY199">
        <v>1200</v>
      </c>
      <c r="BZ199">
        <v>1200</v>
      </c>
      <c r="CA199">
        <v>1200</v>
      </c>
      <c r="CB199">
        <v>3600</v>
      </c>
      <c r="CF199">
        <v>0</v>
      </c>
      <c r="CG199">
        <v>39515</v>
      </c>
      <c r="CK199">
        <v>0</v>
      </c>
      <c r="CL199">
        <v>2065</v>
      </c>
      <c r="CM199">
        <v>2065</v>
      </c>
      <c r="CN199">
        <v>2065</v>
      </c>
      <c r="CO199">
        <v>6195</v>
      </c>
      <c r="CP199">
        <v>500</v>
      </c>
      <c r="CQ199">
        <v>500</v>
      </c>
      <c r="CR199">
        <v>500</v>
      </c>
      <c r="CS199">
        <v>1500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1000</v>
      </c>
      <c r="DC199">
        <v>1000</v>
      </c>
      <c r="DD199">
        <v>1000</v>
      </c>
      <c r="DE199">
        <v>3000</v>
      </c>
      <c r="DF199">
        <v>0</v>
      </c>
      <c r="DG199">
        <v>0</v>
      </c>
      <c r="DH199">
        <v>0</v>
      </c>
      <c r="DN199">
        <v>0</v>
      </c>
      <c r="DO199">
        <v>0</v>
      </c>
      <c r="DP199">
        <v>0</v>
      </c>
      <c r="DR199">
        <v>0</v>
      </c>
      <c r="DS199">
        <v>0</v>
      </c>
      <c r="DT199">
        <v>0</v>
      </c>
      <c r="DY199">
        <v>0</v>
      </c>
      <c r="EC199">
        <v>0</v>
      </c>
      <c r="ED199">
        <v>10695</v>
      </c>
      <c r="EH199">
        <v>0</v>
      </c>
      <c r="EI199">
        <v>0</v>
      </c>
      <c r="EJ199">
        <v>0</v>
      </c>
      <c r="EK199">
        <v>0</v>
      </c>
      <c r="EM199">
        <v>0</v>
      </c>
      <c r="EN199">
        <v>660</v>
      </c>
      <c r="EO199">
        <v>660</v>
      </c>
      <c r="EP199">
        <v>659</v>
      </c>
      <c r="EQ199">
        <v>2000</v>
      </c>
      <c r="ER199">
        <v>21.24</v>
      </c>
      <c r="ES199">
        <v>0</v>
      </c>
      <c r="ET199">
        <v>0</v>
      </c>
      <c r="EU199">
        <v>0</v>
      </c>
      <c r="EW199">
        <v>0</v>
      </c>
      <c r="FA199">
        <v>0</v>
      </c>
      <c r="FE199">
        <v>0</v>
      </c>
      <c r="FI199">
        <v>0</v>
      </c>
      <c r="FJ199">
        <v>1978.76</v>
      </c>
      <c r="FK199">
        <v>28820</v>
      </c>
      <c r="FL199">
        <v>28032.041106190991</v>
      </c>
      <c r="FM199">
        <v>26841.24</v>
      </c>
    </row>
    <row r="200" spans="1:169" x14ac:dyDescent="0.35">
      <c r="A200">
        <v>198333</v>
      </c>
      <c r="B200" t="s">
        <v>1550</v>
      </c>
      <c r="C200" t="s">
        <v>1551</v>
      </c>
      <c r="D200" t="s">
        <v>1552</v>
      </c>
      <c r="E200" s="43" t="s">
        <v>1553</v>
      </c>
      <c r="F200">
        <v>1</v>
      </c>
      <c r="I200" s="23">
        <v>43795</v>
      </c>
      <c r="L200" s="43" t="s">
        <v>3204</v>
      </c>
      <c r="M200" t="s">
        <v>1554</v>
      </c>
      <c r="N200" t="s">
        <v>1555</v>
      </c>
      <c r="O200" t="s">
        <v>1556</v>
      </c>
      <c r="P200" t="s">
        <v>309</v>
      </c>
      <c r="Q200" t="s">
        <v>1557</v>
      </c>
      <c r="R200">
        <v>3.56</v>
      </c>
      <c r="S200">
        <v>44109</v>
      </c>
      <c r="T200" t="s">
        <v>311</v>
      </c>
      <c r="U200" t="s">
        <v>286</v>
      </c>
      <c r="V200" t="s">
        <v>267</v>
      </c>
      <c r="W200" t="s">
        <v>268</v>
      </c>
      <c r="X200" t="s">
        <v>269</v>
      </c>
      <c r="Y200">
        <v>8883022894</v>
      </c>
      <c r="Z200" t="s">
        <v>270</v>
      </c>
      <c r="AA200" t="s">
        <v>271</v>
      </c>
      <c r="AB200">
        <v>0</v>
      </c>
      <c r="AC200" t="s">
        <v>1558</v>
      </c>
      <c r="AD200" t="s">
        <v>387</v>
      </c>
      <c r="AE200" t="s">
        <v>364</v>
      </c>
      <c r="AF200">
        <v>3</v>
      </c>
      <c r="AG200" t="s">
        <v>275</v>
      </c>
      <c r="AH200" s="43" t="s">
        <v>3268</v>
      </c>
      <c r="AI200" s="43" t="s">
        <v>3269</v>
      </c>
      <c r="AJ200" s="43" t="s">
        <v>3207</v>
      </c>
      <c r="AK200" s="43" t="s">
        <v>3208</v>
      </c>
      <c r="AL200" s="43" t="s">
        <v>3209</v>
      </c>
      <c r="AO200" s="23"/>
      <c r="AP200" s="23"/>
      <c r="AQ200" s="23"/>
      <c r="BD200" s="43" t="s">
        <v>2018</v>
      </c>
      <c r="BE200" s="43" t="s">
        <v>2018</v>
      </c>
      <c r="BF200" s="43" t="s">
        <v>2018</v>
      </c>
      <c r="BG200" s="43" t="s">
        <v>2018</v>
      </c>
      <c r="BH200" s="43" t="s">
        <v>2018</v>
      </c>
      <c r="BI200" s="43" t="s">
        <v>2018</v>
      </c>
      <c r="BJ200">
        <v>0</v>
      </c>
      <c r="BK200">
        <v>44109</v>
      </c>
      <c r="BL200">
        <v>44356</v>
      </c>
      <c r="BM200">
        <v>8505</v>
      </c>
      <c r="BN200">
        <v>8505</v>
      </c>
      <c r="BO200">
        <v>8505</v>
      </c>
      <c r="BP200">
        <v>25515</v>
      </c>
      <c r="BQ200">
        <v>3300</v>
      </c>
      <c r="BR200">
        <v>400</v>
      </c>
      <c r="BS200">
        <v>400</v>
      </c>
      <c r="BT200">
        <v>4100</v>
      </c>
      <c r="BU200">
        <v>2100</v>
      </c>
      <c r="BV200">
        <v>2100</v>
      </c>
      <c r="BW200">
        <v>2100</v>
      </c>
      <c r="BX200">
        <v>6300</v>
      </c>
      <c r="BY200">
        <v>1200</v>
      </c>
      <c r="BZ200">
        <v>1200</v>
      </c>
      <c r="CA200">
        <v>1200</v>
      </c>
      <c r="CB200">
        <v>3600</v>
      </c>
      <c r="CC200">
        <v>0</v>
      </c>
      <c r="CD200">
        <v>0</v>
      </c>
      <c r="CE200">
        <v>0</v>
      </c>
      <c r="CF200">
        <v>0</v>
      </c>
      <c r="CG200">
        <v>39515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1300</v>
      </c>
      <c r="CU200">
        <v>1300</v>
      </c>
      <c r="CV200">
        <v>1300</v>
      </c>
      <c r="CW200">
        <v>3900</v>
      </c>
      <c r="CX200">
        <v>0</v>
      </c>
      <c r="CY200">
        <v>0</v>
      </c>
      <c r="CZ200">
        <v>0</v>
      </c>
      <c r="DA200">
        <v>0</v>
      </c>
      <c r="DB200">
        <v>1000</v>
      </c>
      <c r="DC200">
        <v>1000</v>
      </c>
      <c r="DD200">
        <v>1000</v>
      </c>
      <c r="DE200">
        <v>3000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6900</v>
      </c>
      <c r="EE200">
        <v>0</v>
      </c>
      <c r="EF200">
        <v>0</v>
      </c>
      <c r="EG200">
        <v>0</v>
      </c>
      <c r="EH200">
        <v>0</v>
      </c>
      <c r="EI200">
        <v>1154</v>
      </c>
      <c r="EJ200">
        <v>1154</v>
      </c>
      <c r="EK200">
        <v>1155</v>
      </c>
      <c r="EL200">
        <v>3500</v>
      </c>
      <c r="EM200">
        <v>37.065000000000005</v>
      </c>
      <c r="EN200">
        <v>660</v>
      </c>
      <c r="EO200">
        <v>660</v>
      </c>
      <c r="EP200">
        <v>659</v>
      </c>
      <c r="EQ200">
        <v>2000</v>
      </c>
      <c r="ER200">
        <v>21.18</v>
      </c>
      <c r="ES200">
        <v>0</v>
      </c>
      <c r="ET200">
        <v>0</v>
      </c>
      <c r="EU200">
        <v>0</v>
      </c>
      <c r="EV200">
        <v>0</v>
      </c>
      <c r="EW200">
        <v>0</v>
      </c>
      <c r="FA200">
        <v>0</v>
      </c>
      <c r="FE200">
        <v>0</v>
      </c>
      <c r="FI200">
        <v>0</v>
      </c>
      <c r="FJ200">
        <v>5441.7550000000001</v>
      </c>
      <c r="FK200">
        <v>32615</v>
      </c>
      <c r="FL200">
        <v>28375.219289085668</v>
      </c>
      <c r="FM200">
        <v>27173.244999999999</v>
      </c>
    </row>
    <row r="201" spans="1:169" x14ac:dyDescent="0.35">
      <c r="A201">
        <v>192176</v>
      </c>
      <c r="B201" t="s">
        <v>1559</v>
      </c>
      <c r="C201" t="s">
        <v>1560</v>
      </c>
      <c r="D201" t="s">
        <v>1561</v>
      </c>
      <c r="E201" s="43" t="s">
        <v>1562</v>
      </c>
      <c r="F201">
        <v>1</v>
      </c>
      <c r="I201" s="23">
        <v>43795</v>
      </c>
      <c r="L201" s="43" t="s">
        <v>3204</v>
      </c>
      <c r="M201" t="s">
        <v>1563</v>
      </c>
      <c r="N201" t="s">
        <v>1564</v>
      </c>
      <c r="O201" t="s">
        <v>1180</v>
      </c>
      <c r="P201" t="s">
        <v>1181</v>
      </c>
      <c r="Q201" t="s">
        <v>1182</v>
      </c>
      <c r="R201">
        <v>3.9762</v>
      </c>
      <c r="S201">
        <v>44109</v>
      </c>
      <c r="T201" t="s">
        <v>265</v>
      </c>
      <c r="U201" t="s">
        <v>266</v>
      </c>
      <c r="V201" t="s">
        <v>267</v>
      </c>
      <c r="W201" t="s">
        <v>268</v>
      </c>
      <c r="X201" t="s">
        <v>269</v>
      </c>
      <c r="Y201">
        <v>8883022894</v>
      </c>
      <c r="Z201" t="s">
        <v>270</v>
      </c>
      <c r="AA201" t="s">
        <v>271</v>
      </c>
      <c r="AB201" t="s">
        <v>969</v>
      </c>
      <c r="AC201">
        <v>0</v>
      </c>
      <c r="AD201" t="s">
        <v>1111</v>
      </c>
      <c r="AE201" t="s">
        <v>301</v>
      </c>
      <c r="AF201">
        <v>1</v>
      </c>
      <c r="AG201" t="s">
        <v>275</v>
      </c>
      <c r="AH201" s="43" t="s">
        <v>3270</v>
      </c>
      <c r="AI201" s="43" t="s">
        <v>3271</v>
      </c>
      <c r="AJ201" s="43" t="s">
        <v>3207</v>
      </c>
      <c r="AK201" s="43" t="s">
        <v>3208</v>
      </c>
      <c r="AL201" s="43" t="s">
        <v>3209</v>
      </c>
      <c r="AO201" s="23"/>
      <c r="AP201" s="23"/>
      <c r="AQ201" s="23"/>
      <c r="BD201" s="43" t="s">
        <v>2018</v>
      </c>
      <c r="BE201" s="43" t="s">
        <v>2018</v>
      </c>
      <c r="BF201" s="43" t="s">
        <v>2018</v>
      </c>
      <c r="BG201" s="43" t="s">
        <v>2018</v>
      </c>
      <c r="BH201" s="43" t="s">
        <v>2018</v>
      </c>
      <c r="BI201" s="43" t="s">
        <v>2018</v>
      </c>
      <c r="BJ201">
        <v>0</v>
      </c>
      <c r="BK201">
        <v>44109</v>
      </c>
      <c r="BL201">
        <v>44356</v>
      </c>
      <c r="BM201">
        <v>8505</v>
      </c>
      <c r="BN201">
        <v>8505</v>
      </c>
      <c r="BO201">
        <v>8505</v>
      </c>
      <c r="BP201">
        <v>25515</v>
      </c>
      <c r="BQ201">
        <v>3300</v>
      </c>
      <c r="BR201">
        <v>400</v>
      </c>
      <c r="BS201">
        <v>400</v>
      </c>
      <c r="BT201">
        <v>4100</v>
      </c>
      <c r="BU201">
        <v>2100</v>
      </c>
      <c r="BV201">
        <v>2100</v>
      </c>
      <c r="BW201">
        <v>2100</v>
      </c>
      <c r="BX201">
        <v>6300</v>
      </c>
      <c r="BY201">
        <v>1200</v>
      </c>
      <c r="BZ201">
        <v>1200</v>
      </c>
      <c r="CA201">
        <v>1200</v>
      </c>
      <c r="CB201">
        <v>3600</v>
      </c>
      <c r="CC201">
        <v>0</v>
      </c>
      <c r="CD201">
        <v>0</v>
      </c>
      <c r="CE201">
        <v>0</v>
      </c>
      <c r="CF201">
        <v>0</v>
      </c>
      <c r="CG201">
        <v>39515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1700</v>
      </c>
      <c r="CU201">
        <v>1700</v>
      </c>
      <c r="CV201">
        <v>1700</v>
      </c>
      <c r="CW201">
        <v>5100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5100</v>
      </c>
      <c r="EE201">
        <v>0</v>
      </c>
      <c r="EF201">
        <v>0</v>
      </c>
      <c r="EG201">
        <v>0</v>
      </c>
      <c r="EH201">
        <v>0</v>
      </c>
      <c r="EI201">
        <v>1154</v>
      </c>
      <c r="EJ201">
        <v>1154</v>
      </c>
      <c r="EK201">
        <v>1155</v>
      </c>
      <c r="EL201">
        <v>3500</v>
      </c>
      <c r="EM201">
        <v>37.065000000000005</v>
      </c>
      <c r="EN201">
        <v>660</v>
      </c>
      <c r="EO201">
        <v>660</v>
      </c>
      <c r="EP201">
        <v>659</v>
      </c>
      <c r="EQ201">
        <v>2000</v>
      </c>
      <c r="ER201">
        <v>21.18</v>
      </c>
      <c r="ES201">
        <v>0</v>
      </c>
      <c r="ET201">
        <v>0</v>
      </c>
      <c r="EU201">
        <v>0</v>
      </c>
      <c r="EV201">
        <v>0</v>
      </c>
      <c r="EW201">
        <v>0</v>
      </c>
      <c r="FA201">
        <v>0</v>
      </c>
      <c r="FE201">
        <v>0</v>
      </c>
      <c r="FI201">
        <v>0</v>
      </c>
      <c r="FJ201">
        <v>5441.7550000000001</v>
      </c>
      <c r="FK201">
        <v>34415</v>
      </c>
      <c r="FL201">
        <v>30254.840023390832</v>
      </c>
      <c r="FM201">
        <v>28973.244999999999</v>
      </c>
    </row>
    <row r="202" spans="1:169" x14ac:dyDescent="0.35">
      <c r="A202">
        <v>197476</v>
      </c>
      <c r="B202" t="s">
        <v>1565</v>
      </c>
      <c r="C202" t="s">
        <v>1566</v>
      </c>
      <c r="D202" t="s">
        <v>1567</v>
      </c>
      <c r="E202" s="43" t="s">
        <v>1568</v>
      </c>
      <c r="L202" s="43" t="s">
        <v>259</v>
      </c>
      <c r="M202" t="s">
        <v>1569</v>
      </c>
      <c r="N202" t="s">
        <v>1570</v>
      </c>
      <c r="O202" t="s">
        <v>1571</v>
      </c>
      <c r="P202" t="s">
        <v>705</v>
      </c>
      <c r="Q202" t="s">
        <v>1572</v>
      </c>
      <c r="R202">
        <v>1.63</v>
      </c>
      <c r="S202">
        <v>44109</v>
      </c>
      <c r="T202" t="s">
        <v>265</v>
      </c>
      <c r="U202" t="s">
        <v>266</v>
      </c>
      <c r="V202" t="s">
        <v>267</v>
      </c>
      <c r="W202" t="s">
        <v>268</v>
      </c>
      <c r="X202" t="s">
        <v>269</v>
      </c>
      <c r="Y202">
        <v>8883022894</v>
      </c>
      <c r="Z202" t="s">
        <v>270</v>
      </c>
      <c r="AA202" t="s">
        <v>271</v>
      </c>
      <c r="AB202">
        <v>0</v>
      </c>
      <c r="AC202" t="s">
        <v>299</v>
      </c>
      <c r="AD202" t="s">
        <v>1573</v>
      </c>
      <c r="AE202" t="s">
        <v>274</v>
      </c>
      <c r="AF202">
        <v>9</v>
      </c>
      <c r="AG202" t="s">
        <v>275</v>
      </c>
      <c r="AH202" s="43" t="s">
        <v>259</v>
      </c>
      <c r="AI202" s="43" t="s">
        <v>259</v>
      </c>
      <c r="AJ202" s="43" t="s">
        <v>259</v>
      </c>
      <c r="AK202" s="43" t="s">
        <v>259</v>
      </c>
      <c r="AL202" s="43" t="s">
        <v>259</v>
      </c>
      <c r="AO202" s="23"/>
      <c r="AP202" s="23"/>
      <c r="AQ202" s="23"/>
      <c r="BD202" s="43" t="s">
        <v>259</v>
      </c>
      <c r="BE202" s="43" t="s">
        <v>259</v>
      </c>
      <c r="BF202" s="43" t="s">
        <v>259</v>
      </c>
      <c r="BG202" s="43" t="s">
        <v>259</v>
      </c>
      <c r="BH202" s="43" t="s">
        <v>259</v>
      </c>
      <c r="BI202" s="43" t="s">
        <v>259</v>
      </c>
      <c r="BJ202">
        <v>0</v>
      </c>
      <c r="BK202">
        <v>44109</v>
      </c>
      <c r="BL202">
        <v>44356</v>
      </c>
      <c r="BM202">
        <v>8505</v>
      </c>
      <c r="BN202">
        <v>8505</v>
      </c>
      <c r="BO202">
        <v>8505</v>
      </c>
      <c r="BP202">
        <v>25515</v>
      </c>
      <c r="BQ202">
        <v>3300</v>
      </c>
      <c r="BR202">
        <v>400</v>
      </c>
      <c r="BS202">
        <v>400</v>
      </c>
      <c r="BT202">
        <v>4100</v>
      </c>
      <c r="BU202">
        <v>2100</v>
      </c>
      <c r="BV202">
        <v>2100</v>
      </c>
      <c r="BW202">
        <v>2100</v>
      </c>
      <c r="BX202">
        <v>6300</v>
      </c>
      <c r="BY202">
        <v>1200</v>
      </c>
      <c r="BZ202">
        <v>1200</v>
      </c>
      <c r="CA202">
        <v>1200</v>
      </c>
      <c r="CB202">
        <v>3600</v>
      </c>
      <c r="CC202">
        <v>0</v>
      </c>
      <c r="CD202">
        <v>0</v>
      </c>
      <c r="CE202">
        <v>0</v>
      </c>
      <c r="CF202">
        <v>0</v>
      </c>
      <c r="CG202">
        <v>39515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1154</v>
      </c>
      <c r="EJ202">
        <v>1154</v>
      </c>
      <c r="EK202">
        <v>1155</v>
      </c>
      <c r="EL202">
        <v>3500</v>
      </c>
      <c r="EM202">
        <v>37.065000000000005</v>
      </c>
      <c r="EN202">
        <v>660</v>
      </c>
      <c r="EO202">
        <v>660</v>
      </c>
      <c r="EP202">
        <v>659</v>
      </c>
      <c r="EQ202">
        <v>2000</v>
      </c>
      <c r="ER202">
        <v>21.18</v>
      </c>
      <c r="ES202">
        <v>0</v>
      </c>
      <c r="ET202">
        <v>0</v>
      </c>
      <c r="EU202">
        <v>0</v>
      </c>
      <c r="EV202">
        <v>0</v>
      </c>
      <c r="EW202">
        <v>0</v>
      </c>
      <c r="FA202">
        <v>0</v>
      </c>
      <c r="FE202">
        <v>0</v>
      </c>
      <c r="FI202">
        <v>0</v>
      </c>
      <c r="FJ202">
        <v>5441.7550000000001</v>
      </c>
      <c r="FK202">
        <v>39515</v>
      </c>
      <c r="FL202">
        <v>35580.43210392214</v>
      </c>
      <c r="FM202">
        <v>34073.245000000003</v>
      </c>
    </row>
    <row r="203" spans="1:169" x14ac:dyDescent="0.35">
      <c r="A203">
        <v>198663</v>
      </c>
      <c r="B203" t="s">
        <v>3809</v>
      </c>
      <c r="C203" t="s">
        <v>3810</v>
      </c>
      <c r="D203" t="s">
        <v>3811</v>
      </c>
      <c r="E203" s="43" t="s">
        <v>4174</v>
      </c>
      <c r="F203">
        <v>1</v>
      </c>
      <c r="G203" s="23">
        <v>43795</v>
      </c>
      <c r="H203" s="23">
        <v>43795</v>
      </c>
      <c r="I203" s="23">
        <v>43795</v>
      </c>
      <c r="L203" s="43" t="s">
        <v>259</v>
      </c>
      <c r="M203" t="s">
        <v>3812</v>
      </c>
      <c r="N203" t="s">
        <v>3813</v>
      </c>
      <c r="O203" t="s">
        <v>3814</v>
      </c>
      <c r="P203" t="s">
        <v>542</v>
      </c>
      <c r="Q203" t="s">
        <v>3815</v>
      </c>
      <c r="R203">
        <v>3.512</v>
      </c>
      <c r="S203">
        <v>44109</v>
      </c>
      <c r="T203" t="s">
        <v>544</v>
      </c>
      <c r="U203" t="s">
        <v>286</v>
      </c>
      <c r="V203" t="s">
        <v>3816</v>
      </c>
      <c r="W203" t="s">
        <v>268</v>
      </c>
      <c r="X203" t="s">
        <v>269</v>
      </c>
      <c r="Y203">
        <v>8883022894</v>
      </c>
      <c r="Z203" t="s">
        <v>270</v>
      </c>
      <c r="AA203" t="s">
        <v>271</v>
      </c>
      <c r="AB203" t="s">
        <v>374</v>
      </c>
      <c r="AC203">
        <v>0</v>
      </c>
      <c r="AD203" t="s">
        <v>654</v>
      </c>
      <c r="AE203" t="s">
        <v>445</v>
      </c>
      <c r="AF203">
        <v>4</v>
      </c>
      <c r="AG203" t="s">
        <v>3345</v>
      </c>
      <c r="AH203" s="43" t="s">
        <v>259</v>
      </c>
      <c r="AI203" s="43" t="s">
        <v>259</v>
      </c>
      <c r="AJ203" s="43" t="s">
        <v>259</v>
      </c>
      <c r="AK203" s="43" t="s">
        <v>259</v>
      </c>
      <c r="AL203" s="43" t="s">
        <v>259</v>
      </c>
      <c r="AO203" s="23">
        <v>43791</v>
      </c>
      <c r="AP203" s="23"/>
      <c r="AQ203" s="23"/>
      <c r="BD203" s="43" t="s">
        <v>259</v>
      </c>
      <c r="BE203" s="43" t="s">
        <v>259</v>
      </c>
      <c r="BF203" s="43" t="s">
        <v>259</v>
      </c>
      <c r="BG203" s="43" t="s">
        <v>259</v>
      </c>
      <c r="BH203" s="43" t="s">
        <v>259</v>
      </c>
      <c r="BI203" s="43" t="s">
        <v>259</v>
      </c>
      <c r="BJ203">
        <v>4.3478260869565188E-2</v>
      </c>
      <c r="BK203">
        <v>44109</v>
      </c>
      <c r="BL203">
        <v>44356</v>
      </c>
      <c r="BM203">
        <v>8505</v>
      </c>
      <c r="BN203">
        <v>8505</v>
      </c>
      <c r="BO203">
        <v>8505</v>
      </c>
      <c r="BP203">
        <v>25515</v>
      </c>
      <c r="BQ203">
        <v>3300</v>
      </c>
      <c r="BR203">
        <v>400</v>
      </c>
      <c r="BS203">
        <v>400</v>
      </c>
      <c r="BT203">
        <v>4100</v>
      </c>
      <c r="BU203">
        <v>2100</v>
      </c>
      <c r="BV203">
        <v>2100</v>
      </c>
      <c r="BW203">
        <v>2100</v>
      </c>
      <c r="BX203">
        <v>6300</v>
      </c>
      <c r="BY203">
        <v>1200</v>
      </c>
      <c r="BZ203">
        <v>1200</v>
      </c>
      <c r="CA203">
        <v>1200</v>
      </c>
      <c r="CB203">
        <v>3600</v>
      </c>
      <c r="CF203">
        <v>0</v>
      </c>
      <c r="CG203">
        <v>39515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1250</v>
      </c>
      <c r="CU203">
        <v>1250</v>
      </c>
      <c r="CV203">
        <v>1250</v>
      </c>
      <c r="CW203">
        <v>3750</v>
      </c>
      <c r="CX203">
        <v>3000</v>
      </c>
      <c r="CY203">
        <v>3000</v>
      </c>
      <c r="CZ203">
        <v>3000</v>
      </c>
      <c r="DA203">
        <v>9000</v>
      </c>
      <c r="DB203">
        <v>1000</v>
      </c>
      <c r="DC203">
        <v>1000</v>
      </c>
      <c r="DD203">
        <v>1000</v>
      </c>
      <c r="DE203">
        <v>3000</v>
      </c>
      <c r="DF203">
        <v>0</v>
      </c>
      <c r="DG203">
        <v>0</v>
      </c>
      <c r="DH203">
        <v>0</v>
      </c>
      <c r="DN203">
        <v>0</v>
      </c>
      <c r="DO203">
        <v>0</v>
      </c>
      <c r="DP203">
        <v>0</v>
      </c>
      <c r="DR203">
        <v>0</v>
      </c>
      <c r="DS203">
        <v>0</v>
      </c>
      <c r="DT203">
        <v>0</v>
      </c>
      <c r="DY203">
        <v>0</v>
      </c>
      <c r="EC203">
        <v>0</v>
      </c>
      <c r="ED203">
        <v>15750</v>
      </c>
      <c r="EH203">
        <v>0</v>
      </c>
      <c r="EI203">
        <v>0</v>
      </c>
      <c r="EJ203">
        <v>0</v>
      </c>
      <c r="EK203">
        <v>0</v>
      </c>
      <c r="EM203">
        <v>0</v>
      </c>
      <c r="EN203">
        <v>660</v>
      </c>
      <c r="EO203">
        <v>660</v>
      </c>
      <c r="EP203">
        <v>659</v>
      </c>
      <c r="EQ203">
        <v>2000</v>
      </c>
      <c r="ER203">
        <v>21.24</v>
      </c>
      <c r="ES203">
        <v>0</v>
      </c>
      <c r="ET203">
        <v>0</v>
      </c>
      <c r="EU203">
        <v>0</v>
      </c>
      <c r="EW203">
        <v>0</v>
      </c>
      <c r="FA203">
        <v>0</v>
      </c>
      <c r="FE203">
        <v>0</v>
      </c>
      <c r="FI203">
        <v>0</v>
      </c>
      <c r="FJ203">
        <v>1978.76</v>
      </c>
      <c r="FK203">
        <v>23765</v>
      </c>
      <c r="FL203">
        <v>22752.778009858801</v>
      </c>
      <c r="FM203">
        <v>21786.240000000002</v>
      </c>
    </row>
    <row r="204" spans="1:169" x14ac:dyDescent="0.35">
      <c r="A204">
        <v>196946</v>
      </c>
      <c r="B204" t="s">
        <v>1574</v>
      </c>
      <c r="C204" t="s">
        <v>1575</v>
      </c>
      <c r="D204" t="s">
        <v>1576</v>
      </c>
      <c r="E204" s="43" t="s">
        <v>3299</v>
      </c>
      <c r="L204" s="43" t="s">
        <v>259</v>
      </c>
      <c r="M204" t="s">
        <v>1577</v>
      </c>
      <c r="N204" t="s">
        <v>1578</v>
      </c>
      <c r="O204" t="s">
        <v>1579</v>
      </c>
      <c r="P204" t="s">
        <v>263</v>
      </c>
      <c r="Q204" t="s">
        <v>1580</v>
      </c>
      <c r="R204">
        <v>2.88496</v>
      </c>
      <c r="S204">
        <v>44109</v>
      </c>
      <c r="T204" t="s">
        <v>311</v>
      </c>
      <c r="U204" t="s">
        <v>266</v>
      </c>
      <c r="V204" t="s">
        <v>267</v>
      </c>
      <c r="W204" t="s">
        <v>268</v>
      </c>
      <c r="X204" t="s">
        <v>269</v>
      </c>
      <c r="Y204">
        <v>8883022894</v>
      </c>
      <c r="Z204" t="s">
        <v>270</v>
      </c>
      <c r="AA204" t="s">
        <v>271</v>
      </c>
      <c r="AB204" t="s">
        <v>322</v>
      </c>
      <c r="AC204">
        <v>0</v>
      </c>
      <c r="AD204" t="s">
        <v>780</v>
      </c>
      <c r="AE204" t="s">
        <v>324</v>
      </c>
      <c r="AF204">
        <v>8</v>
      </c>
      <c r="AG204" t="s">
        <v>446</v>
      </c>
      <c r="AH204" s="43" t="s">
        <v>259</v>
      </c>
      <c r="AI204" s="43" t="s">
        <v>259</v>
      </c>
      <c r="AJ204" s="43" t="s">
        <v>259</v>
      </c>
      <c r="AK204" s="43" t="s">
        <v>259</v>
      </c>
      <c r="AL204" s="43" t="s">
        <v>259</v>
      </c>
      <c r="AO204" s="23"/>
      <c r="AP204" s="23"/>
      <c r="AQ204" s="23"/>
      <c r="BD204" s="43" t="s">
        <v>259</v>
      </c>
      <c r="BE204" s="43" t="s">
        <v>259</v>
      </c>
      <c r="BF204" s="43" t="s">
        <v>259</v>
      </c>
      <c r="BG204" s="43" t="s">
        <v>259</v>
      </c>
      <c r="BH204" s="43" t="s">
        <v>259</v>
      </c>
      <c r="BI204" s="43" t="s">
        <v>259</v>
      </c>
      <c r="BJ204">
        <v>0</v>
      </c>
      <c r="BK204">
        <v>44109</v>
      </c>
      <c r="BL204">
        <v>44356</v>
      </c>
      <c r="BM204">
        <v>8505</v>
      </c>
      <c r="BN204">
        <v>8505</v>
      </c>
      <c r="BO204">
        <v>8505</v>
      </c>
      <c r="BP204">
        <v>25515</v>
      </c>
      <c r="BQ204">
        <v>3300</v>
      </c>
      <c r="BR204">
        <v>400</v>
      </c>
      <c r="BS204">
        <v>400</v>
      </c>
      <c r="BT204">
        <v>4100</v>
      </c>
      <c r="BU204">
        <v>2100</v>
      </c>
      <c r="BV204">
        <v>2100</v>
      </c>
      <c r="BW204">
        <v>2100</v>
      </c>
      <c r="BX204">
        <v>6300</v>
      </c>
      <c r="BY204">
        <v>1200</v>
      </c>
      <c r="BZ204">
        <v>1200</v>
      </c>
      <c r="CA204">
        <v>1200</v>
      </c>
      <c r="CB204">
        <v>3600</v>
      </c>
      <c r="CF204">
        <v>0</v>
      </c>
      <c r="CG204">
        <v>39515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N204">
        <v>0</v>
      </c>
      <c r="DO204">
        <v>0</v>
      </c>
      <c r="DP204">
        <v>0</v>
      </c>
      <c r="DR204">
        <v>0</v>
      </c>
      <c r="DS204">
        <v>0</v>
      </c>
      <c r="DT204">
        <v>0</v>
      </c>
      <c r="DY204">
        <v>0</v>
      </c>
      <c r="EC204">
        <v>0</v>
      </c>
      <c r="ED204">
        <v>0</v>
      </c>
      <c r="EH204">
        <v>0</v>
      </c>
      <c r="EI204">
        <v>0</v>
      </c>
      <c r="EJ204">
        <v>0</v>
      </c>
      <c r="EK204">
        <v>0</v>
      </c>
      <c r="EM204">
        <v>0</v>
      </c>
      <c r="EN204">
        <v>660</v>
      </c>
      <c r="EO204">
        <v>660</v>
      </c>
      <c r="EP204">
        <v>659</v>
      </c>
      <c r="EQ204">
        <v>2000</v>
      </c>
      <c r="ER204">
        <v>21.24</v>
      </c>
      <c r="ES204">
        <v>0</v>
      </c>
      <c r="ET204">
        <v>0</v>
      </c>
      <c r="EU204">
        <v>0</v>
      </c>
      <c r="EW204">
        <v>0</v>
      </c>
      <c r="FA204">
        <v>0</v>
      </c>
      <c r="FE204">
        <v>0</v>
      </c>
      <c r="FI204">
        <v>0</v>
      </c>
      <c r="FJ204">
        <v>1978.76</v>
      </c>
      <c r="FK204">
        <v>39515</v>
      </c>
      <c r="FL204">
        <v>39201.520594870075</v>
      </c>
      <c r="FM204">
        <v>37536.239999999998</v>
      </c>
    </row>
    <row r="205" spans="1:169" x14ac:dyDescent="0.35">
      <c r="A205">
        <v>196792</v>
      </c>
      <c r="B205" t="s">
        <v>1581</v>
      </c>
      <c r="C205" t="s">
        <v>1582</v>
      </c>
      <c r="D205" t="s">
        <v>1583</v>
      </c>
      <c r="E205" s="43" t="s">
        <v>1584</v>
      </c>
      <c r="L205" s="43" t="s">
        <v>259</v>
      </c>
      <c r="M205" t="s">
        <v>1585</v>
      </c>
      <c r="N205" t="s">
        <v>1586</v>
      </c>
      <c r="O205" t="s">
        <v>1587</v>
      </c>
      <c r="P205" t="s">
        <v>687</v>
      </c>
      <c r="Q205" t="s">
        <v>1588</v>
      </c>
      <c r="R205">
        <v>3.9</v>
      </c>
      <c r="S205">
        <v>44109</v>
      </c>
      <c r="T205" t="s">
        <v>311</v>
      </c>
      <c r="U205" t="s">
        <v>286</v>
      </c>
      <c r="V205" t="s">
        <v>267</v>
      </c>
      <c r="W205" t="s">
        <v>268</v>
      </c>
      <c r="X205" t="s">
        <v>269</v>
      </c>
      <c r="Y205">
        <v>8883022894</v>
      </c>
      <c r="Z205" t="s">
        <v>270</v>
      </c>
      <c r="AA205" t="s">
        <v>271</v>
      </c>
      <c r="AB205">
        <v>0</v>
      </c>
      <c r="AC205" t="s">
        <v>3272</v>
      </c>
      <c r="AD205" t="s">
        <v>3273</v>
      </c>
      <c r="AE205" t="s">
        <v>301</v>
      </c>
      <c r="AF205">
        <v>1</v>
      </c>
      <c r="AG205" t="s">
        <v>275</v>
      </c>
      <c r="AH205" s="43" t="s">
        <v>259</v>
      </c>
      <c r="AI205" s="43" t="s">
        <v>259</v>
      </c>
      <c r="AJ205" s="43" t="s">
        <v>259</v>
      </c>
      <c r="AK205" s="43" t="s">
        <v>259</v>
      </c>
      <c r="AL205" s="43" t="s">
        <v>259</v>
      </c>
      <c r="AO205" s="23"/>
      <c r="AP205" s="23"/>
      <c r="AQ205" s="23"/>
      <c r="BD205" s="43" t="s">
        <v>259</v>
      </c>
      <c r="BE205" s="43" t="s">
        <v>259</v>
      </c>
      <c r="BF205" s="43" t="s">
        <v>259</v>
      </c>
      <c r="BG205" s="43" t="s">
        <v>259</v>
      </c>
      <c r="BH205" s="43" t="s">
        <v>259</v>
      </c>
      <c r="BI205" s="43" t="s">
        <v>259</v>
      </c>
      <c r="BJ205">
        <v>0</v>
      </c>
      <c r="BK205">
        <v>44109</v>
      </c>
      <c r="BL205">
        <v>44356</v>
      </c>
      <c r="BM205">
        <v>8505</v>
      </c>
      <c r="BN205">
        <v>8505</v>
      </c>
      <c r="BO205">
        <v>8505</v>
      </c>
      <c r="BP205">
        <v>25515</v>
      </c>
      <c r="BQ205">
        <v>3300</v>
      </c>
      <c r="BR205">
        <v>400</v>
      </c>
      <c r="BS205">
        <v>400</v>
      </c>
      <c r="BT205">
        <v>4100</v>
      </c>
      <c r="BU205">
        <v>2100</v>
      </c>
      <c r="BV205">
        <v>2100</v>
      </c>
      <c r="BW205">
        <v>2100</v>
      </c>
      <c r="BX205">
        <v>6300</v>
      </c>
      <c r="BY205">
        <v>1200</v>
      </c>
      <c r="BZ205">
        <v>1200</v>
      </c>
      <c r="CA205">
        <v>1200</v>
      </c>
      <c r="CB205">
        <v>3600</v>
      </c>
      <c r="CC205">
        <v>0</v>
      </c>
      <c r="CD205">
        <v>0</v>
      </c>
      <c r="CE205">
        <v>0</v>
      </c>
      <c r="CF205">
        <v>0</v>
      </c>
      <c r="CG205">
        <v>39515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1700</v>
      </c>
      <c r="CU205">
        <v>1700</v>
      </c>
      <c r="CV205">
        <v>1700</v>
      </c>
      <c r="CW205">
        <v>5100</v>
      </c>
      <c r="CX205">
        <v>0</v>
      </c>
      <c r="CY205">
        <v>0</v>
      </c>
      <c r="CZ205">
        <v>0</v>
      </c>
      <c r="DA205">
        <v>0</v>
      </c>
      <c r="DB205">
        <v>1000</v>
      </c>
      <c r="DC205">
        <v>1000</v>
      </c>
      <c r="DD205">
        <v>1000</v>
      </c>
      <c r="DE205">
        <v>3000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8100</v>
      </c>
      <c r="EE205">
        <v>0</v>
      </c>
      <c r="EF205">
        <v>0</v>
      </c>
      <c r="EG205">
        <v>0</v>
      </c>
      <c r="EH205">
        <v>0</v>
      </c>
      <c r="EI205">
        <v>1154</v>
      </c>
      <c r="EJ205">
        <v>1154</v>
      </c>
      <c r="EK205">
        <v>1155</v>
      </c>
      <c r="EL205">
        <v>3500</v>
      </c>
      <c r="EM205">
        <v>37.065000000000005</v>
      </c>
      <c r="EN205">
        <v>660</v>
      </c>
      <c r="EO205">
        <v>660</v>
      </c>
      <c r="EP205">
        <v>659</v>
      </c>
      <c r="EQ205">
        <v>2000</v>
      </c>
      <c r="ER205">
        <v>21.18</v>
      </c>
      <c r="ES205">
        <v>0</v>
      </c>
      <c r="ET205">
        <v>0</v>
      </c>
      <c r="EU205">
        <v>0</v>
      </c>
      <c r="EV205">
        <v>0</v>
      </c>
      <c r="EW205">
        <v>0</v>
      </c>
      <c r="FA205">
        <v>0</v>
      </c>
      <c r="FE205">
        <v>0</v>
      </c>
      <c r="FI205">
        <v>0</v>
      </c>
      <c r="FJ205">
        <v>5441.7550000000001</v>
      </c>
      <c r="FK205">
        <v>31415</v>
      </c>
      <c r="FL205">
        <v>27122.138799548888</v>
      </c>
      <c r="FM205">
        <v>25973.244999999999</v>
      </c>
    </row>
    <row r="206" spans="1:169" x14ac:dyDescent="0.35">
      <c r="A206">
        <v>197896</v>
      </c>
      <c r="B206" t="s">
        <v>1589</v>
      </c>
      <c r="C206" t="s">
        <v>1590</v>
      </c>
      <c r="D206" t="s">
        <v>1591</v>
      </c>
      <c r="E206" s="43" t="s">
        <v>3300</v>
      </c>
      <c r="L206" s="43" t="s">
        <v>259</v>
      </c>
      <c r="M206" t="s">
        <v>1592</v>
      </c>
      <c r="N206" t="s">
        <v>1593</v>
      </c>
      <c r="O206" t="s">
        <v>1594</v>
      </c>
      <c r="P206" t="s">
        <v>332</v>
      </c>
      <c r="Q206" t="s">
        <v>1595</v>
      </c>
      <c r="R206">
        <v>3.02</v>
      </c>
      <c r="S206">
        <v>44109</v>
      </c>
      <c r="T206" t="s">
        <v>311</v>
      </c>
      <c r="U206" t="s">
        <v>266</v>
      </c>
      <c r="V206" t="s">
        <v>267</v>
      </c>
      <c r="W206" t="s">
        <v>268</v>
      </c>
      <c r="X206" t="s">
        <v>269</v>
      </c>
      <c r="Y206">
        <v>8883022894</v>
      </c>
      <c r="Z206" t="s">
        <v>270</v>
      </c>
      <c r="AA206" t="s">
        <v>271</v>
      </c>
      <c r="AB206">
        <v>0</v>
      </c>
      <c r="AC206">
        <v>0</v>
      </c>
      <c r="AD206" t="s">
        <v>313</v>
      </c>
      <c r="AE206" t="s">
        <v>354</v>
      </c>
      <c r="AF206">
        <v>6</v>
      </c>
      <c r="AG206" t="s">
        <v>446</v>
      </c>
      <c r="AH206" s="43" t="s">
        <v>259</v>
      </c>
      <c r="AI206" s="43" t="s">
        <v>259</v>
      </c>
      <c r="AJ206" s="43" t="s">
        <v>259</v>
      </c>
      <c r="AK206" s="43" t="s">
        <v>259</v>
      </c>
      <c r="AL206" s="43" t="s">
        <v>259</v>
      </c>
      <c r="AO206" s="23"/>
      <c r="AP206" s="23"/>
      <c r="AQ206" s="23"/>
      <c r="BD206" s="43" t="s">
        <v>259</v>
      </c>
      <c r="BE206" s="43" t="s">
        <v>259</v>
      </c>
      <c r="BF206" s="43" t="s">
        <v>259</v>
      </c>
      <c r="BG206" s="43" t="s">
        <v>259</v>
      </c>
      <c r="BH206" s="43" t="s">
        <v>259</v>
      </c>
      <c r="BI206" s="43" t="s">
        <v>259</v>
      </c>
      <c r="BJ206">
        <v>0</v>
      </c>
      <c r="BK206">
        <v>44109</v>
      </c>
      <c r="BL206">
        <v>44356</v>
      </c>
      <c r="BM206">
        <v>8505</v>
      </c>
      <c r="BN206">
        <v>8505</v>
      </c>
      <c r="BO206">
        <v>8505</v>
      </c>
      <c r="BP206">
        <v>25515</v>
      </c>
      <c r="BQ206">
        <v>3300</v>
      </c>
      <c r="BR206">
        <v>400</v>
      </c>
      <c r="BS206">
        <v>400</v>
      </c>
      <c r="BT206">
        <v>4100</v>
      </c>
      <c r="BU206">
        <v>2100</v>
      </c>
      <c r="BV206">
        <v>2100</v>
      </c>
      <c r="BW206">
        <v>2100</v>
      </c>
      <c r="BX206">
        <v>6300</v>
      </c>
      <c r="BY206">
        <v>1200</v>
      </c>
      <c r="BZ206">
        <v>1200</v>
      </c>
      <c r="CA206">
        <v>1200</v>
      </c>
      <c r="CB206">
        <v>3600</v>
      </c>
      <c r="CF206">
        <v>0</v>
      </c>
      <c r="CG206">
        <v>39515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750</v>
      </c>
      <c r="CU206">
        <v>750</v>
      </c>
      <c r="CV206">
        <v>750</v>
      </c>
      <c r="CW206">
        <v>2250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N206">
        <v>0</v>
      </c>
      <c r="DO206">
        <v>0</v>
      </c>
      <c r="DP206">
        <v>0</v>
      </c>
      <c r="DR206">
        <v>0</v>
      </c>
      <c r="DS206">
        <v>0</v>
      </c>
      <c r="DT206">
        <v>0</v>
      </c>
      <c r="DY206">
        <v>0</v>
      </c>
      <c r="EC206">
        <v>0</v>
      </c>
      <c r="ED206">
        <v>2250</v>
      </c>
      <c r="EH206">
        <v>0</v>
      </c>
      <c r="EI206">
        <v>0</v>
      </c>
      <c r="EJ206">
        <v>0</v>
      </c>
      <c r="EK206">
        <v>0</v>
      </c>
      <c r="EM206">
        <v>0</v>
      </c>
      <c r="EN206">
        <v>660</v>
      </c>
      <c r="EO206">
        <v>660</v>
      </c>
      <c r="EP206">
        <v>659</v>
      </c>
      <c r="EQ206">
        <v>2000</v>
      </c>
      <c r="ER206">
        <v>21.24</v>
      </c>
      <c r="ES206">
        <v>0</v>
      </c>
      <c r="ET206">
        <v>0</v>
      </c>
      <c r="EU206">
        <v>0</v>
      </c>
      <c r="EW206">
        <v>0</v>
      </c>
      <c r="FA206">
        <v>0</v>
      </c>
      <c r="FE206">
        <v>0</v>
      </c>
      <c r="FI206">
        <v>0</v>
      </c>
      <c r="FJ206">
        <v>1978.76</v>
      </c>
      <c r="FK206">
        <v>37265</v>
      </c>
      <c r="FL206">
        <v>36851.700225582754</v>
      </c>
      <c r="FM206">
        <v>35286.239999999998</v>
      </c>
    </row>
    <row r="207" spans="1:169" x14ac:dyDescent="0.35">
      <c r="A207">
        <v>198826</v>
      </c>
      <c r="B207" t="s">
        <v>1589</v>
      </c>
      <c r="C207" t="s">
        <v>1596</v>
      </c>
      <c r="D207" t="s">
        <v>1597</v>
      </c>
      <c r="E207" s="43" t="s">
        <v>3301</v>
      </c>
      <c r="F207">
        <v>1</v>
      </c>
      <c r="I207" s="23">
        <v>43783</v>
      </c>
      <c r="L207" s="43" t="s">
        <v>3204</v>
      </c>
      <c r="M207" t="s">
        <v>1598</v>
      </c>
      <c r="N207" t="s">
        <v>1599</v>
      </c>
      <c r="O207" t="s">
        <v>1600</v>
      </c>
      <c r="P207" t="s">
        <v>1172</v>
      </c>
      <c r="Q207" t="s">
        <v>1601</v>
      </c>
      <c r="R207">
        <v>3</v>
      </c>
      <c r="S207">
        <v>44109</v>
      </c>
      <c r="T207" t="s">
        <v>285</v>
      </c>
      <c r="U207" t="s">
        <v>266</v>
      </c>
      <c r="V207" t="s">
        <v>267</v>
      </c>
      <c r="W207" t="s">
        <v>268</v>
      </c>
      <c r="X207" t="s">
        <v>269</v>
      </c>
      <c r="Y207">
        <v>8883022894</v>
      </c>
      <c r="Z207" t="s">
        <v>270</v>
      </c>
      <c r="AA207" t="s">
        <v>271</v>
      </c>
      <c r="AB207" t="s">
        <v>444</v>
      </c>
      <c r="AC207">
        <v>0</v>
      </c>
      <c r="AD207" t="s">
        <v>637</v>
      </c>
      <c r="AE207" t="s">
        <v>354</v>
      </c>
      <c r="AF207">
        <v>6</v>
      </c>
      <c r="AG207" t="s">
        <v>446</v>
      </c>
      <c r="AH207" s="43" t="s">
        <v>3226</v>
      </c>
      <c r="AI207" s="43" t="s">
        <v>313</v>
      </c>
      <c r="AJ207" s="43" t="s">
        <v>3207</v>
      </c>
      <c r="AK207" s="43" t="s">
        <v>3208</v>
      </c>
      <c r="AL207" s="43" t="s">
        <v>3209</v>
      </c>
      <c r="AO207" s="23"/>
      <c r="AP207" s="23"/>
      <c r="AQ207" s="23"/>
      <c r="BD207" s="43" t="s">
        <v>2018</v>
      </c>
      <c r="BE207" s="43" t="s">
        <v>2018</v>
      </c>
      <c r="BF207" s="43" t="s">
        <v>2018</v>
      </c>
      <c r="BG207" s="43" t="s">
        <v>2018</v>
      </c>
      <c r="BH207" s="43" t="s">
        <v>2018</v>
      </c>
      <c r="BI207" s="43" t="s">
        <v>2018</v>
      </c>
      <c r="BJ207">
        <v>0</v>
      </c>
      <c r="BK207">
        <v>44109</v>
      </c>
      <c r="BL207">
        <v>44356</v>
      </c>
      <c r="BM207">
        <v>8505</v>
      </c>
      <c r="BN207">
        <v>8505</v>
      </c>
      <c r="BO207">
        <v>8505</v>
      </c>
      <c r="BP207">
        <v>25515</v>
      </c>
      <c r="BQ207">
        <v>3300</v>
      </c>
      <c r="BR207">
        <v>400</v>
      </c>
      <c r="BS207">
        <v>400</v>
      </c>
      <c r="BT207">
        <v>4100</v>
      </c>
      <c r="BU207">
        <v>2100</v>
      </c>
      <c r="BV207">
        <v>2100</v>
      </c>
      <c r="BW207">
        <v>2100</v>
      </c>
      <c r="BX207">
        <v>6300</v>
      </c>
      <c r="BY207">
        <v>1200</v>
      </c>
      <c r="BZ207">
        <v>1200</v>
      </c>
      <c r="CA207">
        <v>1200</v>
      </c>
      <c r="CB207">
        <v>3600</v>
      </c>
      <c r="CF207">
        <v>0</v>
      </c>
      <c r="CG207">
        <v>39515</v>
      </c>
      <c r="CK207">
        <v>0</v>
      </c>
      <c r="CL207">
        <v>2065</v>
      </c>
      <c r="CM207">
        <v>2065</v>
      </c>
      <c r="CN207">
        <v>2065</v>
      </c>
      <c r="CO207">
        <v>6195</v>
      </c>
      <c r="CP207">
        <v>500</v>
      </c>
      <c r="CQ207">
        <v>500</v>
      </c>
      <c r="CR207">
        <v>500</v>
      </c>
      <c r="CS207">
        <v>1500</v>
      </c>
      <c r="CT207">
        <v>750</v>
      </c>
      <c r="CU207">
        <v>750</v>
      </c>
      <c r="CV207">
        <v>750</v>
      </c>
      <c r="CW207">
        <v>2250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N207">
        <v>0</v>
      </c>
      <c r="DO207">
        <v>0</v>
      </c>
      <c r="DP207">
        <v>0</v>
      </c>
      <c r="DR207">
        <v>0</v>
      </c>
      <c r="DS207">
        <v>0</v>
      </c>
      <c r="DT207">
        <v>0</v>
      </c>
      <c r="DY207">
        <v>0</v>
      </c>
      <c r="EC207">
        <v>0</v>
      </c>
      <c r="ED207">
        <v>9945</v>
      </c>
      <c r="EH207">
        <v>0</v>
      </c>
      <c r="EI207">
        <v>0</v>
      </c>
      <c r="EJ207">
        <v>0</v>
      </c>
      <c r="EK207">
        <v>0</v>
      </c>
      <c r="EM207">
        <v>0</v>
      </c>
      <c r="EN207">
        <v>660</v>
      </c>
      <c r="EO207">
        <v>660</v>
      </c>
      <c r="EP207">
        <v>659</v>
      </c>
      <c r="EQ207">
        <v>2000</v>
      </c>
      <c r="ER207">
        <v>21.24</v>
      </c>
      <c r="ES207">
        <v>0</v>
      </c>
      <c r="ET207">
        <v>0</v>
      </c>
      <c r="EU207">
        <v>0</v>
      </c>
      <c r="EW207">
        <v>0</v>
      </c>
      <c r="FA207">
        <v>0</v>
      </c>
      <c r="FE207">
        <v>0</v>
      </c>
      <c r="FI207">
        <v>0</v>
      </c>
      <c r="FJ207">
        <v>1978.76</v>
      </c>
      <c r="FK207">
        <v>29570</v>
      </c>
      <c r="FL207">
        <v>28815.314562620104</v>
      </c>
      <c r="FM207">
        <v>27591.24</v>
      </c>
    </row>
    <row r="208" spans="1:169" x14ac:dyDescent="0.35">
      <c r="A208">
        <v>191923</v>
      </c>
      <c r="B208" t="s">
        <v>1589</v>
      </c>
      <c r="C208" t="s">
        <v>1602</v>
      </c>
      <c r="D208" t="s">
        <v>1603</v>
      </c>
      <c r="E208" s="43" t="s">
        <v>1604</v>
      </c>
      <c r="F208">
        <v>1</v>
      </c>
      <c r="G208" s="23">
        <v>43776</v>
      </c>
      <c r="H208" s="23">
        <v>43776</v>
      </c>
      <c r="I208" s="23">
        <v>43776</v>
      </c>
      <c r="J208" t="s">
        <v>3332</v>
      </c>
      <c r="K208" t="s">
        <v>3307</v>
      </c>
      <c r="L208" s="43" t="s">
        <v>301</v>
      </c>
      <c r="M208" t="s">
        <v>1605</v>
      </c>
      <c r="N208" t="s">
        <v>1606</v>
      </c>
      <c r="O208" t="s">
        <v>1008</v>
      </c>
      <c r="P208" t="s">
        <v>263</v>
      </c>
      <c r="Q208" t="s">
        <v>1607</v>
      </c>
      <c r="R208">
        <v>3.2</v>
      </c>
      <c r="S208">
        <v>44109</v>
      </c>
      <c r="T208" t="s">
        <v>265</v>
      </c>
      <c r="U208" t="s">
        <v>286</v>
      </c>
      <c r="V208" t="s">
        <v>267</v>
      </c>
      <c r="W208" t="s">
        <v>268</v>
      </c>
      <c r="X208" t="s">
        <v>269</v>
      </c>
      <c r="Y208">
        <v>8883022894</v>
      </c>
      <c r="Z208" t="s">
        <v>508</v>
      </c>
      <c r="AA208" t="s">
        <v>271</v>
      </c>
      <c r="AB208" t="s">
        <v>526</v>
      </c>
      <c r="AC208">
        <v>0</v>
      </c>
      <c r="AD208" t="s">
        <v>1141</v>
      </c>
      <c r="AE208" t="s">
        <v>289</v>
      </c>
      <c r="AF208">
        <v>2</v>
      </c>
      <c r="AG208" t="s">
        <v>275</v>
      </c>
      <c r="AH208" s="43" t="s">
        <v>3226</v>
      </c>
      <c r="AI208" s="43" t="s">
        <v>313</v>
      </c>
      <c r="AJ208" s="43" t="s">
        <v>3207</v>
      </c>
      <c r="AK208" s="43" t="s">
        <v>1715</v>
      </c>
      <c r="AL208" s="43" t="s">
        <v>259</v>
      </c>
      <c r="AO208" s="23">
        <v>43776</v>
      </c>
      <c r="AP208" s="23"/>
      <c r="AQ208" s="23"/>
      <c r="BD208" s="43" t="s">
        <v>259</v>
      </c>
      <c r="BE208" s="43" t="s">
        <v>259</v>
      </c>
      <c r="BF208" s="43" t="s">
        <v>259</v>
      </c>
      <c r="BG208" s="43" t="s">
        <v>259</v>
      </c>
      <c r="BH208" s="43" t="s">
        <v>259</v>
      </c>
      <c r="BI208" s="43" t="s">
        <v>259</v>
      </c>
      <c r="BJ208">
        <v>4.3478260869565188E-2</v>
      </c>
      <c r="BK208">
        <v>44109</v>
      </c>
      <c r="BL208">
        <v>44356</v>
      </c>
      <c r="BM208">
        <v>8505</v>
      </c>
      <c r="BN208">
        <v>8505</v>
      </c>
      <c r="BO208">
        <v>8505</v>
      </c>
      <c r="BP208">
        <v>25515</v>
      </c>
      <c r="BQ208">
        <v>3300</v>
      </c>
      <c r="BR208">
        <v>400</v>
      </c>
      <c r="BS208">
        <v>400</v>
      </c>
      <c r="BT208">
        <v>4100</v>
      </c>
      <c r="BU208">
        <v>2100</v>
      </c>
      <c r="BV208">
        <v>2100</v>
      </c>
      <c r="BW208">
        <v>2100</v>
      </c>
      <c r="BX208">
        <v>6300</v>
      </c>
      <c r="BY208">
        <v>1200</v>
      </c>
      <c r="BZ208">
        <v>1200</v>
      </c>
      <c r="CA208">
        <v>1200</v>
      </c>
      <c r="CB208">
        <v>3600</v>
      </c>
      <c r="CC208">
        <v>0</v>
      </c>
      <c r="CD208">
        <v>0</v>
      </c>
      <c r="CE208">
        <v>0</v>
      </c>
      <c r="CF208">
        <v>0</v>
      </c>
      <c r="CG208">
        <v>39515</v>
      </c>
      <c r="CH208">
        <v>0</v>
      </c>
      <c r="CI208">
        <v>0</v>
      </c>
      <c r="CJ208">
        <v>0</v>
      </c>
      <c r="CK208">
        <v>0</v>
      </c>
      <c r="CL208">
        <v>2065</v>
      </c>
      <c r="CM208">
        <v>2065</v>
      </c>
      <c r="CN208">
        <v>2065</v>
      </c>
      <c r="CO208">
        <v>6195</v>
      </c>
      <c r="CP208">
        <v>500</v>
      </c>
      <c r="CQ208">
        <v>500</v>
      </c>
      <c r="CR208">
        <v>500</v>
      </c>
      <c r="CS208">
        <v>1500</v>
      </c>
      <c r="CT208">
        <v>1500</v>
      </c>
      <c r="CU208">
        <v>1500</v>
      </c>
      <c r="CV208">
        <v>1500</v>
      </c>
      <c r="CW208">
        <v>4500</v>
      </c>
      <c r="CX208">
        <v>0</v>
      </c>
      <c r="CY208">
        <v>0</v>
      </c>
      <c r="CZ208">
        <v>0</v>
      </c>
      <c r="DA208">
        <v>0</v>
      </c>
      <c r="DB208">
        <v>1000</v>
      </c>
      <c r="DC208">
        <v>1000</v>
      </c>
      <c r="DD208">
        <v>1000</v>
      </c>
      <c r="DE208">
        <v>3000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15195</v>
      </c>
      <c r="EE208">
        <v>0</v>
      </c>
      <c r="EF208">
        <v>0</v>
      </c>
      <c r="EG208">
        <v>0</v>
      </c>
      <c r="EH208">
        <v>0</v>
      </c>
      <c r="EI208">
        <v>1154</v>
      </c>
      <c r="EJ208">
        <v>1154</v>
      </c>
      <c r="EK208">
        <v>1155</v>
      </c>
      <c r="EL208">
        <v>3500</v>
      </c>
      <c r="EM208">
        <v>37.065000000000005</v>
      </c>
      <c r="EN208">
        <v>1979</v>
      </c>
      <c r="EO208">
        <v>1979</v>
      </c>
      <c r="EP208">
        <v>1978</v>
      </c>
      <c r="EQ208">
        <v>6000</v>
      </c>
      <c r="ER208">
        <v>63.540000000000006</v>
      </c>
      <c r="ES208">
        <v>0</v>
      </c>
      <c r="ET208">
        <v>0</v>
      </c>
      <c r="EU208">
        <v>0</v>
      </c>
      <c r="EV208">
        <v>0</v>
      </c>
      <c r="EW208">
        <v>0</v>
      </c>
      <c r="FA208">
        <v>0</v>
      </c>
      <c r="FE208">
        <v>0</v>
      </c>
      <c r="FI208">
        <v>0</v>
      </c>
      <c r="FJ208">
        <v>9399.3950000000004</v>
      </c>
      <c r="FK208">
        <v>24320</v>
      </c>
      <c r="FL208">
        <v>15580.599181320746</v>
      </c>
      <c r="FM208">
        <v>14920.605</v>
      </c>
    </row>
    <row r="209" spans="1:169" x14ac:dyDescent="0.35">
      <c r="A209">
        <v>199067</v>
      </c>
      <c r="B209" t="s">
        <v>1589</v>
      </c>
      <c r="C209" t="s">
        <v>954</v>
      </c>
      <c r="D209" t="s">
        <v>3817</v>
      </c>
      <c r="E209" s="43" t="s">
        <v>4225</v>
      </c>
      <c r="J209" t="s">
        <v>3745</v>
      </c>
      <c r="L209" s="43" t="s">
        <v>344</v>
      </c>
      <c r="M209" t="s">
        <v>3818</v>
      </c>
      <c r="N209" t="s">
        <v>3819</v>
      </c>
      <c r="O209" t="s">
        <v>3377</v>
      </c>
      <c r="P209" t="s">
        <v>542</v>
      </c>
      <c r="Q209" t="s">
        <v>3820</v>
      </c>
      <c r="R209">
        <v>3.76</v>
      </c>
      <c r="S209">
        <v>44109</v>
      </c>
      <c r="T209" t="s">
        <v>311</v>
      </c>
      <c r="U209" t="s">
        <v>266</v>
      </c>
      <c r="V209" t="s">
        <v>267</v>
      </c>
      <c r="W209" t="s">
        <v>268</v>
      </c>
      <c r="X209" t="s">
        <v>269</v>
      </c>
      <c r="Y209">
        <v>8883022894</v>
      </c>
      <c r="Z209" t="s">
        <v>270</v>
      </c>
      <c r="AA209" t="s">
        <v>271</v>
      </c>
      <c r="AB209" t="s">
        <v>374</v>
      </c>
      <c r="AC209">
        <v>0</v>
      </c>
      <c r="AD209" t="s">
        <v>288</v>
      </c>
      <c r="AE209" t="s">
        <v>289</v>
      </c>
      <c r="AF209">
        <v>2</v>
      </c>
      <c r="AG209" t="s">
        <v>3345</v>
      </c>
      <c r="AH209" s="43" t="s">
        <v>313</v>
      </c>
      <c r="AI209" s="43" t="s">
        <v>313</v>
      </c>
      <c r="AJ209" s="43" t="s">
        <v>4237</v>
      </c>
      <c r="AK209" s="43" t="s">
        <v>1715</v>
      </c>
      <c r="AL209" s="43" t="s">
        <v>259</v>
      </c>
      <c r="AO209" s="23"/>
      <c r="AP209" s="23"/>
      <c r="AQ209" s="23"/>
      <c r="BD209" s="43" t="s">
        <v>259</v>
      </c>
      <c r="BE209" s="43" t="s">
        <v>259</v>
      </c>
      <c r="BF209" s="43" t="s">
        <v>259</v>
      </c>
      <c r="BG209" s="43" t="s">
        <v>259</v>
      </c>
      <c r="BH209" s="43" t="s">
        <v>259</v>
      </c>
      <c r="BI209" s="43" t="s">
        <v>259</v>
      </c>
      <c r="BJ209">
        <v>0</v>
      </c>
      <c r="BK209">
        <v>44109</v>
      </c>
      <c r="BL209">
        <v>44356</v>
      </c>
      <c r="BM209">
        <v>8505</v>
      </c>
      <c r="BN209">
        <v>8505</v>
      </c>
      <c r="BO209">
        <v>8505</v>
      </c>
      <c r="BP209">
        <v>25515</v>
      </c>
      <c r="BQ209">
        <v>3300</v>
      </c>
      <c r="BR209">
        <v>400</v>
      </c>
      <c r="BS209">
        <v>400</v>
      </c>
      <c r="BT209">
        <v>4100</v>
      </c>
      <c r="BU209">
        <v>2100</v>
      </c>
      <c r="BV209">
        <v>2100</v>
      </c>
      <c r="BW209">
        <v>2100</v>
      </c>
      <c r="BX209">
        <v>6300</v>
      </c>
      <c r="BY209">
        <v>1200</v>
      </c>
      <c r="BZ209">
        <v>1200</v>
      </c>
      <c r="CA209">
        <v>1200</v>
      </c>
      <c r="CB209">
        <v>3600</v>
      </c>
      <c r="CF209">
        <v>0</v>
      </c>
      <c r="CG209">
        <v>39515</v>
      </c>
      <c r="CK209">
        <v>0</v>
      </c>
      <c r="CL209">
        <v>2065</v>
      </c>
      <c r="CM209">
        <v>2065</v>
      </c>
      <c r="CN209">
        <v>2065</v>
      </c>
      <c r="CO209">
        <v>6195</v>
      </c>
      <c r="CP209">
        <v>500</v>
      </c>
      <c r="CQ209">
        <v>500</v>
      </c>
      <c r="CR209">
        <v>500</v>
      </c>
      <c r="CS209">
        <v>1500</v>
      </c>
      <c r="CT209">
        <v>1500</v>
      </c>
      <c r="CU209">
        <v>1500</v>
      </c>
      <c r="CV209">
        <v>1500</v>
      </c>
      <c r="CW209">
        <v>4500</v>
      </c>
      <c r="CX209">
        <v>3000</v>
      </c>
      <c r="CY209">
        <v>3000</v>
      </c>
      <c r="CZ209">
        <v>3000</v>
      </c>
      <c r="DA209">
        <v>9000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N209">
        <v>0</v>
      </c>
      <c r="DO209">
        <v>0</v>
      </c>
      <c r="DP209">
        <v>0</v>
      </c>
      <c r="DR209">
        <v>0</v>
      </c>
      <c r="DS209">
        <v>0</v>
      </c>
      <c r="DT209">
        <v>0</v>
      </c>
      <c r="DY209">
        <v>0</v>
      </c>
      <c r="EC209">
        <v>0</v>
      </c>
      <c r="ED209">
        <v>21195</v>
      </c>
      <c r="EH209">
        <v>0</v>
      </c>
      <c r="EI209">
        <v>0</v>
      </c>
      <c r="EJ209">
        <v>0</v>
      </c>
      <c r="EK209">
        <v>0</v>
      </c>
      <c r="EM209">
        <v>0</v>
      </c>
      <c r="EN209">
        <v>660</v>
      </c>
      <c r="EO209">
        <v>660</v>
      </c>
      <c r="EP209">
        <v>659</v>
      </c>
      <c r="EQ209">
        <v>2000</v>
      </c>
      <c r="ER209">
        <v>21.24</v>
      </c>
      <c r="ES209">
        <v>0</v>
      </c>
      <c r="ET209">
        <v>0</v>
      </c>
      <c r="EU209">
        <v>0</v>
      </c>
      <c r="EW209">
        <v>0</v>
      </c>
      <c r="FA209">
        <v>0</v>
      </c>
      <c r="FE209">
        <v>0</v>
      </c>
      <c r="FI209">
        <v>0</v>
      </c>
      <c r="FJ209">
        <v>1978.76</v>
      </c>
      <c r="FK209">
        <v>18320</v>
      </c>
      <c r="FL209">
        <v>17066.212716183472</v>
      </c>
      <c r="FM209">
        <v>16341.24</v>
      </c>
    </row>
    <row r="210" spans="1:169" x14ac:dyDescent="0.35">
      <c r="A210">
        <v>196971</v>
      </c>
      <c r="B210" t="s">
        <v>1589</v>
      </c>
      <c r="C210" t="s">
        <v>3572</v>
      </c>
      <c r="D210" t="s">
        <v>3573</v>
      </c>
      <c r="E210" s="43" t="s">
        <v>4226</v>
      </c>
      <c r="J210" t="s">
        <v>3425</v>
      </c>
      <c r="L210" s="43" t="s">
        <v>259</v>
      </c>
      <c r="M210" t="s">
        <v>3574</v>
      </c>
      <c r="N210" t="s">
        <v>3575</v>
      </c>
      <c r="O210" t="s">
        <v>3576</v>
      </c>
      <c r="P210" t="s">
        <v>1172</v>
      </c>
      <c r="Q210" t="s">
        <v>3577</v>
      </c>
      <c r="R210">
        <v>2.06</v>
      </c>
      <c r="S210">
        <v>44109</v>
      </c>
      <c r="T210" t="s">
        <v>311</v>
      </c>
      <c r="U210" t="s">
        <v>266</v>
      </c>
      <c r="V210" t="s">
        <v>267</v>
      </c>
      <c r="W210" t="s">
        <v>268</v>
      </c>
      <c r="X210" t="s">
        <v>269</v>
      </c>
      <c r="Y210">
        <v>8883022894</v>
      </c>
      <c r="Z210" t="s">
        <v>270</v>
      </c>
      <c r="AA210" t="s">
        <v>271</v>
      </c>
      <c r="AB210">
        <v>0</v>
      </c>
      <c r="AC210" t="s">
        <v>3578</v>
      </c>
      <c r="AD210" t="s">
        <v>3579</v>
      </c>
      <c r="AE210" t="s">
        <v>344</v>
      </c>
      <c r="AF210">
        <v>10</v>
      </c>
      <c r="AG210" t="s">
        <v>3345</v>
      </c>
      <c r="AH210" s="43" t="s">
        <v>259</v>
      </c>
      <c r="AI210" s="43" t="s">
        <v>259</v>
      </c>
      <c r="AJ210" s="43" t="s">
        <v>259</v>
      </c>
      <c r="AK210" s="43" t="s">
        <v>259</v>
      </c>
      <c r="AL210" s="43" t="s">
        <v>259</v>
      </c>
      <c r="AO210" s="23"/>
      <c r="AP210" s="23"/>
      <c r="AQ210" s="23"/>
      <c r="BD210" s="43" t="s">
        <v>259</v>
      </c>
      <c r="BE210" s="43" t="s">
        <v>259</v>
      </c>
      <c r="BF210" s="43" t="s">
        <v>259</v>
      </c>
      <c r="BG210" s="43" t="s">
        <v>259</v>
      </c>
      <c r="BH210" s="43" t="s">
        <v>259</v>
      </c>
      <c r="BI210" s="43" t="s">
        <v>259</v>
      </c>
      <c r="BJ210">
        <v>0</v>
      </c>
      <c r="BK210">
        <v>44109</v>
      </c>
      <c r="BL210">
        <v>44356</v>
      </c>
      <c r="BM210">
        <v>8505</v>
      </c>
      <c r="BN210">
        <v>8505</v>
      </c>
      <c r="BO210">
        <v>8505</v>
      </c>
      <c r="BP210">
        <v>25515</v>
      </c>
      <c r="BQ210">
        <v>3300</v>
      </c>
      <c r="BR210">
        <v>400</v>
      </c>
      <c r="BS210">
        <v>400</v>
      </c>
      <c r="BT210">
        <v>4100</v>
      </c>
      <c r="BU210">
        <v>2100</v>
      </c>
      <c r="BV210">
        <v>2100</v>
      </c>
      <c r="BW210">
        <v>2100</v>
      </c>
      <c r="BX210">
        <v>6300</v>
      </c>
      <c r="BY210">
        <v>1200</v>
      </c>
      <c r="BZ210">
        <v>1200</v>
      </c>
      <c r="CA210">
        <v>1200</v>
      </c>
      <c r="CB210">
        <v>3600</v>
      </c>
      <c r="CF210">
        <v>0</v>
      </c>
      <c r="CG210">
        <v>39515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N210">
        <v>0</v>
      </c>
      <c r="DO210">
        <v>0</v>
      </c>
      <c r="DP210">
        <v>0</v>
      </c>
      <c r="DR210">
        <v>0</v>
      </c>
      <c r="DS210">
        <v>0</v>
      </c>
      <c r="DT210">
        <v>0</v>
      </c>
      <c r="DY210">
        <v>0</v>
      </c>
      <c r="EC210">
        <v>0</v>
      </c>
      <c r="ED210">
        <v>0</v>
      </c>
      <c r="EH210">
        <v>0</v>
      </c>
      <c r="EI210">
        <v>0</v>
      </c>
      <c r="EJ210">
        <v>0</v>
      </c>
      <c r="EK210">
        <v>0</v>
      </c>
      <c r="EM210">
        <v>0</v>
      </c>
      <c r="EN210">
        <v>660</v>
      </c>
      <c r="EO210">
        <v>660</v>
      </c>
      <c r="EP210">
        <v>659</v>
      </c>
      <c r="EQ210">
        <v>2000</v>
      </c>
      <c r="ER210">
        <v>21.24</v>
      </c>
      <c r="ES210">
        <v>0</v>
      </c>
      <c r="ET210">
        <v>0</v>
      </c>
      <c r="EU210">
        <v>0</v>
      </c>
      <c r="EW210">
        <v>0</v>
      </c>
      <c r="FA210">
        <v>0</v>
      </c>
      <c r="FE210">
        <v>0</v>
      </c>
      <c r="FI210">
        <v>0</v>
      </c>
      <c r="FJ210">
        <v>1978.76</v>
      </c>
      <c r="FK210">
        <v>39515</v>
      </c>
      <c r="FL210">
        <v>39201.520594870075</v>
      </c>
      <c r="FM210">
        <v>37536.239999999998</v>
      </c>
    </row>
    <row r="211" spans="1:169" x14ac:dyDescent="0.35">
      <c r="A211">
        <v>197800</v>
      </c>
      <c r="B211" t="s">
        <v>1589</v>
      </c>
      <c r="C211" t="s">
        <v>1608</v>
      </c>
      <c r="D211" t="s">
        <v>1609</v>
      </c>
      <c r="E211" s="43" t="s">
        <v>1610</v>
      </c>
      <c r="L211" s="43" t="s">
        <v>259</v>
      </c>
      <c r="M211" t="s">
        <v>1611</v>
      </c>
      <c r="N211" t="s">
        <v>1612</v>
      </c>
      <c r="O211" t="s">
        <v>1099</v>
      </c>
      <c r="P211" t="s">
        <v>297</v>
      </c>
      <c r="Q211" t="s">
        <v>1613</v>
      </c>
      <c r="R211">
        <v>3.72</v>
      </c>
      <c r="S211">
        <v>44109</v>
      </c>
      <c r="T211" t="s">
        <v>311</v>
      </c>
      <c r="U211" t="s">
        <v>286</v>
      </c>
      <c r="V211" t="s">
        <v>267</v>
      </c>
      <c r="W211" t="s">
        <v>268</v>
      </c>
      <c r="X211" t="s">
        <v>269</v>
      </c>
      <c r="Y211">
        <v>8883022894</v>
      </c>
      <c r="Z211" t="s">
        <v>270</v>
      </c>
      <c r="AA211" t="s">
        <v>271</v>
      </c>
      <c r="AB211">
        <v>0</v>
      </c>
      <c r="AC211" t="s">
        <v>761</v>
      </c>
      <c r="AD211" t="s">
        <v>288</v>
      </c>
      <c r="AE211" t="s">
        <v>289</v>
      </c>
      <c r="AF211">
        <v>2</v>
      </c>
      <c r="AG211" t="s">
        <v>275</v>
      </c>
      <c r="AH211" s="43" t="s">
        <v>259</v>
      </c>
      <c r="AI211" s="43" t="s">
        <v>259</v>
      </c>
      <c r="AJ211" s="43" t="s">
        <v>259</v>
      </c>
      <c r="AK211" s="43" t="s">
        <v>259</v>
      </c>
      <c r="AL211" s="43" t="s">
        <v>259</v>
      </c>
      <c r="AO211" s="23"/>
      <c r="AP211" s="23"/>
      <c r="AQ211" s="23"/>
      <c r="BD211" s="43" t="s">
        <v>259</v>
      </c>
      <c r="BE211" s="43" t="s">
        <v>259</v>
      </c>
      <c r="BF211" s="43" t="s">
        <v>259</v>
      </c>
      <c r="BG211" s="43" t="s">
        <v>259</v>
      </c>
      <c r="BH211" s="43" t="s">
        <v>259</v>
      </c>
      <c r="BI211" s="43" t="s">
        <v>259</v>
      </c>
      <c r="BJ211">
        <v>0</v>
      </c>
      <c r="BK211">
        <v>44109</v>
      </c>
      <c r="BL211">
        <v>44356</v>
      </c>
      <c r="BM211">
        <v>8505</v>
      </c>
      <c r="BN211">
        <v>8505</v>
      </c>
      <c r="BO211">
        <v>8505</v>
      </c>
      <c r="BP211">
        <v>25515</v>
      </c>
      <c r="BQ211">
        <v>3300</v>
      </c>
      <c r="BR211">
        <v>400</v>
      </c>
      <c r="BS211">
        <v>400</v>
      </c>
      <c r="BT211">
        <v>4100</v>
      </c>
      <c r="BU211">
        <v>2100</v>
      </c>
      <c r="BV211">
        <v>2100</v>
      </c>
      <c r="BW211">
        <v>2100</v>
      </c>
      <c r="BX211">
        <v>6300</v>
      </c>
      <c r="BY211">
        <v>1200</v>
      </c>
      <c r="BZ211">
        <v>1200</v>
      </c>
      <c r="CA211">
        <v>1200</v>
      </c>
      <c r="CB211">
        <v>3600</v>
      </c>
      <c r="CC211">
        <v>0</v>
      </c>
      <c r="CD211">
        <v>0</v>
      </c>
      <c r="CE211">
        <v>0</v>
      </c>
      <c r="CF211">
        <v>0</v>
      </c>
      <c r="CG211">
        <v>39515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1500</v>
      </c>
      <c r="CU211">
        <v>1500</v>
      </c>
      <c r="CV211">
        <v>1500</v>
      </c>
      <c r="CW211">
        <v>4500</v>
      </c>
      <c r="CX211">
        <v>0</v>
      </c>
      <c r="CY211">
        <v>0</v>
      </c>
      <c r="CZ211">
        <v>0</v>
      </c>
      <c r="DA211">
        <v>0</v>
      </c>
      <c r="DB211">
        <v>1000</v>
      </c>
      <c r="DC211">
        <v>1000</v>
      </c>
      <c r="DD211">
        <v>1000</v>
      </c>
      <c r="DE211">
        <v>3000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7500</v>
      </c>
      <c r="EE211">
        <v>0</v>
      </c>
      <c r="EF211">
        <v>0</v>
      </c>
      <c r="EG211">
        <v>0</v>
      </c>
      <c r="EH211">
        <v>0</v>
      </c>
      <c r="EI211">
        <v>1154</v>
      </c>
      <c r="EJ211">
        <v>1154</v>
      </c>
      <c r="EK211">
        <v>1155</v>
      </c>
      <c r="EL211">
        <v>3500</v>
      </c>
      <c r="EM211">
        <v>37.065000000000005</v>
      </c>
      <c r="EN211">
        <v>660</v>
      </c>
      <c r="EO211">
        <v>660</v>
      </c>
      <c r="EP211">
        <v>659</v>
      </c>
      <c r="EQ211">
        <v>2000</v>
      </c>
      <c r="ER211">
        <v>21.18</v>
      </c>
      <c r="ES211">
        <v>0</v>
      </c>
      <c r="ET211">
        <v>0</v>
      </c>
      <c r="EU211">
        <v>0</v>
      </c>
      <c r="EV211">
        <v>0</v>
      </c>
      <c r="EW211">
        <v>0</v>
      </c>
      <c r="FA211">
        <v>0</v>
      </c>
      <c r="FE211">
        <v>0</v>
      </c>
      <c r="FI211">
        <v>0</v>
      </c>
      <c r="FJ211">
        <v>5441.7550000000001</v>
      </c>
      <c r="FK211">
        <v>32015</v>
      </c>
      <c r="FL211">
        <v>27748.679044317276</v>
      </c>
      <c r="FM211">
        <v>26573.244999999999</v>
      </c>
    </row>
    <row r="212" spans="1:169" x14ac:dyDescent="0.35">
      <c r="A212">
        <v>196275</v>
      </c>
      <c r="B212" t="s">
        <v>1589</v>
      </c>
      <c r="C212" t="s">
        <v>1614</v>
      </c>
      <c r="D212" t="s">
        <v>1615</v>
      </c>
      <c r="E212" s="43" t="s">
        <v>1616</v>
      </c>
      <c r="L212" s="43" t="s">
        <v>259</v>
      </c>
      <c r="M212" t="s">
        <v>1617</v>
      </c>
      <c r="N212" t="s">
        <v>1618</v>
      </c>
      <c r="O212" t="s">
        <v>1619</v>
      </c>
      <c r="P212" t="s">
        <v>553</v>
      </c>
      <c r="Q212" t="s">
        <v>1620</v>
      </c>
      <c r="R212">
        <v>2.875</v>
      </c>
      <c r="S212">
        <v>44109</v>
      </c>
      <c r="T212" t="s">
        <v>311</v>
      </c>
      <c r="U212" t="s">
        <v>266</v>
      </c>
      <c r="V212" t="s">
        <v>267</v>
      </c>
      <c r="W212" t="s">
        <v>268</v>
      </c>
      <c r="X212" t="s">
        <v>269</v>
      </c>
      <c r="Y212">
        <v>8883022894</v>
      </c>
      <c r="Z212" t="s">
        <v>270</v>
      </c>
      <c r="AA212" t="s">
        <v>271</v>
      </c>
      <c r="AB212" t="s">
        <v>1621</v>
      </c>
      <c r="AC212">
        <v>0</v>
      </c>
      <c r="AD212" t="s">
        <v>1372</v>
      </c>
      <c r="AE212" t="s">
        <v>344</v>
      </c>
      <c r="AF212">
        <v>10</v>
      </c>
      <c r="AG212" t="s">
        <v>275</v>
      </c>
      <c r="AH212" s="43" t="s">
        <v>259</v>
      </c>
      <c r="AI212" s="43" t="s">
        <v>259</v>
      </c>
      <c r="AJ212" s="43" t="s">
        <v>259</v>
      </c>
      <c r="AK212" s="43" t="s">
        <v>259</v>
      </c>
      <c r="AL212" s="43" t="s">
        <v>259</v>
      </c>
      <c r="AO212" s="23"/>
      <c r="AP212" s="23"/>
      <c r="AQ212" s="23"/>
      <c r="BD212" s="43" t="s">
        <v>259</v>
      </c>
      <c r="BE212" s="43" t="s">
        <v>259</v>
      </c>
      <c r="BF212" s="43" t="s">
        <v>259</v>
      </c>
      <c r="BG212" s="43" t="s">
        <v>259</v>
      </c>
      <c r="BH212" s="43" t="s">
        <v>259</v>
      </c>
      <c r="BI212" s="43" t="s">
        <v>259</v>
      </c>
      <c r="BJ212">
        <v>0</v>
      </c>
      <c r="BK212">
        <v>44109</v>
      </c>
      <c r="BL212">
        <v>44356</v>
      </c>
      <c r="BM212">
        <v>8505</v>
      </c>
      <c r="BN212">
        <v>8505</v>
      </c>
      <c r="BO212">
        <v>8505</v>
      </c>
      <c r="BP212">
        <v>25515</v>
      </c>
      <c r="BQ212">
        <v>3300</v>
      </c>
      <c r="BR212">
        <v>400</v>
      </c>
      <c r="BS212">
        <v>400</v>
      </c>
      <c r="BT212">
        <v>4100</v>
      </c>
      <c r="BU212">
        <v>2100</v>
      </c>
      <c r="BV212">
        <v>2100</v>
      </c>
      <c r="BW212">
        <v>2100</v>
      </c>
      <c r="BX212">
        <v>6300</v>
      </c>
      <c r="BY212">
        <v>1200</v>
      </c>
      <c r="BZ212">
        <v>1200</v>
      </c>
      <c r="CA212">
        <v>1200</v>
      </c>
      <c r="CB212">
        <v>3600</v>
      </c>
      <c r="CC212">
        <v>0</v>
      </c>
      <c r="CD212">
        <v>0</v>
      </c>
      <c r="CE212">
        <v>0</v>
      </c>
      <c r="CF212">
        <v>0</v>
      </c>
      <c r="CG212">
        <v>39515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1154</v>
      </c>
      <c r="EJ212">
        <v>1154</v>
      </c>
      <c r="EK212">
        <v>1155</v>
      </c>
      <c r="EL212">
        <v>3500</v>
      </c>
      <c r="EM212">
        <v>37.065000000000005</v>
      </c>
      <c r="EN212">
        <v>660</v>
      </c>
      <c r="EO212">
        <v>660</v>
      </c>
      <c r="EP212">
        <v>659</v>
      </c>
      <c r="EQ212">
        <v>2000</v>
      </c>
      <c r="ER212">
        <v>21.18</v>
      </c>
      <c r="ES212">
        <v>0</v>
      </c>
      <c r="ET212">
        <v>0</v>
      </c>
      <c r="EU212">
        <v>0</v>
      </c>
      <c r="EV212">
        <v>0</v>
      </c>
      <c r="EW212">
        <v>0</v>
      </c>
      <c r="FA212">
        <v>0</v>
      </c>
      <c r="FE212">
        <v>0</v>
      </c>
      <c r="FI212">
        <v>0</v>
      </c>
      <c r="FJ212">
        <v>5441.7550000000001</v>
      </c>
      <c r="FK212">
        <v>39515</v>
      </c>
      <c r="FL212">
        <v>35580.43210392214</v>
      </c>
      <c r="FM212">
        <v>34073.245000000003</v>
      </c>
    </row>
    <row r="213" spans="1:169" x14ac:dyDescent="0.35">
      <c r="A213">
        <v>195666</v>
      </c>
      <c r="B213" t="s">
        <v>1622</v>
      </c>
      <c r="C213" t="s">
        <v>1623</v>
      </c>
      <c r="D213" t="s">
        <v>1624</v>
      </c>
      <c r="E213" s="43" t="s">
        <v>1625</v>
      </c>
      <c r="F213">
        <v>1</v>
      </c>
      <c r="I213" s="23">
        <v>43795</v>
      </c>
      <c r="L213" s="43" t="s">
        <v>3204</v>
      </c>
      <c r="M213" t="s">
        <v>1626</v>
      </c>
      <c r="N213" t="s">
        <v>1627</v>
      </c>
      <c r="O213" t="s">
        <v>1628</v>
      </c>
      <c r="P213" t="s">
        <v>372</v>
      </c>
      <c r="Q213" t="s">
        <v>1629</v>
      </c>
      <c r="R213">
        <v>3.2</v>
      </c>
      <c r="S213">
        <v>44109</v>
      </c>
      <c r="T213" t="s">
        <v>285</v>
      </c>
      <c r="U213" t="s">
        <v>266</v>
      </c>
      <c r="V213" t="s">
        <v>267</v>
      </c>
      <c r="W213" t="s">
        <v>268</v>
      </c>
      <c r="X213" t="s">
        <v>269</v>
      </c>
      <c r="Y213">
        <v>8883022894</v>
      </c>
      <c r="Z213" t="s">
        <v>270</v>
      </c>
      <c r="AA213" t="s">
        <v>271</v>
      </c>
      <c r="AB213" t="s">
        <v>969</v>
      </c>
      <c r="AC213">
        <v>0</v>
      </c>
      <c r="AD213" t="s">
        <v>415</v>
      </c>
      <c r="AE213" t="s">
        <v>364</v>
      </c>
      <c r="AF213">
        <v>3</v>
      </c>
      <c r="AG213" t="s">
        <v>275</v>
      </c>
      <c r="AH213" s="43" t="s">
        <v>3274</v>
      </c>
      <c r="AI213" s="43" t="s">
        <v>3275</v>
      </c>
      <c r="AJ213" s="43" t="s">
        <v>3207</v>
      </c>
      <c r="AK213" s="43" t="s">
        <v>3208</v>
      </c>
      <c r="AL213" s="43" t="s">
        <v>3209</v>
      </c>
      <c r="AO213" s="23"/>
      <c r="AP213" s="23"/>
      <c r="AQ213" s="23"/>
      <c r="BD213" s="43" t="s">
        <v>2018</v>
      </c>
      <c r="BE213" s="43" t="s">
        <v>2018</v>
      </c>
      <c r="BF213" s="43" t="s">
        <v>2018</v>
      </c>
      <c r="BG213" s="43" t="s">
        <v>2018</v>
      </c>
      <c r="BH213" s="43" t="s">
        <v>2018</v>
      </c>
      <c r="BI213" s="43" t="s">
        <v>2018</v>
      </c>
      <c r="BJ213">
        <v>0</v>
      </c>
      <c r="BK213">
        <v>44109</v>
      </c>
      <c r="BL213">
        <v>44356</v>
      </c>
      <c r="BM213">
        <v>8505</v>
      </c>
      <c r="BN213">
        <v>8505</v>
      </c>
      <c r="BO213">
        <v>8505</v>
      </c>
      <c r="BP213">
        <v>25515</v>
      </c>
      <c r="BQ213">
        <v>3300</v>
      </c>
      <c r="BR213">
        <v>400</v>
      </c>
      <c r="BS213">
        <v>400</v>
      </c>
      <c r="BT213">
        <v>4100</v>
      </c>
      <c r="BU213">
        <v>2100</v>
      </c>
      <c r="BV213">
        <v>2100</v>
      </c>
      <c r="BW213">
        <v>2100</v>
      </c>
      <c r="BX213">
        <v>6300</v>
      </c>
      <c r="BY213">
        <v>1200</v>
      </c>
      <c r="BZ213">
        <v>1200</v>
      </c>
      <c r="CA213">
        <v>1200</v>
      </c>
      <c r="CB213">
        <v>3600</v>
      </c>
      <c r="CC213">
        <v>0</v>
      </c>
      <c r="CD213">
        <v>0</v>
      </c>
      <c r="CE213">
        <v>0</v>
      </c>
      <c r="CF213">
        <v>0</v>
      </c>
      <c r="CG213">
        <v>39515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1300</v>
      </c>
      <c r="CU213">
        <v>1300</v>
      </c>
      <c r="CV213">
        <v>1300</v>
      </c>
      <c r="CW213">
        <v>3900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3900</v>
      </c>
      <c r="EE213">
        <v>0</v>
      </c>
      <c r="EF213">
        <v>0</v>
      </c>
      <c r="EG213">
        <v>0</v>
      </c>
      <c r="EH213">
        <v>0</v>
      </c>
      <c r="EI213">
        <v>1154</v>
      </c>
      <c r="EJ213">
        <v>1154</v>
      </c>
      <c r="EK213">
        <v>1155</v>
      </c>
      <c r="EL213">
        <v>3500</v>
      </c>
      <c r="EM213">
        <v>37.065000000000005</v>
      </c>
      <c r="EN213">
        <v>660</v>
      </c>
      <c r="EO213">
        <v>660</v>
      </c>
      <c r="EP213">
        <v>659</v>
      </c>
      <c r="EQ213">
        <v>2000</v>
      </c>
      <c r="ER213">
        <v>21.18</v>
      </c>
      <c r="ES213">
        <v>0</v>
      </c>
      <c r="ET213">
        <v>0</v>
      </c>
      <c r="EU213">
        <v>0</v>
      </c>
      <c r="EV213">
        <v>0</v>
      </c>
      <c r="EW213">
        <v>0</v>
      </c>
      <c r="FA213">
        <v>0</v>
      </c>
      <c r="FE213">
        <v>0</v>
      </c>
      <c r="FI213">
        <v>0</v>
      </c>
      <c r="FJ213">
        <v>5441.7550000000001</v>
      </c>
      <c r="FK213">
        <v>35615</v>
      </c>
      <c r="FL213">
        <v>31507.920512927612</v>
      </c>
      <c r="FM213">
        <v>30173.244999999999</v>
      </c>
    </row>
    <row r="214" spans="1:169" x14ac:dyDescent="0.35">
      <c r="A214">
        <v>194321</v>
      </c>
      <c r="B214" t="s">
        <v>1630</v>
      </c>
      <c r="C214" t="s">
        <v>1631</v>
      </c>
      <c r="D214" t="s">
        <v>1632</v>
      </c>
      <c r="E214" s="43" t="s">
        <v>1633</v>
      </c>
      <c r="F214">
        <v>1</v>
      </c>
      <c r="I214" s="23">
        <v>43801</v>
      </c>
      <c r="L214" s="43" t="s">
        <v>344</v>
      </c>
      <c r="M214" t="s">
        <v>1634</v>
      </c>
      <c r="N214" t="s">
        <v>1635</v>
      </c>
      <c r="O214" t="s">
        <v>536</v>
      </c>
      <c r="P214" t="s">
        <v>542</v>
      </c>
      <c r="Q214" t="s">
        <v>1636</v>
      </c>
      <c r="R214">
        <v>3.9590000000000001</v>
      </c>
      <c r="S214">
        <v>44109</v>
      </c>
      <c r="T214" t="s">
        <v>544</v>
      </c>
      <c r="U214" t="s">
        <v>286</v>
      </c>
      <c r="V214" t="s">
        <v>267</v>
      </c>
      <c r="W214" t="s">
        <v>268</v>
      </c>
      <c r="X214" t="s">
        <v>269</v>
      </c>
      <c r="Y214">
        <v>8883022894</v>
      </c>
      <c r="Z214" t="s">
        <v>270</v>
      </c>
      <c r="AA214" t="s">
        <v>271</v>
      </c>
      <c r="AB214" t="s">
        <v>444</v>
      </c>
      <c r="AC214">
        <v>0</v>
      </c>
      <c r="AD214" t="s">
        <v>387</v>
      </c>
      <c r="AE214" t="s">
        <v>301</v>
      </c>
      <c r="AF214">
        <v>1</v>
      </c>
      <c r="AG214" t="s">
        <v>275</v>
      </c>
      <c r="AH214" s="43" t="s">
        <v>313</v>
      </c>
      <c r="AI214" s="43" t="s">
        <v>313</v>
      </c>
      <c r="AJ214" s="43" t="s">
        <v>3309</v>
      </c>
      <c r="AK214" s="43" t="s">
        <v>3208</v>
      </c>
      <c r="AL214" s="43" t="s">
        <v>3209</v>
      </c>
      <c r="AO214" s="23"/>
      <c r="AP214" s="23"/>
      <c r="AQ214" s="23"/>
      <c r="BD214" s="43" t="s">
        <v>2018</v>
      </c>
      <c r="BE214" s="43" t="s">
        <v>2018</v>
      </c>
      <c r="BF214" s="43" t="s">
        <v>2018</v>
      </c>
      <c r="BG214" s="43" t="s">
        <v>2018</v>
      </c>
      <c r="BH214" s="43" t="s">
        <v>2018</v>
      </c>
      <c r="BI214" s="43" t="s">
        <v>2018</v>
      </c>
      <c r="BJ214">
        <v>0</v>
      </c>
      <c r="BK214">
        <v>44109</v>
      </c>
      <c r="BL214">
        <v>44356</v>
      </c>
      <c r="BM214">
        <v>8505</v>
      </c>
      <c r="BN214">
        <v>8505</v>
      </c>
      <c r="BO214">
        <v>8505</v>
      </c>
      <c r="BP214">
        <v>25515</v>
      </c>
      <c r="BQ214">
        <v>3300</v>
      </c>
      <c r="BR214">
        <v>400</v>
      </c>
      <c r="BS214">
        <v>400</v>
      </c>
      <c r="BT214">
        <v>4100</v>
      </c>
      <c r="BU214">
        <v>2100</v>
      </c>
      <c r="BV214">
        <v>2100</v>
      </c>
      <c r="BW214">
        <v>2100</v>
      </c>
      <c r="BX214">
        <v>6300</v>
      </c>
      <c r="BY214">
        <v>1200</v>
      </c>
      <c r="BZ214">
        <v>1200</v>
      </c>
      <c r="CA214">
        <v>1200</v>
      </c>
      <c r="CB214">
        <v>3600</v>
      </c>
      <c r="CC214">
        <v>0</v>
      </c>
      <c r="CD214">
        <v>0</v>
      </c>
      <c r="CE214">
        <v>0</v>
      </c>
      <c r="CF214">
        <v>0</v>
      </c>
      <c r="CG214">
        <v>39515</v>
      </c>
      <c r="CH214">
        <v>0</v>
      </c>
      <c r="CI214">
        <v>0</v>
      </c>
      <c r="CJ214">
        <v>0</v>
      </c>
      <c r="CK214">
        <v>0</v>
      </c>
      <c r="CL214">
        <v>2065</v>
      </c>
      <c r="CM214">
        <v>2065</v>
      </c>
      <c r="CN214">
        <v>2065</v>
      </c>
      <c r="CO214">
        <v>6195</v>
      </c>
      <c r="CP214">
        <v>500</v>
      </c>
      <c r="CQ214">
        <v>500</v>
      </c>
      <c r="CR214">
        <v>500</v>
      </c>
      <c r="CS214">
        <v>1500</v>
      </c>
      <c r="CT214">
        <v>1700</v>
      </c>
      <c r="CU214">
        <v>1700</v>
      </c>
      <c r="CV214">
        <v>1700</v>
      </c>
      <c r="CW214">
        <v>5100</v>
      </c>
      <c r="CX214">
        <v>3000</v>
      </c>
      <c r="CY214">
        <v>3000</v>
      </c>
      <c r="CZ214">
        <v>3000</v>
      </c>
      <c r="DA214">
        <v>9000</v>
      </c>
      <c r="DB214">
        <v>1000</v>
      </c>
      <c r="DC214">
        <v>1000</v>
      </c>
      <c r="DD214">
        <v>1000</v>
      </c>
      <c r="DE214">
        <v>3000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24795</v>
      </c>
      <c r="EE214">
        <v>0</v>
      </c>
      <c r="EF214">
        <v>0</v>
      </c>
      <c r="EG214">
        <v>0</v>
      </c>
      <c r="EH214">
        <v>0</v>
      </c>
      <c r="EI214">
        <v>1154</v>
      </c>
      <c r="EJ214">
        <v>1154</v>
      </c>
      <c r="EK214">
        <v>1155</v>
      </c>
      <c r="EL214">
        <v>3500</v>
      </c>
      <c r="EM214">
        <v>37.065000000000005</v>
      </c>
      <c r="EN214">
        <v>660</v>
      </c>
      <c r="EO214">
        <v>660</v>
      </c>
      <c r="EP214">
        <v>659</v>
      </c>
      <c r="EQ214">
        <v>2000</v>
      </c>
      <c r="ER214">
        <v>21.18</v>
      </c>
      <c r="ES214">
        <v>0</v>
      </c>
      <c r="ET214">
        <v>0</v>
      </c>
      <c r="EU214">
        <v>0</v>
      </c>
      <c r="EV214">
        <v>0</v>
      </c>
      <c r="EW214">
        <v>0</v>
      </c>
      <c r="FA214">
        <v>0</v>
      </c>
      <c r="FE214">
        <v>0</v>
      </c>
      <c r="FI214">
        <v>0</v>
      </c>
      <c r="FJ214">
        <v>5441.7550000000001</v>
      </c>
      <c r="FK214">
        <v>14720</v>
      </c>
      <c r="FL214">
        <v>9688.6564888684679</v>
      </c>
      <c r="FM214">
        <v>9278.2450000000008</v>
      </c>
    </row>
    <row r="215" spans="1:169" x14ac:dyDescent="0.35">
      <c r="A215">
        <v>198391</v>
      </c>
      <c r="B215" t="s">
        <v>1637</v>
      </c>
      <c r="C215" t="s">
        <v>1638</v>
      </c>
      <c r="D215" t="s">
        <v>1639</v>
      </c>
      <c r="E215" s="43" t="s">
        <v>1640</v>
      </c>
      <c r="L215" s="43" t="s">
        <v>3204</v>
      </c>
      <c r="M215" t="s">
        <v>1641</v>
      </c>
      <c r="N215" t="s">
        <v>1642</v>
      </c>
      <c r="O215" t="s">
        <v>1643</v>
      </c>
      <c r="P215" t="s">
        <v>596</v>
      </c>
      <c r="Q215" t="s">
        <v>1644</v>
      </c>
      <c r="R215">
        <v>2.9615</v>
      </c>
      <c r="S215">
        <v>44109</v>
      </c>
      <c r="T215" t="s">
        <v>311</v>
      </c>
      <c r="U215" t="s">
        <v>266</v>
      </c>
      <c r="V215" t="s">
        <v>267</v>
      </c>
      <c r="W215" t="s">
        <v>268</v>
      </c>
      <c r="X215" t="s">
        <v>269</v>
      </c>
      <c r="Y215">
        <v>8883022894</v>
      </c>
      <c r="Z215" t="s">
        <v>270</v>
      </c>
      <c r="AA215" t="s">
        <v>271</v>
      </c>
      <c r="AB215">
        <v>0</v>
      </c>
      <c r="AC215">
        <v>0</v>
      </c>
      <c r="AD215" t="s">
        <v>313</v>
      </c>
      <c r="AE215" t="s">
        <v>274</v>
      </c>
      <c r="AF215">
        <v>9</v>
      </c>
      <c r="AG215" t="s">
        <v>275</v>
      </c>
      <c r="AH215" s="43" t="s">
        <v>3226</v>
      </c>
      <c r="AI215" s="43" t="s">
        <v>313</v>
      </c>
      <c r="AJ215" s="43" t="s">
        <v>3590</v>
      </c>
      <c r="AK215" s="43" t="s">
        <v>3208</v>
      </c>
      <c r="AL215" s="43" t="s">
        <v>3209</v>
      </c>
      <c r="AO215" s="23"/>
      <c r="AP215" s="23"/>
      <c r="AQ215" s="23"/>
      <c r="BD215" s="43" t="s">
        <v>2018</v>
      </c>
      <c r="BE215" s="43" t="s">
        <v>2018</v>
      </c>
      <c r="BF215" s="43" t="s">
        <v>2018</v>
      </c>
      <c r="BG215" s="43" t="s">
        <v>2018</v>
      </c>
      <c r="BH215" s="43" t="s">
        <v>2018</v>
      </c>
      <c r="BI215" s="43" t="s">
        <v>2018</v>
      </c>
      <c r="BJ215">
        <v>0</v>
      </c>
      <c r="BK215">
        <v>44109</v>
      </c>
      <c r="BL215">
        <v>44356</v>
      </c>
      <c r="BM215">
        <v>8505</v>
      </c>
      <c r="BN215">
        <v>8505</v>
      </c>
      <c r="BO215">
        <v>8505</v>
      </c>
      <c r="BP215">
        <v>25515</v>
      </c>
      <c r="BQ215">
        <v>3300</v>
      </c>
      <c r="BR215">
        <v>400</v>
      </c>
      <c r="BS215">
        <v>400</v>
      </c>
      <c r="BT215">
        <v>4100</v>
      </c>
      <c r="BU215">
        <v>2100</v>
      </c>
      <c r="BV215">
        <v>2100</v>
      </c>
      <c r="BW215">
        <v>2100</v>
      </c>
      <c r="BX215">
        <v>6300</v>
      </c>
      <c r="BY215">
        <v>1200</v>
      </c>
      <c r="BZ215">
        <v>1200</v>
      </c>
      <c r="CA215">
        <v>1200</v>
      </c>
      <c r="CB215">
        <v>3600</v>
      </c>
      <c r="CC215">
        <v>0</v>
      </c>
      <c r="CD215">
        <v>0</v>
      </c>
      <c r="CE215">
        <v>0</v>
      </c>
      <c r="CF215">
        <v>0</v>
      </c>
      <c r="CG215">
        <v>39515</v>
      </c>
      <c r="CH215">
        <v>0</v>
      </c>
      <c r="CI215">
        <v>0</v>
      </c>
      <c r="CJ215">
        <v>0</v>
      </c>
      <c r="CK215">
        <v>0</v>
      </c>
      <c r="CL215">
        <v>2065</v>
      </c>
      <c r="CM215">
        <v>2065</v>
      </c>
      <c r="CN215">
        <v>2065</v>
      </c>
      <c r="CO215">
        <v>6195</v>
      </c>
      <c r="CP215">
        <v>500</v>
      </c>
      <c r="CQ215">
        <v>500</v>
      </c>
      <c r="CR215">
        <v>500</v>
      </c>
      <c r="CS215">
        <v>1500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7695</v>
      </c>
      <c r="EE215">
        <v>0</v>
      </c>
      <c r="EF215">
        <v>0</v>
      </c>
      <c r="EG215">
        <v>0</v>
      </c>
      <c r="EH215">
        <v>0</v>
      </c>
      <c r="EI215">
        <v>1154</v>
      </c>
      <c r="EJ215">
        <v>1154</v>
      </c>
      <c r="EK215">
        <v>1155</v>
      </c>
      <c r="EL215">
        <v>3500</v>
      </c>
      <c r="EM215">
        <v>37.065000000000005</v>
      </c>
      <c r="EN215">
        <v>660</v>
      </c>
      <c r="EO215">
        <v>660</v>
      </c>
      <c r="EP215">
        <v>659</v>
      </c>
      <c r="EQ215">
        <v>2000</v>
      </c>
      <c r="ER215">
        <v>21.18</v>
      </c>
      <c r="ES215">
        <v>0</v>
      </c>
      <c r="ET215">
        <v>0</v>
      </c>
      <c r="EU215">
        <v>0</v>
      </c>
      <c r="EV215">
        <v>0</v>
      </c>
      <c r="EW215">
        <v>0</v>
      </c>
      <c r="FA215">
        <v>0</v>
      </c>
      <c r="FE215">
        <v>0</v>
      </c>
      <c r="FI215">
        <v>0</v>
      </c>
      <c r="FJ215">
        <v>5441.7550000000001</v>
      </c>
      <c r="FK215">
        <v>31820</v>
      </c>
      <c r="FL215">
        <v>27545.053464767552</v>
      </c>
      <c r="FM215">
        <v>26378.244999999999</v>
      </c>
    </row>
    <row r="216" spans="1:169" x14ac:dyDescent="0.35">
      <c r="A216">
        <v>196148</v>
      </c>
      <c r="B216" t="s">
        <v>1645</v>
      </c>
      <c r="C216" t="s">
        <v>1157</v>
      </c>
      <c r="D216" t="s">
        <v>1646</v>
      </c>
      <c r="E216" s="43" t="s">
        <v>3302</v>
      </c>
      <c r="L216" s="43" t="s">
        <v>3204</v>
      </c>
      <c r="M216" t="s">
        <v>1647</v>
      </c>
      <c r="N216" t="s">
        <v>1648</v>
      </c>
      <c r="O216" t="s">
        <v>1649</v>
      </c>
      <c r="P216" t="s">
        <v>1650</v>
      </c>
      <c r="Q216" t="s">
        <v>1651</v>
      </c>
      <c r="R216">
        <v>3.08</v>
      </c>
      <c r="S216">
        <v>44109</v>
      </c>
      <c r="T216" t="s">
        <v>311</v>
      </c>
      <c r="U216" t="s">
        <v>286</v>
      </c>
      <c r="V216" t="s">
        <v>267</v>
      </c>
      <c r="W216" t="s">
        <v>268</v>
      </c>
      <c r="X216" t="s">
        <v>269</v>
      </c>
      <c r="Y216">
        <v>8883022894</v>
      </c>
      <c r="Z216" t="s">
        <v>270</v>
      </c>
      <c r="AA216" t="s">
        <v>271</v>
      </c>
      <c r="AB216">
        <v>0</v>
      </c>
      <c r="AC216" t="s">
        <v>1486</v>
      </c>
      <c r="AD216" t="s">
        <v>300</v>
      </c>
      <c r="AE216" t="s">
        <v>301</v>
      </c>
      <c r="AF216">
        <v>1</v>
      </c>
      <c r="AG216" t="s">
        <v>446</v>
      </c>
      <c r="AH216" s="43" t="s">
        <v>3330</v>
      </c>
      <c r="AI216" s="43" t="s">
        <v>3331</v>
      </c>
      <c r="AJ216" s="43" t="s">
        <v>3207</v>
      </c>
      <c r="AK216" s="43" t="s">
        <v>1715</v>
      </c>
      <c r="AL216" s="43" t="s">
        <v>259</v>
      </c>
      <c r="AO216" s="23"/>
      <c r="AP216" s="23"/>
      <c r="AQ216" s="23"/>
      <c r="BD216" s="43" t="s">
        <v>259</v>
      </c>
      <c r="BE216" s="43" t="s">
        <v>259</v>
      </c>
      <c r="BF216" s="43" t="s">
        <v>259</v>
      </c>
      <c r="BG216" s="43" t="s">
        <v>259</v>
      </c>
      <c r="BH216" s="43" t="s">
        <v>259</v>
      </c>
      <c r="BI216" s="43" t="s">
        <v>259</v>
      </c>
      <c r="BJ216">
        <v>0</v>
      </c>
      <c r="BK216">
        <v>44109</v>
      </c>
      <c r="BL216">
        <v>44356</v>
      </c>
      <c r="BM216">
        <v>8505</v>
      </c>
      <c r="BN216">
        <v>8505</v>
      </c>
      <c r="BO216">
        <v>8505</v>
      </c>
      <c r="BP216">
        <v>25515</v>
      </c>
      <c r="BQ216">
        <v>3300</v>
      </c>
      <c r="BR216">
        <v>400</v>
      </c>
      <c r="BS216">
        <v>400</v>
      </c>
      <c r="BT216">
        <v>4100</v>
      </c>
      <c r="BU216">
        <v>2100</v>
      </c>
      <c r="BV216">
        <v>2100</v>
      </c>
      <c r="BW216">
        <v>2100</v>
      </c>
      <c r="BX216">
        <v>6300</v>
      </c>
      <c r="BY216">
        <v>1200</v>
      </c>
      <c r="BZ216">
        <v>1200</v>
      </c>
      <c r="CA216">
        <v>1200</v>
      </c>
      <c r="CB216">
        <v>3600</v>
      </c>
      <c r="CF216">
        <v>0</v>
      </c>
      <c r="CG216">
        <v>39515</v>
      </c>
      <c r="CK216">
        <v>0</v>
      </c>
      <c r="CL216">
        <v>1315</v>
      </c>
      <c r="CM216">
        <v>1315</v>
      </c>
      <c r="CN216">
        <v>1315</v>
      </c>
      <c r="CO216">
        <v>3945</v>
      </c>
      <c r="CP216">
        <v>500</v>
      </c>
      <c r="CQ216">
        <v>500</v>
      </c>
      <c r="CR216">
        <v>500</v>
      </c>
      <c r="CS216">
        <v>1500</v>
      </c>
      <c r="CT216">
        <v>1700</v>
      </c>
      <c r="CU216">
        <v>1700</v>
      </c>
      <c r="CV216">
        <v>1700</v>
      </c>
      <c r="CW216">
        <v>5100</v>
      </c>
      <c r="CX216">
        <v>0</v>
      </c>
      <c r="CY216">
        <v>0</v>
      </c>
      <c r="CZ216">
        <v>0</v>
      </c>
      <c r="DA216">
        <v>0</v>
      </c>
      <c r="DB216">
        <v>1000</v>
      </c>
      <c r="DC216">
        <v>1000</v>
      </c>
      <c r="DD216">
        <v>1000</v>
      </c>
      <c r="DE216">
        <v>3000</v>
      </c>
      <c r="DF216">
        <v>0</v>
      </c>
      <c r="DG216">
        <v>0</v>
      </c>
      <c r="DH216">
        <v>0</v>
      </c>
      <c r="DN216">
        <v>0</v>
      </c>
      <c r="DO216">
        <v>0</v>
      </c>
      <c r="DP216">
        <v>0</v>
      </c>
      <c r="DR216">
        <v>0</v>
      </c>
      <c r="DS216">
        <v>0</v>
      </c>
      <c r="DT216">
        <v>0</v>
      </c>
      <c r="DY216">
        <v>0</v>
      </c>
      <c r="EC216">
        <v>0</v>
      </c>
      <c r="ED216">
        <v>13545</v>
      </c>
      <c r="EH216">
        <v>0</v>
      </c>
      <c r="EI216">
        <v>0</v>
      </c>
      <c r="EJ216">
        <v>0</v>
      </c>
      <c r="EK216">
        <v>0</v>
      </c>
      <c r="EM216">
        <v>0</v>
      </c>
      <c r="EN216">
        <v>660</v>
      </c>
      <c r="EO216">
        <v>660</v>
      </c>
      <c r="EP216">
        <v>659</v>
      </c>
      <c r="EQ216">
        <v>2000</v>
      </c>
      <c r="ER216">
        <v>21.24</v>
      </c>
      <c r="ES216">
        <v>0</v>
      </c>
      <c r="ET216">
        <v>0</v>
      </c>
      <c r="EU216">
        <v>0</v>
      </c>
      <c r="EW216">
        <v>0</v>
      </c>
      <c r="FA216">
        <v>0</v>
      </c>
      <c r="FE216">
        <v>0</v>
      </c>
      <c r="FI216">
        <v>0</v>
      </c>
      <c r="FJ216">
        <v>1978.76</v>
      </c>
      <c r="FK216">
        <v>25970</v>
      </c>
      <c r="FL216">
        <v>25055.601971760381</v>
      </c>
      <c r="FM216">
        <v>23991.24</v>
      </c>
    </row>
    <row r="217" spans="1:169" x14ac:dyDescent="0.35">
      <c r="A217">
        <v>197755</v>
      </c>
      <c r="B217" t="s">
        <v>1652</v>
      </c>
      <c r="C217" t="s">
        <v>1623</v>
      </c>
      <c r="D217" t="s">
        <v>1653</v>
      </c>
      <c r="E217" s="43" t="s">
        <v>1654</v>
      </c>
      <c r="L217" s="43" t="s">
        <v>3204</v>
      </c>
      <c r="M217" t="s">
        <v>1655</v>
      </c>
      <c r="N217" t="s">
        <v>1656</v>
      </c>
      <c r="O217" t="s">
        <v>1657</v>
      </c>
      <c r="P217" t="s">
        <v>403</v>
      </c>
      <c r="Q217" t="s">
        <v>1658</v>
      </c>
      <c r="R217">
        <v>3.92</v>
      </c>
      <c r="S217">
        <v>44109</v>
      </c>
      <c r="T217" t="s">
        <v>311</v>
      </c>
      <c r="U217" t="s">
        <v>266</v>
      </c>
      <c r="V217" t="s">
        <v>267</v>
      </c>
      <c r="W217" t="s">
        <v>268</v>
      </c>
      <c r="X217" t="s">
        <v>269</v>
      </c>
      <c r="Y217">
        <v>8883022894</v>
      </c>
      <c r="Z217" t="s">
        <v>270</v>
      </c>
      <c r="AA217" t="s">
        <v>271</v>
      </c>
      <c r="AB217">
        <v>0</v>
      </c>
      <c r="AC217" t="s">
        <v>1659</v>
      </c>
      <c r="AD217" t="s">
        <v>903</v>
      </c>
      <c r="AE217" t="s">
        <v>301</v>
      </c>
      <c r="AF217">
        <v>1</v>
      </c>
      <c r="AG217" t="s">
        <v>275</v>
      </c>
      <c r="AH217" s="43" t="s">
        <v>3276</v>
      </c>
      <c r="AI217" s="43" t="s">
        <v>3277</v>
      </c>
      <c r="AJ217" s="43" t="s">
        <v>3207</v>
      </c>
      <c r="AK217" s="43" t="s">
        <v>3208</v>
      </c>
      <c r="AL217" s="43" t="s">
        <v>3209</v>
      </c>
      <c r="AO217" s="23"/>
      <c r="AP217" s="23"/>
      <c r="AQ217" s="23"/>
      <c r="BD217" s="43" t="s">
        <v>2018</v>
      </c>
      <c r="BE217" s="43" t="s">
        <v>2018</v>
      </c>
      <c r="BF217" s="43" t="s">
        <v>2018</v>
      </c>
      <c r="BG217" s="43" t="s">
        <v>2018</v>
      </c>
      <c r="BH217" s="43" t="s">
        <v>2018</v>
      </c>
      <c r="BI217" s="43" t="s">
        <v>2018</v>
      </c>
      <c r="BJ217">
        <v>0</v>
      </c>
      <c r="BK217">
        <v>44109</v>
      </c>
      <c r="BL217">
        <v>44356</v>
      </c>
      <c r="BM217">
        <v>8505</v>
      </c>
      <c r="BN217">
        <v>8505</v>
      </c>
      <c r="BO217">
        <v>8505</v>
      </c>
      <c r="BP217">
        <v>25515</v>
      </c>
      <c r="BQ217">
        <v>3300</v>
      </c>
      <c r="BR217">
        <v>400</v>
      </c>
      <c r="BS217">
        <v>400</v>
      </c>
      <c r="BT217">
        <v>4100</v>
      </c>
      <c r="BU217">
        <v>2100</v>
      </c>
      <c r="BV217">
        <v>2100</v>
      </c>
      <c r="BW217">
        <v>2100</v>
      </c>
      <c r="BX217">
        <v>6300</v>
      </c>
      <c r="BY217">
        <v>1200</v>
      </c>
      <c r="BZ217">
        <v>1200</v>
      </c>
      <c r="CA217">
        <v>1200</v>
      </c>
      <c r="CB217">
        <v>3600</v>
      </c>
      <c r="CC217">
        <v>0</v>
      </c>
      <c r="CD217">
        <v>0</v>
      </c>
      <c r="CE217">
        <v>0</v>
      </c>
      <c r="CF217">
        <v>0</v>
      </c>
      <c r="CG217">
        <v>39515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1700</v>
      </c>
      <c r="CU217">
        <v>1700</v>
      </c>
      <c r="CV217">
        <v>1700</v>
      </c>
      <c r="CW217">
        <v>5100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5100</v>
      </c>
      <c r="EE217">
        <v>0</v>
      </c>
      <c r="EF217">
        <v>0</v>
      </c>
      <c r="EG217">
        <v>0</v>
      </c>
      <c r="EH217">
        <v>0</v>
      </c>
      <c r="EI217">
        <v>1154</v>
      </c>
      <c r="EJ217">
        <v>1154</v>
      </c>
      <c r="EK217">
        <v>1155</v>
      </c>
      <c r="EL217">
        <v>3500</v>
      </c>
      <c r="EM217">
        <v>37.065000000000005</v>
      </c>
      <c r="EN217">
        <v>660</v>
      </c>
      <c r="EO217">
        <v>660</v>
      </c>
      <c r="EP217">
        <v>659</v>
      </c>
      <c r="EQ217">
        <v>2000</v>
      </c>
      <c r="ER217">
        <v>21.18</v>
      </c>
      <c r="ES217">
        <v>0</v>
      </c>
      <c r="ET217">
        <v>0</v>
      </c>
      <c r="EU217">
        <v>0</v>
      </c>
      <c r="EV217">
        <v>0</v>
      </c>
      <c r="EW217">
        <v>0</v>
      </c>
      <c r="FA217">
        <v>0</v>
      </c>
      <c r="FE217">
        <v>0</v>
      </c>
      <c r="FI217">
        <v>0</v>
      </c>
      <c r="FJ217">
        <v>5441.7550000000001</v>
      </c>
      <c r="FK217">
        <v>34415</v>
      </c>
      <c r="FL217">
        <v>30254.840023390832</v>
      </c>
      <c r="FM217">
        <v>28973.244999999999</v>
      </c>
    </row>
    <row r="218" spans="1:169" x14ac:dyDescent="0.35">
      <c r="A218">
        <v>198269</v>
      </c>
      <c r="B218" t="s">
        <v>1660</v>
      </c>
      <c r="C218" t="s">
        <v>1661</v>
      </c>
      <c r="D218" t="s">
        <v>1662</v>
      </c>
      <c r="E218" s="43" t="s">
        <v>3303</v>
      </c>
      <c r="L218" s="43" t="s">
        <v>259</v>
      </c>
      <c r="M218" t="s">
        <v>1663</v>
      </c>
      <c r="N218" t="s">
        <v>1664</v>
      </c>
      <c r="O218" t="s">
        <v>1665</v>
      </c>
      <c r="P218" t="s">
        <v>542</v>
      </c>
      <c r="Q218" t="s">
        <v>1666</v>
      </c>
      <c r="R218">
        <v>2.5299999999999998</v>
      </c>
      <c r="S218">
        <v>44109</v>
      </c>
      <c r="T218" t="s">
        <v>544</v>
      </c>
      <c r="U218" t="s">
        <v>286</v>
      </c>
      <c r="V218" t="s">
        <v>267</v>
      </c>
      <c r="W218" t="s">
        <v>268</v>
      </c>
      <c r="X218" t="s">
        <v>269</v>
      </c>
      <c r="Y218">
        <v>8883022894</v>
      </c>
      <c r="Z218" t="s">
        <v>270</v>
      </c>
      <c r="AA218" t="s">
        <v>271</v>
      </c>
      <c r="AB218" t="s">
        <v>842</v>
      </c>
      <c r="AC218">
        <v>0</v>
      </c>
      <c r="AD218" t="s">
        <v>843</v>
      </c>
      <c r="AE218" t="s">
        <v>274</v>
      </c>
      <c r="AF218">
        <v>9</v>
      </c>
      <c r="AG218" t="s">
        <v>446</v>
      </c>
      <c r="AH218" s="43" t="s">
        <v>259</v>
      </c>
      <c r="AI218" s="43" t="s">
        <v>259</v>
      </c>
      <c r="AJ218" s="43" t="s">
        <v>259</v>
      </c>
      <c r="AK218" s="43" t="s">
        <v>259</v>
      </c>
      <c r="AL218" s="43" t="s">
        <v>259</v>
      </c>
      <c r="AO218" s="23"/>
      <c r="AP218" s="23"/>
      <c r="AQ218" s="23"/>
      <c r="BD218" s="43" t="s">
        <v>259</v>
      </c>
      <c r="BE218" s="43" t="s">
        <v>259</v>
      </c>
      <c r="BF218" s="43" t="s">
        <v>259</v>
      </c>
      <c r="BG218" s="43" t="s">
        <v>259</v>
      </c>
      <c r="BH218" s="43" t="s">
        <v>259</v>
      </c>
      <c r="BI218" s="43" t="s">
        <v>259</v>
      </c>
      <c r="BJ218">
        <v>0</v>
      </c>
      <c r="BK218">
        <v>44109</v>
      </c>
      <c r="BL218">
        <v>44356</v>
      </c>
      <c r="BM218">
        <v>8505</v>
      </c>
      <c r="BN218">
        <v>8505</v>
      </c>
      <c r="BO218">
        <v>8505</v>
      </c>
      <c r="BP218">
        <v>25515</v>
      </c>
      <c r="BQ218">
        <v>3300</v>
      </c>
      <c r="BR218">
        <v>400</v>
      </c>
      <c r="BS218">
        <v>400</v>
      </c>
      <c r="BT218">
        <v>4100</v>
      </c>
      <c r="BU218">
        <v>2100</v>
      </c>
      <c r="BV218">
        <v>2100</v>
      </c>
      <c r="BW218">
        <v>2100</v>
      </c>
      <c r="BX218">
        <v>6300</v>
      </c>
      <c r="BY218">
        <v>1200</v>
      </c>
      <c r="BZ218">
        <v>1200</v>
      </c>
      <c r="CA218">
        <v>1200</v>
      </c>
      <c r="CB218">
        <v>3600</v>
      </c>
      <c r="CF218">
        <v>0</v>
      </c>
      <c r="CG218">
        <v>39515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3000</v>
      </c>
      <c r="CY218">
        <v>3000</v>
      </c>
      <c r="CZ218">
        <v>3000</v>
      </c>
      <c r="DA218">
        <v>9000</v>
      </c>
      <c r="DB218">
        <v>1000</v>
      </c>
      <c r="DC218">
        <v>1000</v>
      </c>
      <c r="DD218">
        <v>1000</v>
      </c>
      <c r="DE218">
        <v>3000</v>
      </c>
      <c r="DF218">
        <v>0</v>
      </c>
      <c r="DG218">
        <v>0</v>
      </c>
      <c r="DH218">
        <v>0</v>
      </c>
      <c r="DN218">
        <v>0</v>
      </c>
      <c r="DO218">
        <v>0</v>
      </c>
      <c r="DP218">
        <v>0</v>
      </c>
      <c r="DR218">
        <v>0</v>
      </c>
      <c r="DS218">
        <v>0</v>
      </c>
      <c r="DT218">
        <v>0</v>
      </c>
      <c r="DY218">
        <v>0</v>
      </c>
      <c r="EC218">
        <v>0</v>
      </c>
      <c r="ED218">
        <v>12000</v>
      </c>
      <c r="EH218">
        <v>0</v>
      </c>
      <c r="EI218">
        <v>0</v>
      </c>
      <c r="EJ218">
        <v>0</v>
      </c>
      <c r="EK218">
        <v>0</v>
      </c>
      <c r="EM218">
        <v>0</v>
      </c>
      <c r="EN218">
        <v>660</v>
      </c>
      <c r="EO218">
        <v>660</v>
      </c>
      <c r="EP218">
        <v>659</v>
      </c>
      <c r="EQ218">
        <v>2000</v>
      </c>
      <c r="ER218">
        <v>21.24</v>
      </c>
      <c r="ES218">
        <v>0</v>
      </c>
      <c r="ET218">
        <v>0</v>
      </c>
      <c r="EU218">
        <v>0</v>
      </c>
      <c r="EW218">
        <v>0</v>
      </c>
      <c r="FA218">
        <v>0</v>
      </c>
      <c r="FE218">
        <v>0</v>
      </c>
      <c r="FI218">
        <v>0</v>
      </c>
      <c r="FJ218">
        <v>1978.76</v>
      </c>
      <c r="FK218">
        <v>27515</v>
      </c>
      <c r="FL218">
        <v>26669.145292004345</v>
      </c>
      <c r="FM218">
        <v>25536.240000000002</v>
      </c>
    </row>
    <row r="219" spans="1:169" x14ac:dyDescent="0.35">
      <c r="A219">
        <v>197532</v>
      </c>
      <c r="B219" t="s">
        <v>1667</v>
      </c>
      <c r="C219" t="s">
        <v>1668</v>
      </c>
      <c r="D219" t="s">
        <v>1669</v>
      </c>
      <c r="E219" s="43" t="s">
        <v>1670</v>
      </c>
      <c r="F219">
        <v>1</v>
      </c>
      <c r="G219" s="23">
        <v>43787</v>
      </c>
      <c r="H219" s="23">
        <v>43787</v>
      </c>
      <c r="I219" s="23">
        <v>43787</v>
      </c>
      <c r="J219" t="s">
        <v>3608</v>
      </c>
      <c r="L219" s="43" t="s">
        <v>3204</v>
      </c>
      <c r="M219" t="s">
        <v>1671</v>
      </c>
      <c r="N219" t="s">
        <v>1672</v>
      </c>
      <c r="O219" t="s">
        <v>1673</v>
      </c>
      <c r="P219" t="s">
        <v>442</v>
      </c>
      <c r="Q219" t="s">
        <v>1674</v>
      </c>
      <c r="R219">
        <v>3.61</v>
      </c>
      <c r="S219">
        <v>44109</v>
      </c>
      <c r="T219" t="s">
        <v>265</v>
      </c>
      <c r="U219" t="s">
        <v>286</v>
      </c>
      <c r="V219" t="s">
        <v>267</v>
      </c>
      <c r="W219" t="s">
        <v>268</v>
      </c>
      <c r="X219" t="s">
        <v>269</v>
      </c>
      <c r="Y219">
        <v>8883022894</v>
      </c>
      <c r="Z219" t="s">
        <v>270</v>
      </c>
      <c r="AA219" t="s">
        <v>271</v>
      </c>
      <c r="AB219" t="s">
        <v>679</v>
      </c>
      <c r="AC219">
        <v>0</v>
      </c>
      <c r="AD219" t="s">
        <v>288</v>
      </c>
      <c r="AE219" t="s">
        <v>301</v>
      </c>
      <c r="AF219">
        <v>1</v>
      </c>
      <c r="AG219" t="s">
        <v>275</v>
      </c>
      <c r="AH219" s="43" t="s">
        <v>3226</v>
      </c>
      <c r="AI219" s="43" t="s">
        <v>313</v>
      </c>
      <c r="AJ219" s="43" t="s">
        <v>3309</v>
      </c>
      <c r="AK219" s="43" t="s">
        <v>1715</v>
      </c>
      <c r="AL219" s="43" t="s">
        <v>259</v>
      </c>
      <c r="AO219" s="23"/>
      <c r="AP219" s="23"/>
      <c r="AQ219" s="23"/>
      <c r="BD219" s="43" t="s">
        <v>259</v>
      </c>
      <c r="BE219" s="43" t="s">
        <v>259</v>
      </c>
      <c r="BF219" s="43" t="s">
        <v>259</v>
      </c>
      <c r="BG219" s="43" t="s">
        <v>259</v>
      </c>
      <c r="BH219" s="43" t="s">
        <v>259</v>
      </c>
      <c r="BI219" s="43" t="s">
        <v>259</v>
      </c>
      <c r="BJ219">
        <v>0</v>
      </c>
      <c r="BK219">
        <v>44109</v>
      </c>
      <c r="BL219">
        <v>44356</v>
      </c>
      <c r="BM219">
        <v>8505</v>
      </c>
      <c r="BN219">
        <v>8505</v>
      </c>
      <c r="BO219">
        <v>8505</v>
      </c>
      <c r="BP219">
        <v>25515</v>
      </c>
      <c r="BQ219">
        <v>3300</v>
      </c>
      <c r="BR219">
        <v>400</v>
      </c>
      <c r="BS219">
        <v>400</v>
      </c>
      <c r="BT219">
        <v>4100</v>
      </c>
      <c r="BU219">
        <v>2100</v>
      </c>
      <c r="BV219">
        <v>2100</v>
      </c>
      <c r="BW219">
        <v>2100</v>
      </c>
      <c r="BX219">
        <v>6300</v>
      </c>
      <c r="BY219">
        <v>1200</v>
      </c>
      <c r="BZ219">
        <v>1200</v>
      </c>
      <c r="CA219">
        <v>1200</v>
      </c>
      <c r="CB219">
        <v>3600</v>
      </c>
      <c r="CC219">
        <v>0</v>
      </c>
      <c r="CD219">
        <v>0</v>
      </c>
      <c r="CE219">
        <v>0</v>
      </c>
      <c r="CF219">
        <v>0</v>
      </c>
      <c r="CG219">
        <v>39515</v>
      </c>
      <c r="CH219">
        <v>0</v>
      </c>
      <c r="CI219">
        <v>0</v>
      </c>
      <c r="CJ219">
        <v>0</v>
      </c>
      <c r="CK219">
        <v>0</v>
      </c>
      <c r="CL219">
        <v>2065</v>
      </c>
      <c r="CM219">
        <v>2065</v>
      </c>
      <c r="CN219">
        <v>2065</v>
      </c>
      <c r="CO219">
        <v>6195</v>
      </c>
      <c r="CP219">
        <v>500</v>
      </c>
      <c r="CQ219">
        <v>500</v>
      </c>
      <c r="CR219">
        <v>500</v>
      </c>
      <c r="CS219">
        <v>1500</v>
      </c>
      <c r="CT219">
        <v>1700</v>
      </c>
      <c r="CU219">
        <v>1700</v>
      </c>
      <c r="CV219">
        <v>1700</v>
      </c>
      <c r="CW219">
        <v>5100</v>
      </c>
      <c r="CX219">
        <v>0</v>
      </c>
      <c r="CY219">
        <v>0</v>
      </c>
      <c r="CZ219">
        <v>0</v>
      </c>
      <c r="DA219">
        <v>0</v>
      </c>
      <c r="DB219">
        <v>1000</v>
      </c>
      <c r="DC219">
        <v>1000</v>
      </c>
      <c r="DD219">
        <v>1000</v>
      </c>
      <c r="DE219">
        <v>3000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15795</v>
      </c>
      <c r="EE219">
        <v>0</v>
      </c>
      <c r="EF219">
        <v>0</v>
      </c>
      <c r="EG219">
        <v>0</v>
      </c>
      <c r="EH219">
        <v>0</v>
      </c>
      <c r="EI219">
        <v>1154</v>
      </c>
      <c r="EJ219">
        <v>1154</v>
      </c>
      <c r="EK219">
        <v>1155</v>
      </c>
      <c r="EL219">
        <v>3500</v>
      </c>
      <c r="EM219">
        <v>37.065000000000005</v>
      </c>
      <c r="EN219">
        <v>660</v>
      </c>
      <c r="EO219">
        <v>660</v>
      </c>
      <c r="EP219">
        <v>659</v>
      </c>
      <c r="EQ219">
        <v>2000</v>
      </c>
      <c r="ER219">
        <v>21.18</v>
      </c>
      <c r="ES219">
        <v>0</v>
      </c>
      <c r="ET219">
        <v>0</v>
      </c>
      <c r="EU219">
        <v>0</v>
      </c>
      <c r="EV219">
        <v>0</v>
      </c>
      <c r="EW219">
        <v>0</v>
      </c>
      <c r="FA219">
        <v>0</v>
      </c>
      <c r="FE219">
        <v>0</v>
      </c>
      <c r="FI219">
        <v>0</v>
      </c>
      <c r="FJ219">
        <v>5441.7550000000001</v>
      </c>
      <c r="FK219">
        <v>23720</v>
      </c>
      <c r="FL219">
        <v>19086.7601603943</v>
      </c>
      <c r="FM219">
        <v>18278.244999999999</v>
      </c>
    </row>
    <row r="220" spans="1:169" x14ac:dyDescent="0.35">
      <c r="A220">
        <v>196271</v>
      </c>
      <c r="B220" t="s">
        <v>1675</v>
      </c>
      <c r="C220" t="s">
        <v>1676</v>
      </c>
      <c r="D220" t="s">
        <v>1677</v>
      </c>
      <c r="E220" s="43" t="s">
        <v>1678</v>
      </c>
      <c r="L220" s="43" t="s">
        <v>259</v>
      </c>
      <c r="M220" t="s">
        <v>1679</v>
      </c>
      <c r="N220" t="s">
        <v>1680</v>
      </c>
      <c r="O220" t="s">
        <v>1681</v>
      </c>
      <c r="P220" t="s">
        <v>372</v>
      </c>
      <c r="Q220" t="s">
        <v>1682</v>
      </c>
      <c r="R220">
        <v>2.14</v>
      </c>
      <c r="S220">
        <v>44109</v>
      </c>
      <c r="T220" t="s">
        <v>311</v>
      </c>
      <c r="U220" t="s">
        <v>266</v>
      </c>
      <c r="V220" t="s">
        <v>267</v>
      </c>
      <c r="W220" t="s">
        <v>268</v>
      </c>
      <c r="X220" t="s">
        <v>269</v>
      </c>
      <c r="Y220">
        <v>8883022894</v>
      </c>
      <c r="Z220" t="s">
        <v>270</v>
      </c>
      <c r="AA220" t="s">
        <v>271</v>
      </c>
      <c r="AB220">
        <v>0</v>
      </c>
      <c r="AC220" t="s">
        <v>788</v>
      </c>
      <c r="AD220" t="s">
        <v>1683</v>
      </c>
      <c r="AE220" t="s">
        <v>344</v>
      </c>
      <c r="AF220">
        <v>10</v>
      </c>
      <c r="AG220" t="s">
        <v>275</v>
      </c>
      <c r="AH220" s="43" t="s">
        <v>259</v>
      </c>
      <c r="AI220" s="43" t="s">
        <v>259</v>
      </c>
      <c r="AJ220" s="43" t="s">
        <v>259</v>
      </c>
      <c r="AK220" s="43" t="s">
        <v>259</v>
      </c>
      <c r="AL220" s="43" t="s">
        <v>259</v>
      </c>
      <c r="AO220" s="23"/>
      <c r="AP220" s="23"/>
      <c r="AQ220" s="23"/>
      <c r="BD220" s="43" t="s">
        <v>259</v>
      </c>
      <c r="BE220" s="43" t="s">
        <v>259</v>
      </c>
      <c r="BF220" s="43" t="s">
        <v>259</v>
      </c>
      <c r="BG220" s="43" t="s">
        <v>259</v>
      </c>
      <c r="BH220" s="43" t="s">
        <v>259</v>
      </c>
      <c r="BI220" s="43" t="s">
        <v>259</v>
      </c>
      <c r="BJ220">
        <v>0</v>
      </c>
      <c r="BK220">
        <v>44109</v>
      </c>
      <c r="BL220">
        <v>44356</v>
      </c>
      <c r="BM220">
        <v>8505</v>
      </c>
      <c r="BN220">
        <v>8505</v>
      </c>
      <c r="BO220">
        <v>8505</v>
      </c>
      <c r="BP220">
        <v>25515</v>
      </c>
      <c r="BQ220">
        <v>3300</v>
      </c>
      <c r="BR220">
        <v>400</v>
      </c>
      <c r="BS220">
        <v>400</v>
      </c>
      <c r="BT220">
        <v>4100</v>
      </c>
      <c r="BU220">
        <v>2100</v>
      </c>
      <c r="BV220">
        <v>2100</v>
      </c>
      <c r="BW220">
        <v>2100</v>
      </c>
      <c r="BX220">
        <v>6300</v>
      </c>
      <c r="BY220">
        <v>1200</v>
      </c>
      <c r="BZ220">
        <v>1200</v>
      </c>
      <c r="CA220">
        <v>1200</v>
      </c>
      <c r="CB220">
        <v>3600</v>
      </c>
      <c r="CC220">
        <v>0</v>
      </c>
      <c r="CD220">
        <v>0</v>
      </c>
      <c r="CE220">
        <v>0</v>
      </c>
      <c r="CF220">
        <v>0</v>
      </c>
      <c r="CG220">
        <v>39515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1154</v>
      </c>
      <c r="EJ220">
        <v>1154</v>
      </c>
      <c r="EK220">
        <v>1155</v>
      </c>
      <c r="EL220">
        <v>3500</v>
      </c>
      <c r="EM220">
        <v>37.065000000000005</v>
      </c>
      <c r="EN220">
        <v>660</v>
      </c>
      <c r="EO220">
        <v>660</v>
      </c>
      <c r="EP220">
        <v>659</v>
      </c>
      <c r="EQ220">
        <v>2000</v>
      </c>
      <c r="ER220">
        <v>21.18</v>
      </c>
      <c r="ES220">
        <v>0</v>
      </c>
      <c r="ET220">
        <v>0</v>
      </c>
      <c r="EU220">
        <v>0</v>
      </c>
      <c r="EV220">
        <v>0</v>
      </c>
      <c r="EW220">
        <v>0</v>
      </c>
      <c r="FA220">
        <v>0</v>
      </c>
      <c r="FE220">
        <v>0</v>
      </c>
      <c r="FI220">
        <v>0</v>
      </c>
      <c r="FJ220">
        <v>5441.7550000000001</v>
      </c>
      <c r="FK220">
        <v>39515</v>
      </c>
      <c r="FL220">
        <v>35580.43210392214</v>
      </c>
      <c r="FM220">
        <v>34073.245000000003</v>
      </c>
    </row>
    <row r="221" spans="1:169" x14ac:dyDescent="0.35">
      <c r="A221">
        <v>197450</v>
      </c>
      <c r="B221" t="s">
        <v>1684</v>
      </c>
      <c r="C221" t="s">
        <v>1685</v>
      </c>
      <c r="D221" t="s">
        <v>1686</v>
      </c>
      <c r="E221" s="43" t="s">
        <v>1687</v>
      </c>
      <c r="F221">
        <v>1</v>
      </c>
      <c r="G221" s="23">
        <v>43776</v>
      </c>
      <c r="H221" s="23">
        <v>43776</v>
      </c>
      <c r="I221" s="23">
        <v>43776</v>
      </c>
      <c r="K221" t="s">
        <v>1715</v>
      </c>
      <c r="L221" s="43" t="s">
        <v>3204</v>
      </c>
      <c r="M221" t="s">
        <v>1688</v>
      </c>
      <c r="N221" t="s">
        <v>1689</v>
      </c>
      <c r="O221" t="s">
        <v>1690</v>
      </c>
      <c r="P221" t="s">
        <v>297</v>
      </c>
      <c r="Q221" t="s">
        <v>1691</v>
      </c>
      <c r="R221">
        <v>3.4119999999999999</v>
      </c>
      <c r="S221">
        <v>44109</v>
      </c>
      <c r="T221" t="s">
        <v>311</v>
      </c>
      <c r="U221" t="s">
        <v>266</v>
      </c>
      <c r="V221" t="s">
        <v>267</v>
      </c>
      <c r="W221" t="s">
        <v>268</v>
      </c>
      <c r="X221" t="s">
        <v>269</v>
      </c>
      <c r="Y221">
        <v>8883022894</v>
      </c>
      <c r="Z221" t="s">
        <v>270</v>
      </c>
      <c r="AA221" t="s">
        <v>271</v>
      </c>
      <c r="AB221" t="s">
        <v>571</v>
      </c>
      <c r="AC221">
        <v>0</v>
      </c>
      <c r="AD221" t="s">
        <v>527</v>
      </c>
      <c r="AE221" t="s">
        <v>301</v>
      </c>
      <c r="AF221">
        <v>1</v>
      </c>
      <c r="AG221" t="s">
        <v>275</v>
      </c>
      <c r="AH221" s="43" t="s">
        <v>3278</v>
      </c>
      <c r="AI221" s="43" t="s">
        <v>3279</v>
      </c>
      <c r="AJ221" s="43" t="s">
        <v>3821</v>
      </c>
      <c r="AK221" s="43" t="s">
        <v>1715</v>
      </c>
      <c r="AL221" s="43" t="s">
        <v>259</v>
      </c>
      <c r="AO221" s="23">
        <v>43757</v>
      </c>
      <c r="AP221" s="23">
        <v>43760</v>
      </c>
      <c r="AQ221" s="23">
        <v>43760</v>
      </c>
      <c r="BD221" s="43" t="s">
        <v>259</v>
      </c>
      <c r="BE221" s="43" t="s">
        <v>259</v>
      </c>
      <c r="BF221" s="43" t="s">
        <v>259</v>
      </c>
      <c r="BG221" s="43" t="s">
        <v>259</v>
      </c>
      <c r="BH221" s="43" t="s">
        <v>259</v>
      </c>
      <c r="BI221" s="43" t="s">
        <v>259</v>
      </c>
      <c r="BJ221">
        <v>0.13043478260869568</v>
      </c>
      <c r="BK221">
        <v>44109</v>
      </c>
      <c r="BL221">
        <v>44356</v>
      </c>
      <c r="BM221">
        <v>8505</v>
      </c>
      <c r="BN221">
        <v>8505</v>
      </c>
      <c r="BO221">
        <v>8505</v>
      </c>
      <c r="BP221">
        <v>25515</v>
      </c>
      <c r="BQ221">
        <v>3300</v>
      </c>
      <c r="BR221">
        <v>400</v>
      </c>
      <c r="BS221">
        <v>400</v>
      </c>
      <c r="BT221">
        <v>4100</v>
      </c>
      <c r="BU221">
        <v>2100</v>
      </c>
      <c r="BV221">
        <v>2100</v>
      </c>
      <c r="BW221">
        <v>2100</v>
      </c>
      <c r="BX221">
        <v>6300</v>
      </c>
      <c r="BY221">
        <v>1200</v>
      </c>
      <c r="BZ221">
        <v>1200</v>
      </c>
      <c r="CA221">
        <v>1200</v>
      </c>
      <c r="CB221">
        <v>3600</v>
      </c>
      <c r="CC221">
        <v>0</v>
      </c>
      <c r="CD221">
        <v>0</v>
      </c>
      <c r="CE221">
        <v>0</v>
      </c>
      <c r="CF221">
        <v>0</v>
      </c>
      <c r="CG221">
        <v>39515</v>
      </c>
      <c r="CH221">
        <v>0</v>
      </c>
      <c r="CI221">
        <v>0</v>
      </c>
      <c r="CJ221">
        <v>0</v>
      </c>
      <c r="CK221">
        <v>0</v>
      </c>
      <c r="CL221">
        <v>615</v>
      </c>
      <c r="CM221">
        <v>615</v>
      </c>
      <c r="CN221">
        <v>615</v>
      </c>
      <c r="CO221">
        <v>1845</v>
      </c>
      <c r="CP221">
        <v>500</v>
      </c>
      <c r="CQ221">
        <v>500</v>
      </c>
      <c r="CR221">
        <v>500</v>
      </c>
      <c r="CS221">
        <v>1500</v>
      </c>
      <c r="CT221">
        <v>1700</v>
      </c>
      <c r="CU221">
        <v>1700</v>
      </c>
      <c r="CV221">
        <v>1700</v>
      </c>
      <c r="CW221">
        <v>5100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8445</v>
      </c>
      <c r="EE221">
        <v>0</v>
      </c>
      <c r="EF221">
        <v>0</v>
      </c>
      <c r="EG221">
        <v>0</v>
      </c>
      <c r="EH221">
        <v>0</v>
      </c>
      <c r="EI221">
        <v>1154</v>
      </c>
      <c r="EJ221">
        <v>1154</v>
      </c>
      <c r="EK221">
        <v>1155</v>
      </c>
      <c r="EL221">
        <v>3500</v>
      </c>
      <c r="EM221">
        <v>37.065000000000005</v>
      </c>
      <c r="EN221">
        <v>660</v>
      </c>
      <c r="EO221">
        <v>660</v>
      </c>
      <c r="EP221">
        <v>659</v>
      </c>
      <c r="EQ221">
        <v>2000</v>
      </c>
      <c r="ER221">
        <v>21.18</v>
      </c>
      <c r="ES221">
        <v>0</v>
      </c>
      <c r="ET221">
        <v>0</v>
      </c>
      <c r="EU221">
        <v>0</v>
      </c>
      <c r="EV221">
        <v>0</v>
      </c>
      <c r="EW221">
        <v>0</v>
      </c>
      <c r="FA221">
        <v>0</v>
      </c>
      <c r="FE221">
        <v>0</v>
      </c>
      <c r="FI221">
        <v>0</v>
      </c>
      <c r="FJ221">
        <v>5441.7550000000001</v>
      </c>
      <c r="FK221">
        <v>31070</v>
      </c>
      <c r="FL221">
        <v>26761.878158807063</v>
      </c>
      <c r="FM221">
        <v>25628.244999999999</v>
      </c>
    </row>
    <row r="222" spans="1:169" x14ac:dyDescent="0.35">
      <c r="A222">
        <v>196332</v>
      </c>
      <c r="B222" t="s">
        <v>1692</v>
      </c>
      <c r="C222" t="s">
        <v>1589</v>
      </c>
      <c r="D222" t="s">
        <v>1693</v>
      </c>
      <c r="E222" s="43" t="s">
        <v>1694</v>
      </c>
      <c r="L222" s="43" t="s">
        <v>3204</v>
      </c>
      <c r="M222" t="s">
        <v>1695</v>
      </c>
      <c r="N222" t="s">
        <v>1696</v>
      </c>
      <c r="O222" t="s">
        <v>595</v>
      </c>
      <c r="P222" t="s">
        <v>596</v>
      </c>
      <c r="Q222" t="s">
        <v>1697</v>
      </c>
      <c r="R222">
        <v>2.444</v>
      </c>
      <c r="S222">
        <v>44109</v>
      </c>
      <c r="T222" t="s">
        <v>265</v>
      </c>
      <c r="U222" t="s">
        <v>266</v>
      </c>
      <c r="V222" t="s">
        <v>267</v>
      </c>
      <c r="W222" t="s">
        <v>268</v>
      </c>
      <c r="X222" t="s">
        <v>269</v>
      </c>
      <c r="Y222">
        <v>8883022894</v>
      </c>
      <c r="Z222" t="s">
        <v>270</v>
      </c>
      <c r="AA222" t="s">
        <v>271</v>
      </c>
      <c r="AB222" t="s">
        <v>287</v>
      </c>
      <c r="AC222">
        <v>0</v>
      </c>
      <c r="AD222" t="s">
        <v>273</v>
      </c>
      <c r="AE222" t="s">
        <v>354</v>
      </c>
      <c r="AF222">
        <v>6</v>
      </c>
      <c r="AG222" t="s">
        <v>275</v>
      </c>
      <c r="AH222" s="43" t="s">
        <v>3328</v>
      </c>
      <c r="AI222" s="43" t="s">
        <v>3329</v>
      </c>
      <c r="AJ222" s="43" t="s">
        <v>3309</v>
      </c>
      <c r="AK222" s="43" t="s">
        <v>3208</v>
      </c>
      <c r="AL222" s="43" t="s">
        <v>3209</v>
      </c>
      <c r="AO222" s="23"/>
      <c r="AP222" s="23"/>
      <c r="AQ222" s="23"/>
      <c r="BD222" s="43" t="s">
        <v>2018</v>
      </c>
      <c r="BE222" s="43" t="s">
        <v>2018</v>
      </c>
      <c r="BF222" s="43" t="s">
        <v>2018</v>
      </c>
      <c r="BG222" s="43" t="s">
        <v>2018</v>
      </c>
      <c r="BH222" s="43" t="s">
        <v>2018</v>
      </c>
      <c r="BI222" s="43" t="s">
        <v>2018</v>
      </c>
      <c r="BJ222">
        <v>0</v>
      </c>
      <c r="BK222">
        <v>44109</v>
      </c>
      <c r="BL222">
        <v>44356</v>
      </c>
      <c r="BM222">
        <v>8505</v>
      </c>
      <c r="BN222">
        <v>8505</v>
      </c>
      <c r="BO222">
        <v>8505</v>
      </c>
      <c r="BP222">
        <v>25515</v>
      </c>
      <c r="BQ222">
        <v>3300</v>
      </c>
      <c r="BR222">
        <v>400</v>
      </c>
      <c r="BS222">
        <v>400</v>
      </c>
      <c r="BT222">
        <v>4100</v>
      </c>
      <c r="BU222">
        <v>2100</v>
      </c>
      <c r="BV222">
        <v>2100</v>
      </c>
      <c r="BW222">
        <v>2100</v>
      </c>
      <c r="BX222">
        <v>6300</v>
      </c>
      <c r="BY222">
        <v>1200</v>
      </c>
      <c r="BZ222">
        <v>1200</v>
      </c>
      <c r="CA222">
        <v>1200</v>
      </c>
      <c r="CB222">
        <v>3600</v>
      </c>
      <c r="CC222">
        <v>0</v>
      </c>
      <c r="CD222">
        <v>0</v>
      </c>
      <c r="CE222">
        <v>0</v>
      </c>
      <c r="CF222">
        <v>0</v>
      </c>
      <c r="CG222">
        <v>39515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750</v>
      </c>
      <c r="CU222">
        <v>750</v>
      </c>
      <c r="CV222">
        <v>750</v>
      </c>
      <c r="CW222">
        <v>2250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2250</v>
      </c>
      <c r="EE222">
        <v>0</v>
      </c>
      <c r="EF222">
        <v>0</v>
      </c>
      <c r="EG222">
        <v>0</v>
      </c>
      <c r="EH222">
        <v>0</v>
      </c>
      <c r="EI222">
        <v>1154</v>
      </c>
      <c r="EJ222">
        <v>1154</v>
      </c>
      <c r="EK222">
        <v>1155</v>
      </c>
      <c r="EL222">
        <v>3500</v>
      </c>
      <c r="EM222">
        <v>37.065000000000005</v>
      </c>
      <c r="EN222">
        <v>660</v>
      </c>
      <c r="EO222">
        <v>660</v>
      </c>
      <c r="EP222">
        <v>659</v>
      </c>
      <c r="EQ222">
        <v>2000</v>
      </c>
      <c r="ER222">
        <v>21.18</v>
      </c>
      <c r="ES222">
        <v>0</v>
      </c>
      <c r="ET222">
        <v>0</v>
      </c>
      <c r="EU222">
        <v>0</v>
      </c>
      <c r="EV222">
        <v>0</v>
      </c>
      <c r="EW222">
        <v>0</v>
      </c>
      <c r="FA222">
        <v>0</v>
      </c>
      <c r="FE222">
        <v>0</v>
      </c>
      <c r="FI222">
        <v>0</v>
      </c>
      <c r="FJ222">
        <v>5441.7550000000001</v>
      </c>
      <c r="FK222">
        <v>37265</v>
      </c>
      <c r="FL222">
        <v>33230.906186040687</v>
      </c>
      <c r="FM222">
        <v>31823.245000000003</v>
      </c>
    </row>
    <row r="223" spans="1:169" x14ac:dyDescent="0.35">
      <c r="A223">
        <v>195937</v>
      </c>
      <c r="B223" t="s">
        <v>1698</v>
      </c>
      <c r="C223" t="s">
        <v>1699</v>
      </c>
      <c r="D223" t="s">
        <v>1700</v>
      </c>
      <c r="E223" s="43" t="s">
        <v>1701</v>
      </c>
      <c r="L223" s="43" t="s">
        <v>259</v>
      </c>
      <c r="M223" t="s">
        <v>1702</v>
      </c>
      <c r="N223" t="s">
        <v>1703</v>
      </c>
      <c r="O223" t="s">
        <v>1704</v>
      </c>
      <c r="P223" t="s">
        <v>524</v>
      </c>
      <c r="Q223" t="s">
        <v>1705</v>
      </c>
      <c r="R223">
        <v>3.6429</v>
      </c>
      <c r="S223">
        <v>44109</v>
      </c>
      <c r="T223" t="s">
        <v>311</v>
      </c>
      <c r="U223" t="s">
        <v>266</v>
      </c>
      <c r="V223" t="s">
        <v>267</v>
      </c>
      <c r="W223" t="s">
        <v>268</v>
      </c>
      <c r="X223" t="s">
        <v>269</v>
      </c>
      <c r="Y223">
        <v>8883022894</v>
      </c>
      <c r="Z223" t="s">
        <v>270</v>
      </c>
      <c r="AA223" t="s">
        <v>271</v>
      </c>
      <c r="AB223" t="s">
        <v>526</v>
      </c>
      <c r="AC223">
        <v>0</v>
      </c>
      <c r="AD223" t="s">
        <v>527</v>
      </c>
      <c r="AE223" t="s">
        <v>301</v>
      </c>
      <c r="AF223">
        <v>1</v>
      </c>
      <c r="AG223" t="s">
        <v>275</v>
      </c>
      <c r="AH223" s="43" t="s">
        <v>259</v>
      </c>
      <c r="AI223" s="43" t="s">
        <v>259</v>
      </c>
      <c r="AJ223" s="43" t="s">
        <v>259</v>
      </c>
      <c r="AK223" s="43" t="s">
        <v>259</v>
      </c>
      <c r="AL223" s="43" t="s">
        <v>259</v>
      </c>
      <c r="AO223" s="23"/>
      <c r="AP223" s="23"/>
      <c r="AQ223" s="23"/>
      <c r="BD223" s="43" t="s">
        <v>259</v>
      </c>
      <c r="BE223" s="43" t="s">
        <v>259</v>
      </c>
      <c r="BF223" s="43" t="s">
        <v>259</v>
      </c>
      <c r="BG223" s="43" t="s">
        <v>259</v>
      </c>
      <c r="BH223" s="43" t="s">
        <v>259</v>
      </c>
      <c r="BI223" s="43" t="s">
        <v>259</v>
      </c>
      <c r="BJ223">
        <v>0</v>
      </c>
      <c r="BK223">
        <v>44109</v>
      </c>
      <c r="BL223">
        <v>44356</v>
      </c>
      <c r="BM223">
        <v>8505</v>
      </c>
      <c r="BN223">
        <v>8505</v>
      </c>
      <c r="BO223">
        <v>8505</v>
      </c>
      <c r="BP223">
        <v>25515</v>
      </c>
      <c r="BQ223">
        <v>3300</v>
      </c>
      <c r="BR223">
        <v>400</v>
      </c>
      <c r="BS223">
        <v>400</v>
      </c>
      <c r="BT223">
        <v>4100</v>
      </c>
      <c r="BU223">
        <v>2100</v>
      </c>
      <c r="BV223">
        <v>2100</v>
      </c>
      <c r="BW223">
        <v>2100</v>
      </c>
      <c r="BX223">
        <v>6300</v>
      </c>
      <c r="BY223">
        <v>1200</v>
      </c>
      <c r="BZ223">
        <v>1200</v>
      </c>
      <c r="CA223">
        <v>1200</v>
      </c>
      <c r="CB223">
        <v>3600</v>
      </c>
      <c r="CC223">
        <v>0</v>
      </c>
      <c r="CD223">
        <v>0</v>
      </c>
      <c r="CE223">
        <v>0</v>
      </c>
      <c r="CF223">
        <v>0</v>
      </c>
      <c r="CG223">
        <v>39515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1700</v>
      </c>
      <c r="CU223">
        <v>1700</v>
      </c>
      <c r="CV223">
        <v>1700</v>
      </c>
      <c r="CW223">
        <v>5100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1000</v>
      </c>
      <c r="DG223">
        <v>1000</v>
      </c>
      <c r="DH223">
        <v>1000</v>
      </c>
      <c r="DI223">
        <v>3000</v>
      </c>
      <c r="DN223">
        <v>0</v>
      </c>
      <c r="DO223">
        <v>0</v>
      </c>
      <c r="DP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8100</v>
      </c>
      <c r="EE223">
        <v>0</v>
      </c>
      <c r="EF223">
        <v>0</v>
      </c>
      <c r="EG223">
        <v>0</v>
      </c>
      <c r="EH223">
        <v>0</v>
      </c>
      <c r="EI223">
        <v>1154</v>
      </c>
      <c r="EJ223">
        <v>1154</v>
      </c>
      <c r="EK223">
        <v>1155</v>
      </c>
      <c r="EL223">
        <v>3500</v>
      </c>
      <c r="EM223">
        <v>37.065000000000005</v>
      </c>
      <c r="EN223">
        <v>660</v>
      </c>
      <c r="EO223">
        <v>660</v>
      </c>
      <c r="EP223">
        <v>659</v>
      </c>
      <c r="EQ223">
        <v>2000</v>
      </c>
      <c r="ER223">
        <v>21.18</v>
      </c>
      <c r="ES223">
        <v>0</v>
      </c>
      <c r="ET223">
        <v>0</v>
      </c>
      <c r="EU223">
        <v>0</v>
      </c>
      <c r="EV223">
        <v>0</v>
      </c>
      <c r="EW223">
        <v>0</v>
      </c>
      <c r="FA223">
        <v>0</v>
      </c>
      <c r="FE223">
        <v>0</v>
      </c>
      <c r="FI223">
        <v>0</v>
      </c>
      <c r="FJ223">
        <v>5441.7550000000001</v>
      </c>
      <c r="FK223">
        <v>31415</v>
      </c>
      <c r="FL223">
        <v>27125.537847773412</v>
      </c>
      <c r="FM223">
        <v>25973.244999999999</v>
      </c>
    </row>
    <row r="224" spans="1:169" x14ac:dyDescent="0.35">
      <c r="A224">
        <v>199367</v>
      </c>
      <c r="B224" t="s">
        <v>3863</v>
      </c>
      <c r="C224" t="s">
        <v>3864</v>
      </c>
      <c r="D224" t="s">
        <v>3865</v>
      </c>
      <c r="E224" s="43" t="s">
        <v>4194</v>
      </c>
      <c r="J224" t="s">
        <v>3830</v>
      </c>
      <c r="L224" s="43" t="s">
        <v>3204</v>
      </c>
      <c r="M224" t="s">
        <v>3866</v>
      </c>
      <c r="N224" t="s">
        <v>3867</v>
      </c>
      <c r="O224" t="s">
        <v>3868</v>
      </c>
      <c r="P224" t="s">
        <v>1650</v>
      </c>
      <c r="Q224" t="s">
        <v>3869</v>
      </c>
      <c r="R224">
        <v>2.92</v>
      </c>
      <c r="S224">
        <v>44109</v>
      </c>
      <c r="T224" t="s">
        <v>285</v>
      </c>
      <c r="U224" t="s">
        <v>286</v>
      </c>
      <c r="V224" t="s">
        <v>267</v>
      </c>
      <c r="W224" t="s">
        <v>268</v>
      </c>
      <c r="X224" t="s">
        <v>269</v>
      </c>
      <c r="Y224">
        <v>8883022894</v>
      </c>
      <c r="Z224" t="s">
        <v>270</v>
      </c>
      <c r="AA224" t="s">
        <v>271</v>
      </c>
      <c r="AB224">
        <v>0</v>
      </c>
      <c r="AC224">
        <v>0</v>
      </c>
      <c r="AD224" t="s">
        <v>313</v>
      </c>
      <c r="AE224" t="s">
        <v>354</v>
      </c>
      <c r="AF224">
        <v>6</v>
      </c>
      <c r="AG224" t="s">
        <v>3345</v>
      </c>
      <c r="AH224" s="43" t="s">
        <v>3870</v>
      </c>
      <c r="AI224" s="43" t="s">
        <v>3871</v>
      </c>
      <c r="AJ224" s="43" t="s">
        <v>3821</v>
      </c>
      <c r="AK224" s="43" t="s">
        <v>1715</v>
      </c>
      <c r="AL224" s="43" t="s">
        <v>259</v>
      </c>
      <c r="AO224" s="23"/>
      <c r="AP224" s="23"/>
      <c r="AQ224" s="23"/>
      <c r="BD224" s="43" t="s">
        <v>259</v>
      </c>
      <c r="BE224" s="43" t="s">
        <v>259</v>
      </c>
      <c r="BF224" s="43" t="s">
        <v>259</v>
      </c>
      <c r="BG224" s="43" t="s">
        <v>259</v>
      </c>
      <c r="BH224" s="43" t="s">
        <v>259</v>
      </c>
      <c r="BI224" s="43" t="s">
        <v>259</v>
      </c>
      <c r="BJ224">
        <v>0</v>
      </c>
      <c r="BK224">
        <v>44109</v>
      </c>
      <c r="BL224">
        <v>44356</v>
      </c>
      <c r="BP224">
        <v>0</v>
      </c>
      <c r="BT224">
        <v>0</v>
      </c>
      <c r="BX224">
        <v>0</v>
      </c>
      <c r="CB224">
        <v>0</v>
      </c>
      <c r="CF224">
        <v>0</v>
      </c>
      <c r="CG224">
        <v>0</v>
      </c>
      <c r="CK224">
        <v>0</v>
      </c>
      <c r="CL224">
        <v>749</v>
      </c>
      <c r="CM224">
        <v>748</v>
      </c>
      <c r="CN224">
        <v>748</v>
      </c>
      <c r="CO224">
        <v>2245</v>
      </c>
      <c r="CP224">
        <v>500</v>
      </c>
      <c r="CQ224">
        <v>500</v>
      </c>
      <c r="CR224">
        <v>500</v>
      </c>
      <c r="CS224">
        <v>1500</v>
      </c>
      <c r="CT224">
        <v>750</v>
      </c>
      <c r="CU224">
        <v>750</v>
      </c>
      <c r="CV224">
        <v>750</v>
      </c>
      <c r="CW224">
        <v>2250</v>
      </c>
      <c r="CX224">
        <v>0</v>
      </c>
      <c r="CY224">
        <v>0</v>
      </c>
      <c r="CZ224">
        <v>0</v>
      </c>
      <c r="DA224">
        <v>0</v>
      </c>
      <c r="DB224">
        <v>1000</v>
      </c>
      <c r="DC224">
        <v>1000</v>
      </c>
      <c r="DD224">
        <v>1000</v>
      </c>
      <c r="DE224">
        <v>3000</v>
      </c>
      <c r="DF224">
        <v>0</v>
      </c>
      <c r="DG224">
        <v>0</v>
      </c>
      <c r="DH224">
        <v>0</v>
      </c>
      <c r="DN224">
        <v>0</v>
      </c>
      <c r="DO224">
        <v>0</v>
      </c>
      <c r="DP224">
        <v>0</v>
      </c>
      <c r="DR224">
        <v>0</v>
      </c>
      <c r="DS224">
        <v>0</v>
      </c>
      <c r="DT224">
        <v>0</v>
      </c>
      <c r="DY224">
        <v>0</v>
      </c>
      <c r="EC224">
        <v>0</v>
      </c>
      <c r="ED224">
        <v>8995</v>
      </c>
      <c r="EH224">
        <v>0</v>
      </c>
      <c r="EI224">
        <v>0</v>
      </c>
      <c r="EJ224">
        <v>0</v>
      </c>
      <c r="EK224">
        <v>0</v>
      </c>
      <c r="EM224">
        <v>0</v>
      </c>
      <c r="EN224">
        <v>660</v>
      </c>
      <c r="EO224">
        <v>660</v>
      </c>
      <c r="EP224">
        <v>659</v>
      </c>
      <c r="EQ224">
        <v>2000</v>
      </c>
      <c r="ER224">
        <v>21.24</v>
      </c>
      <c r="ES224">
        <v>0</v>
      </c>
      <c r="ET224">
        <v>0</v>
      </c>
      <c r="EU224">
        <v>0</v>
      </c>
      <c r="EW224">
        <v>0</v>
      </c>
      <c r="FA224">
        <v>0</v>
      </c>
      <c r="FE224">
        <v>0</v>
      </c>
      <c r="FI224">
        <v>0</v>
      </c>
      <c r="FJ224">
        <v>1978.76</v>
      </c>
      <c r="FK224">
        <v>-8995</v>
      </c>
      <c r="FL224">
        <v>-11460.606566964658</v>
      </c>
      <c r="FM224">
        <v>-10973.76</v>
      </c>
    </row>
    <row r="225" spans="5:166" x14ac:dyDescent="0.35">
      <c r="E225" s="43"/>
      <c r="L225" s="43" t="s">
        <v>259</v>
      </c>
      <c r="AH225" s="43" t="s">
        <v>259</v>
      </c>
      <c r="AI225" s="43" t="s">
        <v>259</v>
      </c>
      <c r="AJ225" s="43" t="s">
        <v>259</v>
      </c>
      <c r="AK225" s="43" t="s">
        <v>259</v>
      </c>
      <c r="AL225" s="43" t="s">
        <v>259</v>
      </c>
      <c r="AO225" s="23"/>
      <c r="AP225" s="23"/>
      <c r="AQ225" s="23"/>
      <c r="BD225" s="43" t="s">
        <v>259</v>
      </c>
      <c r="BE225" s="43" t="s">
        <v>259</v>
      </c>
      <c r="BF225" s="43" t="s">
        <v>259</v>
      </c>
      <c r="BG225" s="43" t="s">
        <v>259</v>
      </c>
      <c r="BH225" s="43" t="s">
        <v>259</v>
      </c>
      <c r="BI225" s="43" t="s">
        <v>259</v>
      </c>
      <c r="BJ225">
        <v>0</v>
      </c>
      <c r="BP225">
        <v>0</v>
      </c>
      <c r="BT225">
        <v>0</v>
      </c>
      <c r="BX225">
        <v>0</v>
      </c>
      <c r="CB225">
        <v>0</v>
      </c>
      <c r="CF225">
        <v>0</v>
      </c>
      <c r="CG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DF225">
        <v>0</v>
      </c>
      <c r="DG225">
        <v>0</v>
      </c>
      <c r="DH225">
        <v>0</v>
      </c>
      <c r="DN225">
        <v>0</v>
      </c>
      <c r="DO225">
        <v>0</v>
      </c>
      <c r="DP225">
        <v>0</v>
      </c>
      <c r="DR225">
        <v>0</v>
      </c>
      <c r="DS225">
        <v>0</v>
      </c>
      <c r="DT225">
        <v>0</v>
      </c>
      <c r="DY225">
        <v>0</v>
      </c>
      <c r="EC225">
        <v>0</v>
      </c>
      <c r="EH225">
        <v>0</v>
      </c>
      <c r="EI225">
        <v>0</v>
      </c>
      <c r="EJ225">
        <v>0</v>
      </c>
      <c r="EK225">
        <v>0</v>
      </c>
      <c r="EM225">
        <v>0</v>
      </c>
      <c r="EN225">
        <v>660</v>
      </c>
      <c r="EO225">
        <v>660</v>
      </c>
      <c r="EP225">
        <v>659</v>
      </c>
      <c r="EQ225">
        <v>2000</v>
      </c>
      <c r="ER225">
        <v>21.24</v>
      </c>
      <c r="ES225">
        <v>0</v>
      </c>
      <c r="ET225">
        <v>0</v>
      </c>
      <c r="EU225">
        <v>0</v>
      </c>
      <c r="EW225">
        <v>0</v>
      </c>
      <c r="FA225">
        <v>0</v>
      </c>
      <c r="FE225">
        <v>0</v>
      </c>
      <c r="FI225">
        <v>0</v>
      </c>
      <c r="FJ225">
        <v>1978.76</v>
      </c>
    </row>
    <row r="226" spans="5:166" x14ac:dyDescent="0.35">
      <c r="E226" s="43"/>
      <c r="L226" s="43" t="s">
        <v>259</v>
      </c>
      <c r="AH226" s="43" t="s">
        <v>259</v>
      </c>
      <c r="AI226" s="43" t="s">
        <v>259</v>
      </c>
      <c r="AJ226" s="43" t="s">
        <v>259</v>
      </c>
      <c r="AK226" s="43" t="s">
        <v>259</v>
      </c>
      <c r="AL226" s="43" t="s">
        <v>259</v>
      </c>
      <c r="AO226" s="23"/>
      <c r="AP226" s="23"/>
      <c r="AQ226" s="23"/>
      <c r="BD226" s="43" t="s">
        <v>259</v>
      </c>
      <c r="BE226" s="43" t="s">
        <v>259</v>
      </c>
      <c r="BF226" s="43" t="s">
        <v>259</v>
      </c>
      <c r="BG226" s="43" t="s">
        <v>259</v>
      </c>
      <c r="BH226" s="43" t="s">
        <v>259</v>
      </c>
      <c r="BI226" s="43" t="s">
        <v>259</v>
      </c>
      <c r="BJ226">
        <v>0</v>
      </c>
      <c r="BP226">
        <v>0</v>
      </c>
      <c r="BT226">
        <v>0</v>
      </c>
      <c r="BX226">
        <v>0</v>
      </c>
      <c r="CB226">
        <v>0</v>
      </c>
      <c r="CF226">
        <v>0</v>
      </c>
      <c r="CG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DF226">
        <v>0</v>
      </c>
      <c r="DG226">
        <v>0</v>
      </c>
      <c r="DH226">
        <v>0</v>
      </c>
      <c r="DN226">
        <v>0</v>
      </c>
      <c r="DO226">
        <v>0</v>
      </c>
      <c r="DP226">
        <v>0</v>
      </c>
      <c r="DR226">
        <v>0</v>
      </c>
      <c r="DS226">
        <v>0</v>
      </c>
      <c r="DT226">
        <v>0</v>
      </c>
      <c r="DY226">
        <v>0</v>
      </c>
      <c r="EC226">
        <v>0</v>
      </c>
      <c r="EH226">
        <v>0</v>
      </c>
      <c r="EI226">
        <v>0</v>
      </c>
      <c r="EJ226">
        <v>0</v>
      </c>
      <c r="EK226">
        <v>0</v>
      </c>
      <c r="EM226">
        <v>0</v>
      </c>
      <c r="EN226">
        <v>660</v>
      </c>
      <c r="EO226">
        <v>660</v>
      </c>
      <c r="EP226">
        <v>659</v>
      </c>
      <c r="EQ226">
        <v>2000</v>
      </c>
      <c r="ER226">
        <v>21.24</v>
      </c>
      <c r="ES226">
        <v>0</v>
      </c>
      <c r="ET226">
        <v>0</v>
      </c>
      <c r="EU226">
        <v>0</v>
      </c>
      <c r="EW226">
        <v>0</v>
      </c>
      <c r="FA226">
        <v>0</v>
      </c>
      <c r="FE226">
        <v>0</v>
      </c>
      <c r="FI226">
        <v>0</v>
      </c>
      <c r="FJ226">
        <v>1978.76</v>
      </c>
    </row>
    <row r="227" spans="5:166" x14ac:dyDescent="0.35">
      <c r="E227" s="43"/>
      <c r="L227" s="43" t="s">
        <v>259</v>
      </c>
      <c r="AH227" s="43" t="s">
        <v>259</v>
      </c>
      <c r="AI227" s="43" t="s">
        <v>259</v>
      </c>
      <c r="AJ227" s="43" t="s">
        <v>259</v>
      </c>
      <c r="AK227" s="43" t="s">
        <v>259</v>
      </c>
      <c r="AL227" s="43" t="s">
        <v>259</v>
      </c>
      <c r="AO227" s="23"/>
      <c r="AP227" s="23"/>
      <c r="AQ227" s="23"/>
      <c r="BD227" s="43" t="s">
        <v>259</v>
      </c>
      <c r="BE227" s="43" t="s">
        <v>259</v>
      </c>
      <c r="BF227" s="43" t="s">
        <v>259</v>
      </c>
      <c r="BG227" s="43" t="s">
        <v>259</v>
      </c>
      <c r="BH227" s="43" t="s">
        <v>259</v>
      </c>
      <c r="BI227" s="43" t="s">
        <v>259</v>
      </c>
      <c r="BJ227">
        <v>0</v>
      </c>
      <c r="BP227">
        <v>0</v>
      </c>
      <c r="BT227">
        <v>0</v>
      </c>
      <c r="BX227">
        <v>0</v>
      </c>
      <c r="CB227">
        <v>0</v>
      </c>
      <c r="CF227">
        <v>0</v>
      </c>
      <c r="CG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DF227">
        <v>0</v>
      </c>
      <c r="DG227">
        <v>0</v>
      </c>
      <c r="DH227">
        <v>0</v>
      </c>
      <c r="DN227">
        <v>0</v>
      </c>
      <c r="DO227">
        <v>0</v>
      </c>
      <c r="DP227">
        <v>0</v>
      </c>
      <c r="DR227">
        <v>0</v>
      </c>
      <c r="DS227">
        <v>0</v>
      </c>
      <c r="DT227">
        <v>0</v>
      </c>
      <c r="DY227">
        <v>0</v>
      </c>
      <c r="EC227">
        <v>0</v>
      </c>
      <c r="EH227">
        <v>0</v>
      </c>
      <c r="EI227">
        <v>0</v>
      </c>
      <c r="EJ227">
        <v>0</v>
      </c>
      <c r="EK227">
        <v>0</v>
      </c>
      <c r="EM227">
        <v>0</v>
      </c>
      <c r="EN227">
        <v>660</v>
      </c>
      <c r="EO227">
        <v>660</v>
      </c>
      <c r="EP227">
        <v>659</v>
      </c>
      <c r="EQ227">
        <v>2000</v>
      </c>
      <c r="ER227">
        <v>21.24</v>
      </c>
      <c r="ES227">
        <v>0</v>
      </c>
      <c r="ET227">
        <v>0</v>
      </c>
      <c r="EU227">
        <v>0</v>
      </c>
      <c r="EW227">
        <v>0</v>
      </c>
      <c r="FA227">
        <v>0</v>
      </c>
      <c r="FE227">
        <v>0</v>
      </c>
      <c r="FI227">
        <v>0</v>
      </c>
      <c r="FJ227">
        <v>1978.76</v>
      </c>
    </row>
    <row r="228" spans="5:166" x14ac:dyDescent="0.35">
      <c r="E228" s="43"/>
      <c r="L228" s="43"/>
      <c r="AH228" s="43"/>
      <c r="AI228" s="43"/>
      <c r="AJ228" s="43"/>
      <c r="AK228" s="43"/>
      <c r="AL228" s="43"/>
      <c r="AO228" s="23"/>
      <c r="AP228" s="23"/>
      <c r="AQ228" s="23"/>
      <c r="BD228" s="43"/>
      <c r="BE228" s="43"/>
      <c r="BF228" s="43"/>
      <c r="BG228" s="43"/>
      <c r="BH228" s="43"/>
      <c r="BI228" s="43"/>
    </row>
    <row r="229" spans="5:166" x14ac:dyDescent="0.35">
      <c r="E229" s="43"/>
      <c r="L229" s="43"/>
      <c r="AH229" s="43"/>
      <c r="AI229" s="43"/>
      <c r="AJ229" s="43"/>
      <c r="AK229" s="43"/>
      <c r="AL229" s="43"/>
      <c r="AO229" s="23"/>
      <c r="AP229" s="23"/>
      <c r="AQ229" s="23"/>
      <c r="BD229" s="43"/>
      <c r="BE229" s="43"/>
      <c r="BF229" s="43"/>
      <c r="BG229" s="43"/>
      <c r="BH229" s="43"/>
      <c r="BI229" s="43"/>
    </row>
    <row r="230" spans="5:166" x14ac:dyDescent="0.35">
      <c r="E230" s="43"/>
      <c r="L230" s="43"/>
      <c r="AH230" s="43"/>
      <c r="AI230" s="43"/>
      <c r="AJ230" s="43"/>
      <c r="AK230" s="43"/>
      <c r="AL230" s="43"/>
      <c r="AO230" s="23"/>
      <c r="AP230" s="23"/>
      <c r="AQ230" s="23"/>
      <c r="BD230" s="43"/>
      <c r="BE230" s="43"/>
      <c r="BF230" s="43"/>
      <c r="BG230" s="43"/>
      <c r="BH230" s="43"/>
      <c r="BI230" s="43"/>
    </row>
    <row r="231" spans="5:166" x14ac:dyDescent="0.35">
      <c r="E231" s="43"/>
      <c r="L231" s="43"/>
      <c r="AH231" s="43"/>
      <c r="AI231" s="43"/>
      <c r="AJ231" s="43"/>
      <c r="AK231" s="43"/>
      <c r="AL231" s="43"/>
      <c r="AO231" s="23"/>
      <c r="AP231" s="23"/>
      <c r="AQ231" s="23"/>
      <c r="BD231" s="43"/>
      <c r="BE231" s="43"/>
      <c r="BF231" s="43"/>
      <c r="BG231" s="43"/>
      <c r="BH231" s="43"/>
      <c r="BI231" s="43"/>
    </row>
    <row r="232" spans="5:166" x14ac:dyDescent="0.35">
      <c r="E232" s="43"/>
      <c r="L232" s="43"/>
      <c r="AH232" s="43"/>
      <c r="AI232" s="43"/>
      <c r="AJ232" s="43"/>
      <c r="AK232" s="43"/>
      <c r="AL232" s="43"/>
      <c r="AO232" s="23"/>
      <c r="AP232" s="23"/>
      <c r="AQ232" s="23"/>
      <c r="BD232" s="43"/>
      <c r="BE232" s="43"/>
      <c r="BF232" s="43"/>
      <c r="BG232" s="43"/>
      <c r="BH232" s="43"/>
      <c r="BI232" s="43"/>
    </row>
    <row r="233" spans="5:166" x14ac:dyDescent="0.35">
      <c r="E233" s="43"/>
      <c r="L233" s="43"/>
      <c r="AH233" s="43"/>
      <c r="AI233" s="43"/>
      <c r="AJ233" s="43"/>
      <c r="AK233" s="43"/>
      <c r="AL233" s="43"/>
      <c r="AO233" s="23"/>
      <c r="AP233" s="23"/>
      <c r="AQ233" s="23"/>
      <c r="BD233" s="43"/>
      <c r="BE233" s="43"/>
      <c r="BF233" s="43"/>
      <c r="BG233" s="43"/>
      <c r="BH233" s="43"/>
      <c r="BI233" s="43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C314-1F69-496A-84B0-BEE4980E083C}">
  <dimension ref="A1:FN264"/>
  <sheetViews>
    <sheetView topLeftCell="V1" workbookViewId="0">
      <selection activeCell="AO1" sqref="AO1"/>
    </sheetView>
  </sheetViews>
  <sheetFormatPr defaultRowHeight="14.5" x14ac:dyDescent="0.35"/>
  <cols>
    <col min="1" max="1" width="13.1796875" bestFit="1" customWidth="1"/>
    <col min="2" max="2" width="17.1796875" bestFit="1" customWidth="1"/>
    <col min="3" max="3" width="11.6328125" bestFit="1" customWidth="1"/>
    <col min="4" max="4" width="25" bestFit="1" customWidth="1"/>
    <col min="5" max="5" width="24.54296875" bestFit="1" customWidth="1"/>
    <col min="6" max="6" width="10.26953125" bestFit="1" customWidth="1"/>
    <col min="7" max="7" width="14.6328125" bestFit="1" customWidth="1"/>
    <col min="8" max="8" width="10.453125" bestFit="1" customWidth="1"/>
    <col min="9" max="9" width="10.81640625" bestFit="1" customWidth="1"/>
    <col min="10" max="10" width="34.90625" bestFit="1" customWidth="1"/>
    <col min="11" max="11" width="7.54296875" bestFit="1" customWidth="1"/>
    <col min="12" max="12" width="5.7265625" bestFit="1" customWidth="1"/>
    <col min="13" max="13" width="36.6328125" bestFit="1" customWidth="1"/>
    <col min="14" max="14" width="34.1796875" bestFit="1" customWidth="1"/>
    <col min="15" max="15" width="20.90625" bestFit="1" customWidth="1"/>
    <col min="16" max="16" width="7.36328125" bestFit="1" customWidth="1"/>
    <col min="17" max="17" width="10.453125" bestFit="1" customWidth="1"/>
    <col min="18" max="18" width="8.81640625" bestFit="1" customWidth="1"/>
    <col min="19" max="19" width="14.1796875" bestFit="1" customWidth="1"/>
    <col min="20" max="20" width="6.26953125" bestFit="1" customWidth="1"/>
    <col min="21" max="21" width="11.6328125" bestFit="1" customWidth="1"/>
    <col min="22" max="22" width="10.54296875" bestFit="1" customWidth="1"/>
    <col min="23" max="23" width="11.90625" bestFit="1" customWidth="1"/>
    <col min="24" max="24" width="20.36328125" bestFit="1" customWidth="1"/>
    <col min="25" max="25" width="11.7265625" bestFit="1" customWidth="1"/>
    <col min="26" max="26" width="19.90625" bestFit="1" customWidth="1"/>
    <col min="27" max="27" width="18.36328125" bestFit="1" customWidth="1"/>
    <col min="28" max="28" width="5.81640625" bestFit="1" customWidth="1"/>
    <col min="29" max="29" width="5.7265625" bestFit="1" customWidth="1"/>
    <col min="30" max="30" width="12.26953125" bestFit="1" customWidth="1"/>
    <col min="31" max="31" width="11.1796875" bestFit="1" customWidth="1"/>
    <col min="32" max="32" width="7.26953125" bestFit="1" customWidth="1"/>
    <col min="33" max="33" width="11.26953125" bestFit="1" customWidth="1"/>
    <col min="34" max="34" width="9.6328125" bestFit="1" customWidth="1"/>
    <col min="35" max="35" width="6.81640625" bestFit="1" customWidth="1"/>
    <col min="36" max="36" width="10.453125" bestFit="1" customWidth="1"/>
    <col min="37" max="37" width="9.1796875" bestFit="1" customWidth="1"/>
    <col min="38" max="38" width="9.81640625" bestFit="1" customWidth="1"/>
    <col min="39" max="39" width="10.453125" bestFit="1" customWidth="1"/>
    <col min="40" max="40" width="11" bestFit="1" customWidth="1"/>
    <col min="41" max="43" width="10.453125" bestFit="1" customWidth="1"/>
    <col min="44" max="44" width="5.1796875" bestFit="1" customWidth="1"/>
    <col min="45" max="45" width="8.08984375" bestFit="1" customWidth="1"/>
    <col min="46" max="47" width="6.36328125" bestFit="1" customWidth="1"/>
    <col min="48" max="48" width="9.90625" bestFit="1" customWidth="1"/>
    <col min="49" max="49" width="8.26953125" bestFit="1" customWidth="1"/>
    <col min="50" max="50" width="9.6328125" bestFit="1" customWidth="1"/>
    <col min="51" max="51" width="6.26953125" bestFit="1" customWidth="1"/>
    <col min="52" max="52" width="8.81640625" bestFit="1" customWidth="1"/>
    <col min="53" max="53" width="11.453125" bestFit="1" customWidth="1"/>
    <col min="54" max="54" width="9" bestFit="1" customWidth="1"/>
    <col min="55" max="55" width="8.6328125" bestFit="1" customWidth="1"/>
    <col min="56" max="56" width="11.26953125" bestFit="1" customWidth="1"/>
    <col min="57" max="57" width="12.81640625" bestFit="1" customWidth="1"/>
    <col min="58" max="58" width="13" bestFit="1" customWidth="1"/>
    <col min="59" max="59" width="6.7265625" bestFit="1" customWidth="1"/>
    <col min="60" max="60" width="6.453125" bestFit="1" customWidth="1"/>
    <col min="61" max="61" width="9.81640625" bestFit="1" customWidth="1"/>
    <col min="62" max="62" width="12.6328125" bestFit="1" customWidth="1"/>
    <col min="63" max="63" width="9.453125" bestFit="1" customWidth="1"/>
    <col min="64" max="64" width="8.453125" bestFit="1" customWidth="1"/>
    <col min="65" max="67" width="8.81640625" bestFit="1" customWidth="1"/>
    <col min="68" max="68" width="9.26953125" bestFit="1" customWidth="1"/>
    <col min="69" max="71" width="8.90625" bestFit="1" customWidth="1"/>
    <col min="72" max="72" width="9.36328125" bestFit="1" customWidth="1"/>
    <col min="73" max="75" width="9.7265625" bestFit="1" customWidth="1"/>
    <col min="76" max="76" width="10.1796875" bestFit="1" customWidth="1"/>
    <col min="77" max="79" width="7.26953125" bestFit="1" customWidth="1"/>
    <col min="80" max="80" width="7.7265625" bestFit="1" customWidth="1"/>
    <col min="81" max="83" width="12.36328125" bestFit="1" customWidth="1"/>
    <col min="84" max="84" width="12.81640625" bestFit="1" customWidth="1"/>
    <col min="85" max="85" width="9.6328125" bestFit="1" customWidth="1"/>
    <col min="86" max="88" width="10" bestFit="1" customWidth="1"/>
    <col min="89" max="89" width="10.453125" bestFit="1" customWidth="1"/>
    <col min="90" max="92" width="8.453125" bestFit="1" customWidth="1"/>
    <col min="93" max="93" width="8.90625" bestFit="1" customWidth="1"/>
    <col min="94" max="96" width="10.90625" bestFit="1" customWidth="1"/>
    <col min="97" max="97" width="11.36328125" bestFit="1" customWidth="1"/>
    <col min="98" max="100" width="9" bestFit="1" customWidth="1"/>
    <col min="101" max="101" width="9.453125" bestFit="1" customWidth="1"/>
    <col min="102" max="104" width="7.7265625" bestFit="1" customWidth="1"/>
    <col min="105" max="105" width="8.1796875" bestFit="1" customWidth="1"/>
    <col min="106" max="108" width="8.81640625" bestFit="1" customWidth="1"/>
    <col min="109" max="109" width="9.26953125" bestFit="1" customWidth="1"/>
    <col min="110" max="112" width="8.08984375" bestFit="1" customWidth="1"/>
    <col min="113" max="113" width="8.54296875" bestFit="1" customWidth="1"/>
    <col min="114" max="116" width="9.26953125" bestFit="1" customWidth="1"/>
    <col min="117" max="117" width="9.7265625" bestFit="1" customWidth="1"/>
    <col min="118" max="120" width="8.90625" bestFit="1" customWidth="1"/>
    <col min="121" max="121" width="9.36328125" bestFit="1" customWidth="1"/>
    <col min="122" max="124" width="8.6328125" bestFit="1" customWidth="1"/>
    <col min="125" max="125" width="9.08984375" bestFit="1" customWidth="1"/>
    <col min="126" max="128" width="7.81640625" bestFit="1" customWidth="1"/>
    <col min="129" max="129" width="8.26953125" bestFit="1" customWidth="1"/>
    <col min="130" max="132" width="13.453125" bestFit="1" customWidth="1"/>
    <col min="133" max="133" width="13.90625" bestFit="1" customWidth="1"/>
    <col min="134" max="134" width="9" bestFit="1" customWidth="1"/>
    <col min="135" max="137" width="9.453125" bestFit="1" customWidth="1"/>
    <col min="138" max="138" width="9.90625" bestFit="1" customWidth="1"/>
    <col min="139" max="141" width="8.54296875" bestFit="1" customWidth="1"/>
    <col min="142" max="142" width="9" bestFit="1" customWidth="1"/>
    <col min="143" max="143" width="9.08984375" bestFit="1" customWidth="1"/>
    <col min="144" max="146" width="10.81640625" bestFit="1" customWidth="1"/>
    <col min="147" max="147" width="11.26953125" bestFit="1" customWidth="1"/>
    <col min="148" max="148" width="11.36328125" bestFit="1" customWidth="1"/>
    <col min="149" max="151" width="9.54296875" bestFit="1" customWidth="1"/>
    <col min="152" max="152" width="10" bestFit="1" customWidth="1"/>
    <col min="153" max="153" width="10.81640625" bestFit="1" customWidth="1"/>
    <col min="154" max="156" width="8.6328125" bestFit="1" customWidth="1"/>
    <col min="157" max="157" width="9.08984375" bestFit="1" customWidth="1"/>
    <col min="158" max="160" width="7.81640625" bestFit="1" customWidth="1"/>
    <col min="161" max="161" width="8.26953125" bestFit="1" customWidth="1"/>
    <col min="162" max="164" width="11" bestFit="1" customWidth="1"/>
    <col min="165" max="165" width="11.453125" bestFit="1" customWidth="1"/>
    <col min="166" max="166" width="12.7265625" bestFit="1" customWidth="1"/>
    <col min="167" max="167" width="9.81640625" bestFit="1" customWidth="1"/>
    <col min="168" max="168" width="12.453125" bestFit="1" customWidth="1"/>
    <col min="169" max="169" width="10.81640625" bestFit="1" customWidth="1"/>
    <col min="170" max="170" width="6.54296875" bestFit="1" customWidth="1"/>
  </cols>
  <sheetData>
    <row r="1" spans="1:170" x14ac:dyDescent="0.35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11</v>
      </c>
      <c r="K1" t="s">
        <v>106</v>
      </c>
      <c r="L1" t="s">
        <v>107</v>
      </c>
      <c r="M1" t="s">
        <v>108</v>
      </c>
      <c r="N1" t="s">
        <v>1706</v>
      </c>
      <c r="O1" t="s">
        <v>1707</v>
      </c>
      <c r="P1" t="s">
        <v>1708</v>
      </c>
      <c r="Q1" t="s">
        <v>1709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118</v>
      </c>
      <c r="X1" t="s">
        <v>119</v>
      </c>
      <c r="Y1" t="s">
        <v>120</v>
      </c>
      <c r="Z1" t="s">
        <v>121</v>
      </c>
      <c r="AA1" t="s">
        <v>122</v>
      </c>
      <c r="AB1" t="s">
        <v>123</v>
      </c>
      <c r="AC1" t="s">
        <v>124</v>
      </c>
      <c r="AD1" t="s">
        <v>125</v>
      </c>
      <c r="AE1" t="s">
        <v>126</v>
      </c>
      <c r="AF1" t="s">
        <v>127</v>
      </c>
      <c r="AG1" t="s">
        <v>128</v>
      </c>
      <c r="AH1" t="s">
        <v>129</v>
      </c>
      <c r="AI1" t="s">
        <v>130</v>
      </c>
      <c r="AJ1" t="s">
        <v>131</v>
      </c>
      <c r="AK1" t="s">
        <v>25</v>
      </c>
      <c r="AL1" t="s">
        <v>132</v>
      </c>
      <c r="AM1" t="s">
        <v>133</v>
      </c>
      <c r="AN1" t="s">
        <v>27</v>
      </c>
      <c r="AO1" t="s">
        <v>54</v>
      </c>
      <c r="AP1" t="s">
        <v>29</v>
      </c>
      <c r="AQ1" t="s">
        <v>30</v>
      </c>
      <c r="AR1" t="s">
        <v>32</v>
      </c>
      <c r="AS1" t="s">
        <v>34</v>
      </c>
      <c r="AT1" t="s">
        <v>36</v>
      </c>
      <c r="AU1" t="s">
        <v>38</v>
      </c>
      <c r="AV1" t="s">
        <v>40</v>
      </c>
      <c r="AW1" t="s">
        <v>42</v>
      </c>
      <c r="AX1" t="s">
        <v>44</v>
      </c>
      <c r="AY1" t="s">
        <v>46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147</v>
      </c>
      <c r="BN1" t="s">
        <v>148</v>
      </c>
      <c r="BO1" t="s">
        <v>149</v>
      </c>
      <c r="BP1" t="s">
        <v>150</v>
      </c>
      <c r="BQ1" t="s">
        <v>151</v>
      </c>
      <c r="BR1" t="s">
        <v>152</v>
      </c>
      <c r="BS1" t="s">
        <v>153</v>
      </c>
      <c r="BT1" t="s">
        <v>154</v>
      </c>
      <c r="BU1" t="s">
        <v>155</v>
      </c>
      <c r="BV1" t="s">
        <v>156</v>
      </c>
      <c r="BW1" t="s">
        <v>157</v>
      </c>
      <c r="BX1" t="s">
        <v>158</v>
      </c>
      <c r="BY1" t="s">
        <v>159</v>
      </c>
      <c r="BZ1" t="s">
        <v>160</v>
      </c>
      <c r="CA1" t="s">
        <v>161</v>
      </c>
      <c r="CB1" t="s">
        <v>162</v>
      </c>
      <c r="CC1" t="s">
        <v>163</v>
      </c>
      <c r="CD1" t="s">
        <v>164</v>
      </c>
      <c r="CE1" t="s">
        <v>165</v>
      </c>
      <c r="CF1" t="s">
        <v>166</v>
      </c>
      <c r="CG1" t="s">
        <v>167</v>
      </c>
      <c r="CH1" t="s">
        <v>168</v>
      </c>
      <c r="CI1" t="s">
        <v>169</v>
      </c>
      <c r="CJ1" t="s">
        <v>170</v>
      </c>
      <c r="CK1" t="s">
        <v>171</v>
      </c>
      <c r="CL1" t="s">
        <v>172</v>
      </c>
      <c r="CM1" t="s">
        <v>173</v>
      </c>
      <c r="CN1" t="s">
        <v>174</v>
      </c>
      <c r="CO1" t="s">
        <v>175</v>
      </c>
      <c r="CP1" t="s">
        <v>176</v>
      </c>
      <c r="CQ1" t="s">
        <v>177</v>
      </c>
      <c r="CR1" t="s">
        <v>178</v>
      </c>
      <c r="CS1" t="s">
        <v>179</v>
      </c>
      <c r="CT1" t="s">
        <v>180</v>
      </c>
      <c r="CU1" t="s">
        <v>181</v>
      </c>
      <c r="CV1" t="s">
        <v>182</v>
      </c>
      <c r="CW1" t="s">
        <v>183</v>
      </c>
      <c r="CX1" t="s">
        <v>184</v>
      </c>
      <c r="CY1" t="s">
        <v>185</v>
      </c>
      <c r="CZ1" t="s">
        <v>186</v>
      </c>
      <c r="DA1" t="s">
        <v>187</v>
      </c>
      <c r="DB1" t="s">
        <v>188</v>
      </c>
      <c r="DC1" t="s">
        <v>189</v>
      </c>
      <c r="DD1" t="s">
        <v>190</v>
      </c>
      <c r="DE1" t="s">
        <v>191</v>
      </c>
      <c r="DF1" t="s">
        <v>192</v>
      </c>
      <c r="DG1" t="s">
        <v>193</v>
      </c>
      <c r="DH1" t="s">
        <v>194</v>
      </c>
      <c r="DI1" t="s">
        <v>195</v>
      </c>
      <c r="DJ1" t="s">
        <v>196</v>
      </c>
      <c r="DK1" t="s">
        <v>197</v>
      </c>
      <c r="DL1" t="s">
        <v>198</v>
      </c>
      <c r="DM1" t="s">
        <v>199</v>
      </c>
      <c r="DN1" t="s">
        <v>200</v>
      </c>
      <c r="DO1" t="s">
        <v>201</v>
      </c>
      <c r="DP1" t="s">
        <v>202</v>
      </c>
      <c r="DQ1" t="s">
        <v>203</v>
      </c>
      <c r="DR1" t="s">
        <v>204</v>
      </c>
      <c r="DS1" t="s">
        <v>205</v>
      </c>
      <c r="DT1" t="s">
        <v>206</v>
      </c>
      <c r="DU1" t="s">
        <v>207</v>
      </c>
      <c r="DV1" t="s">
        <v>208</v>
      </c>
      <c r="DW1" t="s">
        <v>209</v>
      </c>
      <c r="DX1" t="s">
        <v>210</v>
      </c>
      <c r="DY1" t="s">
        <v>211</v>
      </c>
      <c r="DZ1" t="s">
        <v>212</v>
      </c>
      <c r="EA1" t="s">
        <v>213</v>
      </c>
      <c r="EB1" t="s">
        <v>214</v>
      </c>
      <c r="EC1" t="s">
        <v>215</v>
      </c>
      <c r="ED1" t="s">
        <v>216</v>
      </c>
      <c r="EE1" t="s">
        <v>217</v>
      </c>
      <c r="EF1" t="s">
        <v>218</v>
      </c>
      <c r="EG1" t="s">
        <v>219</v>
      </c>
      <c r="EH1" t="s">
        <v>220</v>
      </c>
      <c r="EI1" t="s">
        <v>221</v>
      </c>
      <c r="EJ1" t="s">
        <v>222</v>
      </c>
      <c r="EK1" t="s">
        <v>223</v>
      </c>
      <c r="EL1" t="s">
        <v>224</v>
      </c>
      <c r="EM1" t="s">
        <v>225</v>
      </c>
      <c r="EN1" t="s">
        <v>226</v>
      </c>
      <c r="EO1" t="s">
        <v>227</v>
      </c>
      <c r="EP1" t="s">
        <v>228</v>
      </c>
      <c r="EQ1" t="s">
        <v>229</v>
      </c>
      <c r="ER1" t="s">
        <v>230</v>
      </c>
      <c r="ES1" t="s">
        <v>231</v>
      </c>
      <c r="ET1" t="s">
        <v>232</v>
      </c>
      <c r="EU1" t="s">
        <v>233</v>
      </c>
      <c r="EV1" t="s">
        <v>234</v>
      </c>
      <c r="EW1" t="s">
        <v>235</v>
      </c>
      <c r="EX1" t="s">
        <v>236</v>
      </c>
      <c r="EY1" t="s">
        <v>237</v>
      </c>
      <c r="EZ1" t="s">
        <v>238</v>
      </c>
      <c r="FA1" t="s">
        <v>239</v>
      </c>
      <c r="FB1" t="s">
        <v>240</v>
      </c>
      <c r="FC1" t="s">
        <v>241</v>
      </c>
      <c r="FD1" t="s">
        <v>242</v>
      </c>
      <c r="FE1" t="s">
        <v>243</v>
      </c>
      <c r="FF1" t="s">
        <v>244</v>
      </c>
      <c r="FG1" t="s">
        <v>245</v>
      </c>
      <c r="FH1" t="s">
        <v>246</v>
      </c>
      <c r="FI1" t="s">
        <v>247</v>
      </c>
      <c r="FJ1" t="s">
        <v>248</v>
      </c>
      <c r="FK1" t="s">
        <v>249</v>
      </c>
      <c r="FL1" t="s">
        <v>250</v>
      </c>
      <c r="FM1" t="s">
        <v>251</v>
      </c>
      <c r="FN1" t="s">
        <v>1710</v>
      </c>
    </row>
    <row r="2" spans="1:170" x14ac:dyDescent="0.35">
      <c r="A2">
        <v>197610</v>
      </c>
      <c r="B2" s="43" t="s">
        <v>1711</v>
      </c>
      <c r="C2" s="43" t="s">
        <v>1712</v>
      </c>
      <c r="D2" s="43" t="s">
        <v>1713</v>
      </c>
      <c r="E2" s="43" t="s">
        <v>1714</v>
      </c>
      <c r="F2">
        <v>1</v>
      </c>
      <c r="H2" s="23"/>
      <c r="I2">
        <v>43804</v>
      </c>
      <c r="J2" s="43" t="s">
        <v>3304</v>
      </c>
      <c r="K2" s="43" t="s">
        <v>1715</v>
      </c>
      <c r="L2" s="43" t="s">
        <v>3204</v>
      </c>
      <c r="M2" s="43" t="s">
        <v>1716</v>
      </c>
      <c r="N2" s="43" t="s">
        <v>1717</v>
      </c>
      <c r="O2" s="43" t="s">
        <v>462</v>
      </c>
      <c r="P2" s="43" t="s">
        <v>342</v>
      </c>
      <c r="Q2" s="43" t="s">
        <v>463</v>
      </c>
      <c r="R2">
        <v>3.1</v>
      </c>
      <c r="S2" s="23">
        <v>44109</v>
      </c>
      <c r="T2" s="43" t="s">
        <v>285</v>
      </c>
      <c r="U2" s="43" t="s">
        <v>266</v>
      </c>
      <c r="V2" s="43" t="s">
        <v>267</v>
      </c>
      <c r="W2" s="43" t="s">
        <v>1718</v>
      </c>
      <c r="X2" s="43" t="s">
        <v>1719</v>
      </c>
      <c r="Y2">
        <v>8772802835</v>
      </c>
      <c r="Z2" s="43" t="s">
        <v>270</v>
      </c>
      <c r="AA2" s="43" t="s">
        <v>271</v>
      </c>
      <c r="AB2">
        <v>0</v>
      </c>
      <c r="AC2">
        <v>1080</v>
      </c>
      <c r="AD2">
        <v>102</v>
      </c>
      <c r="AE2" s="43" t="s">
        <v>301</v>
      </c>
      <c r="AF2">
        <v>1</v>
      </c>
      <c r="AG2" s="43" t="s">
        <v>275</v>
      </c>
      <c r="AH2">
        <v>0</v>
      </c>
      <c r="AI2">
        <v>0</v>
      </c>
      <c r="AJ2" s="23">
        <v>43774</v>
      </c>
      <c r="AK2" s="43" t="s">
        <v>1715</v>
      </c>
      <c r="AL2" s="43" t="s">
        <v>259</v>
      </c>
      <c r="AM2" s="23"/>
      <c r="AN2" s="23"/>
      <c r="AO2" s="23"/>
      <c r="AP2" s="23"/>
      <c r="AQ2" s="23"/>
      <c r="BB2" s="43"/>
      <c r="BC2" s="43" t="s">
        <v>259</v>
      </c>
      <c r="BD2" s="43" t="s">
        <v>259</v>
      </c>
      <c r="BE2" s="43" t="s">
        <v>2018</v>
      </c>
      <c r="BF2" s="43" t="s">
        <v>2018</v>
      </c>
      <c r="BG2" s="43" t="s">
        <v>2018</v>
      </c>
      <c r="BH2" t="s">
        <v>2018</v>
      </c>
      <c r="BI2" s="43" t="s">
        <v>259</v>
      </c>
      <c r="BJ2">
        <v>0</v>
      </c>
      <c r="BK2" s="23">
        <v>44109</v>
      </c>
      <c r="BL2" s="23">
        <v>44356</v>
      </c>
      <c r="BM2">
        <v>8505</v>
      </c>
      <c r="BN2">
        <v>8505</v>
      </c>
      <c r="BO2">
        <v>8505</v>
      </c>
      <c r="BP2">
        <v>25515</v>
      </c>
      <c r="BQ2">
        <v>3300</v>
      </c>
      <c r="BR2">
        <v>400</v>
      </c>
      <c r="BS2">
        <v>400</v>
      </c>
      <c r="BT2">
        <v>4100</v>
      </c>
      <c r="BU2">
        <v>2100</v>
      </c>
      <c r="BV2">
        <v>2100</v>
      </c>
      <c r="BW2">
        <v>2100</v>
      </c>
      <c r="BX2">
        <v>6300</v>
      </c>
      <c r="BY2">
        <v>1200</v>
      </c>
      <c r="BZ2">
        <v>1200</v>
      </c>
      <c r="CA2">
        <v>1200</v>
      </c>
      <c r="CB2">
        <v>3600</v>
      </c>
      <c r="CC2">
        <v>0</v>
      </c>
      <c r="CD2">
        <v>0</v>
      </c>
      <c r="CE2">
        <v>0</v>
      </c>
      <c r="CF2">
        <v>0</v>
      </c>
      <c r="CG2">
        <v>39515</v>
      </c>
      <c r="CH2">
        <v>0</v>
      </c>
      <c r="CI2">
        <v>0</v>
      </c>
      <c r="CJ2">
        <v>0</v>
      </c>
      <c r="CK2">
        <v>0</v>
      </c>
      <c r="CL2">
        <v>2065</v>
      </c>
      <c r="CM2">
        <v>2065</v>
      </c>
      <c r="CN2">
        <v>2065</v>
      </c>
      <c r="CO2">
        <v>6195</v>
      </c>
      <c r="CP2">
        <v>500</v>
      </c>
      <c r="CQ2">
        <v>500</v>
      </c>
      <c r="CR2">
        <v>500</v>
      </c>
      <c r="CS2">
        <v>1500</v>
      </c>
      <c r="CT2">
        <v>1700</v>
      </c>
      <c r="CU2">
        <v>1700</v>
      </c>
      <c r="CV2">
        <v>1700</v>
      </c>
      <c r="CW2">
        <v>5100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12795</v>
      </c>
      <c r="EE2">
        <v>0</v>
      </c>
      <c r="EF2">
        <v>0</v>
      </c>
      <c r="EG2">
        <v>0</v>
      </c>
      <c r="EH2">
        <v>0</v>
      </c>
      <c r="EI2">
        <v>1154</v>
      </c>
      <c r="EJ2">
        <v>1154</v>
      </c>
      <c r="EK2">
        <v>1155</v>
      </c>
      <c r="EL2">
        <v>3500</v>
      </c>
      <c r="EM2">
        <v>37.065000000000005</v>
      </c>
      <c r="EN2">
        <v>660</v>
      </c>
      <c r="EO2">
        <v>660</v>
      </c>
      <c r="EP2">
        <v>660</v>
      </c>
      <c r="EQ2">
        <v>2000</v>
      </c>
      <c r="ER2">
        <v>21.18</v>
      </c>
      <c r="ES2">
        <v>0</v>
      </c>
      <c r="ET2">
        <v>0</v>
      </c>
      <c r="EU2">
        <v>0</v>
      </c>
      <c r="EV2">
        <v>0</v>
      </c>
      <c r="EW2">
        <v>0</v>
      </c>
      <c r="FA2">
        <v>0</v>
      </c>
      <c r="FE2">
        <v>0</v>
      </c>
      <c r="FI2">
        <v>0</v>
      </c>
      <c r="FJ2">
        <v>5441.7550000000001</v>
      </c>
      <c r="FK2">
        <v>26720</v>
      </c>
      <c r="FL2">
        <v>22219.461384236245</v>
      </c>
      <c r="FM2">
        <v>21278.244999999999</v>
      </c>
    </row>
    <row r="3" spans="1:170" x14ac:dyDescent="0.35">
      <c r="A3">
        <v>198044</v>
      </c>
      <c r="B3" s="43" t="s">
        <v>1720</v>
      </c>
      <c r="C3" s="43" t="s">
        <v>1721</v>
      </c>
      <c r="D3" s="43" t="s">
        <v>1722</v>
      </c>
      <c r="E3" s="43" t="s">
        <v>1723</v>
      </c>
      <c r="F3">
        <v>1</v>
      </c>
      <c r="G3">
        <v>43775</v>
      </c>
      <c r="H3" s="23">
        <v>43780</v>
      </c>
      <c r="I3">
        <v>43780</v>
      </c>
      <c r="J3" s="43" t="s">
        <v>3421</v>
      </c>
      <c r="K3" s="43" t="s">
        <v>1715</v>
      </c>
      <c r="L3" s="43" t="s">
        <v>3204</v>
      </c>
      <c r="M3" s="43" t="s">
        <v>1724</v>
      </c>
      <c r="N3" s="43" t="s">
        <v>1725</v>
      </c>
      <c r="O3" s="43" t="s">
        <v>462</v>
      </c>
      <c r="P3" s="43" t="s">
        <v>342</v>
      </c>
      <c r="Q3" s="43" t="s">
        <v>1726</v>
      </c>
      <c r="R3">
        <v>3.9569999999999999</v>
      </c>
      <c r="S3" s="23">
        <v>44109</v>
      </c>
      <c r="T3" s="43" t="s">
        <v>311</v>
      </c>
      <c r="U3" s="43" t="s">
        <v>286</v>
      </c>
      <c r="V3" s="43" t="s">
        <v>267</v>
      </c>
      <c r="W3" s="43" t="s">
        <v>1718</v>
      </c>
      <c r="X3" s="43" t="s">
        <v>1719</v>
      </c>
      <c r="Y3">
        <v>8772802835</v>
      </c>
      <c r="Z3" s="43" t="s">
        <v>270</v>
      </c>
      <c r="AA3" s="43" t="s">
        <v>271</v>
      </c>
      <c r="AB3">
        <v>0</v>
      </c>
      <c r="AC3">
        <v>1230</v>
      </c>
      <c r="AD3">
        <v>126</v>
      </c>
      <c r="AE3" s="43" t="s">
        <v>301</v>
      </c>
      <c r="AF3">
        <v>1</v>
      </c>
      <c r="AG3" s="43" t="s">
        <v>275</v>
      </c>
      <c r="AH3">
        <v>6027</v>
      </c>
      <c r="AI3">
        <v>6027</v>
      </c>
      <c r="AJ3" s="23">
        <v>43774</v>
      </c>
      <c r="AK3" s="43" t="s">
        <v>3208</v>
      </c>
      <c r="AL3" s="43" t="s">
        <v>3209</v>
      </c>
      <c r="AM3" s="23">
        <v>43780</v>
      </c>
      <c r="AN3" s="23">
        <v>43780</v>
      </c>
      <c r="AO3" s="23">
        <v>43780</v>
      </c>
      <c r="AP3" s="23"/>
      <c r="AQ3" s="23"/>
      <c r="BB3" s="43"/>
      <c r="BC3" s="43" t="s">
        <v>2018</v>
      </c>
      <c r="BD3" s="43" t="s">
        <v>2018</v>
      </c>
      <c r="BE3" s="43" t="s">
        <v>2018</v>
      </c>
      <c r="BF3" s="43" t="s">
        <v>2018</v>
      </c>
      <c r="BG3" s="43" t="s">
        <v>2018</v>
      </c>
      <c r="BH3" t="s">
        <v>2018</v>
      </c>
      <c r="BI3" s="43" t="s">
        <v>2018</v>
      </c>
      <c r="BJ3">
        <v>0.1875</v>
      </c>
      <c r="BK3" s="23">
        <v>44109</v>
      </c>
      <c r="BL3" s="23">
        <v>44356</v>
      </c>
      <c r="BM3">
        <v>8505</v>
      </c>
      <c r="BN3">
        <v>8505</v>
      </c>
      <c r="BO3">
        <v>8505</v>
      </c>
      <c r="BP3">
        <v>25515</v>
      </c>
      <c r="BQ3">
        <v>3300</v>
      </c>
      <c r="BR3">
        <v>400</v>
      </c>
      <c r="BS3">
        <v>400</v>
      </c>
      <c r="BT3">
        <v>4100</v>
      </c>
      <c r="BU3">
        <v>2100</v>
      </c>
      <c r="BV3">
        <v>2100</v>
      </c>
      <c r="BW3">
        <v>2100</v>
      </c>
      <c r="BX3">
        <v>6300</v>
      </c>
      <c r="BY3">
        <v>1050</v>
      </c>
      <c r="BZ3">
        <v>1050</v>
      </c>
      <c r="CA3">
        <v>1050</v>
      </c>
      <c r="CB3">
        <v>3150</v>
      </c>
      <c r="CC3">
        <v>0</v>
      </c>
      <c r="CD3">
        <v>0</v>
      </c>
      <c r="CE3">
        <v>0</v>
      </c>
      <c r="CF3">
        <v>0</v>
      </c>
      <c r="CG3">
        <v>39065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1700</v>
      </c>
      <c r="CU3">
        <v>1700</v>
      </c>
      <c r="CV3">
        <v>1700</v>
      </c>
      <c r="CW3">
        <v>5100</v>
      </c>
      <c r="CX3">
        <v>0</v>
      </c>
      <c r="CY3">
        <v>0</v>
      </c>
      <c r="CZ3">
        <v>0</v>
      </c>
      <c r="DA3">
        <v>0</v>
      </c>
      <c r="DB3">
        <v>1000</v>
      </c>
      <c r="DC3">
        <v>1000</v>
      </c>
      <c r="DD3">
        <v>1000</v>
      </c>
      <c r="DE3">
        <v>3000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8100</v>
      </c>
      <c r="EE3">
        <v>0</v>
      </c>
      <c r="EF3">
        <v>0</v>
      </c>
      <c r="EG3">
        <v>0</v>
      </c>
      <c r="EH3">
        <v>0</v>
      </c>
      <c r="EI3">
        <v>1154</v>
      </c>
      <c r="EJ3">
        <v>1154</v>
      </c>
      <c r="EK3">
        <v>1155</v>
      </c>
      <c r="EL3">
        <v>3500</v>
      </c>
      <c r="EM3">
        <v>37.065000000000005</v>
      </c>
      <c r="EN3">
        <v>660</v>
      </c>
      <c r="EO3">
        <v>660</v>
      </c>
      <c r="EP3">
        <v>660</v>
      </c>
      <c r="EQ3">
        <v>2000</v>
      </c>
      <c r="ER3">
        <v>21.18</v>
      </c>
      <c r="ES3">
        <v>8523</v>
      </c>
      <c r="ET3">
        <v>8523</v>
      </c>
      <c r="EU3">
        <v>8523</v>
      </c>
      <c r="EV3">
        <v>26652</v>
      </c>
      <c r="EW3">
        <v>1128.9787200000001</v>
      </c>
      <c r="FA3">
        <v>0</v>
      </c>
      <c r="FE3">
        <v>0</v>
      </c>
      <c r="FI3">
        <v>0</v>
      </c>
      <c r="FJ3">
        <v>30964.776280000002</v>
      </c>
      <c r="FK3">
        <v>30965</v>
      </c>
      <c r="FL3">
        <v>0.2336159725973628</v>
      </c>
      <c r="FM3">
        <v>0.22371999999813852</v>
      </c>
    </row>
    <row r="4" spans="1:170" x14ac:dyDescent="0.35">
      <c r="A4">
        <v>198104</v>
      </c>
      <c r="B4" s="43" t="s">
        <v>1727</v>
      </c>
      <c r="C4" s="43" t="s">
        <v>1728</v>
      </c>
      <c r="D4" s="43" t="s">
        <v>1729</v>
      </c>
      <c r="E4" s="43" t="s">
        <v>1730</v>
      </c>
      <c r="F4">
        <v>1</v>
      </c>
      <c r="H4" s="23"/>
      <c r="I4">
        <v>43804</v>
      </c>
      <c r="J4" s="43" t="s">
        <v>4241</v>
      </c>
      <c r="K4" s="43" t="s">
        <v>1715</v>
      </c>
      <c r="L4" s="43" t="s">
        <v>259</v>
      </c>
      <c r="M4" s="43" t="s">
        <v>1731</v>
      </c>
      <c r="N4" s="43" t="s">
        <v>1732</v>
      </c>
      <c r="O4" s="43" t="s">
        <v>1733</v>
      </c>
      <c r="P4" s="43" t="s">
        <v>911</v>
      </c>
      <c r="Q4" s="43" t="s">
        <v>1734</v>
      </c>
      <c r="R4">
        <v>3.24</v>
      </c>
      <c r="S4" s="23">
        <v>44109</v>
      </c>
      <c r="T4" s="43" t="s">
        <v>311</v>
      </c>
      <c r="U4" s="43" t="s">
        <v>286</v>
      </c>
      <c r="V4" s="43" t="s">
        <v>267</v>
      </c>
      <c r="W4" s="43" t="s">
        <v>1718</v>
      </c>
      <c r="X4" s="43" t="s">
        <v>1719</v>
      </c>
      <c r="Y4">
        <v>8772802835</v>
      </c>
      <c r="Z4" s="43" t="s">
        <v>270</v>
      </c>
      <c r="AA4" s="43" t="s">
        <v>271</v>
      </c>
      <c r="AB4">
        <v>0</v>
      </c>
      <c r="AC4">
        <v>830</v>
      </c>
      <c r="AD4">
        <v>94</v>
      </c>
      <c r="AE4" s="43" t="s">
        <v>445</v>
      </c>
      <c r="AF4">
        <v>4</v>
      </c>
      <c r="AG4" s="43" t="s">
        <v>275</v>
      </c>
      <c r="AJ4" s="23"/>
      <c r="AK4" s="43" t="s">
        <v>259</v>
      </c>
      <c r="AL4" s="43" t="s">
        <v>259</v>
      </c>
      <c r="AM4" s="23"/>
      <c r="AN4" s="23"/>
      <c r="AO4" s="23"/>
      <c r="AP4" s="23"/>
      <c r="AQ4" s="23"/>
      <c r="BB4" s="43"/>
      <c r="BC4" s="43" t="s">
        <v>259</v>
      </c>
      <c r="BD4" s="43" t="s">
        <v>259</v>
      </c>
      <c r="BE4" s="43" t="s">
        <v>259</v>
      </c>
      <c r="BF4" s="43" t="s">
        <v>259</v>
      </c>
      <c r="BG4" s="43" t="s">
        <v>259</v>
      </c>
      <c r="BH4" t="s">
        <v>259</v>
      </c>
      <c r="BI4" s="43" t="s">
        <v>259</v>
      </c>
      <c r="BJ4">
        <v>0</v>
      </c>
      <c r="BK4" s="23">
        <v>44109</v>
      </c>
      <c r="BL4" s="23">
        <v>44356</v>
      </c>
      <c r="BM4">
        <v>8505</v>
      </c>
      <c r="BN4">
        <v>8505</v>
      </c>
      <c r="BO4">
        <v>8505</v>
      </c>
      <c r="BP4">
        <v>25515</v>
      </c>
      <c r="BQ4">
        <v>3300</v>
      </c>
      <c r="BR4">
        <v>400</v>
      </c>
      <c r="BS4">
        <v>400</v>
      </c>
      <c r="BT4">
        <v>4100</v>
      </c>
      <c r="BU4">
        <v>2100</v>
      </c>
      <c r="BV4">
        <v>2100</v>
      </c>
      <c r="BW4">
        <v>2100</v>
      </c>
      <c r="BX4">
        <v>6300</v>
      </c>
      <c r="BY4">
        <v>1200</v>
      </c>
      <c r="BZ4">
        <v>1200</v>
      </c>
      <c r="CA4">
        <v>1200</v>
      </c>
      <c r="CB4">
        <v>3600</v>
      </c>
      <c r="CC4">
        <v>0</v>
      </c>
      <c r="CD4">
        <v>0</v>
      </c>
      <c r="CE4">
        <v>0</v>
      </c>
      <c r="CF4">
        <v>0</v>
      </c>
      <c r="CG4">
        <v>39515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1250</v>
      </c>
      <c r="CU4">
        <v>1250</v>
      </c>
      <c r="CV4">
        <v>1250</v>
      </c>
      <c r="CW4">
        <v>3750</v>
      </c>
      <c r="CX4">
        <v>0</v>
      </c>
      <c r="CY4">
        <v>0</v>
      </c>
      <c r="CZ4">
        <v>0</v>
      </c>
      <c r="DA4">
        <v>0</v>
      </c>
      <c r="DB4">
        <v>1000</v>
      </c>
      <c r="DC4">
        <v>1000</v>
      </c>
      <c r="DD4">
        <v>1000</v>
      </c>
      <c r="DE4">
        <v>3000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6750</v>
      </c>
      <c r="EE4">
        <v>0</v>
      </c>
      <c r="EF4">
        <v>0</v>
      </c>
      <c r="EG4">
        <v>0</v>
      </c>
      <c r="EH4">
        <v>0</v>
      </c>
      <c r="EI4">
        <v>1154</v>
      </c>
      <c r="EJ4">
        <v>1154</v>
      </c>
      <c r="EK4">
        <v>1155</v>
      </c>
      <c r="EL4">
        <v>3500</v>
      </c>
      <c r="EM4">
        <v>37.065000000000005</v>
      </c>
      <c r="EN4">
        <v>660</v>
      </c>
      <c r="EO4">
        <v>660</v>
      </c>
      <c r="EP4">
        <v>660</v>
      </c>
      <c r="EQ4">
        <v>2000</v>
      </c>
      <c r="ER4">
        <v>21.18</v>
      </c>
      <c r="ES4">
        <v>0</v>
      </c>
      <c r="ET4">
        <v>0</v>
      </c>
      <c r="EU4">
        <v>0</v>
      </c>
      <c r="EV4">
        <v>0</v>
      </c>
      <c r="EW4">
        <v>0</v>
      </c>
      <c r="FA4">
        <v>0</v>
      </c>
      <c r="FE4">
        <v>0</v>
      </c>
      <c r="FI4">
        <v>0</v>
      </c>
      <c r="FJ4">
        <v>5441.7550000000001</v>
      </c>
      <c r="FK4">
        <v>32765</v>
      </c>
      <c r="FL4">
        <v>28531.854350277765</v>
      </c>
      <c r="FM4">
        <v>27323.244999999999</v>
      </c>
    </row>
    <row r="5" spans="1:170" x14ac:dyDescent="0.35">
      <c r="A5">
        <v>198200</v>
      </c>
      <c r="B5" s="43" t="s">
        <v>1727</v>
      </c>
      <c r="C5" s="43" t="s">
        <v>1735</v>
      </c>
      <c r="D5" s="43" t="s">
        <v>1736</v>
      </c>
      <c r="E5" s="43" t="s">
        <v>1737</v>
      </c>
      <c r="F5">
        <v>1</v>
      </c>
      <c r="H5" s="23"/>
      <c r="I5">
        <v>43776</v>
      </c>
      <c r="J5" s="43" t="s">
        <v>3304</v>
      </c>
      <c r="K5" s="43" t="s">
        <v>1715</v>
      </c>
      <c r="L5" s="43" t="s">
        <v>3204</v>
      </c>
      <c r="M5" s="43" t="s">
        <v>1738</v>
      </c>
      <c r="N5" s="43" t="s">
        <v>1739</v>
      </c>
      <c r="O5" s="43" t="s">
        <v>1054</v>
      </c>
      <c r="P5" s="43" t="s">
        <v>297</v>
      </c>
      <c r="Q5" s="43" t="s">
        <v>1740</v>
      </c>
      <c r="R5">
        <v>3.77</v>
      </c>
      <c r="S5" s="23">
        <v>44109</v>
      </c>
      <c r="T5" s="43" t="s">
        <v>265</v>
      </c>
      <c r="U5" s="43" t="s">
        <v>266</v>
      </c>
      <c r="V5" s="43" t="s">
        <v>267</v>
      </c>
      <c r="W5" s="43" t="s">
        <v>1718</v>
      </c>
      <c r="X5" s="43" t="s">
        <v>1719</v>
      </c>
      <c r="Y5">
        <v>8772802835</v>
      </c>
      <c r="Z5" s="43" t="s">
        <v>270</v>
      </c>
      <c r="AA5" s="43" t="s">
        <v>271</v>
      </c>
      <c r="AB5">
        <v>0</v>
      </c>
      <c r="AC5">
        <v>1150</v>
      </c>
      <c r="AD5">
        <v>119</v>
      </c>
      <c r="AE5" s="43" t="s">
        <v>301</v>
      </c>
      <c r="AF5">
        <v>1</v>
      </c>
      <c r="AG5" s="43" t="s">
        <v>275</v>
      </c>
      <c r="AH5">
        <v>0</v>
      </c>
      <c r="AI5">
        <v>0</v>
      </c>
      <c r="AJ5" s="23">
        <v>43776</v>
      </c>
      <c r="AK5" s="43" t="s">
        <v>3208</v>
      </c>
      <c r="AL5" s="43" t="s">
        <v>3209</v>
      </c>
      <c r="AM5" s="23"/>
      <c r="AN5" s="23"/>
      <c r="AO5" s="23"/>
      <c r="AP5" s="23"/>
      <c r="AQ5" s="23"/>
      <c r="BB5" s="43"/>
      <c r="BC5" s="43" t="s">
        <v>2018</v>
      </c>
      <c r="BD5" s="43" t="s">
        <v>2018</v>
      </c>
      <c r="BE5" s="43" t="s">
        <v>2018</v>
      </c>
      <c r="BF5" s="43" t="s">
        <v>2018</v>
      </c>
      <c r="BG5" s="43" t="s">
        <v>2018</v>
      </c>
      <c r="BH5" t="s">
        <v>2018</v>
      </c>
      <c r="BI5" s="43" t="s">
        <v>2018</v>
      </c>
      <c r="BJ5">
        <v>0</v>
      </c>
      <c r="BK5" s="23">
        <v>44109</v>
      </c>
      <c r="BL5" s="23">
        <v>44356</v>
      </c>
      <c r="BM5">
        <v>8505</v>
      </c>
      <c r="BN5">
        <v>8505</v>
      </c>
      <c r="BO5">
        <v>8505</v>
      </c>
      <c r="BP5">
        <v>25515</v>
      </c>
      <c r="BQ5">
        <v>3300</v>
      </c>
      <c r="BR5">
        <v>400</v>
      </c>
      <c r="BS5">
        <v>400</v>
      </c>
      <c r="BT5">
        <v>4100</v>
      </c>
      <c r="BU5">
        <v>2100</v>
      </c>
      <c r="BV5">
        <v>2100</v>
      </c>
      <c r="BW5">
        <v>2100</v>
      </c>
      <c r="BX5">
        <v>6300</v>
      </c>
      <c r="BY5">
        <v>1200</v>
      </c>
      <c r="BZ5">
        <v>1200</v>
      </c>
      <c r="CA5">
        <v>1200</v>
      </c>
      <c r="CB5">
        <v>3600</v>
      </c>
      <c r="CC5">
        <v>0</v>
      </c>
      <c r="CD5">
        <v>0</v>
      </c>
      <c r="CE5">
        <v>0</v>
      </c>
      <c r="CF5">
        <v>0</v>
      </c>
      <c r="CG5">
        <v>39515</v>
      </c>
      <c r="CH5">
        <v>0</v>
      </c>
      <c r="CI5">
        <v>0</v>
      </c>
      <c r="CJ5">
        <v>0</v>
      </c>
      <c r="CK5">
        <v>0</v>
      </c>
      <c r="CL5">
        <v>2065</v>
      </c>
      <c r="CM5">
        <v>2065</v>
      </c>
      <c r="CN5">
        <v>2065</v>
      </c>
      <c r="CO5">
        <v>6195</v>
      </c>
      <c r="CP5">
        <v>500</v>
      </c>
      <c r="CQ5">
        <v>500</v>
      </c>
      <c r="CR5">
        <v>500</v>
      </c>
      <c r="CS5">
        <v>1500</v>
      </c>
      <c r="CT5">
        <v>1700</v>
      </c>
      <c r="CU5">
        <v>1700</v>
      </c>
      <c r="CV5">
        <v>1700</v>
      </c>
      <c r="CW5">
        <v>5100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12795</v>
      </c>
      <c r="EE5">
        <v>0</v>
      </c>
      <c r="EF5">
        <v>0</v>
      </c>
      <c r="EG5">
        <v>0</v>
      </c>
      <c r="EH5">
        <v>0</v>
      </c>
      <c r="EI5">
        <v>1154</v>
      </c>
      <c r="EJ5">
        <v>1154</v>
      </c>
      <c r="EK5">
        <v>1155</v>
      </c>
      <c r="EL5">
        <v>3500</v>
      </c>
      <c r="EM5">
        <v>37.065000000000005</v>
      </c>
      <c r="EN5">
        <v>660</v>
      </c>
      <c r="EO5">
        <v>660</v>
      </c>
      <c r="EP5">
        <v>660</v>
      </c>
      <c r="EQ5">
        <v>2000</v>
      </c>
      <c r="ER5">
        <v>21.18</v>
      </c>
      <c r="ES5">
        <v>0</v>
      </c>
      <c r="ET5">
        <v>0</v>
      </c>
      <c r="EU5">
        <v>0</v>
      </c>
      <c r="EV5">
        <v>0</v>
      </c>
      <c r="EW5">
        <v>0</v>
      </c>
      <c r="FA5">
        <v>0</v>
      </c>
      <c r="FE5">
        <v>0</v>
      </c>
      <c r="FI5">
        <v>0</v>
      </c>
      <c r="FJ5">
        <v>5441.7550000000001</v>
      </c>
      <c r="FK5">
        <v>26720</v>
      </c>
      <c r="FL5">
        <v>22219.461384236245</v>
      </c>
      <c r="FM5">
        <v>21278.244999999999</v>
      </c>
    </row>
    <row r="6" spans="1:170" x14ac:dyDescent="0.35">
      <c r="A6">
        <v>195085</v>
      </c>
      <c r="B6" s="43" t="s">
        <v>1741</v>
      </c>
      <c r="C6" s="43" t="s">
        <v>1742</v>
      </c>
      <c r="D6" s="43" t="s">
        <v>1743</v>
      </c>
      <c r="E6" s="43" t="s">
        <v>1744</v>
      </c>
      <c r="F6">
        <v>1</v>
      </c>
      <c r="H6" s="23"/>
      <c r="I6">
        <v>43804</v>
      </c>
      <c r="J6" s="43" t="s">
        <v>4242</v>
      </c>
      <c r="K6" s="43" t="s">
        <v>1715</v>
      </c>
      <c r="L6" s="43" t="s">
        <v>259</v>
      </c>
      <c r="M6" s="43" t="s">
        <v>1745</v>
      </c>
      <c r="N6" s="43" t="s">
        <v>1746</v>
      </c>
      <c r="O6" s="43" t="s">
        <v>1747</v>
      </c>
      <c r="P6" s="43" t="s">
        <v>342</v>
      </c>
      <c r="Q6" s="43" t="s">
        <v>1748</v>
      </c>
      <c r="S6" s="23">
        <v>44109</v>
      </c>
      <c r="T6" s="43" t="s">
        <v>265</v>
      </c>
      <c r="U6" s="43" t="s">
        <v>266</v>
      </c>
      <c r="V6" s="43" t="s">
        <v>267</v>
      </c>
      <c r="W6" s="43" t="s">
        <v>1718</v>
      </c>
      <c r="X6" s="43" t="s">
        <v>1719</v>
      </c>
      <c r="Y6">
        <v>8772802835</v>
      </c>
      <c r="Z6" s="43" t="s">
        <v>270</v>
      </c>
      <c r="AA6" s="43" t="s">
        <v>271</v>
      </c>
      <c r="AB6">
        <v>0</v>
      </c>
      <c r="AC6">
        <v>0</v>
      </c>
      <c r="AD6">
        <v>0</v>
      </c>
      <c r="AE6" s="43" t="s">
        <v>364</v>
      </c>
      <c r="AF6">
        <v>3</v>
      </c>
      <c r="AG6" s="43" t="s">
        <v>275</v>
      </c>
      <c r="AJ6" s="23"/>
      <c r="AK6" s="43" t="s">
        <v>259</v>
      </c>
      <c r="AL6" s="43" t="s">
        <v>259</v>
      </c>
      <c r="AM6" s="23"/>
      <c r="AN6" s="23"/>
      <c r="AO6" s="23"/>
      <c r="AP6" s="23"/>
      <c r="AQ6" s="23"/>
      <c r="BB6" s="43"/>
      <c r="BC6" s="43" t="s">
        <v>259</v>
      </c>
      <c r="BD6" s="43" t="s">
        <v>259</v>
      </c>
      <c r="BE6" s="43" t="s">
        <v>259</v>
      </c>
      <c r="BF6" s="43" t="s">
        <v>259</v>
      </c>
      <c r="BG6" s="43" t="s">
        <v>259</v>
      </c>
      <c r="BH6" t="s">
        <v>259</v>
      </c>
      <c r="BI6" s="43" t="s">
        <v>259</v>
      </c>
      <c r="BJ6">
        <v>0</v>
      </c>
      <c r="BK6" s="23">
        <v>44109</v>
      </c>
      <c r="BL6" s="23">
        <v>44356</v>
      </c>
      <c r="BM6">
        <v>8505</v>
      </c>
      <c r="BN6">
        <v>8505</v>
      </c>
      <c r="BO6">
        <v>8505</v>
      </c>
      <c r="BP6">
        <v>25515</v>
      </c>
      <c r="BQ6">
        <v>3300</v>
      </c>
      <c r="BR6">
        <v>400</v>
      </c>
      <c r="BS6">
        <v>400</v>
      </c>
      <c r="BT6">
        <v>4100</v>
      </c>
      <c r="BU6">
        <v>2100</v>
      </c>
      <c r="BV6">
        <v>2100</v>
      </c>
      <c r="BW6">
        <v>2100</v>
      </c>
      <c r="BX6">
        <v>6300</v>
      </c>
      <c r="BY6">
        <v>1200</v>
      </c>
      <c r="BZ6">
        <v>1200</v>
      </c>
      <c r="CA6">
        <v>1200</v>
      </c>
      <c r="CB6">
        <v>3600</v>
      </c>
      <c r="CC6">
        <v>0</v>
      </c>
      <c r="CD6">
        <v>0</v>
      </c>
      <c r="CE6">
        <v>0</v>
      </c>
      <c r="CF6">
        <v>0</v>
      </c>
      <c r="CG6">
        <v>39515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1300</v>
      </c>
      <c r="CU6">
        <v>1300</v>
      </c>
      <c r="CV6">
        <v>1300</v>
      </c>
      <c r="CW6">
        <v>3900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3900</v>
      </c>
      <c r="EE6">
        <v>0</v>
      </c>
      <c r="EF6">
        <v>0</v>
      </c>
      <c r="EG6">
        <v>0</v>
      </c>
      <c r="EH6">
        <v>0</v>
      </c>
      <c r="EI6">
        <v>1154</v>
      </c>
      <c r="EJ6">
        <v>1154</v>
      </c>
      <c r="EK6">
        <v>1155</v>
      </c>
      <c r="EL6">
        <v>3500</v>
      </c>
      <c r="EM6">
        <v>37.065000000000005</v>
      </c>
      <c r="EN6">
        <v>660</v>
      </c>
      <c r="EO6">
        <v>660</v>
      </c>
      <c r="EP6">
        <v>660</v>
      </c>
      <c r="EQ6">
        <v>2000</v>
      </c>
      <c r="ER6">
        <v>21.18</v>
      </c>
      <c r="ES6">
        <v>0</v>
      </c>
      <c r="ET6">
        <v>0</v>
      </c>
      <c r="EU6">
        <v>0</v>
      </c>
      <c r="EV6">
        <v>0</v>
      </c>
      <c r="EW6">
        <v>0</v>
      </c>
      <c r="FA6">
        <v>0</v>
      </c>
      <c r="FE6">
        <v>0</v>
      </c>
      <c r="FI6">
        <v>0</v>
      </c>
      <c r="FJ6">
        <v>5441.7550000000001</v>
      </c>
      <c r="FK6">
        <v>35615</v>
      </c>
      <c r="FL6">
        <v>31507.920512927612</v>
      </c>
      <c r="FM6">
        <v>30173.244999999999</v>
      </c>
    </row>
    <row r="7" spans="1:170" x14ac:dyDescent="0.35">
      <c r="A7">
        <v>199188</v>
      </c>
      <c r="B7" s="43" t="s">
        <v>3609</v>
      </c>
      <c r="C7" s="43" t="s">
        <v>3610</v>
      </c>
      <c r="D7" s="43" t="s">
        <v>3611</v>
      </c>
      <c r="E7" s="43" t="s">
        <v>3612</v>
      </c>
      <c r="F7">
        <v>1</v>
      </c>
      <c r="G7">
        <v>43803</v>
      </c>
      <c r="H7" s="23">
        <v>43803</v>
      </c>
      <c r="I7">
        <v>43803</v>
      </c>
      <c r="J7" s="43" t="s">
        <v>4233</v>
      </c>
      <c r="K7" s="43" t="s">
        <v>1715</v>
      </c>
      <c r="L7" s="43" t="s">
        <v>259</v>
      </c>
      <c r="M7" s="43" t="s">
        <v>3613</v>
      </c>
      <c r="N7" s="43" t="s">
        <v>3614</v>
      </c>
      <c r="O7" s="43" t="s">
        <v>3615</v>
      </c>
      <c r="P7" s="43" t="s">
        <v>297</v>
      </c>
      <c r="Q7" s="43" t="s">
        <v>3616</v>
      </c>
      <c r="S7" s="23">
        <v>44109</v>
      </c>
      <c r="T7" s="43" t="s">
        <v>265</v>
      </c>
      <c r="U7" s="43" t="s">
        <v>266</v>
      </c>
      <c r="V7" s="43" t="s">
        <v>267</v>
      </c>
      <c r="W7" s="43" t="s">
        <v>1718</v>
      </c>
      <c r="X7" s="43" t="s">
        <v>1719</v>
      </c>
      <c r="Y7">
        <v>8772802835</v>
      </c>
      <c r="Z7" s="43" t="s">
        <v>270</v>
      </c>
      <c r="AA7" s="43" t="s">
        <v>271</v>
      </c>
      <c r="AB7">
        <v>0</v>
      </c>
      <c r="AC7">
        <v>1190</v>
      </c>
      <c r="AD7">
        <v>122</v>
      </c>
      <c r="AE7" s="43" t="s">
        <v>301</v>
      </c>
      <c r="AF7">
        <v>1</v>
      </c>
      <c r="AG7" s="43" t="s">
        <v>3345</v>
      </c>
      <c r="AJ7" s="23"/>
      <c r="AK7" s="43" t="s">
        <v>259</v>
      </c>
      <c r="AL7" s="43" t="s">
        <v>259</v>
      </c>
      <c r="AM7" s="23"/>
      <c r="AN7" s="23"/>
      <c r="AO7" s="23"/>
      <c r="AP7" s="23"/>
      <c r="AQ7" s="23"/>
      <c r="BB7" s="43"/>
      <c r="BC7" s="43" t="s">
        <v>259</v>
      </c>
      <c r="BD7" s="43" t="s">
        <v>259</v>
      </c>
      <c r="BE7" s="43" t="s">
        <v>259</v>
      </c>
      <c r="BF7" s="43" t="s">
        <v>259</v>
      </c>
      <c r="BG7" s="43" t="s">
        <v>259</v>
      </c>
      <c r="BH7" t="s">
        <v>259</v>
      </c>
      <c r="BI7" s="43" t="s">
        <v>259</v>
      </c>
      <c r="BJ7">
        <v>0</v>
      </c>
      <c r="BK7" s="23">
        <v>44109</v>
      </c>
      <c r="BL7" s="23">
        <v>44356</v>
      </c>
      <c r="BM7">
        <v>8505</v>
      </c>
      <c r="BN7">
        <v>8505</v>
      </c>
      <c r="BO7">
        <v>8505</v>
      </c>
      <c r="BP7">
        <v>25515</v>
      </c>
      <c r="BQ7">
        <v>3300</v>
      </c>
      <c r="BR7">
        <v>400</v>
      </c>
      <c r="BS7">
        <v>400</v>
      </c>
      <c r="BT7">
        <v>4100</v>
      </c>
      <c r="BU7">
        <v>2100</v>
      </c>
      <c r="BV7">
        <v>2100</v>
      </c>
      <c r="BW7">
        <v>2100</v>
      </c>
      <c r="BX7">
        <v>6300</v>
      </c>
      <c r="BY7">
        <v>1200</v>
      </c>
      <c r="BZ7">
        <v>1200</v>
      </c>
      <c r="CA7">
        <v>1200</v>
      </c>
      <c r="CB7">
        <v>3600</v>
      </c>
      <c r="CC7">
        <v>0</v>
      </c>
      <c r="CD7">
        <v>0</v>
      </c>
      <c r="CE7">
        <v>0</v>
      </c>
      <c r="CF7">
        <v>0</v>
      </c>
      <c r="CG7">
        <v>39515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1700</v>
      </c>
      <c r="CU7">
        <v>1700</v>
      </c>
      <c r="CV7">
        <v>1700</v>
      </c>
      <c r="CW7">
        <v>5100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5100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M7">
        <v>0</v>
      </c>
      <c r="EN7">
        <v>660</v>
      </c>
      <c r="EO7">
        <v>660</v>
      </c>
      <c r="EP7">
        <v>660</v>
      </c>
      <c r="EQ7">
        <v>2000</v>
      </c>
      <c r="ER7">
        <v>21.18</v>
      </c>
      <c r="ES7">
        <v>0</v>
      </c>
      <c r="ET7">
        <v>0</v>
      </c>
      <c r="EU7">
        <v>0</v>
      </c>
      <c r="EW7">
        <v>0</v>
      </c>
      <c r="FA7">
        <v>0</v>
      </c>
      <c r="FE7">
        <v>0</v>
      </c>
      <c r="FI7">
        <v>0</v>
      </c>
      <c r="FJ7">
        <v>1978.82</v>
      </c>
      <c r="FK7">
        <v>34415</v>
      </c>
      <c r="FL7">
        <v>33870.953594252533</v>
      </c>
      <c r="FM7">
        <v>32436.18</v>
      </c>
    </row>
    <row r="8" spans="1:170" x14ac:dyDescent="0.35">
      <c r="A8">
        <v>194980</v>
      </c>
      <c r="B8" s="43" t="s">
        <v>1749</v>
      </c>
      <c r="C8" s="43" t="s">
        <v>1750</v>
      </c>
      <c r="D8" s="43" t="s">
        <v>1751</v>
      </c>
      <c r="E8" s="43" t="s">
        <v>1752</v>
      </c>
      <c r="F8">
        <v>1</v>
      </c>
      <c r="G8" t="s">
        <v>4243</v>
      </c>
      <c r="H8" s="23">
        <v>43787</v>
      </c>
      <c r="I8">
        <v>43787</v>
      </c>
      <c r="J8" s="43" t="s">
        <v>3421</v>
      </c>
      <c r="K8" s="43" t="s">
        <v>1715</v>
      </c>
      <c r="L8" s="43" t="s">
        <v>3204</v>
      </c>
      <c r="M8" s="43" t="s">
        <v>1753</v>
      </c>
      <c r="N8" s="43" t="s">
        <v>1754</v>
      </c>
      <c r="O8" s="43" t="s">
        <v>1755</v>
      </c>
      <c r="P8" s="43" t="s">
        <v>542</v>
      </c>
      <c r="Q8" s="43" t="s">
        <v>1756</v>
      </c>
      <c r="R8">
        <v>3.99</v>
      </c>
      <c r="S8" s="23">
        <v>44109</v>
      </c>
      <c r="T8" s="43" t="s">
        <v>544</v>
      </c>
      <c r="U8" s="43" t="s">
        <v>266</v>
      </c>
      <c r="V8" s="43" t="s">
        <v>267</v>
      </c>
      <c r="W8" s="43" t="s">
        <v>1718</v>
      </c>
      <c r="X8" s="43" t="s">
        <v>1719</v>
      </c>
      <c r="Y8">
        <v>8772802835</v>
      </c>
      <c r="Z8" s="43" t="s">
        <v>270</v>
      </c>
      <c r="AA8" s="43" t="s">
        <v>271</v>
      </c>
      <c r="AB8">
        <v>24</v>
      </c>
      <c r="AC8">
        <v>0</v>
      </c>
      <c r="AD8">
        <v>0</v>
      </c>
      <c r="AE8" s="43" t="s">
        <v>416</v>
      </c>
      <c r="AF8">
        <v>5</v>
      </c>
      <c r="AG8" s="43" t="s">
        <v>275</v>
      </c>
      <c r="AH8">
        <v>1314</v>
      </c>
      <c r="AI8">
        <v>1314</v>
      </c>
      <c r="AJ8" s="23">
        <v>43774</v>
      </c>
      <c r="AK8" s="43" t="s">
        <v>3208</v>
      </c>
      <c r="AL8" s="43" t="s">
        <v>3209</v>
      </c>
      <c r="AM8" s="23">
        <v>43787</v>
      </c>
      <c r="AN8" s="23">
        <v>43787</v>
      </c>
      <c r="AO8" s="23">
        <v>43796</v>
      </c>
      <c r="AP8" s="23">
        <v>43796</v>
      </c>
      <c r="AQ8" s="23">
        <v>43796</v>
      </c>
      <c r="BB8" s="43"/>
      <c r="BC8" s="43" t="s">
        <v>2018</v>
      </c>
      <c r="BD8" s="43" t="s">
        <v>2018</v>
      </c>
      <c r="BE8" s="43" t="s">
        <v>2018</v>
      </c>
      <c r="BF8" s="43" t="s">
        <v>2018</v>
      </c>
      <c r="BG8" s="43" t="s">
        <v>2018</v>
      </c>
      <c r="BH8" t="s">
        <v>2018</v>
      </c>
      <c r="BI8" s="43" t="s">
        <v>2018</v>
      </c>
      <c r="BJ8">
        <v>0.3125</v>
      </c>
      <c r="BK8" s="23">
        <v>44109</v>
      </c>
      <c r="BL8" s="23">
        <v>44356</v>
      </c>
      <c r="BM8">
        <v>8505</v>
      </c>
      <c r="BN8">
        <v>8505</v>
      </c>
      <c r="BO8">
        <v>8505</v>
      </c>
      <c r="BP8">
        <v>25515</v>
      </c>
      <c r="BQ8">
        <v>3300</v>
      </c>
      <c r="BR8">
        <v>400</v>
      </c>
      <c r="BS8">
        <v>400</v>
      </c>
      <c r="BT8">
        <v>4100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29615</v>
      </c>
      <c r="CH8">
        <v>0</v>
      </c>
      <c r="CI8">
        <v>0</v>
      </c>
      <c r="CJ8">
        <v>0</v>
      </c>
      <c r="CK8">
        <v>0</v>
      </c>
      <c r="CL8">
        <v>1615</v>
      </c>
      <c r="CM8">
        <v>1615</v>
      </c>
      <c r="CN8">
        <v>1615</v>
      </c>
      <c r="CO8">
        <v>4845</v>
      </c>
      <c r="CP8">
        <v>500</v>
      </c>
      <c r="CQ8">
        <v>500</v>
      </c>
      <c r="CR8">
        <v>500</v>
      </c>
      <c r="CS8">
        <v>1500</v>
      </c>
      <c r="CT8">
        <v>1000</v>
      </c>
      <c r="CU8">
        <v>1000</v>
      </c>
      <c r="CV8">
        <v>1000</v>
      </c>
      <c r="CW8">
        <v>3000</v>
      </c>
      <c r="CX8">
        <v>3000</v>
      </c>
      <c r="CY8">
        <v>3000</v>
      </c>
      <c r="CZ8">
        <v>3000</v>
      </c>
      <c r="DA8">
        <v>9000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18345</v>
      </c>
      <c r="EE8">
        <v>0</v>
      </c>
      <c r="EF8">
        <v>0</v>
      </c>
      <c r="EG8">
        <v>0</v>
      </c>
      <c r="EH8">
        <v>0</v>
      </c>
      <c r="EI8">
        <v>1154</v>
      </c>
      <c r="EJ8">
        <v>1154</v>
      </c>
      <c r="EK8">
        <v>1155</v>
      </c>
      <c r="EL8">
        <v>3500</v>
      </c>
      <c r="EM8">
        <v>37.065000000000005</v>
      </c>
      <c r="EN8">
        <v>660</v>
      </c>
      <c r="EO8">
        <v>660</v>
      </c>
      <c r="EP8">
        <v>660</v>
      </c>
      <c r="EQ8">
        <v>2000</v>
      </c>
      <c r="ER8">
        <v>21.18</v>
      </c>
      <c r="ES8">
        <v>1946</v>
      </c>
      <c r="ET8">
        <v>1946</v>
      </c>
      <c r="EU8">
        <v>1946</v>
      </c>
      <c r="EV8">
        <v>6086</v>
      </c>
      <c r="EW8">
        <v>257.80295999999998</v>
      </c>
      <c r="FA8">
        <v>0</v>
      </c>
      <c r="FE8">
        <v>0</v>
      </c>
      <c r="FI8">
        <v>0</v>
      </c>
      <c r="FJ8">
        <v>11269.95204</v>
      </c>
      <c r="FK8">
        <v>11270</v>
      </c>
      <c r="FL8">
        <v>5.0081450232639539E-2</v>
      </c>
      <c r="FM8">
        <v>4.796000000078493E-2</v>
      </c>
    </row>
    <row r="9" spans="1:170" x14ac:dyDescent="0.35">
      <c r="A9">
        <v>197093</v>
      </c>
      <c r="B9" s="43" t="s">
        <v>1757</v>
      </c>
      <c r="C9" s="43" t="s">
        <v>1525</v>
      </c>
      <c r="D9" s="43" t="s">
        <v>1758</v>
      </c>
      <c r="E9" s="43" t="s">
        <v>1759</v>
      </c>
      <c r="F9">
        <v>1</v>
      </c>
      <c r="G9">
        <v>43796</v>
      </c>
      <c r="H9" s="23">
        <v>43796</v>
      </c>
      <c r="I9">
        <v>43796</v>
      </c>
      <c r="J9" s="43" t="s">
        <v>3639</v>
      </c>
      <c r="K9" s="43" t="s">
        <v>1715</v>
      </c>
      <c r="L9" s="43" t="s">
        <v>259</v>
      </c>
      <c r="M9" s="43" t="s">
        <v>1760</v>
      </c>
      <c r="N9" s="43" t="s">
        <v>1761</v>
      </c>
      <c r="O9" s="43" t="s">
        <v>1762</v>
      </c>
      <c r="P9" s="43" t="s">
        <v>608</v>
      </c>
      <c r="Q9" s="43" t="s">
        <v>1763</v>
      </c>
      <c r="R9">
        <v>3.14</v>
      </c>
      <c r="S9" s="23">
        <v>44109</v>
      </c>
      <c r="T9" s="43" t="s">
        <v>265</v>
      </c>
      <c r="U9" s="43" t="s">
        <v>266</v>
      </c>
      <c r="V9" s="43" t="s">
        <v>267</v>
      </c>
      <c r="W9" s="43" t="s">
        <v>1718</v>
      </c>
      <c r="X9" s="43" t="s">
        <v>1719</v>
      </c>
      <c r="Y9">
        <v>8772802835</v>
      </c>
      <c r="Z9" s="43" t="s">
        <v>270</v>
      </c>
      <c r="AA9" s="43" t="s">
        <v>271</v>
      </c>
      <c r="AB9">
        <v>27</v>
      </c>
      <c r="AC9">
        <v>0</v>
      </c>
      <c r="AD9">
        <v>110</v>
      </c>
      <c r="AE9" s="43" t="s">
        <v>364</v>
      </c>
      <c r="AF9">
        <v>3</v>
      </c>
      <c r="AG9" s="43" t="s">
        <v>275</v>
      </c>
      <c r="AJ9" s="23"/>
      <c r="AK9" s="43" t="s">
        <v>259</v>
      </c>
      <c r="AL9" s="43" t="s">
        <v>259</v>
      </c>
      <c r="AM9" s="23"/>
      <c r="AN9" s="23"/>
      <c r="AO9" s="23"/>
      <c r="AP9" s="23"/>
      <c r="AQ9" s="23"/>
      <c r="BB9" s="43"/>
      <c r="BC9" s="43" t="s">
        <v>259</v>
      </c>
      <c r="BD9" s="43" t="s">
        <v>259</v>
      </c>
      <c r="BE9" s="43" t="s">
        <v>259</v>
      </c>
      <c r="BF9" s="43" t="s">
        <v>259</v>
      </c>
      <c r="BG9" s="43" t="s">
        <v>259</v>
      </c>
      <c r="BH9" t="s">
        <v>259</v>
      </c>
      <c r="BI9" s="43" t="s">
        <v>259</v>
      </c>
      <c r="BJ9">
        <v>0</v>
      </c>
      <c r="BK9" s="23">
        <v>44109</v>
      </c>
      <c r="BL9" s="23">
        <v>44356</v>
      </c>
      <c r="BM9">
        <v>8505</v>
      </c>
      <c r="BN9">
        <v>8505</v>
      </c>
      <c r="BO9">
        <v>8505</v>
      </c>
      <c r="BP9">
        <v>25515</v>
      </c>
      <c r="BQ9">
        <v>3300</v>
      </c>
      <c r="BR9">
        <v>400</v>
      </c>
      <c r="BS9">
        <v>400</v>
      </c>
      <c r="BT9">
        <v>4100</v>
      </c>
      <c r="BU9">
        <v>2100</v>
      </c>
      <c r="BV9">
        <v>2100</v>
      </c>
      <c r="BW9">
        <v>2100</v>
      </c>
      <c r="BX9">
        <v>6300</v>
      </c>
      <c r="BY9">
        <v>1200</v>
      </c>
      <c r="BZ9">
        <v>1200</v>
      </c>
      <c r="CA9">
        <v>1200</v>
      </c>
      <c r="CB9">
        <v>3600</v>
      </c>
      <c r="CC9">
        <v>0</v>
      </c>
      <c r="CD9">
        <v>0</v>
      </c>
      <c r="CE9">
        <v>0</v>
      </c>
      <c r="CF9">
        <v>0</v>
      </c>
      <c r="CG9">
        <v>39515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1300</v>
      </c>
      <c r="CU9">
        <v>1300</v>
      </c>
      <c r="CV9">
        <v>1300</v>
      </c>
      <c r="CW9">
        <v>3900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3900</v>
      </c>
      <c r="EE9">
        <v>0</v>
      </c>
      <c r="EF9">
        <v>0</v>
      </c>
      <c r="EG9">
        <v>0</v>
      </c>
      <c r="EH9">
        <v>0</v>
      </c>
      <c r="EI9">
        <v>1154</v>
      </c>
      <c r="EJ9">
        <v>1154</v>
      </c>
      <c r="EK9">
        <v>1155</v>
      </c>
      <c r="EL9">
        <v>3500</v>
      </c>
      <c r="EM9">
        <v>37.065000000000005</v>
      </c>
      <c r="EN9">
        <v>660</v>
      </c>
      <c r="EO9">
        <v>660</v>
      </c>
      <c r="EP9">
        <v>660</v>
      </c>
      <c r="EQ9">
        <v>2000</v>
      </c>
      <c r="ER9">
        <v>21.18</v>
      </c>
      <c r="ES9">
        <v>0</v>
      </c>
      <c r="ET9">
        <v>0</v>
      </c>
      <c r="EU9">
        <v>0</v>
      </c>
      <c r="EV9">
        <v>0</v>
      </c>
      <c r="EW9">
        <v>0</v>
      </c>
      <c r="FA9">
        <v>0</v>
      </c>
      <c r="FE9">
        <v>0</v>
      </c>
      <c r="FI9">
        <v>0</v>
      </c>
      <c r="FJ9">
        <v>5441.7550000000001</v>
      </c>
      <c r="FK9">
        <v>35615</v>
      </c>
      <c r="FL9">
        <v>31507.920512927612</v>
      </c>
      <c r="FM9">
        <v>30173.244999999999</v>
      </c>
    </row>
    <row r="10" spans="1:170" x14ac:dyDescent="0.35">
      <c r="A10">
        <v>195819</v>
      </c>
      <c r="B10" s="43" t="s">
        <v>1757</v>
      </c>
      <c r="C10" s="43" t="s">
        <v>1764</v>
      </c>
      <c r="D10" s="43" t="s">
        <v>1765</v>
      </c>
      <c r="E10" s="43" t="s">
        <v>1766</v>
      </c>
      <c r="F10">
        <v>1</v>
      </c>
      <c r="G10">
        <v>43795</v>
      </c>
      <c r="H10" s="23">
        <v>43795</v>
      </c>
      <c r="I10">
        <v>43795</v>
      </c>
      <c r="J10" s="43" t="s">
        <v>3421</v>
      </c>
      <c r="K10" s="43" t="s">
        <v>1715</v>
      </c>
      <c r="L10" s="43" t="s">
        <v>3204</v>
      </c>
      <c r="M10" s="43" t="s">
        <v>1767</v>
      </c>
      <c r="N10" s="43" t="s">
        <v>1768</v>
      </c>
      <c r="O10" s="43" t="s">
        <v>1769</v>
      </c>
      <c r="P10" s="43" t="s">
        <v>1770</v>
      </c>
      <c r="Q10" s="43" t="s">
        <v>1771</v>
      </c>
      <c r="S10" s="23">
        <v>44109</v>
      </c>
      <c r="T10" s="43" t="s">
        <v>285</v>
      </c>
      <c r="U10" s="43" t="s">
        <v>286</v>
      </c>
      <c r="V10" s="43" t="s">
        <v>267</v>
      </c>
      <c r="W10" s="43" t="s">
        <v>1718</v>
      </c>
      <c r="X10" s="43" t="s">
        <v>1719</v>
      </c>
      <c r="Y10">
        <v>8772802835</v>
      </c>
      <c r="Z10" s="43" t="s">
        <v>270</v>
      </c>
      <c r="AA10" s="43" t="s">
        <v>271</v>
      </c>
      <c r="AB10">
        <v>0</v>
      </c>
      <c r="AC10">
        <v>1000</v>
      </c>
      <c r="AD10">
        <v>103</v>
      </c>
      <c r="AE10" s="43" t="s">
        <v>416</v>
      </c>
      <c r="AF10">
        <v>5</v>
      </c>
      <c r="AG10" s="43" t="s">
        <v>446</v>
      </c>
      <c r="AH10">
        <v>9540</v>
      </c>
      <c r="AI10">
        <v>9540</v>
      </c>
      <c r="AJ10" s="23">
        <v>43774</v>
      </c>
      <c r="AK10" s="43" t="s">
        <v>3208</v>
      </c>
      <c r="AL10" s="43" t="s">
        <v>3209</v>
      </c>
      <c r="AM10" s="23">
        <v>43795</v>
      </c>
      <c r="AN10" s="23">
        <v>43795</v>
      </c>
      <c r="AO10" s="23">
        <v>43777</v>
      </c>
      <c r="AP10" s="23">
        <v>43795</v>
      </c>
      <c r="AQ10" s="23"/>
      <c r="BB10" s="43"/>
      <c r="BC10" s="43" t="s">
        <v>2018</v>
      </c>
      <c r="BD10" s="43" t="s">
        <v>2018</v>
      </c>
      <c r="BE10" s="43" t="s">
        <v>2018</v>
      </c>
      <c r="BF10" s="43" t="s">
        <v>2018</v>
      </c>
      <c r="BG10" s="43" t="s">
        <v>2018</v>
      </c>
      <c r="BH10" t="s">
        <v>2018</v>
      </c>
      <c r="BI10" s="43" t="s">
        <v>2018</v>
      </c>
      <c r="BJ10">
        <v>0.25</v>
      </c>
      <c r="BK10" s="23">
        <v>44109</v>
      </c>
      <c r="BL10" s="23">
        <v>44356</v>
      </c>
      <c r="BM10">
        <v>8505</v>
      </c>
      <c r="BN10">
        <v>8505</v>
      </c>
      <c r="BO10">
        <v>8505</v>
      </c>
      <c r="BP10">
        <v>25515</v>
      </c>
      <c r="BQ10">
        <v>3300</v>
      </c>
      <c r="BR10">
        <v>400</v>
      </c>
      <c r="BS10">
        <v>400</v>
      </c>
      <c r="BT10">
        <v>4100</v>
      </c>
      <c r="BU10">
        <v>2100</v>
      </c>
      <c r="BV10">
        <v>2100</v>
      </c>
      <c r="BW10">
        <v>2100</v>
      </c>
      <c r="BX10">
        <v>6300</v>
      </c>
      <c r="BY10">
        <v>1350</v>
      </c>
      <c r="BZ10">
        <v>1350</v>
      </c>
      <c r="CA10">
        <v>1350</v>
      </c>
      <c r="CB10">
        <v>4050</v>
      </c>
      <c r="CC10">
        <v>0</v>
      </c>
      <c r="CD10">
        <v>0</v>
      </c>
      <c r="CE10">
        <v>0</v>
      </c>
      <c r="CF10">
        <v>0</v>
      </c>
      <c r="CG10">
        <v>39965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1000</v>
      </c>
      <c r="CU10">
        <v>1000</v>
      </c>
      <c r="CV10">
        <v>1000</v>
      </c>
      <c r="CW10">
        <v>3000</v>
      </c>
      <c r="CX10">
        <v>0</v>
      </c>
      <c r="CY10">
        <v>0</v>
      </c>
      <c r="CZ10">
        <v>0</v>
      </c>
      <c r="DA10">
        <v>0</v>
      </c>
      <c r="DB10">
        <v>1000</v>
      </c>
      <c r="DC10">
        <v>1000</v>
      </c>
      <c r="DD10">
        <v>1000</v>
      </c>
      <c r="DE10">
        <v>3000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6000</v>
      </c>
      <c r="EE10">
        <v>0</v>
      </c>
      <c r="EF10">
        <v>0</v>
      </c>
      <c r="EG10">
        <v>0</v>
      </c>
      <c r="EH10">
        <v>0</v>
      </c>
      <c r="EI10">
        <v>1154</v>
      </c>
      <c r="EJ10">
        <v>1154</v>
      </c>
      <c r="EK10">
        <v>1155</v>
      </c>
      <c r="EL10">
        <v>3500</v>
      </c>
      <c r="EM10">
        <v>37.065000000000005</v>
      </c>
      <c r="EN10">
        <v>660</v>
      </c>
      <c r="EO10">
        <v>660</v>
      </c>
      <c r="EP10">
        <v>660</v>
      </c>
      <c r="EQ10">
        <v>2000</v>
      </c>
      <c r="ER10">
        <v>21.18</v>
      </c>
      <c r="ES10">
        <v>9525</v>
      </c>
      <c r="ET10">
        <v>9525</v>
      </c>
      <c r="EU10">
        <v>9525</v>
      </c>
      <c r="EV10">
        <v>29785</v>
      </c>
      <c r="EW10">
        <v>1261.6926000000001</v>
      </c>
      <c r="FA10">
        <v>0</v>
      </c>
      <c r="FE10">
        <v>0</v>
      </c>
      <c r="FI10">
        <v>0</v>
      </c>
      <c r="FJ10">
        <v>33965.062400000003</v>
      </c>
      <c r="FK10">
        <v>33965</v>
      </c>
      <c r="FL10">
        <v>-6.5160185458550401E-2</v>
      </c>
      <c r="FM10">
        <v>-6.2400000002526212E-2</v>
      </c>
    </row>
    <row r="11" spans="1:170" x14ac:dyDescent="0.35">
      <c r="A11">
        <v>195930</v>
      </c>
      <c r="B11" s="43" t="s">
        <v>1757</v>
      </c>
      <c r="C11" s="43" t="s">
        <v>1772</v>
      </c>
      <c r="D11" s="43" t="s">
        <v>1773</v>
      </c>
      <c r="E11" s="43" t="s">
        <v>1774</v>
      </c>
      <c r="F11">
        <v>1</v>
      </c>
      <c r="G11">
        <v>43796</v>
      </c>
      <c r="H11" s="23">
        <v>43796</v>
      </c>
      <c r="I11">
        <v>43796</v>
      </c>
      <c r="J11" s="43" t="s">
        <v>3639</v>
      </c>
      <c r="K11" s="43" t="s">
        <v>1715</v>
      </c>
      <c r="L11" s="43" t="s">
        <v>259</v>
      </c>
      <c r="M11" s="43" t="s">
        <v>1775</v>
      </c>
      <c r="N11" s="43" t="s">
        <v>1776</v>
      </c>
      <c r="O11" s="43" t="s">
        <v>1777</v>
      </c>
      <c r="P11" s="43" t="s">
        <v>454</v>
      </c>
      <c r="Q11" s="43" t="s">
        <v>1778</v>
      </c>
      <c r="R11">
        <v>2.82</v>
      </c>
      <c r="S11" s="23">
        <v>44109</v>
      </c>
      <c r="T11" s="43" t="s">
        <v>311</v>
      </c>
      <c r="U11" s="43" t="s">
        <v>266</v>
      </c>
      <c r="V11" s="43" t="s">
        <v>267</v>
      </c>
      <c r="W11" s="43" t="s">
        <v>1718</v>
      </c>
      <c r="X11" s="43" t="s">
        <v>1719</v>
      </c>
      <c r="Y11">
        <v>8772802835</v>
      </c>
      <c r="Z11" s="43" t="s">
        <v>270</v>
      </c>
      <c r="AA11" s="43" t="s">
        <v>271</v>
      </c>
      <c r="AB11">
        <v>0</v>
      </c>
      <c r="AC11">
        <v>1060</v>
      </c>
      <c r="AD11">
        <v>97</v>
      </c>
      <c r="AE11" s="43" t="s">
        <v>354</v>
      </c>
      <c r="AF11">
        <v>6</v>
      </c>
      <c r="AG11" s="43" t="s">
        <v>275</v>
      </c>
      <c r="AJ11" s="23"/>
      <c r="AK11" s="43" t="s">
        <v>259</v>
      </c>
      <c r="AL11" s="43" t="s">
        <v>259</v>
      </c>
      <c r="AM11" s="23"/>
      <c r="AN11" s="23"/>
      <c r="AO11" s="23"/>
      <c r="AP11" s="23"/>
      <c r="AQ11" s="23"/>
      <c r="BB11" s="43"/>
      <c r="BC11" s="43" t="s">
        <v>259</v>
      </c>
      <c r="BD11" s="43" t="s">
        <v>259</v>
      </c>
      <c r="BE11" s="43" t="s">
        <v>259</v>
      </c>
      <c r="BF11" s="43" t="s">
        <v>259</v>
      </c>
      <c r="BG11" s="43" t="s">
        <v>259</v>
      </c>
      <c r="BH11" t="s">
        <v>259</v>
      </c>
      <c r="BI11" s="43" t="s">
        <v>259</v>
      </c>
      <c r="BJ11">
        <v>0</v>
      </c>
      <c r="BK11" s="23">
        <v>44109</v>
      </c>
      <c r="BL11" s="23">
        <v>44356</v>
      </c>
      <c r="BM11">
        <v>8505</v>
      </c>
      <c r="BN11">
        <v>8505</v>
      </c>
      <c r="BO11">
        <v>8505</v>
      </c>
      <c r="BP11">
        <v>25515</v>
      </c>
      <c r="BQ11">
        <v>3300</v>
      </c>
      <c r="BR11">
        <v>400</v>
      </c>
      <c r="BS11">
        <v>400</v>
      </c>
      <c r="BT11">
        <v>4100</v>
      </c>
      <c r="BU11">
        <v>2100</v>
      </c>
      <c r="BV11">
        <v>2100</v>
      </c>
      <c r="BW11">
        <v>2100</v>
      </c>
      <c r="BX11">
        <v>6300</v>
      </c>
      <c r="BY11">
        <v>1200</v>
      </c>
      <c r="BZ11">
        <v>1200</v>
      </c>
      <c r="CA11">
        <v>1200</v>
      </c>
      <c r="CB11">
        <v>3600</v>
      </c>
      <c r="CC11">
        <v>0</v>
      </c>
      <c r="CD11">
        <v>0</v>
      </c>
      <c r="CE11">
        <v>0</v>
      </c>
      <c r="CF11">
        <v>0</v>
      </c>
      <c r="CG11">
        <v>39515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750</v>
      </c>
      <c r="CU11">
        <v>750</v>
      </c>
      <c r="CV11">
        <v>750</v>
      </c>
      <c r="CW11">
        <v>2250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2250</v>
      </c>
      <c r="EE11">
        <v>0</v>
      </c>
      <c r="EF11">
        <v>0</v>
      </c>
      <c r="EG11">
        <v>0</v>
      </c>
      <c r="EH11">
        <v>0</v>
      </c>
      <c r="EI11">
        <v>1154</v>
      </c>
      <c r="EJ11">
        <v>1154</v>
      </c>
      <c r="EK11">
        <v>1155</v>
      </c>
      <c r="EL11">
        <v>3500</v>
      </c>
      <c r="EM11">
        <v>37.065000000000005</v>
      </c>
      <c r="EN11">
        <v>660</v>
      </c>
      <c r="EO11">
        <v>660</v>
      </c>
      <c r="EP11">
        <v>660</v>
      </c>
      <c r="EQ11">
        <v>2000</v>
      </c>
      <c r="ER11">
        <v>21.18</v>
      </c>
      <c r="ES11">
        <v>0</v>
      </c>
      <c r="ET11">
        <v>0</v>
      </c>
      <c r="EU11">
        <v>0</v>
      </c>
      <c r="EV11">
        <v>0</v>
      </c>
      <c r="EW11">
        <v>0</v>
      </c>
      <c r="FA11">
        <v>0</v>
      </c>
      <c r="FE11">
        <v>0</v>
      </c>
      <c r="FI11">
        <v>0</v>
      </c>
      <c r="FJ11">
        <v>5441.7550000000001</v>
      </c>
      <c r="FK11">
        <v>37265</v>
      </c>
      <c r="FL11">
        <v>33230.906186040687</v>
      </c>
      <c r="FM11">
        <v>31823.245000000003</v>
      </c>
    </row>
    <row r="12" spans="1:170" x14ac:dyDescent="0.35">
      <c r="A12">
        <v>199598</v>
      </c>
      <c r="B12" s="43" t="s">
        <v>3954</v>
      </c>
      <c r="C12" s="43" t="s">
        <v>3955</v>
      </c>
      <c r="D12" s="43" t="s">
        <v>3956</v>
      </c>
      <c r="E12" s="43" t="s">
        <v>3957</v>
      </c>
      <c r="F12">
        <v>1</v>
      </c>
      <c r="H12" s="23"/>
      <c r="I12">
        <v>43804</v>
      </c>
      <c r="J12" s="43" t="s">
        <v>3958</v>
      </c>
      <c r="K12" s="43" t="s">
        <v>1715</v>
      </c>
      <c r="L12" s="43" t="s">
        <v>259</v>
      </c>
      <c r="M12" s="43" t="s">
        <v>3959</v>
      </c>
      <c r="N12" s="43" t="s">
        <v>3960</v>
      </c>
      <c r="O12" s="43" t="s">
        <v>3961</v>
      </c>
      <c r="P12" s="43" t="s">
        <v>596</v>
      </c>
      <c r="Q12" s="43" t="s">
        <v>3962</v>
      </c>
      <c r="S12" s="23">
        <v>44109</v>
      </c>
      <c r="T12" s="43" t="s">
        <v>265</v>
      </c>
      <c r="U12" s="43" t="s">
        <v>266</v>
      </c>
      <c r="V12" s="43" t="s">
        <v>1110</v>
      </c>
      <c r="W12" s="43" t="s">
        <v>1718</v>
      </c>
      <c r="X12" s="43" t="s">
        <v>1719</v>
      </c>
      <c r="Y12">
        <v>8772802835</v>
      </c>
      <c r="Z12" s="43" t="s">
        <v>270</v>
      </c>
      <c r="AA12" s="43" t="s">
        <v>271</v>
      </c>
      <c r="AB12">
        <v>21</v>
      </c>
      <c r="AC12">
        <v>0</v>
      </c>
      <c r="AD12">
        <v>97</v>
      </c>
      <c r="AE12" s="43" t="s">
        <v>289</v>
      </c>
      <c r="AF12">
        <v>2</v>
      </c>
      <c r="AG12" s="43" t="s">
        <v>3345</v>
      </c>
      <c r="AJ12" s="23"/>
      <c r="AK12" s="43" t="s">
        <v>259</v>
      </c>
      <c r="AL12" s="43" t="s">
        <v>259</v>
      </c>
      <c r="AM12" s="23"/>
      <c r="AN12" s="23"/>
      <c r="AO12" s="23"/>
      <c r="AP12" s="23"/>
      <c r="AQ12" s="23"/>
      <c r="BB12" s="43"/>
      <c r="BC12" s="43" t="s">
        <v>259</v>
      </c>
      <c r="BD12" s="43" t="s">
        <v>259</v>
      </c>
      <c r="BE12" s="43" t="s">
        <v>259</v>
      </c>
      <c r="BF12" s="43" t="s">
        <v>259</v>
      </c>
      <c r="BG12" s="43" t="s">
        <v>259</v>
      </c>
      <c r="BH12" t="s">
        <v>259</v>
      </c>
      <c r="BI12" s="43" t="s">
        <v>259</v>
      </c>
      <c r="BJ12">
        <v>0</v>
      </c>
      <c r="BK12" s="23">
        <v>44109</v>
      </c>
      <c r="BL12" s="23">
        <v>44356</v>
      </c>
      <c r="BM12">
        <v>8505</v>
      </c>
      <c r="BN12">
        <v>8505</v>
      </c>
      <c r="BO12">
        <v>8505</v>
      </c>
      <c r="BP12">
        <v>25515</v>
      </c>
      <c r="BQ12">
        <v>3300</v>
      </c>
      <c r="BR12">
        <v>400</v>
      </c>
      <c r="BS12">
        <v>400</v>
      </c>
      <c r="BT12">
        <v>4100</v>
      </c>
      <c r="BU12">
        <v>2100</v>
      </c>
      <c r="BV12">
        <v>2100</v>
      </c>
      <c r="BW12">
        <v>2100</v>
      </c>
      <c r="BX12">
        <v>6300</v>
      </c>
      <c r="BY12">
        <v>1200</v>
      </c>
      <c r="BZ12">
        <v>1200</v>
      </c>
      <c r="CA12">
        <v>1200</v>
      </c>
      <c r="CB12">
        <v>3600</v>
      </c>
      <c r="CC12">
        <v>0</v>
      </c>
      <c r="CD12">
        <v>0</v>
      </c>
      <c r="CE12">
        <v>0</v>
      </c>
      <c r="CF12">
        <v>0</v>
      </c>
      <c r="CG12">
        <v>39515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1500</v>
      </c>
      <c r="CU12">
        <v>1500</v>
      </c>
      <c r="CV12">
        <v>1500</v>
      </c>
      <c r="CW12">
        <v>4500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4500</v>
      </c>
      <c r="EE12">
        <v>0</v>
      </c>
      <c r="EF12">
        <v>0</v>
      </c>
      <c r="EG12">
        <v>0</v>
      </c>
      <c r="EH12">
        <v>0</v>
      </c>
      <c r="EI12">
        <v>1154</v>
      </c>
      <c r="EJ12">
        <v>1154</v>
      </c>
      <c r="EK12">
        <v>1155</v>
      </c>
      <c r="EL12">
        <v>3500</v>
      </c>
      <c r="EM12">
        <v>37.065000000000005</v>
      </c>
      <c r="EN12">
        <v>660</v>
      </c>
      <c r="EO12">
        <v>660</v>
      </c>
      <c r="EP12">
        <v>660</v>
      </c>
      <c r="EQ12">
        <v>2000</v>
      </c>
      <c r="ER12">
        <v>21.18</v>
      </c>
      <c r="ES12">
        <v>0</v>
      </c>
      <c r="ET12">
        <v>0</v>
      </c>
      <c r="EU12">
        <v>0</v>
      </c>
      <c r="EV12">
        <v>0</v>
      </c>
      <c r="EW12">
        <v>0</v>
      </c>
      <c r="FA12">
        <v>0</v>
      </c>
      <c r="FE12">
        <v>0</v>
      </c>
      <c r="FI12">
        <v>0</v>
      </c>
      <c r="FJ12">
        <v>5441.7550000000001</v>
      </c>
      <c r="FK12">
        <v>35015</v>
      </c>
      <c r="FL12">
        <v>30881.380268159221</v>
      </c>
      <c r="FM12">
        <v>29573.244999999999</v>
      </c>
    </row>
    <row r="13" spans="1:170" x14ac:dyDescent="0.35">
      <c r="A13">
        <v>199527</v>
      </c>
      <c r="B13" s="43" t="s">
        <v>3963</v>
      </c>
      <c r="C13" s="43" t="s">
        <v>3964</v>
      </c>
      <c r="D13" s="43" t="s">
        <v>3965</v>
      </c>
      <c r="E13" s="43" t="s">
        <v>3966</v>
      </c>
      <c r="F13">
        <v>1</v>
      </c>
      <c r="H13" s="23"/>
      <c r="I13">
        <v>43804</v>
      </c>
      <c r="J13" s="43" t="s">
        <v>3958</v>
      </c>
      <c r="K13" s="43" t="s">
        <v>1715</v>
      </c>
      <c r="L13" s="43" t="s">
        <v>259</v>
      </c>
      <c r="M13" s="43" t="s">
        <v>3967</v>
      </c>
      <c r="N13" s="43" t="s">
        <v>3968</v>
      </c>
      <c r="O13" s="43" t="s">
        <v>3969</v>
      </c>
      <c r="P13" s="43" t="s">
        <v>342</v>
      </c>
      <c r="Q13" s="43" t="s">
        <v>3970</v>
      </c>
      <c r="S13" s="23">
        <v>44109</v>
      </c>
      <c r="T13" s="43" t="s">
        <v>265</v>
      </c>
      <c r="U13" s="43" t="s">
        <v>286</v>
      </c>
      <c r="V13" s="43" t="s">
        <v>267</v>
      </c>
      <c r="W13" s="43" t="s">
        <v>1718</v>
      </c>
      <c r="X13" s="43" t="s">
        <v>1719</v>
      </c>
      <c r="Y13">
        <v>8772802835</v>
      </c>
      <c r="Z13" s="43" t="s">
        <v>270</v>
      </c>
      <c r="AA13" s="43" t="s">
        <v>271</v>
      </c>
      <c r="AB13">
        <v>0</v>
      </c>
      <c r="AC13">
        <v>0</v>
      </c>
      <c r="AD13">
        <v>0</v>
      </c>
      <c r="AE13" s="43" t="s">
        <v>354</v>
      </c>
      <c r="AF13">
        <v>6</v>
      </c>
      <c r="AG13" s="43" t="s">
        <v>3345</v>
      </c>
      <c r="AJ13" s="23"/>
      <c r="AK13" s="43" t="s">
        <v>259</v>
      </c>
      <c r="AL13" s="43" t="s">
        <v>259</v>
      </c>
      <c r="AM13" s="23"/>
      <c r="AN13" s="23"/>
      <c r="AO13" s="23"/>
      <c r="AP13" s="23"/>
      <c r="AQ13" s="23"/>
      <c r="BB13" s="43"/>
      <c r="BC13" s="43" t="s">
        <v>259</v>
      </c>
      <c r="BD13" s="43" t="s">
        <v>259</v>
      </c>
      <c r="BE13" s="43" t="s">
        <v>259</v>
      </c>
      <c r="BF13" s="43" t="s">
        <v>259</v>
      </c>
      <c r="BG13" s="43" t="s">
        <v>259</v>
      </c>
      <c r="BH13" t="s">
        <v>259</v>
      </c>
      <c r="BI13" s="43" t="s">
        <v>259</v>
      </c>
      <c r="BJ13">
        <v>0</v>
      </c>
      <c r="BK13" s="23">
        <v>44109</v>
      </c>
      <c r="BL13" s="23">
        <v>44356</v>
      </c>
      <c r="BM13">
        <v>8505</v>
      </c>
      <c r="BN13">
        <v>8505</v>
      </c>
      <c r="BO13">
        <v>8505</v>
      </c>
      <c r="BP13">
        <v>25515</v>
      </c>
      <c r="BQ13">
        <v>3300</v>
      </c>
      <c r="BR13">
        <v>400</v>
      </c>
      <c r="BS13">
        <v>400</v>
      </c>
      <c r="BT13">
        <v>4100</v>
      </c>
      <c r="BU13">
        <v>2100</v>
      </c>
      <c r="BV13">
        <v>2100</v>
      </c>
      <c r="BW13">
        <v>2100</v>
      </c>
      <c r="BX13">
        <v>6300</v>
      </c>
      <c r="BY13">
        <v>1200</v>
      </c>
      <c r="BZ13">
        <v>1200</v>
      </c>
      <c r="CA13">
        <v>1200</v>
      </c>
      <c r="CB13">
        <v>3600</v>
      </c>
      <c r="CC13">
        <v>0</v>
      </c>
      <c r="CD13">
        <v>0</v>
      </c>
      <c r="CE13">
        <v>0</v>
      </c>
      <c r="CF13">
        <v>0</v>
      </c>
      <c r="CG13">
        <v>39515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750</v>
      </c>
      <c r="CU13">
        <v>750</v>
      </c>
      <c r="CV13">
        <v>750</v>
      </c>
      <c r="CW13">
        <v>2250</v>
      </c>
      <c r="CX13">
        <v>0</v>
      </c>
      <c r="CY13">
        <v>0</v>
      </c>
      <c r="CZ13">
        <v>0</v>
      </c>
      <c r="DA13">
        <v>0</v>
      </c>
      <c r="DB13">
        <v>1000</v>
      </c>
      <c r="DC13">
        <v>1000</v>
      </c>
      <c r="DD13">
        <v>1000</v>
      </c>
      <c r="DE13">
        <v>3000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5250</v>
      </c>
      <c r="EE13">
        <v>0</v>
      </c>
      <c r="EF13">
        <v>0</v>
      </c>
      <c r="EG13">
        <v>0</v>
      </c>
      <c r="EH13">
        <v>0</v>
      </c>
      <c r="EI13">
        <v>1154</v>
      </c>
      <c r="EJ13">
        <v>1154</v>
      </c>
      <c r="EK13">
        <v>1155</v>
      </c>
      <c r="EL13">
        <v>3500</v>
      </c>
      <c r="EM13">
        <v>37.065000000000005</v>
      </c>
      <c r="EN13">
        <v>660</v>
      </c>
      <c r="EO13">
        <v>660</v>
      </c>
      <c r="EP13">
        <v>660</v>
      </c>
      <c r="EQ13">
        <v>2000</v>
      </c>
      <c r="ER13">
        <v>21.18</v>
      </c>
      <c r="ES13">
        <v>0</v>
      </c>
      <c r="ET13">
        <v>0</v>
      </c>
      <c r="EU13">
        <v>0</v>
      </c>
      <c r="EV13">
        <v>0</v>
      </c>
      <c r="EW13">
        <v>0</v>
      </c>
      <c r="FA13">
        <v>0</v>
      </c>
      <c r="FE13">
        <v>0</v>
      </c>
      <c r="FI13">
        <v>0</v>
      </c>
      <c r="FJ13">
        <v>5441.7550000000001</v>
      </c>
      <c r="FK13">
        <v>34265</v>
      </c>
      <c r="FL13">
        <v>30098.204962198735</v>
      </c>
      <c r="FM13">
        <v>28823.244999999999</v>
      </c>
    </row>
    <row r="14" spans="1:170" x14ac:dyDescent="0.35">
      <c r="A14">
        <v>194947</v>
      </c>
      <c r="B14" s="43" t="s">
        <v>1779</v>
      </c>
      <c r="C14" s="43" t="s">
        <v>1780</v>
      </c>
      <c r="D14" s="43" t="s">
        <v>1781</v>
      </c>
      <c r="E14" s="43" t="s">
        <v>1782</v>
      </c>
      <c r="F14">
        <v>1</v>
      </c>
      <c r="G14">
        <v>43775</v>
      </c>
      <c r="H14" s="23">
        <v>43780</v>
      </c>
      <c r="I14">
        <v>43780</v>
      </c>
      <c r="J14" s="43" t="s">
        <v>3421</v>
      </c>
      <c r="K14" s="43" t="s">
        <v>3307</v>
      </c>
      <c r="L14" s="43" t="s">
        <v>3204</v>
      </c>
      <c r="M14" s="43" t="s">
        <v>1783</v>
      </c>
      <c r="N14" s="43" t="s">
        <v>1784</v>
      </c>
      <c r="O14" s="43" t="s">
        <v>1785</v>
      </c>
      <c r="P14" s="43" t="s">
        <v>309</v>
      </c>
      <c r="Q14" s="43" t="s">
        <v>1786</v>
      </c>
      <c r="R14">
        <v>2.5516999999999999</v>
      </c>
      <c r="S14" s="23">
        <v>44109</v>
      </c>
      <c r="T14" s="43" t="s">
        <v>265</v>
      </c>
      <c r="U14" s="43" t="s">
        <v>266</v>
      </c>
      <c r="V14" s="43" t="s">
        <v>267</v>
      </c>
      <c r="W14" s="43" t="s">
        <v>1718</v>
      </c>
      <c r="X14" s="43" t="s">
        <v>1719</v>
      </c>
      <c r="Y14">
        <v>8772802835</v>
      </c>
      <c r="Z14" s="43" t="s">
        <v>270</v>
      </c>
      <c r="AA14" s="43" t="s">
        <v>271</v>
      </c>
      <c r="AB14">
        <v>0</v>
      </c>
      <c r="AC14">
        <v>1040</v>
      </c>
      <c r="AD14">
        <v>92</v>
      </c>
      <c r="AE14" s="43" t="s">
        <v>324</v>
      </c>
      <c r="AF14">
        <v>8</v>
      </c>
      <c r="AG14" s="43" t="s">
        <v>275</v>
      </c>
      <c r="AH14">
        <v>1489</v>
      </c>
      <c r="AI14">
        <v>1489</v>
      </c>
      <c r="AJ14" s="23">
        <v>43774</v>
      </c>
      <c r="AK14" s="43" t="s">
        <v>3208</v>
      </c>
      <c r="AL14" s="43" t="s">
        <v>3209</v>
      </c>
      <c r="AM14" s="23">
        <v>43780</v>
      </c>
      <c r="AN14" s="23">
        <v>43780</v>
      </c>
      <c r="AO14" s="23">
        <v>43766</v>
      </c>
      <c r="AP14" s="23"/>
      <c r="AQ14" s="23"/>
      <c r="BB14" s="43"/>
      <c r="BC14" s="43" t="s">
        <v>2018</v>
      </c>
      <c r="BD14" s="43" t="s">
        <v>2018</v>
      </c>
      <c r="BE14" s="43" t="s">
        <v>2018</v>
      </c>
      <c r="BF14" s="43" t="s">
        <v>2018</v>
      </c>
      <c r="BG14" s="43" t="s">
        <v>2018</v>
      </c>
      <c r="BH14" t="s">
        <v>2018</v>
      </c>
      <c r="BI14" s="43" t="s">
        <v>2018</v>
      </c>
      <c r="BJ14">
        <v>0.1875</v>
      </c>
      <c r="BK14" s="23">
        <v>44109</v>
      </c>
      <c r="BL14" s="23">
        <v>44356</v>
      </c>
      <c r="BM14">
        <v>8505</v>
      </c>
      <c r="BN14">
        <v>8505</v>
      </c>
      <c r="BO14">
        <v>8505</v>
      </c>
      <c r="BP14">
        <v>25515</v>
      </c>
      <c r="BQ14">
        <v>3300</v>
      </c>
      <c r="BR14">
        <v>400</v>
      </c>
      <c r="BS14">
        <v>400</v>
      </c>
      <c r="BT14">
        <v>4100</v>
      </c>
      <c r="BU14">
        <v>2100</v>
      </c>
      <c r="BV14">
        <v>2100</v>
      </c>
      <c r="BW14">
        <v>2100</v>
      </c>
      <c r="BX14">
        <v>6300</v>
      </c>
      <c r="BY14">
        <v>1050</v>
      </c>
      <c r="BZ14">
        <v>1050</v>
      </c>
      <c r="CA14">
        <v>1050</v>
      </c>
      <c r="CB14">
        <v>3150</v>
      </c>
      <c r="CC14">
        <v>0</v>
      </c>
      <c r="CD14">
        <v>0</v>
      </c>
      <c r="CE14">
        <v>0</v>
      </c>
      <c r="CF14">
        <v>0</v>
      </c>
      <c r="CG14">
        <v>39065</v>
      </c>
      <c r="CH14">
        <v>0</v>
      </c>
      <c r="CI14">
        <v>0</v>
      </c>
      <c r="CJ14">
        <v>0</v>
      </c>
      <c r="CK14">
        <v>0</v>
      </c>
      <c r="CL14">
        <v>1582</v>
      </c>
      <c r="CM14">
        <v>1582</v>
      </c>
      <c r="CN14">
        <v>1581</v>
      </c>
      <c r="CO14">
        <v>4745</v>
      </c>
      <c r="CP14">
        <v>500</v>
      </c>
      <c r="CQ14">
        <v>500</v>
      </c>
      <c r="CR14">
        <v>500</v>
      </c>
      <c r="CS14">
        <v>1500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6245</v>
      </c>
      <c r="EE14">
        <v>0</v>
      </c>
      <c r="EF14">
        <v>0</v>
      </c>
      <c r="EG14">
        <v>0</v>
      </c>
      <c r="EH14">
        <v>0</v>
      </c>
      <c r="EI14">
        <v>1154</v>
      </c>
      <c r="EJ14">
        <v>1154</v>
      </c>
      <c r="EK14">
        <v>1155</v>
      </c>
      <c r="EL14">
        <v>3500</v>
      </c>
      <c r="EM14">
        <v>37.065000000000005</v>
      </c>
      <c r="EN14">
        <v>660</v>
      </c>
      <c r="EO14">
        <v>660</v>
      </c>
      <c r="EP14">
        <v>660</v>
      </c>
      <c r="EQ14">
        <v>2000</v>
      </c>
      <c r="ER14">
        <v>21.18</v>
      </c>
      <c r="ES14">
        <v>9142</v>
      </c>
      <c r="ET14">
        <v>9142</v>
      </c>
      <c r="EU14">
        <v>9142</v>
      </c>
      <c r="EV14">
        <v>28589</v>
      </c>
      <c r="EW14">
        <v>1211.0300400000001</v>
      </c>
      <c r="FA14">
        <v>0</v>
      </c>
      <c r="FE14">
        <v>0</v>
      </c>
      <c r="FI14">
        <v>0</v>
      </c>
      <c r="FJ14">
        <v>32819.72496</v>
      </c>
      <c r="FK14">
        <v>32820</v>
      </c>
      <c r="FL14">
        <v>0.28720604820229384</v>
      </c>
      <c r="FM14">
        <v>0.27504000000044471</v>
      </c>
    </row>
    <row r="15" spans="1:170" x14ac:dyDescent="0.35">
      <c r="A15">
        <v>196077</v>
      </c>
      <c r="B15" s="43" t="s">
        <v>1787</v>
      </c>
      <c r="C15" s="43" t="s">
        <v>1788</v>
      </c>
      <c r="D15" s="43" t="s">
        <v>1789</v>
      </c>
      <c r="E15" s="43" t="s">
        <v>1790</v>
      </c>
      <c r="F15">
        <v>1</v>
      </c>
      <c r="H15" s="23"/>
      <c r="I15">
        <v>43804</v>
      </c>
      <c r="J15" s="43" t="s">
        <v>4242</v>
      </c>
      <c r="K15" s="43" t="s">
        <v>1715</v>
      </c>
      <c r="L15" s="43" t="s">
        <v>259</v>
      </c>
      <c r="M15" s="43" t="s">
        <v>1791</v>
      </c>
      <c r="N15" s="43" t="s">
        <v>1792</v>
      </c>
      <c r="O15" s="43" t="s">
        <v>1793</v>
      </c>
      <c r="P15" s="43" t="s">
        <v>342</v>
      </c>
      <c r="Q15" s="43" t="s">
        <v>1794</v>
      </c>
      <c r="R15">
        <v>3.2902999999999998</v>
      </c>
      <c r="S15" s="23">
        <v>44109</v>
      </c>
      <c r="T15" s="43" t="s">
        <v>265</v>
      </c>
      <c r="U15" s="43" t="s">
        <v>266</v>
      </c>
      <c r="V15" s="43" t="s">
        <v>267</v>
      </c>
      <c r="W15" s="43" t="s">
        <v>1718</v>
      </c>
      <c r="X15" s="43" t="s">
        <v>1719</v>
      </c>
      <c r="Y15">
        <v>8772802835</v>
      </c>
      <c r="Z15" s="43" t="s">
        <v>270</v>
      </c>
      <c r="AA15" s="43" t="s">
        <v>271</v>
      </c>
      <c r="AB15">
        <v>0</v>
      </c>
      <c r="AC15">
        <v>0</v>
      </c>
      <c r="AD15">
        <v>0</v>
      </c>
      <c r="AE15" s="43" t="s">
        <v>416</v>
      </c>
      <c r="AF15">
        <v>5</v>
      </c>
      <c r="AG15" s="43" t="s">
        <v>275</v>
      </c>
      <c r="AJ15" s="23"/>
      <c r="AK15" s="43" t="s">
        <v>259</v>
      </c>
      <c r="AL15" s="43" t="s">
        <v>259</v>
      </c>
      <c r="AM15" s="23"/>
      <c r="AN15" s="23"/>
      <c r="AO15" s="23"/>
      <c r="AP15" s="23"/>
      <c r="AQ15" s="23"/>
      <c r="BB15" s="43"/>
      <c r="BC15" s="43" t="s">
        <v>259</v>
      </c>
      <c r="BD15" s="43" t="s">
        <v>259</v>
      </c>
      <c r="BE15" s="43" t="s">
        <v>259</v>
      </c>
      <c r="BF15" s="43" t="s">
        <v>259</v>
      </c>
      <c r="BG15" s="43" t="s">
        <v>259</v>
      </c>
      <c r="BH15" t="s">
        <v>259</v>
      </c>
      <c r="BI15" s="43" t="s">
        <v>259</v>
      </c>
      <c r="BJ15">
        <v>0</v>
      </c>
      <c r="BK15" s="23">
        <v>44109</v>
      </c>
      <c r="BL15" s="23">
        <v>44356</v>
      </c>
      <c r="BM15">
        <v>8505</v>
      </c>
      <c r="BN15">
        <v>8505</v>
      </c>
      <c r="BO15">
        <v>8505</v>
      </c>
      <c r="BP15">
        <v>25515</v>
      </c>
      <c r="BQ15">
        <v>3300</v>
      </c>
      <c r="BR15">
        <v>400</v>
      </c>
      <c r="BS15">
        <v>400</v>
      </c>
      <c r="BT15">
        <v>4100</v>
      </c>
      <c r="BU15">
        <v>2100</v>
      </c>
      <c r="BV15">
        <v>2100</v>
      </c>
      <c r="BW15">
        <v>2100</v>
      </c>
      <c r="BX15">
        <v>6300</v>
      </c>
      <c r="BY15">
        <v>1200</v>
      </c>
      <c r="BZ15">
        <v>1200</v>
      </c>
      <c r="CA15">
        <v>1200</v>
      </c>
      <c r="CB15">
        <v>3600</v>
      </c>
      <c r="CC15">
        <v>0</v>
      </c>
      <c r="CD15">
        <v>0</v>
      </c>
      <c r="CE15">
        <v>0</v>
      </c>
      <c r="CF15">
        <v>0</v>
      </c>
      <c r="CG15">
        <v>39515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1000</v>
      </c>
      <c r="CU15">
        <v>1000</v>
      </c>
      <c r="CV15">
        <v>1000</v>
      </c>
      <c r="CW15">
        <v>3000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3000</v>
      </c>
      <c r="EE15">
        <v>0</v>
      </c>
      <c r="EF15">
        <v>0</v>
      </c>
      <c r="EG15">
        <v>0</v>
      </c>
      <c r="EH15">
        <v>0</v>
      </c>
      <c r="EI15">
        <v>1154</v>
      </c>
      <c r="EJ15">
        <v>1154</v>
      </c>
      <c r="EK15">
        <v>1155</v>
      </c>
      <c r="EL15">
        <v>3500</v>
      </c>
      <c r="EM15">
        <v>37.065000000000005</v>
      </c>
      <c r="EN15">
        <v>660</v>
      </c>
      <c r="EO15">
        <v>660</v>
      </c>
      <c r="EP15">
        <v>660</v>
      </c>
      <c r="EQ15">
        <v>2000</v>
      </c>
      <c r="ER15">
        <v>21.18</v>
      </c>
      <c r="ES15">
        <v>0</v>
      </c>
      <c r="ET15">
        <v>0</v>
      </c>
      <c r="EU15">
        <v>0</v>
      </c>
      <c r="EV15">
        <v>0</v>
      </c>
      <c r="EW15">
        <v>0</v>
      </c>
      <c r="FA15">
        <v>0</v>
      </c>
      <c r="FE15">
        <v>0</v>
      </c>
      <c r="FI15">
        <v>0</v>
      </c>
      <c r="FJ15">
        <v>5441.7550000000001</v>
      </c>
      <c r="FK15">
        <v>36515</v>
      </c>
      <c r="FL15">
        <v>32447.730880080198</v>
      </c>
      <c r="FM15">
        <v>31073.245000000003</v>
      </c>
    </row>
    <row r="16" spans="1:170" x14ac:dyDescent="0.35">
      <c r="A16">
        <v>196529</v>
      </c>
      <c r="B16" s="43" t="s">
        <v>1795</v>
      </c>
      <c r="C16" s="43" t="s">
        <v>878</v>
      </c>
      <c r="D16" s="43" t="s">
        <v>1796</v>
      </c>
      <c r="E16" s="43" t="s">
        <v>1797</v>
      </c>
      <c r="F16">
        <v>1</v>
      </c>
      <c r="G16">
        <v>43775</v>
      </c>
      <c r="H16" s="23">
        <v>43782</v>
      </c>
      <c r="I16">
        <v>43804</v>
      </c>
      <c r="J16" s="43" t="s">
        <v>3421</v>
      </c>
      <c r="K16" s="43" t="s">
        <v>1715</v>
      </c>
      <c r="L16" s="43" t="s">
        <v>3204</v>
      </c>
      <c r="M16" s="43" t="s">
        <v>1798</v>
      </c>
      <c r="N16" s="43" t="s">
        <v>1799</v>
      </c>
      <c r="O16" s="43" t="s">
        <v>1665</v>
      </c>
      <c r="P16" s="43" t="s">
        <v>542</v>
      </c>
      <c r="Q16" s="43" t="s">
        <v>1800</v>
      </c>
      <c r="R16">
        <v>3.1120000000000001</v>
      </c>
      <c r="S16" s="23">
        <v>44109</v>
      </c>
      <c r="T16" s="43" t="s">
        <v>544</v>
      </c>
      <c r="U16" s="43" t="s">
        <v>266</v>
      </c>
      <c r="V16" s="43" t="s">
        <v>267</v>
      </c>
      <c r="W16" s="43" t="s">
        <v>1718</v>
      </c>
      <c r="X16" s="43" t="s">
        <v>1719</v>
      </c>
      <c r="Y16">
        <v>8772802835</v>
      </c>
      <c r="Z16" s="43" t="s">
        <v>270</v>
      </c>
      <c r="AA16" s="43" t="s">
        <v>271</v>
      </c>
      <c r="AB16">
        <v>19</v>
      </c>
      <c r="AC16">
        <v>0</v>
      </c>
      <c r="AD16">
        <v>95</v>
      </c>
      <c r="AE16" s="43" t="s">
        <v>364</v>
      </c>
      <c r="AF16">
        <v>3</v>
      </c>
      <c r="AG16" s="43" t="s">
        <v>275</v>
      </c>
      <c r="AH16">
        <v>1354</v>
      </c>
      <c r="AI16">
        <v>1354</v>
      </c>
      <c r="AJ16" s="23">
        <v>43774</v>
      </c>
      <c r="AK16" s="43" t="s">
        <v>3208</v>
      </c>
      <c r="AL16" s="43" t="s">
        <v>3209</v>
      </c>
      <c r="AM16" s="23">
        <v>43782</v>
      </c>
      <c r="AN16" s="23">
        <v>43782</v>
      </c>
      <c r="AO16" s="23">
        <v>43782</v>
      </c>
      <c r="AP16" s="23">
        <v>43782</v>
      </c>
      <c r="AQ16" s="23"/>
      <c r="BB16" s="43"/>
      <c r="BC16" s="43" t="s">
        <v>2018</v>
      </c>
      <c r="BD16" s="43" t="s">
        <v>2018</v>
      </c>
      <c r="BE16" s="43" t="s">
        <v>2018</v>
      </c>
      <c r="BF16" s="43" t="s">
        <v>2018</v>
      </c>
      <c r="BG16" s="43" t="s">
        <v>2018</v>
      </c>
      <c r="BH16" t="s">
        <v>2018</v>
      </c>
      <c r="BI16" s="43" t="s">
        <v>2018</v>
      </c>
      <c r="BJ16">
        <v>0.25</v>
      </c>
      <c r="BK16" s="23">
        <v>44109</v>
      </c>
      <c r="BL16" s="23">
        <v>44356</v>
      </c>
      <c r="BM16">
        <v>8505</v>
      </c>
      <c r="BN16">
        <v>8505</v>
      </c>
      <c r="BO16">
        <v>8505</v>
      </c>
      <c r="BP16">
        <v>25515</v>
      </c>
      <c r="BQ16">
        <v>3300</v>
      </c>
      <c r="BR16">
        <v>400</v>
      </c>
      <c r="BS16">
        <v>400</v>
      </c>
      <c r="BT16">
        <v>4100</v>
      </c>
      <c r="BU16">
        <v>2100</v>
      </c>
      <c r="BV16">
        <v>2100</v>
      </c>
      <c r="BW16">
        <v>2100</v>
      </c>
      <c r="BX16">
        <v>6300</v>
      </c>
      <c r="BY16">
        <v>1200</v>
      </c>
      <c r="BZ16">
        <v>1200</v>
      </c>
      <c r="CA16">
        <v>1200</v>
      </c>
      <c r="CB16">
        <v>3600</v>
      </c>
      <c r="CC16">
        <v>0</v>
      </c>
      <c r="CD16">
        <v>0</v>
      </c>
      <c r="CE16">
        <v>0</v>
      </c>
      <c r="CF16">
        <v>0</v>
      </c>
      <c r="CG16">
        <v>39515</v>
      </c>
      <c r="CH16">
        <v>0</v>
      </c>
      <c r="CI16">
        <v>0</v>
      </c>
      <c r="CJ16">
        <v>0</v>
      </c>
      <c r="CK16">
        <v>0</v>
      </c>
      <c r="CL16">
        <v>1615</v>
      </c>
      <c r="CM16">
        <v>1615</v>
      </c>
      <c r="CN16">
        <v>1615</v>
      </c>
      <c r="CO16">
        <v>4845</v>
      </c>
      <c r="CP16">
        <v>500</v>
      </c>
      <c r="CQ16">
        <v>500</v>
      </c>
      <c r="CR16">
        <v>500</v>
      </c>
      <c r="CS16">
        <v>1500</v>
      </c>
      <c r="CT16">
        <v>1300</v>
      </c>
      <c r="CU16">
        <v>1300</v>
      </c>
      <c r="CV16">
        <v>1300</v>
      </c>
      <c r="CW16">
        <v>3900</v>
      </c>
      <c r="CX16">
        <v>3000</v>
      </c>
      <c r="CY16">
        <v>3000</v>
      </c>
      <c r="CZ16">
        <v>3000</v>
      </c>
      <c r="DA16">
        <v>9000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19245</v>
      </c>
      <c r="EE16">
        <v>0</v>
      </c>
      <c r="EF16">
        <v>0</v>
      </c>
      <c r="EG16">
        <v>0</v>
      </c>
      <c r="EH16">
        <v>0</v>
      </c>
      <c r="EI16">
        <v>1154</v>
      </c>
      <c r="EJ16">
        <v>1154</v>
      </c>
      <c r="EK16">
        <v>1155</v>
      </c>
      <c r="EL16">
        <v>3500</v>
      </c>
      <c r="EM16">
        <v>37.065000000000005</v>
      </c>
      <c r="EN16">
        <v>660</v>
      </c>
      <c r="EO16">
        <v>660</v>
      </c>
      <c r="EP16">
        <v>660</v>
      </c>
      <c r="EQ16">
        <v>2000</v>
      </c>
      <c r="ER16">
        <v>21.18</v>
      </c>
      <c r="ES16">
        <v>4952</v>
      </c>
      <c r="ET16">
        <v>4952</v>
      </c>
      <c r="EU16">
        <v>4952</v>
      </c>
      <c r="EV16">
        <v>15484</v>
      </c>
      <c r="EW16">
        <v>655.90224000000001</v>
      </c>
      <c r="FA16">
        <v>0</v>
      </c>
      <c r="FE16">
        <v>0</v>
      </c>
      <c r="FI16">
        <v>0</v>
      </c>
      <c r="FJ16">
        <v>20269.852760000002</v>
      </c>
      <c r="FK16">
        <v>20270</v>
      </c>
      <c r="FL16">
        <v>0.1537529760645118</v>
      </c>
      <c r="FM16">
        <v>0.14723999999841908</v>
      </c>
    </row>
    <row r="17" spans="1:169" x14ac:dyDescent="0.35">
      <c r="A17">
        <v>199274</v>
      </c>
      <c r="B17" s="43" t="s">
        <v>3617</v>
      </c>
      <c r="C17" s="43" t="s">
        <v>1208</v>
      </c>
      <c r="D17" s="43" t="s">
        <v>3618</v>
      </c>
      <c r="E17" s="43" t="s">
        <v>3619</v>
      </c>
      <c r="F17">
        <v>1</v>
      </c>
      <c r="H17" s="23"/>
      <c r="I17">
        <v>43803</v>
      </c>
      <c r="J17" s="43" t="s">
        <v>3304</v>
      </c>
      <c r="K17" s="43" t="s">
        <v>1715</v>
      </c>
      <c r="L17" s="43" t="s">
        <v>259</v>
      </c>
      <c r="M17" s="43" t="s">
        <v>3620</v>
      </c>
      <c r="N17" s="43" t="s">
        <v>3621</v>
      </c>
      <c r="O17" s="43" t="s">
        <v>3622</v>
      </c>
      <c r="P17" s="43" t="s">
        <v>542</v>
      </c>
      <c r="Q17" s="43" t="s">
        <v>2526</v>
      </c>
      <c r="S17" s="23">
        <v>44109</v>
      </c>
      <c r="T17" s="43" t="s">
        <v>544</v>
      </c>
      <c r="U17" s="43" t="s">
        <v>266</v>
      </c>
      <c r="V17" s="43" t="s">
        <v>267</v>
      </c>
      <c r="W17" s="43" t="s">
        <v>1718</v>
      </c>
      <c r="X17" s="43" t="s">
        <v>1719</v>
      </c>
      <c r="Y17">
        <v>8772802835</v>
      </c>
      <c r="Z17" s="43" t="s">
        <v>270</v>
      </c>
      <c r="AA17" s="43" t="s">
        <v>271</v>
      </c>
      <c r="AB17">
        <v>25</v>
      </c>
      <c r="AC17">
        <v>0</v>
      </c>
      <c r="AD17">
        <v>106</v>
      </c>
      <c r="AE17" s="43" t="s">
        <v>364</v>
      </c>
      <c r="AF17">
        <v>3</v>
      </c>
      <c r="AG17" s="43" t="s">
        <v>3345</v>
      </c>
      <c r="AJ17" s="23"/>
      <c r="AK17" s="43" t="s">
        <v>259</v>
      </c>
      <c r="AL17" s="43" t="s">
        <v>259</v>
      </c>
      <c r="AM17" s="23"/>
      <c r="AN17" s="23"/>
      <c r="AO17" s="23"/>
      <c r="AP17" s="23"/>
      <c r="AQ17" s="23"/>
      <c r="BB17" s="43"/>
      <c r="BC17" s="43" t="s">
        <v>259</v>
      </c>
      <c r="BD17" s="43" t="s">
        <v>259</v>
      </c>
      <c r="BE17" s="43" t="s">
        <v>259</v>
      </c>
      <c r="BF17" s="43" t="s">
        <v>259</v>
      </c>
      <c r="BG17" s="43" t="s">
        <v>259</v>
      </c>
      <c r="BH17" t="s">
        <v>259</v>
      </c>
      <c r="BI17" s="43" t="s">
        <v>259</v>
      </c>
      <c r="BJ17">
        <v>0</v>
      </c>
      <c r="BK17" s="23">
        <v>44109</v>
      </c>
      <c r="BL17" s="23">
        <v>44356</v>
      </c>
      <c r="BM17">
        <v>8505</v>
      </c>
      <c r="BN17">
        <v>8505</v>
      </c>
      <c r="BO17">
        <v>8505</v>
      </c>
      <c r="BP17">
        <v>25515</v>
      </c>
      <c r="BQ17">
        <v>3300</v>
      </c>
      <c r="BR17">
        <v>400</v>
      </c>
      <c r="BS17">
        <v>400</v>
      </c>
      <c r="BT17">
        <v>4100</v>
      </c>
      <c r="BU17">
        <v>2100</v>
      </c>
      <c r="BV17">
        <v>2100</v>
      </c>
      <c r="BW17">
        <v>2100</v>
      </c>
      <c r="BX17">
        <v>6300</v>
      </c>
      <c r="BY17">
        <v>1200</v>
      </c>
      <c r="BZ17">
        <v>1200</v>
      </c>
      <c r="CA17">
        <v>1200</v>
      </c>
      <c r="CB17">
        <v>3600</v>
      </c>
      <c r="CC17">
        <v>0</v>
      </c>
      <c r="CD17">
        <v>0</v>
      </c>
      <c r="CE17">
        <v>0</v>
      </c>
      <c r="CF17">
        <v>0</v>
      </c>
      <c r="CG17">
        <v>39515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1300</v>
      </c>
      <c r="CU17">
        <v>1300</v>
      </c>
      <c r="CV17">
        <v>1300</v>
      </c>
      <c r="CW17">
        <v>3900</v>
      </c>
      <c r="CX17">
        <v>3000</v>
      </c>
      <c r="CY17">
        <v>3000</v>
      </c>
      <c r="CZ17">
        <v>3000</v>
      </c>
      <c r="DA17">
        <v>9000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12900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M17">
        <v>0</v>
      </c>
      <c r="EN17">
        <v>660</v>
      </c>
      <c r="EO17">
        <v>660</v>
      </c>
      <c r="EP17">
        <v>660</v>
      </c>
      <c r="EQ17">
        <v>2000</v>
      </c>
      <c r="ER17">
        <v>21.18</v>
      </c>
      <c r="ES17">
        <v>0</v>
      </c>
      <c r="ET17">
        <v>0</v>
      </c>
      <c r="EU17">
        <v>0</v>
      </c>
      <c r="EW17">
        <v>0</v>
      </c>
      <c r="FA17">
        <v>0</v>
      </c>
      <c r="FE17">
        <v>0</v>
      </c>
      <c r="FI17">
        <v>0</v>
      </c>
      <c r="FJ17">
        <v>1978.82</v>
      </c>
      <c r="FK17">
        <v>26615</v>
      </c>
      <c r="FL17">
        <v>25725.930412263479</v>
      </c>
      <c r="FM17">
        <v>24636.18</v>
      </c>
    </row>
    <row r="18" spans="1:169" x14ac:dyDescent="0.35">
      <c r="A18">
        <v>198019</v>
      </c>
      <c r="B18" s="43" t="s">
        <v>1801</v>
      </c>
      <c r="C18" s="43" t="s">
        <v>1802</v>
      </c>
      <c r="D18" s="43" t="s">
        <v>1803</v>
      </c>
      <c r="E18" s="43" t="s">
        <v>1804</v>
      </c>
      <c r="F18">
        <v>1</v>
      </c>
      <c r="H18" s="23"/>
      <c r="I18">
        <v>43804</v>
      </c>
      <c r="J18" s="43" t="s">
        <v>4242</v>
      </c>
      <c r="K18" s="43" t="s">
        <v>1715</v>
      </c>
      <c r="L18" s="43" t="s">
        <v>259</v>
      </c>
      <c r="M18" s="43" t="s">
        <v>1805</v>
      </c>
      <c r="N18" s="43" t="s">
        <v>1806</v>
      </c>
      <c r="O18" s="43" t="s">
        <v>1426</v>
      </c>
      <c r="P18" s="43" t="s">
        <v>297</v>
      </c>
      <c r="Q18" s="43" t="s">
        <v>1807</v>
      </c>
      <c r="R18">
        <v>2.2200000000000002</v>
      </c>
      <c r="S18" s="23">
        <v>44109</v>
      </c>
      <c r="T18" s="43" t="s">
        <v>311</v>
      </c>
      <c r="U18" s="43" t="s">
        <v>266</v>
      </c>
      <c r="V18" s="43" t="s">
        <v>267</v>
      </c>
      <c r="W18" s="43" t="s">
        <v>1718</v>
      </c>
      <c r="X18" s="43" t="s">
        <v>1719</v>
      </c>
      <c r="Y18">
        <v>8772802835</v>
      </c>
      <c r="Z18" s="43" t="s">
        <v>270</v>
      </c>
      <c r="AA18" s="43" t="s">
        <v>271</v>
      </c>
      <c r="AB18">
        <v>0</v>
      </c>
      <c r="AC18">
        <v>1140</v>
      </c>
      <c r="AD18">
        <v>90</v>
      </c>
      <c r="AE18" s="43" t="s">
        <v>376</v>
      </c>
      <c r="AF18">
        <v>7</v>
      </c>
      <c r="AG18" s="43" t="s">
        <v>275</v>
      </c>
      <c r="AJ18" s="23"/>
      <c r="AK18" s="43" t="s">
        <v>259</v>
      </c>
      <c r="AL18" s="43" t="s">
        <v>259</v>
      </c>
      <c r="AM18" s="23"/>
      <c r="AN18" s="23"/>
      <c r="AO18" s="23"/>
      <c r="AP18" s="23"/>
      <c r="AQ18" s="23"/>
      <c r="BB18" s="43"/>
      <c r="BC18" s="43" t="s">
        <v>259</v>
      </c>
      <c r="BD18" s="43" t="s">
        <v>259</v>
      </c>
      <c r="BE18" s="43" t="s">
        <v>259</v>
      </c>
      <c r="BF18" s="43" t="s">
        <v>259</v>
      </c>
      <c r="BG18" s="43" t="s">
        <v>259</v>
      </c>
      <c r="BH18" t="s">
        <v>259</v>
      </c>
      <c r="BI18" s="43" t="s">
        <v>259</v>
      </c>
      <c r="BJ18">
        <v>0</v>
      </c>
      <c r="BK18" s="23">
        <v>44109</v>
      </c>
      <c r="BL18" s="23">
        <v>44356</v>
      </c>
      <c r="BM18">
        <v>8505</v>
      </c>
      <c r="BN18">
        <v>8505</v>
      </c>
      <c r="BO18">
        <v>8505</v>
      </c>
      <c r="BP18">
        <v>25515</v>
      </c>
      <c r="BQ18">
        <v>3300</v>
      </c>
      <c r="BR18">
        <v>400</v>
      </c>
      <c r="BS18">
        <v>400</v>
      </c>
      <c r="BT18">
        <v>4100</v>
      </c>
      <c r="BU18">
        <v>2100</v>
      </c>
      <c r="BV18">
        <v>2100</v>
      </c>
      <c r="BW18">
        <v>2100</v>
      </c>
      <c r="BX18">
        <v>6300</v>
      </c>
      <c r="BY18">
        <v>1200</v>
      </c>
      <c r="BZ18">
        <v>1200</v>
      </c>
      <c r="CA18">
        <v>1200</v>
      </c>
      <c r="CB18">
        <v>3600</v>
      </c>
      <c r="CC18">
        <v>0</v>
      </c>
      <c r="CD18">
        <v>0</v>
      </c>
      <c r="CE18">
        <v>0</v>
      </c>
      <c r="CF18">
        <v>0</v>
      </c>
      <c r="CG18">
        <v>39515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1154</v>
      </c>
      <c r="EJ18">
        <v>1154</v>
      </c>
      <c r="EK18">
        <v>1155</v>
      </c>
      <c r="EL18">
        <v>3500</v>
      </c>
      <c r="EM18">
        <v>37.065000000000005</v>
      </c>
      <c r="EN18">
        <v>660</v>
      </c>
      <c r="EO18">
        <v>660</v>
      </c>
      <c r="EP18">
        <v>660</v>
      </c>
      <c r="EQ18">
        <v>2000</v>
      </c>
      <c r="ER18">
        <v>21.18</v>
      </c>
      <c r="ES18">
        <v>0</v>
      </c>
      <c r="ET18">
        <v>0</v>
      </c>
      <c r="EU18">
        <v>0</v>
      </c>
      <c r="EV18">
        <v>0</v>
      </c>
      <c r="EW18">
        <v>0</v>
      </c>
      <c r="FA18">
        <v>0</v>
      </c>
      <c r="FE18">
        <v>0</v>
      </c>
      <c r="FI18">
        <v>0</v>
      </c>
      <c r="FJ18">
        <v>5441.7550000000001</v>
      </c>
      <c r="FK18">
        <v>39515</v>
      </c>
      <c r="FL18">
        <v>35580.43210392214</v>
      </c>
      <c r="FM18">
        <v>34073.245000000003</v>
      </c>
    </row>
    <row r="19" spans="1:169" x14ac:dyDescent="0.35">
      <c r="A19">
        <v>198813</v>
      </c>
      <c r="B19" s="43" t="s">
        <v>1808</v>
      </c>
      <c r="C19" s="43" t="s">
        <v>1809</v>
      </c>
      <c r="D19" s="43" t="s">
        <v>1810</v>
      </c>
      <c r="E19" s="43" t="s">
        <v>1811</v>
      </c>
      <c r="F19">
        <v>1</v>
      </c>
      <c r="H19" s="23"/>
      <c r="I19">
        <v>43804</v>
      </c>
      <c r="J19" s="43" t="s">
        <v>4242</v>
      </c>
      <c r="K19" s="43" t="s">
        <v>1715</v>
      </c>
      <c r="L19" s="43" t="s">
        <v>259</v>
      </c>
      <c r="M19" s="43" t="s">
        <v>1812</v>
      </c>
      <c r="N19" s="43" t="s">
        <v>3971</v>
      </c>
      <c r="O19" s="43" t="s">
        <v>976</v>
      </c>
      <c r="P19" s="43" t="s">
        <v>454</v>
      </c>
      <c r="Q19" s="43" t="s">
        <v>3972</v>
      </c>
      <c r="S19" s="23">
        <v>44109</v>
      </c>
      <c r="T19" s="43" t="s">
        <v>285</v>
      </c>
      <c r="U19" s="43" t="s">
        <v>266</v>
      </c>
      <c r="V19" s="43" t="s">
        <v>267</v>
      </c>
      <c r="W19" s="43" t="s">
        <v>1718</v>
      </c>
      <c r="X19" s="43" t="s">
        <v>1719</v>
      </c>
      <c r="Y19">
        <v>8772802835</v>
      </c>
      <c r="Z19" s="43" t="s">
        <v>270</v>
      </c>
      <c r="AA19" s="43" t="s">
        <v>271</v>
      </c>
      <c r="AB19">
        <v>0</v>
      </c>
      <c r="AC19">
        <v>0</v>
      </c>
      <c r="AD19">
        <v>0</v>
      </c>
      <c r="AE19" s="43" t="s">
        <v>324</v>
      </c>
      <c r="AF19">
        <v>8</v>
      </c>
      <c r="AG19" s="43" t="s">
        <v>446</v>
      </c>
      <c r="AJ19" s="23"/>
      <c r="AK19" s="43" t="s">
        <v>259</v>
      </c>
      <c r="AL19" s="43" t="s">
        <v>259</v>
      </c>
      <c r="AM19" s="23"/>
      <c r="AN19" s="23"/>
      <c r="AO19" s="23"/>
      <c r="AP19" s="23"/>
      <c r="AQ19" s="23"/>
      <c r="BB19" s="43"/>
      <c r="BC19" s="43" t="s">
        <v>259</v>
      </c>
      <c r="BD19" s="43" t="s">
        <v>259</v>
      </c>
      <c r="BE19" s="43" t="s">
        <v>259</v>
      </c>
      <c r="BF19" s="43" t="s">
        <v>259</v>
      </c>
      <c r="BG19" s="43" t="s">
        <v>259</v>
      </c>
      <c r="BH19" t="s">
        <v>259</v>
      </c>
      <c r="BI19" s="43" t="s">
        <v>259</v>
      </c>
      <c r="BJ19">
        <v>0</v>
      </c>
      <c r="BK19" s="23">
        <v>44109</v>
      </c>
      <c r="BL19" s="23">
        <v>44356</v>
      </c>
      <c r="BM19">
        <v>8505</v>
      </c>
      <c r="BN19">
        <v>8505</v>
      </c>
      <c r="BO19">
        <v>8505</v>
      </c>
      <c r="BP19">
        <v>25515</v>
      </c>
      <c r="BQ19">
        <v>3300</v>
      </c>
      <c r="BR19">
        <v>400</v>
      </c>
      <c r="BS19">
        <v>400</v>
      </c>
      <c r="BT19">
        <v>4100</v>
      </c>
      <c r="BU19">
        <v>2100</v>
      </c>
      <c r="BV19">
        <v>2100</v>
      </c>
      <c r="BW19">
        <v>2100</v>
      </c>
      <c r="BX19">
        <v>6300</v>
      </c>
      <c r="BY19">
        <v>1200</v>
      </c>
      <c r="BZ19">
        <v>1200</v>
      </c>
      <c r="CA19">
        <v>1200</v>
      </c>
      <c r="CB19">
        <v>3600</v>
      </c>
      <c r="CC19">
        <v>0</v>
      </c>
      <c r="CD19">
        <v>0</v>
      </c>
      <c r="CE19">
        <v>0</v>
      </c>
      <c r="CF19">
        <v>0</v>
      </c>
      <c r="CG19">
        <v>39515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1154</v>
      </c>
      <c r="EJ19">
        <v>1154</v>
      </c>
      <c r="EK19">
        <v>1155</v>
      </c>
      <c r="EL19">
        <v>3500</v>
      </c>
      <c r="EM19">
        <v>37.065000000000005</v>
      </c>
      <c r="EN19">
        <v>660</v>
      </c>
      <c r="EO19">
        <v>660</v>
      </c>
      <c r="EP19">
        <v>660</v>
      </c>
      <c r="EQ19">
        <v>2000</v>
      </c>
      <c r="ER19">
        <v>21.18</v>
      </c>
      <c r="ES19">
        <v>0</v>
      </c>
      <c r="ET19">
        <v>0</v>
      </c>
      <c r="EU19">
        <v>0</v>
      </c>
      <c r="EV19">
        <v>0</v>
      </c>
      <c r="EW19">
        <v>0</v>
      </c>
      <c r="FA19">
        <v>0</v>
      </c>
      <c r="FE19">
        <v>0</v>
      </c>
      <c r="FI19">
        <v>0</v>
      </c>
      <c r="FJ19">
        <v>5441.7550000000001</v>
      </c>
      <c r="FK19">
        <v>39515</v>
      </c>
      <c r="FL19">
        <v>35580.43210392214</v>
      </c>
      <c r="FM19">
        <v>34073.245000000003</v>
      </c>
    </row>
    <row r="20" spans="1:169" x14ac:dyDescent="0.35">
      <c r="A20">
        <v>198318</v>
      </c>
      <c r="B20" s="43" t="s">
        <v>1813</v>
      </c>
      <c r="C20" s="43" t="s">
        <v>763</v>
      </c>
      <c r="D20" s="43" t="s">
        <v>1814</v>
      </c>
      <c r="E20" s="43" t="s">
        <v>1815</v>
      </c>
      <c r="F20">
        <v>1</v>
      </c>
      <c r="H20" s="23"/>
      <c r="I20">
        <v>43804</v>
      </c>
      <c r="J20" s="43" t="s">
        <v>4242</v>
      </c>
      <c r="K20" s="43" t="s">
        <v>1715</v>
      </c>
      <c r="L20" s="43" t="s">
        <v>259</v>
      </c>
      <c r="M20" s="43" t="s">
        <v>1816</v>
      </c>
      <c r="N20" s="43" t="s">
        <v>1817</v>
      </c>
      <c r="O20" s="43" t="s">
        <v>1818</v>
      </c>
      <c r="P20" s="43" t="s">
        <v>596</v>
      </c>
      <c r="Q20" s="43" t="s">
        <v>1819</v>
      </c>
      <c r="R20">
        <v>3.4</v>
      </c>
      <c r="S20" s="23">
        <v>44109</v>
      </c>
      <c r="T20" s="43" t="s">
        <v>311</v>
      </c>
      <c r="U20" s="43" t="s">
        <v>266</v>
      </c>
      <c r="V20" s="43" t="s">
        <v>267</v>
      </c>
      <c r="W20" s="43" t="s">
        <v>1718</v>
      </c>
      <c r="X20" s="43" t="s">
        <v>1719</v>
      </c>
      <c r="Y20">
        <v>8772802835</v>
      </c>
      <c r="Z20" s="43" t="s">
        <v>270</v>
      </c>
      <c r="AA20" s="43" t="s">
        <v>271</v>
      </c>
      <c r="AB20">
        <v>0</v>
      </c>
      <c r="AC20">
        <v>0</v>
      </c>
      <c r="AD20">
        <v>0</v>
      </c>
      <c r="AE20" s="43" t="s">
        <v>445</v>
      </c>
      <c r="AF20">
        <v>4</v>
      </c>
      <c r="AG20" s="43" t="s">
        <v>275</v>
      </c>
      <c r="AJ20" s="23"/>
      <c r="AK20" s="43" t="s">
        <v>259</v>
      </c>
      <c r="AL20" s="43" t="s">
        <v>259</v>
      </c>
      <c r="AM20" s="23"/>
      <c r="AN20" s="23"/>
      <c r="AO20" s="23"/>
      <c r="AP20" s="23"/>
      <c r="AQ20" s="23"/>
      <c r="BB20" s="43"/>
      <c r="BC20" s="43" t="s">
        <v>259</v>
      </c>
      <c r="BD20" s="43" t="s">
        <v>259</v>
      </c>
      <c r="BE20" s="43" t="s">
        <v>259</v>
      </c>
      <c r="BF20" s="43" t="s">
        <v>259</v>
      </c>
      <c r="BG20" s="43" t="s">
        <v>259</v>
      </c>
      <c r="BH20" t="s">
        <v>259</v>
      </c>
      <c r="BI20" s="43" t="s">
        <v>259</v>
      </c>
      <c r="BJ20">
        <v>0</v>
      </c>
      <c r="BK20" s="23">
        <v>44109</v>
      </c>
      <c r="BL20" s="23">
        <v>44356</v>
      </c>
      <c r="BM20">
        <v>8505</v>
      </c>
      <c r="BN20">
        <v>8505</v>
      </c>
      <c r="BO20">
        <v>8505</v>
      </c>
      <c r="BP20">
        <v>25515</v>
      </c>
      <c r="BQ20">
        <v>3300</v>
      </c>
      <c r="BR20">
        <v>400</v>
      </c>
      <c r="BS20">
        <v>400</v>
      </c>
      <c r="BT20">
        <v>4100</v>
      </c>
      <c r="BU20">
        <v>2100</v>
      </c>
      <c r="BV20">
        <v>2100</v>
      </c>
      <c r="BW20">
        <v>2100</v>
      </c>
      <c r="BX20">
        <v>6300</v>
      </c>
      <c r="BY20">
        <v>1200</v>
      </c>
      <c r="BZ20">
        <v>1200</v>
      </c>
      <c r="CA20">
        <v>1200</v>
      </c>
      <c r="CB20">
        <v>3600</v>
      </c>
      <c r="CC20">
        <v>0</v>
      </c>
      <c r="CD20">
        <v>0</v>
      </c>
      <c r="CE20">
        <v>0</v>
      </c>
      <c r="CF20">
        <v>0</v>
      </c>
      <c r="CG20">
        <v>39515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1250</v>
      </c>
      <c r="CU20">
        <v>1250</v>
      </c>
      <c r="CV20">
        <v>1250</v>
      </c>
      <c r="CW20">
        <v>3750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3750</v>
      </c>
      <c r="EE20">
        <v>0</v>
      </c>
      <c r="EF20">
        <v>0</v>
      </c>
      <c r="EG20">
        <v>0</v>
      </c>
      <c r="EH20">
        <v>0</v>
      </c>
      <c r="EI20">
        <v>1154</v>
      </c>
      <c r="EJ20">
        <v>1154</v>
      </c>
      <c r="EK20">
        <v>1155</v>
      </c>
      <c r="EL20">
        <v>3500</v>
      </c>
      <c r="EM20">
        <v>37.065000000000005</v>
      </c>
      <c r="EN20">
        <v>660</v>
      </c>
      <c r="EO20">
        <v>660</v>
      </c>
      <c r="EP20">
        <v>660</v>
      </c>
      <c r="EQ20">
        <v>2000</v>
      </c>
      <c r="ER20">
        <v>21.18</v>
      </c>
      <c r="ES20">
        <v>0</v>
      </c>
      <c r="ET20">
        <v>0</v>
      </c>
      <c r="EU20">
        <v>0</v>
      </c>
      <c r="EV20">
        <v>0</v>
      </c>
      <c r="EW20">
        <v>0</v>
      </c>
      <c r="FA20">
        <v>0</v>
      </c>
      <c r="FE20">
        <v>0</v>
      </c>
      <c r="FI20">
        <v>0</v>
      </c>
      <c r="FJ20">
        <v>5441.7550000000001</v>
      </c>
      <c r="FK20">
        <v>35765</v>
      </c>
      <c r="FL20">
        <v>31664.555574119709</v>
      </c>
      <c r="FM20">
        <v>30323.244999999999</v>
      </c>
    </row>
    <row r="21" spans="1:169" x14ac:dyDescent="0.35">
      <c r="A21">
        <v>196078</v>
      </c>
      <c r="B21" s="43" t="s">
        <v>1820</v>
      </c>
      <c r="C21" s="43" t="s">
        <v>1566</v>
      </c>
      <c r="D21" s="43" t="s">
        <v>1821</v>
      </c>
      <c r="E21" s="43" t="s">
        <v>1822</v>
      </c>
      <c r="F21">
        <v>1</v>
      </c>
      <c r="H21" s="23"/>
      <c r="I21">
        <v>43804</v>
      </c>
      <c r="J21" s="43" t="s">
        <v>4242</v>
      </c>
      <c r="K21" s="43" t="s">
        <v>1715</v>
      </c>
      <c r="L21" s="43" t="s">
        <v>259</v>
      </c>
      <c r="M21" s="43" t="s">
        <v>1823</v>
      </c>
      <c r="N21" s="43" t="s">
        <v>1824</v>
      </c>
      <c r="O21" s="43" t="s">
        <v>1825</v>
      </c>
      <c r="P21" s="43" t="s">
        <v>1018</v>
      </c>
      <c r="Q21" s="43" t="s">
        <v>1826</v>
      </c>
      <c r="R21">
        <v>3.68</v>
      </c>
      <c r="S21" s="23">
        <v>44109</v>
      </c>
      <c r="T21" s="43" t="s">
        <v>311</v>
      </c>
      <c r="U21" s="43" t="s">
        <v>266</v>
      </c>
      <c r="V21" s="43" t="s">
        <v>267</v>
      </c>
      <c r="W21" s="43" t="s">
        <v>1718</v>
      </c>
      <c r="X21" s="43" t="s">
        <v>1719</v>
      </c>
      <c r="Y21">
        <v>8772802835</v>
      </c>
      <c r="Z21" s="43" t="s">
        <v>270</v>
      </c>
      <c r="AA21" s="43" t="s">
        <v>271</v>
      </c>
      <c r="AB21">
        <v>0</v>
      </c>
      <c r="AC21">
        <v>1010</v>
      </c>
      <c r="AD21">
        <v>110</v>
      </c>
      <c r="AE21" s="43" t="s">
        <v>445</v>
      </c>
      <c r="AF21">
        <v>4</v>
      </c>
      <c r="AG21" s="43" t="s">
        <v>275</v>
      </c>
      <c r="AJ21" s="23"/>
      <c r="AK21" s="43" t="s">
        <v>259</v>
      </c>
      <c r="AL21" s="43" t="s">
        <v>259</v>
      </c>
      <c r="AM21" s="23"/>
      <c r="AN21" s="23"/>
      <c r="AO21" s="23"/>
      <c r="AP21" s="23"/>
      <c r="AQ21" s="23"/>
      <c r="BB21" s="43"/>
      <c r="BC21" s="43" t="s">
        <v>259</v>
      </c>
      <c r="BD21" s="43" t="s">
        <v>259</v>
      </c>
      <c r="BE21" s="43" t="s">
        <v>259</v>
      </c>
      <c r="BF21" s="43" t="s">
        <v>259</v>
      </c>
      <c r="BG21" s="43" t="s">
        <v>259</v>
      </c>
      <c r="BH21" t="s">
        <v>259</v>
      </c>
      <c r="BI21" s="43" t="s">
        <v>259</v>
      </c>
      <c r="BJ21">
        <v>0</v>
      </c>
      <c r="BK21" s="23">
        <v>44109</v>
      </c>
      <c r="BL21" s="23">
        <v>44356</v>
      </c>
      <c r="BM21">
        <v>8505</v>
      </c>
      <c r="BN21">
        <v>8505</v>
      </c>
      <c r="BO21">
        <v>8505</v>
      </c>
      <c r="BP21">
        <v>25515</v>
      </c>
      <c r="BQ21">
        <v>3300</v>
      </c>
      <c r="BR21">
        <v>400</v>
      </c>
      <c r="BS21">
        <v>400</v>
      </c>
      <c r="BT21">
        <v>4100</v>
      </c>
      <c r="BU21">
        <v>2100</v>
      </c>
      <c r="BV21">
        <v>2100</v>
      </c>
      <c r="BW21">
        <v>2100</v>
      </c>
      <c r="BX21">
        <v>6300</v>
      </c>
      <c r="BY21">
        <v>1200</v>
      </c>
      <c r="BZ21">
        <v>1200</v>
      </c>
      <c r="CA21">
        <v>1200</v>
      </c>
      <c r="CB21">
        <v>3600</v>
      </c>
      <c r="CC21">
        <v>0</v>
      </c>
      <c r="CD21">
        <v>0</v>
      </c>
      <c r="CE21">
        <v>0</v>
      </c>
      <c r="CF21">
        <v>0</v>
      </c>
      <c r="CG21">
        <v>39515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1250</v>
      </c>
      <c r="CU21">
        <v>1250</v>
      </c>
      <c r="CV21">
        <v>1250</v>
      </c>
      <c r="CW21">
        <v>3750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3750</v>
      </c>
      <c r="EE21">
        <v>0</v>
      </c>
      <c r="EF21">
        <v>0</v>
      </c>
      <c r="EG21">
        <v>0</v>
      </c>
      <c r="EH21">
        <v>0</v>
      </c>
      <c r="EI21">
        <v>1154</v>
      </c>
      <c r="EJ21">
        <v>1154</v>
      </c>
      <c r="EK21">
        <v>1155</v>
      </c>
      <c r="EL21">
        <v>3500</v>
      </c>
      <c r="EM21">
        <v>37.065000000000005</v>
      </c>
      <c r="EN21">
        <v>660</v>
      </c>
      <c r="EO21">
        <v>660</v>
      </c>
      <c r="EP21">
        <v>660</v>
      </c>
      <c r="EQ21">
        <v>2000</v>
      </c>
      <c r="ER21">
        <v>21.18</v>
      </c>
      <c r="ES21">
        <v>0</v>
      </c>
      <c r="ET21">
        <v>0</v>
      </c>
      <c r="EU21">
        <v>0</v>
      </c>
      <c r="EV21">
        <v>0</v>
      </c>
      <c r="EW21">
        <v>0</v>
      </c>
      <c r="FA21">
        <v>0</v>
      </c>
      <c r="FE21">
        <v>0</v>
      </c>
      <c r="FI21">
        <v>0</v>
      </c>
      <c r="FJ21">
        <v>5441.7550000000001</v>
      </c>
      <c r="FK21">
        <v>35765</v>
      </c>
      <c r="FL21">
        <v>31664.555574119709</v>
      </c>
      <c r="FM21">
        <v>30323.244999999999</v>
      </c>
    </row>
    <row r="22" spans="1:169" x14ac:dyDescent="0.35">
      <c r="A22">
        <v>197991</v>
      </c>
      <c r="B22" s="43" t="s">
        <v>1820</v>
      </c>
      <c r="C22" s="43" t="s">
        <v>1827</v>
      </c>
      <c r="D22" s="43" t="s">
        <v>1828</v>
      </c>
      <c r="E22" s="43" t="s">
        <v>1829</v>
      </c>
      <c r="F22">
        <v>1</v>
      </c>
      <c r="H22" s="23"/>
      <c r="I22">
        <v>43804</v>
      </c>
      <c r="J22" s="43" t="s">
        <v>4242</v>
      </c>
      <c r="K22" s="43" t="s">
        <v>1715</v>
      </c>
      <c r="L22" s="43" t="s">
        <v>259</v>
      </c>
      <c r="M22" s="43" t="s">
        <v>1830</v>
      </c>
      <c r="N22" s="43" t="s">
        <v>1831</v>
      </c>
      <c r="O22" s="43" t="s">
        <v>695</v>
      </c>
      <c r="P22" s="43" t="s">
        <v>342</v>
      </c>
      <c r="Q22" s="43" t="s">
        <v>1832</v>
      </c>
      <c r="R22">
        <v>3.2</v>
      </c>
      <c r="S22" s="23">
        <v>44109</v>
      </c>
      <c r="T22" s="43" t="s">
        <v>285</v>
      </c>
      <c r="U22" s="43" t="s">
        <v>266</v>
      </c>
      <c r="V22" s="43" t="s">
        <v>267</v>
      </c>
      <c r="W22" s="43" t="s">
        <v>1718</v>
      </c>
      <c r="X22" s="43" t="s">
        <v>1719</v>
      </c>
      <c r="Y22">
        <v>8772802835</v>
      </c>
      <c r="Z22" s="43" t="s">
        <v>270</v>
      </c>
      <c r="AA22" s="43" t="s">
        <v>271</v>
      </c>
      <c r="AB22">
        <v>0</v>
      </c>
      <c r="AC22">
        <v>0</v>
      </c>
      <c r="AD22">
        <v>0</v>
      </c>
      <c r="AE22" s="43" t="s">
        <v>324</v>
      </c>
      <c r="AF22">
        <v>8</v>
      </c>
      <c r="AG22" s="43" t="s">
        <v>275</v>
      </c>
      <c r="AJ22" s="23"/>
      <c r="AK22" s="43" t="s">
        <v>259</v>
      </c>
      <c r="AL22" s="43" t="s">
        <v>259</v>
      </c>
      <c r="AM22" s="23"/>
      <c r="AN22" s="23"/>
      <c r="AO22" s="23"/>
      <c r="AP22" s="23"/>
      <c r="AQ22" s="23"/>
      <c r="BB22" s="43"/>
      <c r="BC22" s="43" t="s">
        <v>259</v>
      </c>
      <c r="BD22" s="43" t="s">
        <v>259</v>
      </c>
      <c r="BE22" s="43" t="s">
        <v>259</v>
      </c>
      <c r="BF22" s="43" t="s">
        <v>259</v>
      </c>
      <c r="BG22" s="43" t="s">
        <v>259</v>
      </c>
      <c r="BH22" t="s">
        <v>259</v>
      </c>
      <c r="BI22" s="43" t="s">
        <v>259</v>
      </c>
      <c r="BJ22">
        <v>0</v>
      </c>
      <c r="BK22" s="23">
        <v>44109</v>
      </c>
      <c r="BL22" s="23">
        <v>44356</v>
      </c>
      <c r="BM22">
        <v>8505</v>
      </c>
      <c r="BN22">
        <v>8505</v>
      </c>
      <c r="BO22">
        <v>8505</v>
      </c>
      <c r="BP22">
        <v>25515</v>
      </c>
      <c r="BQ22">
        <v>3300</v>
      </c>
      <c r="BR22">
        <v>400</v>
      </c>
      <c r="BS22">
        <v>400</v>
      </c>
      <c r="BT22">
        <v>4100</v>
      </c>
      <c r="BU22">
        <v>2100</v>
      </c>
      <c r="BV22">
        <v>2100</v>
      </c>
      <c r="BW22">
        <v>2100</v>
      </c>
      <c r="BX22">
        <v>6300</v>
      </c>
      <c r="BY22">
        <v>1200</v>
      </c>
      <c r="BZ22">
        <v>1200</v>
      </c>
      <c r="CA22">
        <v>1200</v>
      </c>
      <c r="CB22">
        <v>3600</v>
      </c>
      <c r="CC22">
        <v>0</v>
      </c>
      <c r="CD22">
        <v>0</v>
      </c>
      <c r="CE22">
        <v>0</v>
      </c>
      <c r="CF22">
        <v>0</v>
      </c>
      <c r="CG22">
        <v>39515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1154</v>
      </c>
      <c r="EJ22">
        <v>1154</v>
      </c>
      <c r="EK22">
        <v>1155</v>
      </c>
      <c r="EL22">
        <v>3500</v>
      </c>
      <c r="EM22">
        <v>37.065000000000005</v>
      </c>
      <c r="EN22">
        <v>660</v>
      </c>
      <c r="EO22">
        <v>660</v>
      </c>
      <c r="EP22">
        <v>660</v>
      </c>
      <c r="EQ22">
        <v>2000</v>
      </c>
      <c r="ER22">
        <v>21.18</v>
      </c>
      <c r="ES22">
        <v>0</v>
      </c>
      <c r="ET22">
        <v>0</v>
      </c>
      <c r="EU22">
        <v>0</v>
      </c>
      <c r="EV22">
        <v>0</v>
      </c>
      <c r="EW22">
        <v>0</v>
      </c>
      <c r="FA22">
        <v>0</v>
      </c>
      <c r="FE22">
        <v>0</v>
      </c>
      <c r="FI22">
        <v>0</v>
      </c>
      <c r="FJ22">
        <v>5441.7550000000001</v>
      </c>
      <c r="FK22">
        <v>39515</v>
      </c>
      <c r="FL22">
        <v>35580.43210392214</v>
      </c>
      <c r="FM22">
        <v>34073.245000000003</v>
      </c>
    </row>
    <row r="23" spans="1:169" x14ac:dyDescent="0.35">
      <c r="A23">
        <v>196584</v>
      </c>
      <c r="B23" s="43" t="s">
        <v>1820</v>
      </c>
      <c r="C23" s="43" t="s">
        <v>1041</v>
      </c>
      <c r="D23" s="43" t="s">
        <v>1833</v>
      </c>
      <c r="E23" s="43" t="s">
        <v>1834</v>
      </c>
      <c r="F23">
        <v>1</v>
      </c>
      <c r="H23" s="23"/>
      <c r="I23">
        <v>43775</v>
      </c>
      <c r="J23" s="43" t="s">
        <v>3305</v>
      </c>
      <c r="K23" s="43" t="s">
        <v>1715</v>
      </c>
      <c r="L23" s="43" t="s">
        <v>3204</v>
      </c>
      <c r="M23" s="43" t="s">
        <v>1835</v>
      </c>
      <c r="N23" s="43" t="s">
        <v>1836</v>
      </c>
      <c r="O23" s="43" t="s">
        <v>1837</v>
      </c>
      <c r="P23" s="43" t="s">
        <v>705</v>
      </c>
      <c r="Q23" s="43" t="s">
        <v>1838</v>
      </c>
      <c r="R23">
        <v>3.1840000000000002</v>
      </c>
      <c r="S23" s="23">
        <v>44109</v>
      </c>
      <c r="T23" s="43" t="s">
        <v>265</v>
      </c>
      <c r="U23" s="43" t="s">
        <v>266</v>
      </c>
      <c r="V23" s="43" t="s">
        <v>267</v>
      </c>
      <c r="W23" s="43" t="s">
        <v>1718</v>
      </c>
      <c r="X23" s="43" t="s">
        <v>1719</v>
      </c>
      <c r="Y23">
        <v>8772802835</v>
      </c>
      <c r="Z23" s="43" t="s">
        <v>270</v>
      </c>
      <c r="AA23" s="43" t="s">
        <v>271</v>
      </c>
      <c r="AB23">
        <v>0</v>
      </c>
      <c r="AC23">
        <v>1020</v>
      </c>
      <c r="AD23">
        <v>103</v>
      </c>
      <c r="AE23" s="43" t="s">
        <v>354</v>
      </c>
      <c r="AF23">
        <v>6</v>
      </c>
      <c r="AG23" s="43" t="s">
        <v>275</v>
      </c>
      <c r="AH23">
        <v>0</v>
      </c>
      <c r="AI23">
        <v>0</v>
      </c>
      <c r="AJ23" s="23">
        <v>43776</v>
      </c>
      <c r="AK23" s="43" t="s">
        <v>1715</v>
      </c>
      <c r="AL23" s="43" t="s">
        <v>259</v>
      </c>
      <c r="AM23" s="23"/>
      <c r="AN23" s="23"/>
      <c r="AO23" s="23">
        <v>43778</v>
      </c>
      <c r="AP23" s="23"/>
      <c r="AQ23" s="23"/>
      <c r="BB23" s="43"/>
      <c r="BC23" s="43" t="s">
        <v>259</v>
      </c>
      <c r="BD23" s="43" t="s">
        <v>259</v>
      </c>
      <c r="BE23" s="43" t="s">
        <v>259</v>
      </c>
      <c r="BF23" s="43" t="s">
        <v>2018</v>
      </c>
      <c r="BG23" s="43" t="s">
        <v>2018</v>
      </c>
      <c r="BH23">
        <v>43753</v>
      </c>
      <c r="BI23" s="43" t="s">
        <v>2018</v>
      </c>
      <c r="BJ23">
        <v>9.9999999999999978E-2</v>
      </c>
      <c r="BK23" s="23">
        <v>44109</v>
      </c>
      <c r="BL23" s="23">
        <v>44356</v>
      </c>
      <c r="BM23">
        <v>8505</v>
      </c>
      <c r="BN23">
        <v>8505</v>
      </c>
      <c r="BO23">
        <v>8505</v>
      </c>
      <c r="BP23">
        <v>25515</v>
      </c>
      <c r="BQ23">
        <v>3300</v>
      </c>
      <c r="BR23">
        <v>400</v>
      </c>
      <c r="BS23">
        <v>400</v>
      </c>
      <c r="BT23">
        <v>4100</v>
      </c>
      <c r="BU23">
        <v>2100</v>
      </c>
      <c r="BV23">
        <v>2100</v>
      </c>
      <c r="BW23">
        <v>2100</v>
      </c>
      <c r="BX23">
        <v>6300</v>
      </c>
      <c r="BY23">
        <v>1200</v>
      </c>
      <c r="BZ23">
        <v>1200</v>
      </c>
      <c r="CA23">
        <v>1200</v>
      </c>
      <c r="CB23">
        <v>3600</v>
      </c>
      <c r="CC23">
        <v>0</v>
      </c>
      <c r="CD23">
        <v>0</v>
      </c>
      <c r="CE23">
        <v>0</v>
      </c>
      <c r="CF23">
        <v>0</v>
      </c>
      <c r="CG23">
        <v>39515</v>
      </c>
      <c r="CH23">
        <v>0</v>
      </c>
      <c r="CI23">
        <v>0</v>
      </c>
      <c r="CJ23">
        <v>0</v>
      </c>
      <c r="CK23">
        <v>0</v>
      </c>
      <c r="CL23">
        <v>2065</v>
      </c>
      <c r="CM23">
        <v>2065</v>
      </c>
      <c r="CN23">
        <v>2065</v>
      </c>
      <c r="CO23">
        <v>6195</v>
      </c>
      <c r="CP23">
        <v>500</v>
      </c>
      <c r="CQ23">
        <v>500</v>
      </c>
      <c r="CR23">
        <v>500</v>
      </c>
      <c r="CS23">
        <v>1500</v>
      </c>
      <c r="CT23">
        <v>750</v>
      </c>
      <c r="CU23">
        <v>750</v>
      </c>
      <c r="CV23">
        <v>750</v>
      </c>
      <c r="CW23">
        <v>2250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9945</v>
      </c>
      <c r="EE23">
        <v>0</v>
      </c>
      <c r="EF23">
        <v>0</v>
      </c>
      <c r="EG23">
        <v>0</v>
      </c>
      <c r="EH23">
        <v>0</v>
      </c>
      <c r="EI23">
        <v>1154</v>
      </c>
      <c r="EJ23">
        <v>1154</v>
      </c>
      <c r="EK23">
        <v>1155</v>
      </c>
      <c r="EL23">
        <v>3500</v>
      </c>
      <c r="EM23">
        <v>37.065000000000005</v>
      </c>
      <c r="EN23">
        <v>660</v>
      </c>
      <c r="EO23">
        <v>660</v>
      </c>
      <c r="EP23">
        <v>660</v>
      </c>
      <c r="EQ23">
        <v>2000</v>
      </c>
      <c r="ER23">
        <v>21.18</v>
      </c>
      <c r="ES23">
        <v>0</v>
      </c>
      <c r="ET23">
        <v>0</v>
      </c>
      <c r="EU23">
        <v>0</v>
      </c>
      <c r="EV23">
        <v>0</v>
      </c>
      <c r="EW23">
        <v>0</v>
      </c>
      <c r="FA23">
        <v>0</v>
      </c>
      <c r="FE23">
        <v>0</v>
      </c>
      <c r="FI23">
        <v>0</v>
      </c>
      <c r="FJ23">
        <v>5441.7550000000001</v>
      </c>
      <c r="FK23">
        <v>29570</v>
      </c>
      <c r="FL23">
        <v>25195.527546886093</v>
      </c>
      <c r="FM23">
        <v>24128.244999999999</v>
      </c>
    </row>
    <row r="24" spans="1:169" x14ac:dyDescent="0.35">
      <c r="A24">
        <v>194958</v>
      </c>
      <c r="B24" s="43" t="s">
        <v>1839</v>
      </c>
      <c r="C24" s="43" t="s">
        <v>291</v>
      </c>
      <c r="D24" s="43" t="s">
        <v>1840</v>
      </c>
      <c r="E24" s="43" t="s">
        <v>1841</v>
      </c>
      <c r="F24">
        <v>1</v>
      </c>
      <c r="H24" s="23"/>
      <c r="I24">
        <v>43804</v>
      </c>
      <c r="J24" s="43" t="s">
        <v>4242</v>
      </c>
      <c r="K24" s="43" t="s">
        <v>1715</v>
      </c>
      <c r="L24" s="43" t="s">
        <v>259</v>
      </c>
      <c r="M24" s="43" t="s">
        <v>1842</v>
      </c>
      <c r="N24" s="43" t="s">
        <v>1843</v>
      </c>
      <c r="O24" s="43" t="s">
        <v>1844</v>
      </c>
      <c r="P24" s="43" t="s">
        <v>813</v>
      </c>
      <c r="Q24" s="43" t="s">
        <v>1845</v>
      </c>
      <c r="R24">
        <v>3.3</v>
      </c>
      <c r="S24" s="23">
        <v>44109</v>
      </c>
      <c r="T24" s="43" t="s">
        <v>285</v>
      </c>
      <c r="U24" s="43" t="s">
        <v>266</v>
      </c>
      <c r="V24" s="43" t="s">
        <v>267</v>
      </c>
      <c r="W24" s="43" t="s">
        <v>1718</v>
      </c>
      <c r="X24" s="43" t="s">
        <v>1719</v>
      </c>
      <c r="Y24">
        <v>8772802835</v>
      </c>
      <c r="Z24" s="43" t="s">
        <v>270</v>
      </c>
      <c r="AA24" s="43" t="s">
        <v>271</v>
      </c>
      <c r="AB24">
        <v>0</v>
      </c>
      <c r="AC24">
        <v>1140</v>
      </c>
      <c r="AD24">
        <v>110</v>
      </c>
      <c r="AE24" s="43" t="s">
        <v>445</v>
      </c>
      <c r="AF24">
        <v>4</v>
      </c>
      <c r="AG24" s="43" t="s">
        <v>275</v>
      </c>
      <c r="AJ24" s="23"/>
      <c r="AK24" s="43" t="s">
        <v>259</v>
      </c>
      <c r="AL24" s="43" t="s">
        <v>259</v>
      </c>
      <c r="AM24" s="23"/>
      <c r="AN24" s="23"/>
      <c r="AO24" s="23"/>
      <c r="AP24" s="23"/>
      <c r="AQ24" s="23"/>
      <c r="BB24" s="43"/>
      <c r="BC24" s="43" t="s">
        <v>259</v>
      </c>
      <c r="BD24" s="43" t="s">
        <v>259</v>
      </c>
      <c r="BE24" s="43" t="s">
        <v>259</v>
      </c>
      <c r="BF24" s="43" t="s">
        <v>259</v>
      </c>
      <c r="BG24" s="43" t="s">
        <v>259</v>
      </c>
      <c r="BH24" t="s">
        <v>259</v>
      </c>
      <c r="BI24" s="43" t="s">
        <v>259</v>
      </c>
      <c r="BJ24">
        <v>0</v>
      </c>
      <c r="BK24" s="23">
        <v>44109</v>
      </c>
      <c r="BL24" s="23">
        <v>44356</v>
      </c>
      <c r="BM24">
        <v>8505</v>
      </c>
      <c r="BN24">
        <v>8505</v>
      </c>
      <c r="BO24">
        <v>8505</v>
      </c>
      <c r="BP24">
        <v>25515</v>
      </c>
      <c r="BQ24">
        <v>3300</v>
      </c>
      <c r="BR24">
        <v>400</v>
      </c>
      <c r="BS24">
        <v>400</v>
      </c>
      <c r="BT24">
        <v>4100</v>
      </c>
      <c r="BU24">
        <v>2100</v>
      </c>
      <c r="BV24">
        <v>2100</v>
      </c>
      <c r="BW24">
        <v>2100</v>
      </c>
      <c r="BX24">
        <v>6300</v>
      </c>
      <c r="BY24">
        <v>1200</v>
      </c>
      <c r="BZ24">
        <v>1200</v>
      </c>
      <c r="CA24">
        <v>1200</v>
      </c>
      <c r="CB24">
        <v>3600</v>
      </c>
      <c r="CC24">
        <v>0</v>
      </c>
      <c r="CD24">
        <v>0</v>
      </c>
      <c r="CE24">
        <v>0</v>
      </c>
      <c r="CF24">
        <v>0</v>
      </c>
      <c r="CG24">
        <v>39515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1250</v>
      </c>
      <c r="CU24">
        <v>1250</v>
      </c>
      <c r="CV24">
        <v>1250</v>
      </c>
      <c r="CW24">
        <v>3750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3750</v>
      </c>
      <c r="EE24">
        <v>0</v>
      </c>
      <c r="EF24">
        <v>0</v>
      </c>
      <c r="EG24">
        <v>0</v>
      </c>
      <c r="EH24">
        <v>0</v>
      </c>
      <c r="EI24">
        <v>1154</v>
      </c>
      <c r="EJ24">
        <v>1154</v>
      </c>
      <c r="EK24">
        <v>1155</v>
      </c>
      <c r="EL24">
        <v>3500</v>
      </c>
      <c r="EM24">
        <v>37.065000000000005</v>
      </c>
      <c r="EN24">
        <v>660</v>
      </c>
      <c r="EO24">
        <v>660</v>
      </c>
      <c r="EP24">
        <v>660</v>
      </c>
      <c r="EQ24">
        <v>2000</v>
      </c>
      <c r="ER24">
        <v>21.18</v>
      </c>
      <c r="ES24">
        <v>0</v>
      </c>
      <c r="ET24">
        <v>0</v>
      </c>
      <c r="EU24">
        <v>0</v>
      </c>
      <c r="EV24">
        <v>0</v>
      </c>
      <c r="EW24">
        <v>0</v>
      </c>
      <c r="FA24">
        <v>0</v>
      </c>
      <c r="FE24">
        <v>0</v>
      </c>
      <c r="FI24">
        <v>0</v>
      </c>
      <c r="FJ24">
        <v>5441.7550000000001</v>
      </c>
      <c r="FK24">
        <v>35765</v>
      </c>
      <c r="FL24">
        <v>31664.555574119709</v>
      </c>
      <c r="FM24">
        <v>30323.244999999999</v>
      </c>
    </row>
    <row r="25" spans="1:169" x14ac:dyDescent="0.35">
      <c r="A25">
        <v>195889</v>
      </c>
      <c r="B25" s="43" t="s">
        <v>1846</v>
      </c>
      <c r="C25" s="43" t="s">
        <v>1847</v>
      </c>
      <c r="D25" s="43" t="s">
        <v>1848</v>
      </c>
      <c r="E25" s="43" t="s">
        <v>1849</v>
      </c>
      <c r="F25">
        <v>1</v>
      </c>
      <c r="H25" s="23"/>
      <c r="I25">
        <v>43804</v>
      </c>
      <c r="J25" s="43" t="s">
        <v>4242</v>
      </c>
      <c r="K25" s="43" t="s">
        <v>1715</v>
      </c>
      <c r="L25" s="43" t="s">
        <v>259</v>
      </c>
      <c r="M25" s="43" t="s">
        <v>1850</v>
      </c>
      <c r="N25" s="43" t="s">
        <v>1851</v>
      </c>
      <c r="O25" s="43" t="s">
        <v>1852</v>
      </c>
      <c r="P25" s="43" t="s">
        <v>542</v>
      </c>
      <c r="Q25" s="43" t="s">
        <v>1853</v>
      </c>
      <c r="R25">
        <v>2.86</v>
      </c>
      <c r="S25" s="23">
        <v>44109</v>
      </c>
      <c r="T25" s="43" t="s">
        <v>544</v>
      </c>
      <c r="U25" s="43" t="s">
        <v>266</v>
      </c>
      <c r="V25" s="43" t="s">
        <v>267</v>
      </c>
      <c r="W25" s="43" t="s">
        <v>1718</v>
      </c>
      <c r="X25" s="43" t="s">
        <v>1719</v>
      </c>
      <c r="Y25">
        <v>8772802835</v>
      </c>
      <c r="Z25" s="43" t="s">
        <v>270</v>
      </c>
      <c r="AA25" s="43" t="s">
        <v>271</v>
      </c>
      <c r="AB25">
        <v>31</v>
      </c>
      <c r="AC25">
        <v>0</v>
      </c>
      <c r="AD25">
        <v>0</v>
      </c>
      <c r="AE25" s="43" t="s">
        <v>354</v>
      </c>
      <c r="AF25">
        <v>6</v>
      </c>
      <c r="AG25" s="43" t="s">
        <v>275</v>
      </c>
      <c r="AJ25" s="23"/>
      <c r="AK25" s="43" t="s">
        <v>259</v>
      </c>
      <c r="AL25" s="43" t="s">
        <v>259</v>
      </c>
      <c r="AM25" s="23"/>
      <c r="AN25" s="23"/>
      <c r="AO25" s="23"/>
      <c r="AP25" s="23"/>
      <c r="AQ25" s="23"/>
      <c r="BB25" s="43"/>
      <c r="BC25" s="43" t="s">
        <v>259</v>
      </c>
      <c r="BD25" s="43" t="s">
        <v>259</v>
      </c>
      <c r="BE25" s="43" t="s">
        <v>259</v>
      </c>
      <c r="BF25" s="43" t="s">
        <v>259</v>
      </c>
      <c r="BG25" s="43" t="s">
        <v>259</v>
      </c>
      <c r="BH25" t="s">
        <v>259</v>
      </c>
      <c r="BI25" s="43" t="s">
        <v>259</v>
      </c>
      <c r="BJ25">
        <v>0</v>
      </c>
      <c r="BK25" s="23">
        <v>44109</v>
      </c>
      <c r="BL25" s="23">
        <v>44356</v>
      </c>
      <c r="BM25">
        <v>8505</v>
      </c>
      <c r="BN25">
        <v>8505</v>
      </c>
      <c r="BO25">
        <v>8505</v>
      </c>
      <c r="BP25">
        <v>25515</v>
      </c>
      <c r="BQ25">
        <v>3300</v>
      </c>
      <c r="BR25">
        <v>400</v>
      </c>
      <c r="BS25">
        <v>400</v>
      </c>
      <c r="BT25">
        <v>4100</v>
      </c>
      <c r="BU25">
        <v>2100</v>
      </c>
      <c r="BV25">
        <v>2100</v>
      </c>
      <c r="BW25">
        <v>2100</v>
      </c>
      <c r="BX25">
        <v>6300</v>
      </c>
      <c r="BY25">
        <v>1200</v>
      </c>
      <c r="BZ25">
        <v>1200</v>
      </c>
      <c r="CA25">
        <v>1200</v>
      </c>
      <c r="CB25">
        <v>3600</v>
      </c>
      <c r="CC25">
        <v>0</v>
      </c>
      <c r="CD25">
        <v>0</v>
      </c>
      <c r="CE25">
        <v>0</v>
      </c>
      <c r="CF25">
        <v>0</v>
      </c>
      <c r="CG25">
        <v>39515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750</v>
      </c>
      <c r="CU25">
        <v>750</v>
      </c>
      <c r="CV25">
        <v>750</v>
      </c>
      <c r="CW25">
        <v>2250</v>
      </c>
      <c r="CX25">
        <v>3000</v>
      </c>
      <c r="CY25">
        <v>3000</v>
      </c>
      <c r="CZ25">
        <v>3000</v>
      </c>
      <c r="DA25">
        <v>9000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11250</v>
      </c>
      <c r="EE25">
        <v>0</v>
      </c>
      <c r="EF25">
        <v>0</v>
      </c>
      <c r="EG25">
        <v>0</v>
      </c>
      <c r="EH25">
        <v>0</v>
      </c>
      <c r="EI25">
        <v>1154</v>
      </c>
      <c r="EJ25">
        <v>1154</v>
      </c>
      <c r="EK25">
        <v>1155</v>
      </c>
      <c r="EL25">
        <v>3500</v>
      </c>
      <c r="EM25">
        <v>37.065000000000005</v>
      </c>
      <c r="EN25">
        <v>660</v>
      </c>
      <c r="EO25">
        <v>660</v>
      </c>
      <c r="EP25">
        <v>660</v>
      </c>
      <c r="EQ25">
        <v>2000</v>
      </c>
      <c r="ER25">
        <v>21.18</v>
      </c>
      <c r="ES25">
        <v>0</v>
      </c>
      <c r="ET25">
        <v>0</v>
      </c>
      <c r="EU25">
        <v>0</v>
      </c>
      <c r="EV25">
        <v>0</v>
      </c>
      <c r="EW25">
        <v>0</v>
      </c>
      <c r="FA25">
        <v>0</v>
      </c>
      <c r="FE25">
        <v>0</v>
      </c>
      <c r="FI25">
        <v>0</v>
      </c>
      <c r="FJ25">
        <v>5441.7550000000001</v>
      </c>
      <c r="FK25">
        <v>28265</v>
      </c>
      <c r="FL25">
        <v>23832.802514514846</v>
      </c>
      <c r="FM25">
        <v>22823.244999999999</v>
      </c>
    </row>
    <row r="26" spans="1:169" x14ac:dyDescent="0.35">
      <c r="A26">
        <v>192987</v>
      </c>
      <c r="B26" s="43" t="s">
        <v>1854</v>
      </c>
      <c r="C26" s="43" t="s">
        <v>1855</v>
      </c>
      <c r="D26" s="43" t="s">
        <v>1856</v>
      </c>
      <c r="E26" s="43" t="s">
        <v>1857</v>
      </c>
      <c r="F26">
        <v>1</v>
      </c>
      <c r="H26" s="23"/>
      <c r="I26">
        <v>43804</v>
      </c>
      <c r="J26" s="43" t="s">
        <v>4242</v>
      </c>
      <c r="K26" s="43" t="s">
        <v>1715</v>
      </c>
      <c r="L26" s="43" t="s">
        <v>259</v>
      </c>
      <c r="M26" s="43" t="s">
        <v>1858</v>
      </c>
      <c r="N26" s="43" t="s">
        <v>1859</v>
      </c>
      <c r="O26" s="43" t="s">
        <v>1579</v>
      </c>
      <c r="P26" s="43" t="s">
        <v>263</v>
      </c>
      <c r="Q26" s="43" t="s">
        <v>1860</v>
      </c>
      <c r="R26">
        <v>3.5</v>
      </c>
      <c r="S26" s="23">
        <v>44109</v>
      </c>
      <c r="T26" s="43" t="s">
        <v>285</v>
      </c>
      <c r="U26" s="43" t="s">
        <v>266</v>
      </c>
      <c r="V26" s="43" t="s">
        <v>267</v>
      </c>
      <c r="W26" s="43" t="s">
        <v>1718</v>
      </c>
      <c r="X26" s="43" t="s">
        <v>1719</v>
      </c>
      <c r="Y26">
        <v>8772802835</v>
      </c>
      <c r="Z26" s="43" t="s">
        <v>270</v>
      </c>
      <c r="AA26" s="43" t="s">
        <v>271</v>
      </c>
      <c r="AB26">
        <v>0</v>
      </c>
      <c r="AC26">
        <v>0</v>
      </c>
      <c r="AD26">
        <v>0</v>
      </c>
      <c r="AE26" s="43" t="s">
        <v>376</v>
      </c>
      <c r="AF26">
        <v>7</v>
      </c>
      <c r="AG26" s="43" t="s">
        <v>275</v>
      </c>
      <c r="AJ26" s="23"/>
      <c r="AK26" s="43" t="s">
        <v>259</v>
      </c>
      <c r="AL26" s="43" t="s">
        <v>259</v>
      </c>
      <c r="AM26" s="23"/>
      <c r="AN26" s="23"/>
      <c r="AO26" s="23"/>
      <c r="AP26" s="23"/>
      <c r="AQ26" s="23"/>
      <c r="BB26" s="43"/>
      <c r="BC26" s="43" t="s">
        <v>259</v>
      </c>
      <c r="BD26" s="43" t="s">
        <v>259</v>
      </c>
      <c r="BE26" s="43" t="s">
        <v>259</v>
      </c>
      <c r="BF26" s="43" t="s">
        <v>259</v>
      </c>
      <c r="BG26" s="43" t="s">
        <v>259</v>
      </c>
      <c r="BH26" t="s">
        <v>259</v>
      </c>
      <c r="BI26" s="43" t="s">
        <v>259</v>
      </c>
      <c r="BJ26">
        <v>0</v>
      </c>
      <c r="BK26" s="23">
        <v>44109</v>
      </c>
      <c r="BL26" s="23">
        <v>44356</v>
      </c>
      <c r="BM26">
        <v>8505</v>
      </c>
      <c r="BN26">
        <v>8505</v>
      </c>
      <c r="BO26">
        <v>8505</v>
      </c>
      <c r="BP26">
        <v>25515</v>
      </c>
      <c r="BQ26">
        <v>3300</v>
      </c>
      <c r="BR26">
        <v>400</v>
      </c>
      <c r="BS26">
        <v>400</v>
      </c>
      <c r="BT26">
        <v>4100</v>
      </c>
      <c r="BU26">
        <v>2100</v>
      </c>
      <c r="BV26">
        <v>2100</v>
      </c>
      <c r="BW26">
        <v>2100</v>
      </c>
      <c r="BX26">
        <v>6300</v>
      </c>
      <c r="BY26">
        <v>1200</v>
      </c>
      <c r="BZ26">
        <v>1200</v>
      </c>
      <c r="CA26">
        <v>1200</v>
      </c>
      <c r="CB26">
        <v>3600</v>
      </c>
      <c r="CC26">
        <v>0</v>
      </c>
      <c r="CD26">
        <v>0</v>
      </c>
      <c r="CE26">
        <v>0</v>
      </c>
      <c r="CF26">
        <v>0</v>
      </c>
      <c r="CG26">
        <v>39515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1154</v>
      </c>
      <c r="EJ26">
        <v>1154</v>
      </c>
      <c r="EK26">
        <v>1155</v>
      </c>
      <c r="EL26">
        <v>3500</v>
      </c>
      <c r="EM26">
        <v>37.065000000000005</v>
      </c>
      <c r="EN26">
        <v>660</v>
      </c>
      <c r="EO26">
        <v>660</v>
      </c>
      <c r="EP26">
        <v>660</v>
      </c>
      <c r="EQ26">
        <v>2000</v>
      </c>
      <c r="ER26">
        <v>21.18</v>
      </c>
      <c r="ES26">
        <v>0</v>
      </c>
      <c r="ET26">
        <v>0</v>
      </c>
      <c r="EU26">
        <v>0</v>
      </c>
      <c r="EV26">
        <v>0</v>
      </c>
      <c r="EW26">
        <v>0</v>
      </c>
      <c r="FA26">
        <v>0</v>
      </c>
      <c r="FE26">
        <v>0</v>
      </c>
      <c r="FI26">
        <v>0</v>
      </c>
      <c r="FJ26">
        <v>5441.7550000000001</v>
      </c>
      <c r="FK26">
        <v>39515</v>
      </c>
      <c r="FL26">
        <v>35580.43210392214</v>
      </c>
      <c r="FM26">
        <v>34073.245000000003</v>
      </c>
    </row>
    <row r="27" spans="1:169" x14ac:dyDescent="0.35">
      <c r="A27">
        <v>198902</v>
      </c>
      <c r="B27" s="43" t="s">
        <v>1861</v>
      </c>
      <c r="C27" s="43" t="s">
        <v>1862</v>
      </c>
      <c r="D27" s="43" t="s">
        <v>1863</v>
      </c>
      <c r="E27" s="43" t="s">
        <v>1864</v>
      </c>
      <c r="F27">
        <v>1</v>
      </c>
      <c r="G27">
        <v>43794</v>
      </c>
      <c r="H27" s="23">
        <v>43794</v>
      </c>
      <c r="I27">
        <v>43794</v>
      </c>
      <c r="J27" s="43" t="s">
        <v>3335</v>
      </c>
      <c r="K27" s="43" t="s">
        <v>1715</v>
      </c>
      <c r="L27" s="43" t="s">
        <v>259</v>
      </c>
      <c r="M27" s="43" t="s">
        <v>1865</v>
      </c>
      <c r="N27" s="43" t="s">
        <v>1866</v>
      </c>
      <c r="O27" s="43" t="s">
        <v>1867</v>
      </c>
      <c r="P27" s="43" t="s">
        <v>342</v>
      </c>
      <c r="Q27" s="43" t="s">
        <v>1868</v>
      </c>
      <c r="S27" s="23">
        <v>44109</v>
      </c>
      <c r="T27" s="43" t="s">
        <v>265</v>
      </c>
      <c r="U27" s="43" t="s">
        <v>266</v>
      </c>
      <c r="V27" s="43" t="s">
        <v>267</v>
      </c>
      <c r="W27" s="43" t="s">
        <v>1718</v>
      </c>
      <c r="X27" s="43" t="s">
        <v>1719</v>
      </c>
      <c r="Y27">
        <v>8772802835</v>
      </c>
      <c r="Z27" s="43" t="s">
        <v>508</v>
      </c>
      <c r="AA27" s="43" t="s">
        <v>271</v>
      </c>
      <c r="AB27">
        <v>0</v>
      </c>
      <c r="AC27">
        <v>1090</v>
      </c>
      <c r="AD27">
        <v>101</v>
      </c>
      <c r="AE27" s="43" t="s">
        <v>376</v>
      </c>
      <c r="AF27">
        <v>7</v>
      </c>
      <c r="AG27" s="43" t="s">
        <v>446</v>
      </c>
      <c r="AJ27" s="23"/>
      <c r="AK27" s="43" t="s">
        <v>259</v>
      </c>
      <c r="AL27" s="43" t="s">
        <v>259</v>
      </c>
      <c r="AM27" s="23"/>
      <c r="AN27" s="23"/>
      <c r="AO27" s="23">
        <v>43490</v>
      </c>
      <c r="AP27" s="23"/>
      <c r="AQ27" s="23"/>
      <c r="BB27" s="43"/>
      <c r="BC27" s="43" t="s">
        <v>259</v>
      </c>
      <c r="BD27" s="43" t="s">
        <v>259</v>
      </c>
      <c r="BE27" s="43" t="s">
        <v>259</v>
      </c>
      <c r="BF27" s="43" t="s">
        <v>259</v>
      </c>
      <c r="BG27" s="43" t="s">
        <v>259</v>
      </c>
      <c r="BH27" t="s">
        <v>259</v>
      </c>
      <c r="BI27" s="43" t="s">
        <v>259</v>
      </c>
      <c r="BJ27">
        <v>4.3478260869565188E-2</v>
      </c>
      <c r="BK27" s="23">
        <v>44109</v>
      </c>
      <c r="BL27" s="23">
        <v>44356</v>
      </c>
      <c r="BM27">
        <v>8505</v>
      </c>
      <c r="BN27">
        <v>8505</v>
      </c>
      <c r="BO27">
        <v>8505</v>
      </c>
      <c r="BP27">
        <v>25515</v>
      </c>
      <c r="BQ27">
        <v>3300</v>
      </c>
      <c r="BR27">
        <v>400</v>
      </c>
      <c r="BS27">
        <v>400</v>
      </c>
      <c r="BT27">
        <v>4100</v>
      </c>
      <c r="BU27">
        <v>2100</v>
      </c>
      <c r="BV27">
        <v>2100</v>
      </c>
      <c r="BW27">
        <v>2100</v>
      </c>
      <c r="BX27">
        <v>6300</v>
      </c>
      <c r="BY27">
        <v>1200</v>
      </c>
      <c r="BZ27">
        <v>1200</v>
      </c>
      <c r="CA27">
        <v>1200</v>
      </c>
      <c r="CB27">
        <v>3600</v>
      </c>
      <c r="CC27">
        <v>0</v>
      </c>
      <c r="CD27">
        <v>0</v>
      </c>
      <c r="CE27">
        <v>0</v>
      </c>
      <c r="CF27">
        <v>0</v>
      </c>
      <c r="CG27">
        <v>39515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1154</v>
      </c>
      <c r="EJ27">
        <v>1154</v>
      </c>
      <c r="EK27">
        <v>1155</v>
      </c>
      <c r="EL27">
        <v>3500</v>
      </c>
      <c r="EM27">
        <v>37.065000000000005</v>
      </c>
      <c r="EN27">
        <v>660</v>
      </c>
      <c r="EO27">
        <v>660</v>
      </c>
      <c r="EP27">
        <v>660</v>
      </c>
      <c r="EQ27">
        <v>2000</v>
      </c>
      <c r="ER27">
        <v>21.18</v>
      </c>
      <c r="ES27">
        <v>0</v>
      </c>
      <c r="ET27">
        <v>0</v>
      </c>
      <c r="EU27">
        <v>0</v>
      </c>
      <c r="EV27">
        <v>0</v>
      </c>
      <c r="EW27">
        <v>0</v>
      </c>
      <c r="FA27">
        <v>0</v>
      </c>
      <c r="FE27">
        <v>0</v>
      </c>
      <c r="FI27">
        <v>0</v>
      </c>
      <c r="FJ27">
        <v>5441.7550000000001</v>
      </c>
      <c r="FK27">
        <v>39515</v>
      </c>
      <c r="FL27">
        <v>35580.43210392214</v>
      </c>
      <c r="FM27">
        <v>34073.245000000003</v>
      </c>
    </row>
    <row r="28" spans="1:169" x14ac:dyDescent="0.35">
      <c r="A28">
        <v>197513</v>
      </c>
      <c r="B28" s="43" t="s">
        <v>1869</v>
      </c>
      <c r="C28" s="43" t="s">
        <v>1870</v>
      </c>
      <c r="D28" s="43" t="s">
        <v>1871</v>
      </c>
      <c r="E28" s="43" t="s">
        <v>1872</v>
      </c>
      <c r="F28">
        <v>1</v>
      </c>
      <c r="H28" s="23"/>
      <c r="I28">
        <v>43804</v>
      </c>
      <c r="J28" s="43" t="s">
        <v>4242</v>
      </c>
      <c r="K28" s="43" t="s">
        <v>1715</v>
      </c>
      <c r="L28" s="43" t="s">
        <v>259</v>
      </c>
      <c r="M28" s="43" t="s">
        <v>1873</v>
      </c>
      <c r="N28" s="43" t="s">
        <v>1874</v>
      </c>
      <c r="O28" s="43" t="s">
        <v>1875</v>
      </c>
      <c r="P28" s="43" t="s">
        <v>759</v>
      </c>
      <c r="Q28" s="43" t="s">
        <v>1876</v>
      </c>
      <c r="R28">
        <v>3.3</v>
      </c>
      <c r="S28" s="23">
        <v>44109</v>
      </c>
      <c r="T28" s="43" t="s">
        <v>311</v>
      </c>
      <c r="U28" s="43" t="s">
        <v>266</v>
      </c>
      <c r="V28" s="43" t="s">
        <v>267</v>
      </c>
      <c r="W28" s="43" t="s">
        <v>1718</v>
      </c>
      <c r="X28" s="43" t="s">
        <v>1719</v>
      </c>
      <c r="Y28">
        <v>8772802835</v>
      </c>
      <c r="Z28" s="43" t="s">
        <v>270</v>
      </c>
      <c r="AA28" s="43" t="s">
        <v>271</v>
      </c>
      <c r="AB28">
        <v>0</v>
      </c>
      <c r="AC28">
        <v>1180</v>
      </c>
      <c r="AD28">
        <v>112</v>
      </c>
      <c r="AE28" s="43" t="s">
        <v>289</v>
      </c>
      <c r="AF28">
        <v>2</v>
      </c>
      <c r="AG28" s="43" t="s">
        <v>275</v>
      </c>
      <c r="AJ28" s="23"/>
      <c r="AK28" s="43" t="s">
        <v>259</v>
      </c>
      <c r="AL28" s="43" t="s">
        <v>259</v>
      </c>
      <c r="AM28" s="23"/>
      <c r="AN28" s="23"/>
      <c r="AO28" s="23"/>
      <c r="AP28" s="23"/>
      <c r="AQ28" s="23"/>
      <c r="BB28" s="43"/>
      <c r="BC28" s="43" t="s">
        <v>259</v>
      </c>
      <c r="BD28" s="43" t="s">
        <v>259</v>
      </c>
      <c r="BE28" s="43" t="s">
        <v>259</v>
      </c>
      <c r="BF28" s="43" t="s">
        <v>259</v>
      </c>
      <c r="BG28" s="43" t="s">
        <v>259</v>
      </c>
      <c r="BH28" t="s">
        <v>259</v>
      </c>
      <c r="BI28" s="43" t="s">
        <v>259</v>
      </c>
      <c r="BJ28">
        <v>0</v>
      </c>
      <c r="BK28" s="23">
        <v>44109</v>
      </c>
      <c r="BL28" s="23">
        <v>44356</v>
      </c>
      <c r="BM28">
        <v>8505</v>
      </c>
      <c r="BN28">
        <v>8505</v>
      </c>
      <c r="BO28">
        <v>8505</v>
      </c>
      <c r="BP28">
        <v>25515</v>
      </c>
      <c r="BQ28">
        <v>3300</v>
      </c>
      <c r="BR28">
        <v>400</v>
      </c>
      <c r="BS28">
        <v>400</v>
      </c>
      <c r="BT28">
        <v>4100</v>
      </c>
      <c r="BU28">
        <v>2100</v>
      </c>
      <c r="BV28">
        <v>2100</v>
      </c>
      <c r="BW28">
        <v>2100</v>
      </c>
      <c r="BX28">
        <v>6300</v>
      </c>
      <c r="BY28">
        <v>1200</v>
      </c>
      <c r="BZ28">
        <v>1200</v>
      </c>
      <c r="CA28">
        <v>1200</v>
      </c>
      <c r="CB28">
        <v>3600</v>
      </c>
      <c r="CC28">
        <v>0</v>
      </c>
      <c r="CD28">
        <v>0</v>
      </c>
      <c r="CE28">
        <v>0</v>
      </c>
      <c r="CF28">
        <v>0</v>
      </c>
      <c r="CG28">
        <v>39515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1500</v>
      </c>
      <c r="CU28">
        <v>1500</v>
      </c>
      <c r="CV28">
        <v>1500</v>
      </c>
      <c r="CW28">
        <v>4500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4500</v>
      </c>
      <c r="EE28">
        <v>0</v>
      </c>
      <c r="EF28">
        <v>0</v>
      </c>
      <c r="EG28">
        <v>0</v>
      </c>
      <c r="EH28">
        <v>0</v>
      </c>
      <c r="EI28">
        <v>1154</v>
      </c>
      <c r="EJ28">
        <v>1154</v>
      </c>
      <c r="EK28">
        <v>1155</v>
      </c>
      <c r="EL28">
        <v>3500</v>
      </c>
      <c r="EM28">
        <v>37.065000000000005</v>
      </c>
      <c r="EN28">
        <v>660</v>
      </c>
      <c r="EO28">
        <v>660</v>
      </c>
      <c r="EP28">
        <v>660</v>
      </c>
      <c r="EQ28">
        <v>2000</v>
      </c>
      <c r="ER28">
        <v>21.18</v>
      </c>
      <c r="ES28">
        <v>0</v>
      </c>
      <c r="ET28">
        <v>0</v>
      </c>
      <c r="EU28">
        <v>0</v>
      </c>
      <c r="EV28">
        <v>0</v>
      </c>
      <c r="EW28">
        <v>0</v>
      </c>
      <c r="FA28">
        <v>0</v>
      </c>
      <c r="FE28">
        <v>0</v>
      </c>
      <c r="FI28">
        <v>0</v>
      </c>
      <c r="FJ28">
        <v>5441.7550000000001</v>
      </c>
      <c r="FK28">
        <v>35015</v>
      </c>
      <c r="FL28">
        <v>30881.380268159221</v>
      </c>
      <c r="FM28">
        <v>29573.244999999999</v>
      </c>
    </row>
    <row r="29" spans="1:169" x14ac:dyDescent="0.35">
      <c r="A29">
        <v>199218</v>
      </c>
      <c r="B29" s="43" t="s">
        <v>3623</v>
      </c>
      <c r="C29" s="43" t="s">
        <v>3624</v>
      </c>
      <c r="D29" s="43" t="s">
        <v>3625</v>
      </c>
      <c r="E29" s="43" t="s">
        <v>3626</v>
      </c>
      <c r="F29">
        <v>1</v>
      </c>
      <c r="G29">
        <v>43803</v>
      </c>
      <c r="H29" s="23">
        <v>43803</v>
      </c>
      <c r="I29">
        <v>43803</v>
      </c>
      <c r="J29" s="43" t="s">
        <v>4234</v>
      </c>
      <c r="K29" s="43" t="s">
        <v>1715</v>
      </c>
      <c r="L29" s="43" t="s">
        <v>3204</v>
      </c>
      <c r="M29" s="43" t="s">
        <v>3627</v>
      </c>
      <c r="N29" s="43" t="s">
        <v>3628</v>
      </c>
      <c r="O29" s="43" t="s">
        <v>3629</v>
      </c>
      <c r="P29" s="43" t="s">
        <v>911</v>
      </c>
      <c r="Q29" s="43" t="s">
        <v>3630</v>
      </c>
      <c r="S29" s="23">
        <v>44109</v>
      </c>
      <c r="T29" s="43" t="s">
        <v>285</v>
      </c>
      <c r="U29" s="43" t="s">
        <v>266</v>
      </c>
      <c r="V29" s="43" t="s">
        <v>267</v>
      </c>
      <c r="W29" s="43" t="s">
        <v>1718</v>
      </c>
      <c r="X29" s="43" t="s">
        <v>1719</v>
      </c>
      <c r="Y29">
        <v>8772802835</v>
      </c>
      <c r="Z29" s="43" t="s">
        <v>270</v>
      </c>
      <c r="AA29" s="43" t="s">
        <v>271</v>
      </c>
      <c r="AB29">
        <v>0</v>
      </c>
      <c r="AC29">
        <v>1280</v>
      </c>
      <c r="AD29">
        <v>125</v>
      </c>
      <c r="AE29" s="43" t="s">
        <v>301</v>
      </c>
      <c r="AF29">
        <v>1</v>
      </c>
      <c r="AG29" s="43" t="s">
        <v>3345</v>
      </c>
      <c r="AH29">
        <v>673</v>
      </c>
      <c r="AI29">
        <v>673</v>
      </c>
      <c r="AJ29" s="23">
        <v>43790</v>
      </c>
      <c r="AK29" s="43" t="s">
        <v>1715</v>
      </c>
      <c r="AL29" s="43" t="s">
        <v>259</v>
      </c>
      <c r="AM29" s="23"/>
      <c r="AN29" s="23"/>
      <c r="AO29" s="23"/>
      <c r="AP29" s="23"/>
      <c r="AQ29" s="23"/>
      <c r="BB29" s="43"/>
      <c r="BC29" s="43" t="s">
        <v>259</v>
      </c>
      <c r="BD29" s="43" t="s">
        <v>259</v>
      </c>
      <c r="BE29" s="43" t="s">
        <v>259</v>
      </c>
      <c r="BF29" s="43" t="s">
        <v>259</v>
      </c>
      <c r="BG29" s="43" t="s">
        <v>259</v>
      </c>
      <c r="BH29" t="s">
        <v>259</v>
      </c>
      <c r="BI29" s="43" t="s">
        <v>259</v>
      </c>
      <c r="BJ29">
        <v>0</v>
      </c>
      <c r="BK29" s="23">
        <v>44109</v>
      </c>
      <c r="BL29" s="23">
        <v>44356</v>
      </c>
      <c r="BM29">
        <v>8505</v>
      </c>
      <c r="BN29">
        <v>8505</v>
      </c>
      <c r="BO29">
        <v>8505</v>
      </c>
      <c r="BP29">
        <v>25515</v>
      </c>
      <c r="BQ29">
        <v>3300</v>
      </c>
      <c r="BR29">
        <v>400</v>
      </c>
      <c r="BS29">
        <v>400</v>
      </c>
      <c r="BT29">
        <v>4100</v>
      </c>
      <c r="BU29">
        <v>2100</v>
      </c>
      <c r="BV29">
        <v>2100</v>
      </c>
      <c r="BW29">
        <v>2100</v>
      </c>
      <c r="BX29">
        <v>6300</v>
      </c>
      <c r="BY29">
        <v>1200</v>
      </c>
      <c r="BZ29">
        <v>1200</v>
      </c>
      <c r="CA29">
        <v>1200</v>
      </c>
      <c r="CB29">
        <v>3600</v>
      </c>
      <c r="CC29">
        <v>0</v>
      </c>
      <c r="CD29">
        <v>0</v>
      </c>
      <c r="CE29">
        <v>0</v>
      </c>
      <c r="CF29">
        <v>0</v>
      </c>
      <c r="CG29">
        <v>39515</v>
      </c>
      <c r="CH29">
        <v>0</v>
      </c>
      <c r="CI29">
        <v>0</v>
      </c>
      <c r="CJ29">
        <v>0</v>
      </c>
      <c r="CK29">
        <v>0</v>
      </c>
      <c r="CL29">
        <v>1849</v>
      </c>
      <c r="CM29">
        <v>1848</v>
      </c>
      <c r="CN29">
        <v>1848</v>
      </c>
      <c r="CO29">
        <v>5545</v>
      </c>
      <c r="CP29">
        <v>500</v>
      </c>
      <c r="CQ29">
        <v>500</v>
      </c>
      <c r="CR29">
        <v>500</v>
      </c>
      <c r="CS29">
        <v>1500</v>
      </c>
      <c r="CT29">
        <v>1700</v>
      </c>
      <c r="CU29">
        <v>1700</v>
      </c>
      <c r="CV29">
        <v>1700</v>
      </c>
      <c r="CW29">
        <v>5100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12145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M29">
        <v>0</v>
      </c>
      <c r="EN29">
        <v>660</v>
      </c>
      <c r="EO29">
        <v>660</v>
      </c>
      <c r="EP29">
        <v>660</v>
      </c>
      <c r="EQ29">
        <v>2000</v>
      </c>
      <c r="ER29">
        <v>21.18</v>
      </c>
      <c r="ES29">
        <v>0</v>
      </c>
      <c r="ET29">
        <v>0</v>
      </c>
      <c r="EU29">
        <v>0</v>
      </c>
      <c r="EW29">
        <v>0</v>
      </c>
      <c r="FA29">
        <v>0</v>
      </c>
      <c r="FE29">
        <v>0</v>
      </c>
      <c r="FI29">
        <v>0</v>
      </c>
      <c r="FJ29">
        <v>1978.82</v>
      </c>
      <c r="FK29">
        <v>27370</v>
      </c>
      <c r="FL29">
        <v>26514.326886930368</v>
      </c>
      <c r="FM29">
        <v>25391.18</v>
      </c>
    </row>
    <row r="30" spans="1:169" x14ac:dyDescent="0.35">
      <c r="A30">
        <v>199014</v>
      </c>
      <c r="B30" s="43" t="s">
        <v>1877</v>
      </c>
      <c r="C30" s="43" t="s">
        <v>1878</v>
      </c>
      <c r="D30" s="43" t="s">
        <v>1879</v>
      </c>
      <c r="E30" s="43" t="s">
        <v>1880</v>
      </c>
      <c r="F30">
        <v>1</v>
      </c>
      <c r="H30" s="23"/>
      <c r="I30">
        <v>43804</v>
      </c>
      <c r="J30" s="43" t="s">
        <v>4242</v>
      </c>
      <c r="K30" s="43" t="s">
        <v>1715</v>
      </c>
      <c r="L30" s="43" t="s">
        <v>259</v>
      </c>
      <c r="M30" s="43" t="s">
        <v>1881</v>
      </c>
      <c r="N30" s="43" t="s">
        <v>1882</v>
      </c>
      <c r="O30" s="43" t="s">
        <v>1883</v>
      </c>
      <c r="P30" s="43" t="s">
        <v>542</v>
      </c>
      <c r="Q30" s="43" t="s">
        <v>1884</v>
      </c>
      <c r="S30" s="23">
        <v>44109</v>
      </c>
      <c r="T30" s="43" t="s">
        <v>544</v>
      </c>
      <c r="U30" s="43" t="s">
        <v>266</v>
      </c>
      <c r="V30" s="43" t="s">
        <v>267</v>
      </c>
      <c r="W30" s="43" t="s">
        <v>1718</v>
      </c>
      <c r="X30" s="43" t="s">
        <v>1719</v>
      </c>
      <c r="Y30">
        <v>8772802835</v>
      </c>
      <c r="Z30" s="43" t="s">
        <v>270</v>
      </c>
      <c r="AA30" s="43" t="s">
        <v>271</v>
      </c>
      <c r="AB30">
        <v>25</v>
      </c>
      <c r="AC30">
        <v>0</v>
      </c>
      <c r="AD30">
        <v>117</v>
      </c>
      <c r="AE30" s="43" t="s">
        <v>301</v>
      </c>
      <c r="AF30">
        <v>1</v>
      </c>
      <c r="AG30" s="43" t="s">
        <v>446</v>
      </c>
      <c r="AJ30" s="23"/>
      <c r="AK30" s="43" t="s">
        <v>259</v>
      </c>
      <c r="AL30" s="43" t="s">
        <v>259</v>
      </c>
      <c r="AM30" s="23"/>
      <c r="AN30" s="23"/>
      <c r="AO30" s="23"/>
      <c r="AP30" s="23"/>
      <c r="AQ30" s="23"/>
      <c r="BB30" s="43"/>
      <c r="BC30" s="43" t="s">
        <v>259</v>
      </c>
      <c r="BD30" s="43" t="s">
        <v>259</v>
      </c>
      <c r="BE30" s="43" t="s">
        <v>259</v>
      </c>
      <c r="BF30" s="43" t="s">
        <v>259</v>
      </c>
      <c r="BG30" s="43" t="s">
        <v>259</v>
      </c>
      <c r="BH30" t="s">
        <v>259</v>
      </c>
      <c r="BI30" s="43" t="s">
        <v>259</v>
      </c>
      <c r="BJ30">
        <v>0</v>
      </c>
      <c r="BK30" s="23">
        <v>44109</v>
      </c>
      <c r="BL30" s="23">
        <v>44356</v>
      </c>
      <c r="BM30">
        <v>8505</v>
      </c>
      <c r="BN30">
        <v>8505</v>
      </c>
      <c r="BO30">
        <v>8505</v>
      </c>
      <c r="BP30">
        <v>25515</v>
      </c>
      <c r="BQ30">
        <v>3300</v>
      </c>
      <c r="BR30">
        <v>400</v>
      </c>
      <c r="BS30">
        <v>400</v>
      </c>
      <c r="BT30">
        <v>4100</v>
      </c>
      <c r="BU30">
        <v>2100</v>
      </c>
      <c r="BV30">
        <v>2100</v>
      </c>
      <c r="BW30">
        <v>2100</v>
      </c>
      <c r="BX30">
        <v>6300</v>
      </c>
      <c r="BY30">
        <v>1200</v>
      </c>
      <c r="BZ30">
        <v>1200</v>
      </c>
      <c r="CA30">
        <v>1200</v>
      </c>
      <c r="CB30">
        <v>3600</v>
      </c>
      <c r="CC30">
        <v>0</v>
      </c>
      <c r="CD30">
        <v>0</v>
      </c>
      <c r="CE30">
        <v>0</v>
      </c>
      <c r="CF30">
        <v>0</v>
      </c>
      <c r="CG30">
        <v>39515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1700</v>
      </c>
      <c r="CU30">
        <v>1700</v>
      </c>
      <c r="CV30">
        <v>1700</v>
      </c>
      <c r="CW30">
        <v>5100</v>
      </c>
      <c r="CX30">
        <v>3000</v>
      </c>
      <c r="CY30">
        <v>3000</v>
      </c>
      <c r="CZ30">
        <v>3000</v>
      </c>
      <c r="DA30">
        <v>9000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14100</v>
      </c>
      <c r="EE30">
        <v>0</v>
      </c>
      <c r="EF30">
        <v>0</v>
      </c>
      <c r="EG30">
        <v>0</v>
      </c>
      <c r="EH30">
        <v>0</v>
      </c>
      <c r="EI30">
        <v>1154</v>
      </c>
      <c r="EJ30">
        <v>1154</v>
      </c>
      <c r="EK30">
        <v>1155</v>
      </c>
      <c r="EL30">
        <v>3500</v>
      </c>
      <c r="EM30">
        <v>37.065000000000005</v>
      </c>
      <c r="EN30">
        <v>660</v>
      </c>
      <c r="EO30">
        <v>660</v>
      </c>
      <c r="EP30">
        <v>660</v>
      </c>
      <c r="EQ30">
        <v>2000</v>
      </c>
      <c r="ER30">
        <v>21.18</v>
      </c>
      <c r="ES30">
        <v>0</v>
      </c>
      <c r="ET30">
        <v>0</v>
      </c>
      <c r="EU30">
        <v>0</v>
      </c>
      <c r="EV30">
        <v>0</v>
      </c>
      <c r="EW30">
        <v>0</v>
      </c>
      <c r="FA30">
        <v>0</v>
      </c>
      <c r="FE30">
        <v>0</v>
      </c>
      <c r="FI30">
        <v>0</v>
      </c>
      <c r="FJ30">
        <v>5441.7550000000001</v>
      </c>
      <c r="FK30">
        <v>25415</v>
      </c>
      <c r="FL30">
        <v>20856.736351864998</v>
      </c>
      <c r="FM30">
        <v>19973.244999999999</v>
      </c>
    </row>
    <row r="31" spans="1:169" x14ac:dyDescent="0.35">
      <c r="A31">
        <v>194358</v>
      </c>
      <c r="B31" s="43" t="s">
        <v>1885</v>
      </c>
      <c r="C31" s="43" t="s">
        <v>1886</v>
      </c>
      <c r="D31" s="43" t="s">
        <v>1887</v>
      </c>
      <c r="E31" s="43" t="s">
        <v>1888</v>
      </c>
      <c r="F31">
        <v>1</v>
      </c>
      <c r="G31">
        <v>43775</v>
      </c>
      <c r="H31" s="23">
        <v>43775</v>
      </c>
      <c r="I31">
        <v>43782</v>
      </c>
      <c r="J31" s="43" t="s">
        <v>4244</v>
      </c>
      <c r="K31" s="43" t="s">
        <v>1715</v>
      </c>
      <c r="L31" s="43" t="s">
        <v>3204</v>
      </c>
      <c r="M31" s="43" t="s">
        <v>1889</v>
      </c>
      <c r="N31" s="43" t="s">
        <v>1890</v>
      </c>
      <c r="O31" s="43" t="s">
        <v>1891</v>
      </c>
      <c r="P31" s="43" t="s">
        <v>1892</v>
      </c>
      <c r="Q31" s="43" t="s">
        <v>1893</v>
      </c>
      <c r="R31">
        <v>3.1659999999999999</v>
      </c>
      <c r="S31" s="23">
        <v>44109</v>
      </c>
      <c r="T31" s="43" t="s">
        <v>311</v>
      </c>
      <c r="U31" s="43" t="s">
        <v>266</v>
      </c>
      <c r="V31" s="43" t="s">
        <v>267</v>
      </c>
      <c r="W31" s="43" t="s">
        <v>1718</v>
      </c>
      <c r="X31" s="43" t="s">
        <v>1719</v>
      </c>
      <c r="Y31">
        <v>8772802835</v>
      </c>
      <c r="Z31" s="43" t="s">
        <v>270</v>
      </c>
      <c r="AA31" s="43" t="s">
        <v>271</v>
      </c>
      <c r="AB31">
        <v>25</v>
      </c>
      <c r="AC31">
        <v>0</v>
      </c>
      <c r="AD31">
        <v>108</v>
      </c>
      <c r="AE31" s="43" t="s">
        <v>364</v>
      </c>
      <c r="AF31">
        <v>3</v>
      </c>
      <c r="AG31" s="43" t="s">
        <v>275</v>
      </c>
      <c r="AH31">
        <v>0</v>
      </c>
      <c r="AI31">
        <v>0</v>
      </c>
      <c r="AJ31" s="23">
        <v>43774</v>
      </c>
      <c r="AK31" s="43" t="s">
        <v>1715</v>
      </c>
      <c r="AL31" s="43" t="s">
        <v>259</v>
      </c>
      <c r="AM31" s="23"/>
      <c r="AN31" s="23"/>
      <c r="AO31" s="23">
        <v>43774</v>
      </c>
      <c r="AP31" s="23">
        <v>43775</v>
      </c>
      <c r="AQ31" s="23">
        <v>43775</v>
      </c>
      <c r="BB31" s="43"/>
      <c r="BC31" s="43" t="s">
        <v>259</v>
      </c>
      <c r="BD31" s="43" t="s">
        <v>259</v>
      </c>
      <c r="BE31" s="43" t="s">
        <v>2018</v>
      </c>
      <c r="BF31" s="43" t="s">
        <v>2018</v>
      </c>
      <c r="BG31" s="43" t="s">
        <v>2018</v>
      </c>
      <c r="BH31">
        <v>43746</v>
      </c>
      <c r="BI31" s="43" t="s">
        <v>2018</v>
      </c>
      <c r="BJ31">
        <v>0.21052631578947367</v>
      </c>
      <c r="BK31" s="23">
        <v>44109</v>
      </c>
      <c r="BL31" s="23">
        <v>44356</v>
      </c>
      <c r="BM31">
        <v>8505</v>
      </c>
      <c r="BN31">
        <v>8505</v>
      </c>
      <c r="BO31">
        <v>8505</v>
      </c>
      <c r="BP31">
        <v>25515</v>
      </c>
      <c r="BQ31">
        <v>3300</v>
      </c>
      <c r="BR31">
        <v>400</v>
      </c>
      <c r="BS31">
        <v>400</v>
      </c>
      <c r="BT31">
        <v>4100</v>
      </c>
      <c r="BU31">
        <v>2100</v>
      </c>
      <c r="BV31">
        <v>2100</v>
      </c>
      <c r="BW31">
        <v>2100</v>
      </c>
      <c r="BX31">
        <v>6300</v>
      </c>
      <c r="BY31">
        <v>1200</v>
      </c>
      <c r="BZ31">
        <v>1200</v>
      </c>
      <c r="CA31">
        <v>1200</v>
      </c>
      <c r="CB31">
        <v>3600</v>
      </c>
      <c r="CC31">
        <v>0</v>
      </c>
      <c r="CD31">
        <v>0</v>
      </c>
      <c r="CE31">
        <v>0</v>
      </c>
      <c r="CF31">
        <v>0</v>
      </c>
      <c r="CG31">
        <v>39515</v>
      </c>
      <c r="CH31">
        <v>0</v>
      </c>
      <c r="CI31">
        <v>0</v>
      </c>
      <c r="CJ31">
        <v>0</v>
      </c>
      <c r="CK31">
        <v>0</v>
      </c>
      <c r="CL31">
        <v>2065</v>
      </c>
      <c r="CM31">
        <v>2065</v>
      </c>
      <c r="CN31">
        <v>2065</v>
      </c>
      <c r="CO31">
        <v>6195</v>
      </c>
      <c r="CP31">
        <v>500</v>
      </c>
      <c r="CQ31">
        <v>500</v>
      </c>
      <c r="CR31">
        <v>500</v>
      </c>
      <c r="CS31">
        <v>1500</v>
      </c>
      <c r="CT31">
        <v>1300</v>
      </c>
      <c r="CU31">
        <v>1300</v>
      </c>
      <c r="CV31">
        <v>1300</v>
      </c>
      <c r="CW31">
        <v>3900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11595</v>
      </c>
      <c r="EE31">
        <v>0</v>
      </c>
      <c r="EF31">
        <v>0</v>
      </c>
      <c r="EG31">
        <v>0</v>
      </c>
      <c r="EH31">
        <v>0</v>
      </c>
      <c r="EI31">
        <v>1154</v>
      </c>
      <c r="EJ31">
        <v>1154</v>
      </c>
      <c r="EK31">
        <v>1155</v>
      </c>
      <c r="EL31">
        <v>3500</v>
      </c>
      <c r="EM31">
        <v>37.065000000000005</v>
      </c>
      <c r="EN31">
        <v>660</v>
      </c>
      <c r="EO31">
        <v>660</v>
      </c>
      <c r="EP31">
        <v>660</v>
      </c>
      <c r="EQ31">
        <v>2000</v>
      </c>
      <c r="ER31">
        <v>21.18</v>
      </c>
      <c r="ES31">
        <v>7506</v>
      </c>
      <c r="ET31">
        <v>7506</v>
      </c>
      <c r="EU31">
        <v>7506</v>
      </c>
      <c r="EV31">
        <v>23473</v>
      </c>
      <c r="EW31">
        <v>994.31628000000001</v>
      </c>
      <c r="FA31">
        <v>0</v>
      </c>
      <c r="FE31">
        <v>0</v>
      </c>
      <c r="FI31">
        <v>0</v>
      </c>
      <c r="FJ31">
        <v>27920.438720000002</v>
      </c>
      <c r="FK31">
        <v>27920</v>
      </c>
      <c r="FL31">
        <v>-0.45812622697665301</v>
      </c>
      <c r="FM31">
        <v>-0.43872000000192202</v>
      </c>
    </row>
    <row r="32" spans="1:169" x14ac:dyDescent="0.35">
      <c r="A32">
        <v>196477</v>
      </c>
      <c r="B32" s="43" t="s">
        <v>1894</v>
      </c>
      <c r="C32" s="43" t="s">
        <v>1895</v>
      </c>
      <c r="D32" s="43" t="s">
        <v>1896</v>
      </c>
      <c r="E32" s="43" t="s">
        <v>1897</v>
      </c>
      <c r="F32">
        <v>1</v>
      </c>
      <c r="H32" s="23"/>
      <c r="I32">
        <v>43775</v>
      </c>
      <c r="J32" s="43" t="s">
        <v>3304</v>
      </c>
      <c r="K32" s="43" t="s">
        <v>1715</v>
      </c>
      <c r="L32" s="43" t="s">
        <v>3204</v>
      </c>
      <c r="M32" s="43" t="s">
        <v>1898</v>
      </c>
      <c r="N32" s="43" t="s">
        <v>1899</v>
      </c>
      <c r="O32" s="43" t="s">
        <v>1900</v>
      </c>
      <c r="P32" s="43" t="s">
        <v>1892</v>
      </c>
      <c r="Q32" s="43" t="s">
        <v>1901</v>
      </c>
      <c r="R32">
        <v>4</v>
      </c>
      <c r="S32" s="23">
        <v>44109</v>
      </c>
      <c r="T32" s="43" t="s">
        <v>311</v>
      </c>
      <c r="U32" s="43" t="s">
        <v>312</v>
      </c>
      <c r="V32" s="43" t="s">
        <v>267</v>
      </c>
      <c r="W32" s="43" t="s">
        <v>1718</v>
      </c>
      <c r="X32" s="43" t="s">
        <v>1719</v>
      </c>
      <c r="Y32">
        <v>8772802835</v>
      </c>
      <c r="Z32" s="43" t="s">
        <v>270</v>
      </c>
      <c r="AA32" s="43" t="s">
        <v>271</v>
      </c>
      <c r="AB32">
        <v>26</v>
      </c>
      <c r="AC32">
        <v>0</v>
      </c>
      <c r="AD32">
        <v>124</v>
      </c>
      <c r="AE32" s="43" t="s">
        <v>301</v>
      </c>
      <c r="AF32">
        <v>1</v>
      </c>
      <c r="AG32" s="43" t="s">
        <v>275</v>
      </c>
      <c r="AH32">
        <v>20297</v>
      </c>
      <c r="AI32">
        <v>20297</v>
      </c>
      <c r="AJ32" s="23">
        <v>43774</v>
      </c>
      <c r="AK32" s="43" t="s">
        <v>3208</v>
      </c>
      <c r="AL32" s="43" t="s">
        <v>3209</v>
      </c>
      <c r="AM32" s="23"/>
      <c r="AN32" s="23"/>
      <c r="AO32" s="23">
        <v>43776</v>
      </c>
      <c r="AP32" s="23"/>
      <c r="AQ32" s="23"/>
      <c r="BB32" s="43"/>
      <c r="BC32" s="43" t="s">
        <v>2018</v>
      </c>
      <c r="BD32" s="43" t="s">
        <v>2018</v>
      </c>
      <c r="BE32" s="43" t="s">
        <v>2018</v>
      </c>
      <c r="BF32" s="43" t="s">
        <v>2018</v>
      </c>
      <c r="BG32" s="43" t="s">
        <v>2018</v>
      </c>
      <c r="BH32" t="s">
        <v>2018</v>
      </c>
      <c r="BI32" s="43" t="s">
        <v>2018</v>
      </c>
      <c r="BJ32">
        <v>6.25E-2</v>
      </c>
      <c r="BK32" s="23">
        <v>44109</v>
      </c>
      <c r="BL32" s="23">
        <v>44356</v>
      </c>
      <c r="BM32">
        <v>8505</v>
      </c>
      <c r="BN32">
        <v>8505</v>
      </c>
      <c r="BO32">
        <v>8505</v>
      </c>
      <c r="BP32">
        <v>25515</v>
      </c>
      <c r="BQ32">
        <v>3300</v>
      </c>
      <c r="BR32">
        <v>400</v>
      </c>
      <c r="BS32">
        <v>400</v>
      </c>
      <c r="BT32">
        <v>4100</v>
      </c>
      <c r="BU32">
        <v>2100</v>
      </c>
      <c r="BV32">
        <v>2100</v>
      </c>
      <c r="BW32">
        <v>2100</v>
      </c>
      <c r="BX32">
        <v>6300</v>
      </c>
      <c r="BY32">
        <v>1200</v>
      </c>
      <c r="BZ32">
        <v>1200</v>
      </c>
      <c r="CA32">
        <v>1200</v>
      </c>
      <c r="CB32">
        <v>3600</v>
      </c>
      <c r="CC32">
        <v>0</v>
      </c>
      <c r="CD32">
        <v>0</v>
      </c>
      <c r="CE32">
        <v>0</v>
      </c>
      <c r="CF32">
        <v>0</v>
      </c>
      <c r="CG32">
        <v>39515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1700</v>
      </c>
      <c r="CU32">
        <v>1700</v>
      </c>
      <c r="CV32">
        <v>1700</v>
      </c>
      <c r="CW32">
        <v>5100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5100</v>
      </c>
      <c r="EE32">
        <v>0</v>
      </c>
      <c r="EF32">
        <v>0</v>
      </c>
      <c r="EG32">
        <v>0</v>
      </c>
      <c r="EH32">
        <v>0</v>
      </c>
      <c r="EI32">
        <v>1154</v>
      </c>
      <c r="EJ32">
        <v>1154</v>
      </c>
      <c r="EK32">
        <v>1155</v>
      </c>
      <c r="EL32">
        <v>3500</v>
      </c>
      <c r="EM32">
        <v>37.065000000000005</v>
      </c>
      <c r="EN32">
        <v>660</v>
      </c>
      <c r="EO32">
        <v>660</v>
      </c>
      <c r="EP32">
        <v>660</v>
      </c>
      <c r="EQ32">
        <v>2000</v>
      </c>
      <c r="ER32">
        <v>21.18</v>
      </c>
      <c r="ES32">
        <v>0</v>
      </c>
      <c r="ET32">
        <v>0</v>
      </c>
      <c r="EU32">
        <v>0</v>
      </c>
      <c r="EV32">
        <v>0</v>
      </c>
      <c r="EW32">
        <v>0</v>
      </c>
      <c r="FA32">
        <v>0</v>
      </c>
      <c r="FE32">
        <v>0</v>
      </c>
      <c r="FI32">
        <v>0</v>
      </c>
      <c r="FJ32">
        <v>5441.7550000000001</v>
      </c>
      <c r="FK32">
        <v>34415</v>
      </c>
      <c r="FL32">
        <v>30254.840023390832</v>
      </c>
      <c r="FM32">
        <v>28973.244999999999</v>
      </c>
    </row>
    <row r="33" spans="1:169" x14ac:dyDescent="0.35">
      <c r="A33">
        <v>194313</v>
      </c>
      <c r="B33" s="43" t="s">
        <v>1902</v>
      </c>
      <c r="C33" s="43" t="s">
        <v>1903</v>
      </c>
      <c r="D33" s="43" t="s">
        <v>1904</v>
      </c>
      <c r="E33" s="43" t="s">
        <v>1905</v>
      </c>
      <c r="F33">
        <v>1</v>
      </c>
      <c r="H33" s="23"/>
      <c r="I33">
        <v>43804</v>
      </c>
      <c r="J33" s="43" t="s">
        <v>4242</v>
      </c>
      <c r="K33" s="43" t="s">
        <v>1715</v>
      </c>
      <c r="L33" s="43" t="s">
        <v>259</v>
      </c>
      <c r="M33" s="43" t="s">
        <v>1906</v>
      </c>
      <c r="N33" s="43" t="s">
        <v>1907</v>
      </c>
      <c r="O33" s="43" t="s">
        <v>1908</v>
      </c>
      <c r="P33" s="43" t="s">
        <v>542</v>
      </c>
      <c r="Q33" s="43" t="s">
        <v>1909</v>
      </c>
      <c r="R33">
        <v>3.56</v>
      </c>
      <c r="S33" s="23">
        <v>44109</v>
      </c>
      <c r="T33" s="43" t="s">
        <v>544</v>
      </c>
      <c r="U33" s="43" t="s">
        <v>266</v>
      </c>
      <c r="V33" s="43" t="s">
        <v>267</v>
      </c>
      <c r="W33" s="43" t="s">
        <v>1718</v>
      </c>
      <c r="X33" s="43" t="s">
        <v>1719</v>
      </c>
      <c r="Y33">
        <v>8772802835</v>
      </c>
      <c r="Z33" s="43" t="s">
        <v>270</v>
      </c>
      <c r="AA33" s="43" t="s">
        <v>271</v>
      </c>
      <c r="AB33">
        <v>29</v>
      </c>
      <c r="AC33">
        <v>0</v>
      </c>
      <c r="AD33">
        <v>122</v>
      </c>
      <c r="AE33" s="43" t="s">
        <v>301</v>
      </c>
      <c r="AF33">
        <v>1</v>
      </c>
      <c r="AG33" s="43" t="s">
        <v>275</v>
      </c>
      <c r="AJ33" s="23"/>
      <c r="AK33" s="43" t="s">
        <v>259</v>
      </c>
      <c r="AL33" s="43" t="s">
        <v>259</v>
      </c>
      <c r="AM33" s="23"/>
      <c r="AN33" s="23"/>
      <c r="AO33" s="23"/>
      <c r="AP33" s="23"/>
      <c r="AQ33" s="23"/>
      <c r="BB33" s="43"/>
      <c r="BC33" s="43" t="s">
        <v>259</v>
      </c>
      <c r="BD33" s="43" t="s">
        <v>259</v>
      </c>
      <c r="BE33" s="43" t="s">
        <v>259</v>
      </c>
      <c r="BF33" s="43" t="s">
        <v>259</v>
      </c>
      <c r="BG33" s="43" t="s">
        <v>259</v>
      </c>
      <c r="BH33" t="s">
        <v>259</v>
      </c>
      <c r="BI33" s="43" t="s">
        <v>259</v>
      </c>
      <c r="BJ33">
        <v>0</v>
      </c>
      <c r="BK33" s="23">
        <v>44109</v>
      </c>
      <c r="BL33" s="23">
        <v>44356</v>
      </c>
      <c r="BM33">
        <v>8505</v>
      </c>
      <c r="BN33">
        <v>8505</v>
      </c>
      <c r="BO33">
        <v>8505</v>
      </c>
      <c r="BP33">
        <v>25515</v>
      </c>
      <c r="BQ33">
        <v>3300</v>
      </c>
      <c r="BR33">
        <v>400</v>
      </c>
      <c r="BS33">
        <v>400</v>
      </c>
      <c r="BT33">
        <v>4100</v>
      </c>
      <c r="BU33">
        <v>2100</v>
      </c>
      <c r="BV33">
        <v>2100</v>
      </c>
      <c r="BW33">
        <v>2100</v>
      </c>
      <c r="BX33">
        <v>6300</v>
      </c>
      <c r="BY33">
        <v>1200</v>
      </c>
      <c r="BZ33">
        <v>1200</v>
      </c>
      <c r="CA33">
        <v>1200</v>
      </c>
      <c r="CB33">
        <v>3600</v>
      </c>
      <c r="CC33">
        <v>0</v>
      </c>
      <c r="CD33">
        <v>0</v>
      </c>
      <c r="CE33">
        <v>0</v>
      </c>
      <c r="CF33">
        <v>0</v>
      </c>
      <c r="CG33">
        <v>39515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1700</v>
      </c>
      <c r="CU33">
        <v>1700</v>
      </c>
      <c r="CV33">
        <v>1700</v>
      </c>
      <c r="CW33">
        <v>5100</v>
      </c>
      <c r="CX33">
        <v>3000</v>
      </c>
      <c r="CY33">
        <v>3000</v>
      </c>
      <c r="CZ33">
        <v>3000</v>
      </c>
      <c r="DA33">
        <v>9000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14100</v>
      </c>
      <c r="EE33">
        <v>0</v>
      </c>
      <c r="EF33">
        <v>0</v>
      </c>
      <c r="EG33">
        <v>0</v>
      </c>
      <c r="EH33">
        <v>0</v>
      </c>
      <c r="EI33">
        <v>1154</v>
      </c>
      <c r="EJ33">
        <v>1154</v>
      </c>
      <c r="EK33">
        <v>1155</v>
      </c>
      <c r="EL33">
        <v>3500</v>
      </c>
      <c r="EM33">
        <v>37.065000000000005</v>
      </c>
      <c r="EN33">
        <v>660</v>
      </c>
      <c r="EO33">
        <v>660</v>
      </c>
      <c r="EP33">
        <v>660</v>
      </c>
      <c r="EQ33">
        <v>2000</v>
      </c>
      <c r="ER33">
        <v>21.18</v>
      </c>
      <c r="ES33">
        <v>0</v>
      </c>
      <c r="ET33">
        <v>0</v>
      </c>
      <c r="EU33">
        <v>0</v>
      </c>
      <c r="EV33">
        <v>0</v>
      </c>
      <c r="EW33">
        <v>0</v>
      </c>
      <c r="FA33">
        <v>0</v>
      </c>
      <c r="FE33">
        <v>0</v>
      </c>
      <c r="FI33">
        <v>0</v>
      </c>
      <c r="FJ33">
        <v>5441.7550000000001</v>
      </c>
      <c r="FK33">
        <v>25415</v>
      </c>
      <c r="FL33">
        <v>20856.736351864998</v>
      </c>
      <c r="FM33">
        <v>19973.244999999999</v>
      </c>
    </row>
    <row r="34" spans="1:169" x14ac:dyDescent="0.35">
      <c r="A34">
        <v>193925</v>
      </c>
      <c r="B34" s="43" t="s">
        <v>1910</v>
      </c>
      <c r="C34" s="43" t="s">
        <v>1911</v>
      </c>
      <c r="D34" s="43" t="s">
        <v>1912</v>
      </c>
      <c r="E34" s="43" t="s">
        <v>1913</v>
      </c>
      <c r="F34">
        <v>1</v>
      </c>
      <c r="H34" s="23"/>
      <c r="I34">
        <v>43775</v>
      </c>
      <c r="J34" s="43" t="s">
        <v>3305</v>
      </c>
      <c r="K34" s="43" t="s">
        <v>1715</v>
      </c>
      <c r="L34" s="43" t="s">
        <v>3204</v>
      </c>
      <c r="M34" s="43" t="s">
        <v>1914</v>
      </c>
      <c r="N34" s="43" t="s">
        <v>1915</v>
      </c>
      <c r="O34" s="43" t="s">
        <v>1916</v>
      </c>
      <c r="P34" s="43" t="s">
        <v>735</v>
      </c>
      <c r="Q34" s="43" t="s">
        <v>1917</v>
      </c>
      <c r="R34">
        <v>4</v>
      </c>
      <c r="S34" s="23">
        <v>44109</v>
      </c>
      <c r="T34" s="43" t="s">
        <v>265</v>
      </c>
      <c r="U34" s="43" t="s">
        <v>286</v>
      </c>
      <c r="V34" s="43" t="s">
        <v>267</v>
      </c>
      <c r="W34" s="43" t="s">
        <v>1718</v>
      </c>
      <c r="X34" s="43" t="s">
        <v>1719</v>
      </c>
      <c r="Y34">
        <v>8772802835</v>
      </c>
      <c r="Z34" s="43" t="s">
        <v>270</v>
      </c>
      <c r="AA34" s="43" t="s">
        <v>271</v>
      </c>
      <c r="AB34">
        <v>0</v>
      </c>
      <c r="AC34">
        <v>0</v>
      </c>
      <c r="AD34">
        <v>0</v>
      </c>
      <c r="AE34" s="43" t="s">
        <v>301</v>
      </c>
      <c r="AF34">
        <v>1</v>
      </c>
      <c r="AG34" s="43" t="s">
        <v>275</v>
      </c>
      <c r="AH34">
        <v>0</v>
      </c>
      <c r="AI34">
        <v>0</v>
      </c>
      <c r="AJ34" s="23">
        <v>43783</v>
      </c>
      <c r="AK34" s="43" t="s">
        <v>3208</v>
      </c>
      <c r="AL34" s="43" t="s">
        <v>3209</v>
      </c>
      <c r="AM34" s="23"/>
      <c r="AN34" s="23"/>
      <c r="AO34" s="23"/>
      <c r="AP34" s="23"/>
      <c r="AQ34" s="23"/>
      <c r="BB34" s="43"/>
      <c r="BC34" s="43" t="s">
        <v>2018</v>
      </c>
      <c r="BD34" s="43" t="s">
        <v>2018</v>
      </c>
      <c r="BE34" s="43" t="s">
        <v>2018</v>
      </c>
      <c r="BF34" s="43" t="s">
        <v>2018</v>
      </c>
      <c r="BG34" s="43" t="s">
        <v>2018</v>
      </c>
      <c r="BH34" t="s">
        <v>2018</v>
      </c>
      <c r="BI34" s="43" t="s">
        <v>2018</v>
      </c>
      <c r="BJ34">
        <v>0</v>
      </c>
      <c r="BK34" s="23">
        <v>44109</v>
      </c>
      <c r="BL34" s="23">
        <v>44356</v>
      </c>
      <c r="BM34">
        <v>8505</v>
      </c>
      <c r="BN34">
        <v>8505</v>
      </c>
      <c r="BO34">
        <v>8505</v>
      </c>
      <c r="BP34">
        <v>25515</v>
      </c>
      <c r="BQ34">
        <v>3300</v>
      </c>
      <c r="BR34">
        <v>400</v>
      </c>
      <c r="BS34">
        <v>400</v>
      </c>
      <c r="BT34">
        <v>4100</v>
      </c>
      <c r="BU34">
        <v>2100</v>
      </c>
      <c r="BV34">
        <v>2100</v>
      </c>
      <c r="BW34">
        <v>2100</v>
      </c>
      <c r="BX34">
        <v>6300</v>
      </c>
      <c r="BY34">
        <v>1200</v>
      </c>
      <c r="BZ34">
        <v>1200</v>
      </c>
      <c r="CA34">
        <v>1200</v>
      </c>
      <c r="CB34">
        <v>3600</v>
      </c>
      <c r="CC34">
        <v>0</v>
      </c>
      <c r="CD34">
        <v>0</v>
      </c>
      <c r="CE34">
        <v>0</v>
      </c>
      <c r="CF34">
        <v>0</v>
      </c>
      <c r="CG34">
        <v>39515</v>
      </c>
      <c r="CH34">
        <v>0</v>
      </c>
      <c r="CI34">
        <v>0</v>
      </c>
      <c r="CJ34">
        <v>0</v>
      </c>
      <c r="CK34">
        <v>0</v>
      </c>
      <c r="CL34">
        <v>2065</v>
      </c>
      <c r="CM34">
        <v>2065</v>
      </c>
      <c r="CN34">
        <v>2065</v>
      </c>
      <c r="CO34">
        <v>6195</v>
      </c>
      <c r="CP34">
        <v>500</v>
      </c>
      <c r="CQ34">
        <v>500</v>
      </c>
      <c r="CR34">
        <v>500</v>
      </c>
      <c r="CS34">
        <v>1500</v>
      </c>
      <c r="CT34">
        <v>1700</v>
      </c>
      <c r="CU34">
        <v>1700</v>
      </c>
      <c r="CV34">
        <v>1700</v>
      </c>
      <c r="CW34">
        <v>5100</v>
      </c>
      <c r="CX34">
        <v>0</v>
      </c>
      <c r="CY34">
        <v>0</v>
      </c>
      <c r="CZ34">
        <v>0</v>
      </c>
      <c r="DA34">
        <v>0</v>
      </c>
      <c r="DB34">
        <v>1000</v>
      </c>
      <c r="DC34">
        <v>1000</v>
      </c>
      <c r="DD34">
        <v>1000</v>
      </c>
      <c r="DE34">
        <v>3000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15795</v>
      </c>
      <c r="EE34">
        <v>0</v>
      </c>
      <c r="EF34">
        <v>0</v>
      </c>
      <c r="EG34">
        <v>0</v>
      </c>
      <c r="EH34">
        <v>0</v>
      </c>
      <c r="EI34">
        <v>1154</v>
      </c>
      <c r="EJ34">
        <v>1154</v>
      </c>
      <c r="EK34">
        <v>1155</v>
      </c>
      <c r="EL34">
        <v>3500</v>
      </c>
      <c r="EM34">
        <v>37.065000000000005</v>
      </c>
      <c r="EN34">
        <v>660</v>
      </c>
      <c r="EO34">
        <v>660</v>
      </c>
      <c r="EP34">
        <v>660</v>
      </c>
      <c r="EQ34">
        <v>2000</v>
      </c>
      <c r="ER34">
        <v>21.18</v>
      </c>
      <c r="ES34">
        <v>0</v>
      </c>
      <c r="ET34">
        <v>0</v>
      </c>
      <c r="EU34">
        <v>0</v>
      </c>
      <c r="EV34">
        <v>0</v>
      </c>
      <c r="EW34">
        <v>0</v>
      </c>
      <c r="FA34">
        <v>0</v>
      </c>
      <c r="FE34">
        <v>0</v>
      </c>
      <c r="FI34">
        <v>0</v>
      </c>
      <c r="FJ34">
        <v>5441.7550000000001</v>
      </c>
      <c r="FK34">
        <v>23720</v>
      </c>
      <c r="FL34">
        <v>19086.7601603943</v>
      </c>
      <c r="FM34">
        <v>18278.244999999999</v>
      </c>
    </row>
    <row r="35" spans="1:169" x14ac:dyDescent="0.35">
      <c r="A35">
        <v>194132</v>
      </c>
      <c r="B35" s="43" t="s">
        <v>1918</v>
      </c>
      <c r="C35" s="43" t="s">
        <v>1193</v>
      </c>
      <c r="D35" s="43" t="s">
        <v>1919</v>
      </c>
      <c r="E35" s="43" t="s">
        <v>1920</v>
      </c>
      <c r="F35">
        <v>1</v>
      </c>
      <c r="H35" s="23"/>
      <c r="I35">
        <v>43804</v>
      </c>
      <c r="J35" s="43" t="s">
        <v>4242</v>
      </c>
      <c r="K35" s="43" t="s">
        <v>1715</v>
      </c>
      <c r="L35" s="43" t="s">
        <v>259</v>
      </c>
      <c r="M35" s="43" t="s">
        <v>1921</v>
      </c>
      <c r="N35" s="43" t="s">
        <v>1922</v>
      </c>
      <c r="O35" s="43" t="s">
        <v>1923</v>
      </c>
      <c r="P35" s="43" t="s">
        <v>342</v>
      </c>
      <c r="Q35" s="43" t="s">
        <v>1924</v>
      </c>
      <c r="R35">
        <v>3.81</v>
      </c>
      <c r="S35" s="23">
        <v>44109</v>
      </c>
      <c r="T35" s="43" t="s">
        <v>311</v>
      </c>
      <c r="U35" s="43" t="s">
        <v>266</v>
      </c>
      <c r="V35" s="43" t="s">
        <v>267</v>
      </c>
      <c r="W35" s="43" t="s">
        <v>1718</v>
      </c>
      <c r="X35" s="43" t="s">
        <v>1719</v>
      </c>
      <c r="Y35">
        <v>8772802835</v>
      </c>
      <c r="Z35" s="43" t="s">
        <v>270</v>
      </c>
      <c r="AA35" s="43" t="s">
        <v>271</v>
      </c>
      <c r="AB35">
        <v>0</v>
      </c>
      <c r="AC35">
        <v>0</v>
      </c>
      <c r="AD35">
        <v>0</v>
      </c>
      <c r="AE35" s="43" t="s">
        <v>445</v>
      </c>
      <c r="AF35">
        <v>4</v>
      </c>
      <c r="AG35" s="43" t="s">
        <v>275</v>
      </c>
      <c r="AJ35" s="23"/>
      <c r="AK35" s="43" t="s">
        <v>259</v>
      </c>
      <c r="AL35" s="43" t="s">
        <v>259</v>
      </c>
      <c r="AM35" s="23"/>
      <c r="AN35" s="23"/>
      <c r="AO35" s="23"/>
      <c r="AP35" s="23"/>
      <c r="AQ35" s="23"/>
      <c r="BB35" s="43"/>
      <c r="BC35" s="43" t="s">
        <v>259</v>
      </c>
      <c r="BD35" s="43" t="s">
        <v>259</v>
      </c>
      <c r="BE35" s="43" t="s">
        <v>259</v>
      </c>
      <c r="BF35" s="43" t="s">
        <v>259</v>
      </c>
      <c r="BG35" s="43" t="s">
        <v>259</v>
      </c>
      <c r="BH35" t="s">
        <v>259</v>
      </c>
      <c r="BI35" s="43" t="s">
        <v>259</v>
      </c>
      <c r="BJ35">
        <v>0</v>
      </c>
      <c r="BK35" s="23">
        <v>44109</v>
      </c>
      <c r="BL35" s="23">
        <v>44356</v>
      </c>
      <c r="BM35">
        <v>8505</v>
      </c>
      <c r="BN35">
        <v>8505</v>
      </c>
      <c r="BO35">
        <v>8505</v>
      </c>
      <c r="BP35">
        <v>25515</v>
      </c>
      <c r="BQ35">
        <v>3300</v>
      </c>
      <c r="BR35">
        <v>400</v>
      </c>
      <c r="BS35">
        <v>400</v>
      </c>
      <c r="BT35">
        <v>4100</v>
      </c>
      <c r="BU35">
        <v>2100</v>
      </c>
      <c r="BV35">
        <v>2100</v>
      </c>
      <c r="BW35">
        <v>2100</v>
      </c>
      <c r="BX35">
        <v>6300</v>
      </c>
      <c r="BY35">
        <v>1200</v>
      </c>
      <c r="BZ35">
        <v>1200</v>
      </c>
      <c r="CA35">
        <v>1200</v>
      </c>
      <c r="CB35">
        <v>3600</v>
      </c>
      <c r="CC35">
        <v>0</v>
      </c>
      <c r="CD35">
        <v>0</v>
      </c>
      <c r="CE35">
        <v>0</v>
      </c>
      <c r="CF35">
        <v>0</v>
      </c>
      <c r="CG35">
        <v>39515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1250</v>
      </c>
      <c r="CU35">
        <v>1250</v>
      </c>
      <c r="CV35">
        <v>1250</v>
      </c>
      <c r="CW35">
        <v>3750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3750</v>
      </c>
      <c r="EE35">
        <v>0</v>
      </c>
      <c r="EF35">
        <v>0</v>
      </c>
      <c r="EG35">
        <v>0</v>
      </c>
      <c r="EH35">
        <v>0</v>
      </c>
      <c r="EI35">
        <v>1154</v>
      </c>
      <c r="EJ35">
        <v>1154</v>
      </c>
      <c r="EK35">
        <v>1155</v>
      </c>
      <c r="EL35">
        <v>3500</v>
      </c>
      <c r="EM35">
        <v>37.065000000000005</v>
      </c>
      <c r="EN35">
        <v>660</v>
      </c>
      <c r="EO35">
        <v>660</v>
      </c>
      <c r="EP35">
        <v>660</v>
      </c>
      <c r="EQ35">
        <v>2000</v>
      </c>
      <c r="ER35">
        <v>21.18</v>
      </c>
      <c r="ES35">
        <v>0</v>
      </c>
      <c r="ET35">
        <v>0</v>
      </c>
      <c r="EU35">
        <v>0</v>
      </c>
      <c r="EV35">
        <v>0</v>
      </c>
      <c r="EW35">
        <v>0</v>
      </c>
      <c r="FA35">
        <v>0</v>
      </c>
      <c r="FE35">
        <v>0</v>
      </c>
      <c r="FI35">
        <v>0</v>
      </c>
      <c r="FJ35">
        <v>5441.7550000000001</v>
      </c>
      <c r="FK35">
        <v>35765</v>
      </c>
      <c r="FL35">
        <v>31664.555574119709</v>
      </c>
      <c r="FM35">
        <v>30323.244999999999</v>
      </c>
    </row>
    <row r="36" spans="1:169" x14ac:dyDescent="0.35">
      <c r="A36">
        <v>195208</v>
      </c>
      <c r="B36" s="43" t="s">
        <v>3631</v>
      </c>
      <c r="C36" s="43" t="s">
        <v>3632</v>
      </c>
      <c r="D36" s="43" t="s">
        <v>3633</v>
      </c>
      <c r="E36" s="43" t="s">
        <v>3634</v>
      </c>
      <c r="F36">
        <v>1</v>
      </c>
      <c r="H36" s="23"/>
      <c r="I36">
        <v>43803</v>
      </c>
      <c r="J36" s="43" t="s">
        <v>3304</v>
      </c>
      <c r="K36" s="43" t="s">
        <v>1715</v>
      </c>
      <c r="L36" s="43" t="s">
        <v>259</v>
      </c>
      <c r="M36" s="43" t="s">
        <v>3635</v>
      </c>
      <c r="N36" s="43" t="s">
        <v>3636</v>
      </c>
      <c r="O36" s="43" t="s">
        <v>3637</v>
      </c>
      <c r="P36" s="43" t="s">
        <v>911</v>
      </c>
      <c r="Q36" s="43" t="s">
        <v>3638</v>
      </c>
      <c r="S36" s="23">
        <v>44109</v>
      </c>
      <c r="T36" s="43" t="s">
        <v>265</v>
      </c>
      <c r="U36" s="43" t="s">
        <v>286</v>
      </c>
      <c r="V36" s="43" t="s">
        <v>267</v>
      </c>
      <c r="W36" s="43" t="s">
        <v>1718</v>
      </c>
      <c r="X36" s="43" t="s">
        <v>1719</v>
      </c>
      <c r="Y36">
        <v>8772802835</v>
      </c>
      <c r="Z36" s="43" t="s">
        <v>270</v>
      </c>
      <c r="AA36" s="43" t="s">
        <v>271</v>
      </c>
      <c r="AB36">
        <v>0</v>
      </c>
      <c r="AC36">
        <v>1090</v>
      </c>
      <c r="AD36">
        <v>101</v>
      </c>
      <c r="AE36" s="43" t="s">
        <v>416</v>
      </c>
      <c r="AF36">
        <v>5</v>
      </c>
      <c r="AG36" s="43" t="s">
        <v>3345</v>
      </c>
      <c r="AJ36" s="23"/>
      <c r="AK36" s="43" t="s">
        <v>259</v>
      </c>
      <c r="AL36" s="43" t="s">
        <v>259</v>
      </c>
      <c r="AM36" s="23"/>
      <c r="AN36" s="23"/>
      <c r="AO36" s="23"/>
      <c r="AP36" s="23"/>
      <c r="AQ36" s="23"/>
      <c r="BB36" s="43"/>
      <c r="BC36" s="43" t="s">
        <v>259</v>
      </c>
      <c r="BD36" s="43" t="s">
        <v>259</v>
      </c>
      <c r="BE36" s="43" t="s">
        <v>259</v>
      </c>
      <c r="BF36" s="43" t="s">
        <v>259</v>
      </c>
      <c r="BG36" s="43" t="s">
        <v>259</v>
      </c>
      <c r="BH36" t="s">
        <v>259</v>
      </c>
      <c r="BI36" s="43" t="s">
        <v>259</v>
      </c>
      <c r="BJ36">
        <v>0</v>
      </c>
      <c r="BK36" s="23">
        <v>44109</v>
      </c>
      <c r="BL36" s="23">
        <v>44356</v>
      </c>
      <c r="BM36">
        <v>8505</v>
      </c>
      <c r="BN36">
        <v>8505</v>
      </c>
      <c r="BO36">
        <v>8505</v>
      </c>
      <c r="BP36">
        <v>25515</v>
      </c>
      <c r="BQ36">
        <v>3300</v>
      </c>
      <c r="BR36">
        <v>400</v>
      </c>
      <c r="BS36">
        <v>400</v>
      </c>
      <c r="BT36">
        <v>4100</v>
      </c>
      <c r="BU36">
        <v>2100</v>
      </c>
      <c r="BV36">
        <v>2100</v>
      </c>
      <c r="BW36">
        <v>2100</v>
      </c>
      <c r="BX36">
        <v>6300</v>
      </c>
      <c r="BY36">
        <v>1200</v>
      </c>
      <c r="BZ36">
        <v>1200</v>
      </c>
      <c r="CA36">
        <v>1200</v>
      </c>
      <c r="CB36">
        <v>3600</v>
      </c>
      <c r="CC36">
        <v>0</v>
      </c>
      <c r="CD36">
        <v>0</v>
      </c>
      <c r="CE36">
        <v>0</v>
      </c>
      <c r="CF36">
        <v>0</v>
      </c>
      <c r="CG36">
        <v>39515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1000</v>
      </c>
      <c r="CU36">
        <v>1000</v>
      </c>
      <c r="CV36">
        <v>1000</v>
      </c>
      <c r="CW36">
        <v>3000</v>
      </c>
      <c r="CX36">
        <v>0</v>
      </c>
      <c r="CY36">
        <v>0</v>
      </c>
      <c r="CZ36">
        <v>0</v>
      </c>
      <c r="DA36">
        <v>0</v>
      </c>
      <c r="DB36">
        <v>1000</v>
      </c>
      <c r="DC36">
        <v>1000</v>
      </c>
      <c r="DD36">
        <v>1000</v>
      </c>
      <c r="DE36">
        <v>3000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6000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M36">
        <v>0</v>
      </c>
      <c r="EN36">
        <v>660</v>
      </c>
      <c r="EO36">
        <v>660</v>
      </c>
      <c r="EP36">
        <v>660</v>
      </c>
      <c r="EQ36">
        <v>2000</v>
      </c>
      <c r="ER36">
        <v>21.18</v>
      </c>
      <c r="ES36">
        <v>0</v>
      </c>
      <c r="ET36">
        <v>0</v>
      </c>
      <c r="EU36">
        <v>0</v>
      </c>
      <c r="EW36">
        <v>0</v>
      </c>
      <c r="FA36">
        <v>0</v>
      </c>
      <c r="FE36">
        <v>0</v>
      </c>
      <c r="FI36">
        <v>0</v>
      </c>
      <c r="FJ36">
        <v>1978.82</v>
      </c>
      <c r="FK36">
        <v>33515</v>
      </c>
      <c r="FL36">
        <v>32931.14322709995</v>
      </c>
      <c r="FM36">
        <v>31536.18</v>
      </c>
    </row>
    <row r="37" spans="1:169" x14ac:dyDescent="0.35">
      <c r="A37">
        <v>195923</v>
      </c>
      <c r="B37" s="43" t="s">
        <v>1925</v>
      </c>
      <c r="C37" s="43" t="s">
        <v>547</v>
      </c>
      <c r="D37" s="43" t="s">
        <v>3973</v>
      </c>
      <c r="E37" s="43" t="s">
        <v>3974</v>
      </c>
      <c r="F37">
        <v>1</v>
      </c>
      <c r="H37" s="23"/>
      <c r="I37">
        <v>43802</v>
      </c>
      <c r="J37" s="43" t="s">
        <v>3305</v>
      </c>
      <c r="K37" s="43" t="s">
        <v>1715</v>
      </c>
      <c r="L37" s="43" t="s">
        <v>3204</v>
      </c>
      <c r="M37" s="43" t="s">
        <v>3975</v>
      </c>
      <c r="N37" s="43" t="s">
        <v>3976</v>
      </c>
      <c r="O37" s="43" t="s">
        <v>3977</v>
      </c>
      <c r="P37" s="43" t="s">
        <v>2279</v>
      </c>
      <c r="Q37" s="43" t="s">
        <v>3978</v>
      </c>
      <c r="S37" s="23">
        <v>44109</v>
      </c>
      <c r="T37" s="43" t="s">
        <v>285</v>
      </c>
      <c r="U37" s="43" t="s">
        <v>266</v>
      </c>
      <c r="V37" s="43" t="s">
        <v>1028</v>
      </c>
      <c r="W37" s="43" t="s">
        <v>1718</v>
      </c>
      <c r="X37" s="43" t="s">
        <v>1719</v>
      </c>
      <c r="Y37">
        <v>8772802835</v>
      </c>
      <c r="Z37" s="43" t="s">
        <v>270</v>
      </c>
      <c r="AA37" s="43" t="s">
        <v>271</v>
      </c>
      <c r="AB37">
        <v>0</v>
      </c>
      <c r="AC37">
        <v>0</v>
      </c>
      <c r="AD37">
        <v>0</v>
      </c>
      <c r="AE37" s="43" t="s">
        <v>445</v>
      </c>
      <c r="AF37">
        <v>4</v>
      </c>
      <c r="AG37" s="43" t="s">
        <v>3345</v>
      </c>
      <c r="AH37">
        <v>5308</v>
      </c>
      <c r="AI37">
        <v>5308</v>
      </c>
      <c r="AJ37" s="23">
        <v>43774</v>
      </c>
      <c r="AK37" s="43" t="s">
        <v>1715</v>
      </c>
      <c r="AL37" s="43" t="s">
        <v>259</v>
      </c>
      <c r="AM37" s="23"/>
      <c r="AN37" s="23"/>
      <c r="AO37" s="23"/>
      <c r="AP37" s="23"/>
      <c r="AQ37" s="23"/>
      <c r="BB37" s="43"/>
      <c r="BC37" s="43" t="s">
        <v>259</v>
      </c>
      <c r="BD37" s="43" t="s">
        <v>259</v>
      </c>
      <c r="BE37" s="43" t="s">
        <v>259</v>
      </c>
      <c r="BF37" s="43" t="s">
        <v>259</v>
      </c>
      <c r="BG37" s="43" t="s">
        <v>259</v>
      </c>
      <c r="BH37" t="s">
        <v>259</v>
      </c>
      <c r="BI37" s="43" t="s">
        <v>259</v>
      </c>
      <c r="BJ37">
        <v>0</v>
      </c>
      <c r="BK37" s="23">
        <v>44109</v>
      </c>
      <c r="BL37" s="23">
        <v>44356</v>
      </c>
      <c r="BM37">
        <v>8505</v>
      </c>
      <c r="BN37">
        <v>8505</v>
      </c>
      <c r="BO37">
        <v>8505</v>
      </c>
      <c r="BP37">
        <v>25515</v>
      </c>
      <c r="BQ37">
        <v>3300</v>
      </c>
      <c r="BR37">
        <v>400</v>
      </c>
      <c r="BS37">
        <v>400</v>
      </c>
      <c r="BT37">
        <v>4100</v>
      </c>
      <c r="BU37">
        <v>2100</v>
      </c>
      <c r="BV37">
        <v>2100</v>
      </c>
      <c r="BW37">
        <v>2100</v>
      </c>
      <c r="BX37">
        <v>6300</v>
      </c>
      <c r="BY37">
        <v>1200</v>
      </c>
      <c r="BZ37">
        <v>1200</v>
      </c>
      <c r="CA37">
        <v>1200</v>
      </c>
      <c r="CB37">
        <v>3600</v>
      </c>
      <c r="CC37">
        <v>0</v>
      </c>
      <c r="CD37">
        <v>0</v>
      </c>
      <c r="CE37">
        <v>0</v>
      </c>
      <c r="CF37">
        <v>0</v>
      </c>
      <c r="CG37">
        <v>39515</v>
      </c>
      <c r="CH37">
        <v>0</v>
      </c>
      <c r="CI37">
        <v>0</v>
      </c>
      <c r="CJ37">
        <v>0</v>
      </c>
      <c r="CK37">
        <v>0</v>
      </c>
      <c r="CL37">
        <v>282</v>
      </c>
      <c r="CM37">
        <v>282</v>
      </c>
      <c r="CN37">
        <v>281</v>
      </c>
      <c r="CO37">
        <v>845</v>
      </c>
      <c r="CP37">
        <v>500</v>
      </c>
      <c r="CQ37">
        <v>500</v>
      </c>
      <c r="CR37">
        <v>500</v>
      </c>
      <c r="CS37">
        <v>1500</v>
      </c>
      <c r="CT37">
        <v>1250</v>
      </c>
      <c r="CU37">
        <v>1250</v>
      </c>
      <c r="CV37">
        <v>1250</v>
      </c>
      <c r="CW37">
        <v>3750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6095</v>
      </c>
      <c r="EE37">
        <v>0</v>
      </c>
      <c r="EF37">
        <v>0</v>
      </c>
      <c r="EG37">
        <v>0</v>
      </c>
      <c r="EH37">
        <v>0</v>
      </c>
      <c r="EI37">
        <v>1154</v>
      </c>
      <c r="EJ37">
        <v>1154</v>
      </c>
      <c r="EK37">
        <v>1155</v>
      </c>
      <c r="EL37">
        <v>3500</v>
      </c>
      <c r="EM37">
        <v>37.065000000000005</v>
      </c>
      <c r="EN37">
        <v>660</v>
      </c>
      <c r="EO37">
        <v>660</v>
      </c>
      <c r="EP37">
        <v>660</v>
      </c>
      <c r="EQ37">
        <v>2000</v>
      </c>
      <c r="ER37">
        <v>21.18</v>
      </c>
      <c r="ES37">
        <v>0</v>
      </c>
      <c r="ET37">
        <v>0</v>
      </c>
      <c r="EU37">
        <v>0</v>
      </c>
      <c r="EV37">
        <v>0</v>
      </c>
      <c r="EW37">
        <v>0</v>
      </c>
      <c r="FA37">
        <v>0</v>
      </c>
      <c r="FE37">
        <v>0</v>
      </c>
      <c r="FI37">
        <v>0</v>
      </c>
      <c r="FJ37">
        <v>5441.7550000000001</v>
      </c>
      <c r="FK37">
        <v>33420</v>
      </c>
      <c r="FL37">
        <v>29215.827450816589</v>
      </c>
      <c r="FM37">
        <v>27978.244999999999</v>
      </c>
    </row>
    <row r="38" spans="1:169" x14ac:dyDescent="0.35">
      <c r="A38">
        <v>194388</v>
      </c>
      <c r="B38" s="43" t="s">
        <v>1925</v>
      </c>
      <c r="C38" s="43" t="s">
        <v>1926</v>
      </c>
      <c r="D38" s="43" t="s">
        <v>1927</v>
      </c>
      <c r="E38" s="43" t="s">
        <v>1928</v>
      </c>
      <c r="F38">
        <v>1</v>
      </c>
      <c r="H38" s="23"/>
      <c r="I38">
        <v>43802</v>
      </c>
      <c r="J38" s="43" t="s">
        <v>3304</v>
      </c>
      <c r="K38" s="43" t="s">
        <v>1715</v>
      </c>
      <c r="L38" s="43" t="s">
        <v>3204</v>
      </c>
      <c r="M38" s="43" t="s">
        <v>1929</v>
      </c>
      <c r="N38" s="43" t="s">
        <v>1930</v>
      </c>
      <c r="O38" s="43" t="s">
        <v>1931</v>
      </c>
      <c r="P38" s="43" t="s">
        <v>735</v>
      </c>
      <c r="Q38" s="43" t="s">
        <v>1932</v>
      </c>
      <c r="R38">
        <v>3.6</v>
      </c>
      <c r="S38" s="23">
        <v>44109</v>
      </c>
      <c r="T38" s="43" t="s">
        <v>311</v>
      </c>
      <c r="U38" s="43" t="s">
        <v>286</v>
      </c>
      <c r="V38" s="43" t="s">
        <v>267</v>
      </c>
      <c r="W38" s="43" t="s">
        <v>1718</v>
      </c>
      <c r="X38" s="43" t="s">
        <v>1719</v>
      </c>
      <c r="Y38">
        <v>8772802835</v>
      </c>
      <c r="Z38" s="43" t="s">
        <v>270</v>
      </c>
      <c r="AA38" s="43" t="s">
        <v>271</v>
      </c>
      <c r="AB38">
        <v>21</v>
      </c>
      <c r="AC38">
        <v>960</v>
      </c>
      <c r="AD38">
        <v>108</v>
      </c>
      <c r="AE38" s="43" t="s">
        <v>289</v>
      </c>
      <c r="AF38">
        <v>2</v>
      </c>
      <c r="AG38" s="43" t="s">
        <v>275</v>
      </c>
      <c r="AH38">
        <v>13027</v>
      </c>
      <c r="AI38">
        <v>13027</v>
      </c>
      <c r="AJ38" s="23">
        <v>43776</v>
      </c>
      <c r="AK38" s="43" t="s">
        <v>3208</v>
      </c>
      <c r="AL38" s="43" t="s">
        <v>3209</v>
      </c>
      <c r="AM38" s="23"/>
      <c r="AN38" s="23"/>
      <c r="AO38" s="23"/>
      <c r="AP38" s="23"/>
      <c r="AQ38" s="23"/>
      <c r="BB38" s="43"/>
      <c r="BC38" s="43" t="s">
        <v>2018</v>
      </c>
      <c r="BD38" s="43" t="s">
        <v>2018</v>
      </c>
      <c r="BE38" s="43" t="s">
        <v>2018</v>
      </c>
      <c r="BF38" s="43" t="s">
        <v>2018</v>
      </c>
      <c r="BG38" s="43" t="s">
        <v>2018</v>
      </c>
      <c r="BH38" t="s">
        <v>2018</v>
      </c>
      <c r="BI38" s="43" t="s">
        <v>2018</v>
      </c>
      <c r="BJ38">
        <v>0</v>
      </c>
      <c r="BK38" s="23">
        <v>44109</v>
      </c>
      <c r="BL38" s="23">
        <v>44356</v>
      </c>
      <c r="BM38">
        <v>8505</v>
      </c>
      <c r="BN38">
        <v>8505</v>
      </c>
      <c r="BO38">
        <v>8505</v>
      </c>
      <c r="BP38">
        <v>25515</v>
      </c>
      <c r="BQ38">
        <v>3300</v>
      </c>
      <c r="BR38">
        <v>400</v>
      </c>
      <c r="BS38">
        <v>400</v>
      </c>
      <c r="BT38">
        <v>4100</v>
      </c>
      <c r="BU38">
        <v>2100</v>
      </c>
      <c r="BV38">
        <v>2100</v>
      </c>
      <c r="BW38">
        <v>2100</v>
      </c>
      <c r="BX38">
        <v>6300</v>
      </c>
      <c r="BY38">
        <v>1200</v>
      </c>
      <c r="BZ38">
        <v>1200</v>
      </c>
      <c r="CA38">
        <v>1200</v>
      </c>
      <c r="CB38">
        <v>3600</v>
      </c>
      <c r="CC38">
        <v>0</v>
      </c>
      <c r="CD38">
        <v>0</v>
      </c>
      <c r="CE38">
        <v>0</v>
      </c>
      <c r="CF38">
        <v>0</v>
      </c>
      <c r="CG38">
        <v>39515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1500</v>
      </c>
      <c r="CU38">
        <v>1500</v>
      </c>
      <c r="CV38">
        <v>1500</v>
      </c>
      <c r="CW38">
        <v>4500</v>
      </c>
      <c r="CX38">
        <v>0</v>
      </c>
      <c r="CY38">
        <v>0</v>
      </c>
      <c r="CZ38">
        <v>0</v>
      </c>
      <c r="DA38">
        <v>0</v>
      </c>
      <c r="DB38">
        <v>1000</v>
      </c>
      <c r="DC38">
        <v>1000</v>
      </c>
      <c r="DD38">
        <v>1000</v>
      </c>
      <c r="DE38">
        <v>3000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7500</v>
      </c>
      <c r="EE38">
        <v>0</v>
      </c>
      <c r="EF38">
        <v>0</v>
      </c>
      <c r="EG38">
        <v>0</v>
      </c>
      <c r="EH38">
        <v>0</v>
      </c>
      <c r="EI38">
        <v>1154</v>
      </c>
      <c r="EJ38">
        <v>1154</v>
      </c>
      <c r="EK38">
        <v>1155</v>
      </c>
      <c r="EL38">
        <v>3500</v>
      </c>
      <c r="EM38">
        <v>37.065000000000005</v>
      </c>
      <c r="EN38">
        <v>660</v>
      </c>
      <c r="EO38">
        <v>660</v>
      </c>
      <c r="EP38">
        <v>660</v>
      </c>
      <c r="EQ38">
        <v>2000</v>
      </c>
      <c r="ER38">
        <v>21.18</v>
      </c>
      <c r="ES38">
        <v>0</v>
      </c>
      <c r="ET38">
        <v>0</v>
      </c>
      <c r="EU38">
        <v>0</v>
      </c>
      <c r="EV38">
        <v>0</v>
      </c>
      <c r="EW38">
        <v>0</v>
      </c>
      <c r="FA38">
        <v>0</v>
      </c>
      <c r="FE38">
        <v>0</v>
      </c>
      <c r="FI38">
        <v>0</v>
      </c>
      <c r="FJ38">
        <v>5441.7550000000001</v>
      </c>
      <c r="FK38">
        <v>32015</v>
      </c>
      <c r="FL38">
        <v>27748.679044317276</v>
      </c>
      <c r="FM38">
        <v>26573.244999999999</v>
      </c>
    </row>
    <row r="39" spans="1:169" x14ac:dyDescent="0.35">
      <c r="A39">
        <v>194962</v>
      </c>
      <c r="B39" s="43" t="s">
        <v>1933</v>
      </c>
      <c r="C39" s="43" t="s">
        <v>1934</v>
      </c>
      <c r="D39" s="43" t="s">
        <v>1935</v>
      </c>
      <c r="E39" s="43" t="s">
        <v>1936</v>
      </c>
      <c r="F39">
        <v>1</v>
      </c>
      <c r="G39">
        <v>43781</v>
      </c>
      <c r="H39" s="23">
        <v>43781</v>
      </c>
      <c r="I39">
        <v>43781</v>
      </c>
      <c r="J39" s="43" t="s">
        <v>3335</v>
      </c>
      <c r="K39" s="43" t="s">
        <v>1715</v>
      </c>
      <c r="L39" s="43" t="s">
        <v>3204</v>
      </c>
      <c r="M39" s="43" t="s">
        <v>1937</v>
      </c>
      <c r="N39" s="43" t="s">
        <v>1938</v>
      </c>
      <c r="O39" s="43" t="s">
        <v>462</v>
      </c>
      <c r="P39" s="43" t="s">
        <v>342</v>
      </c>
      <c r="Q39" s="43" t="s">
        <v>1939</v>
      </c>
      <c r="R39">
        <v>3.3</v>
      </c>
      <c r="S39" s="23">
        <v>44109</v>
      </c>
      <c r="T39" s="43" t="s">
        <v>285</v>
      </c>
      <c r="U39" s="43" t="s">
        <v>286</v>
      </c>
      <c r="V39" s="43" t="s">
        <v>267</v>
      </c>
      <c r="W39" s="43" t="s">
        <v>1718</v>
      </c>
      <c r="X39" s="43" t="s">
        <v>1719</v>
      </c>
      <c r="Y39">
        <v>8772802835</v>
      </c>
      <c r="Z39" s="43" t="s">
        <v>270</v>
      </c>
      <c r="AA39" s="43" t="s">
        <v>271</v>
      </c>
      <c r="AB39">
        <v>0</v>
      </c>
      <c r="AC39">
        <v>950</v>
      </c>
      <c r="AD39">
        <v>101</v>
      </c>
      <c r="AE39" s="43" t="s">
        <v>416</v>
      </c>
      <c r="AF39">
        <v>5</v>
      </c>
      <c r="AG39" s="43" t="s">
        <v>275</v>
      </c>
      <c r="AH39">
        <v>31293</v>
      </c>
      <c r="AI39">
        <v>31293</v>
      </c>
      <c r="AJ39" s="23">
        <v>43774</v>
      </c>
      <c r="AK39" s="43" t="s">
        <v>3208</v>
      </c>
      <c r="AL39" s="43" t="s">
        <v>3209</v>
      </c>
      <c r="AM39" s="23"/>
      <c r="AN39" s="23"/>
      <c r="AO39" s="23"/>
      <c r="AP39" s="23"/>
      <c r="AQ39" s="23"/>
      <c r="BB39" s="43"/>
      <c r="BC39" s="43" t="s">
        <v>2018</v>
      </c>
      <c r="BD39" s="43" t="s">
        <v>2018</v>
      </c>
      <c r="BE39" s="43" t="s">
        <v>2018</v>
      </c>
      <c r="BF39" s="43" t="s">
        <v>2018</v>
      </c>
      <c r="BG39" s="43" t="s">
        <v>2018</v>
      </c>
      <c r="BH39" t="s">
        <v>2018</v>
      </c>
      <c r="BI39" s="43" t="s">
        <v>2018</v>
      </c>
      <c r="BJ39">
        <v>0</v>
      </c>
      <c r="BK39" s="23">
        <v>44109</v>
      </c>
      <c r="BL39" s="23">
        <v>44356</v>
      </c>
      <c r="BM39">
        <v>8505</v>
      </c>
      <c r="BN39">
        <v>8505</v>
      </c>
      <c r="BO39">
        <v>8505</v>
      </c>
      <c r="BP39">
        <v>25515</v>
      </c>
      <c r="BQ39">
        <v>3300</v>
      </c>
      <c r="BR39">
        <v>400</v>
      </c>
      <c r="BS39">
        <v>400</v>
      </c>
      <c r="BT39">
        <v>4100</v>
      </c>
      <c r="BU39">
        <v>2100</v>
      </c>
      <c r="BV39">
        <v>2100</v>
      </c>
      <c r="BW39">
        <v>2100</v>
      </c>
      <c r="BX39">
        <v>6300</v>
      </c>
      <c r="BY39">
        <v>1200</v>
      </c>
      <c r="BZ39">
        <v>1200</v>
      </c>
      <c r="CA39">
        <v>1200</v>
      </c>
      <c r="CB39">
        <v>3600</v>
      </c>
      <c r="CC39">
        <v>0</v>
      </c>
      <c r="CD39">
        <v>0</v>
      </c>
      <c r="CE39">
        <v>0</v>
      </c>
      <c r="CF39">
        <v>0</v>
      </c>
      <c r="CG39">
        <v>39515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1000</v>
      </c>
      <c r="CU39">
        <v>1000</v>
      </c>
      <c r="CV39">
        <v>1000</v>
      </c>
      <c r="CW39">
        <v>3000</v>
      </c>
      <c r="CX39">
        <v>0</v>
      </c>
      <c r="CY39">
        <v>0</v>
      </c>
      <c r="CZ39">
        <v>0</v>
      </c>
      <c r="DA39">
        <v>0</v>
      </c>
      <c r="DB39">
        <v>1000</v>
      </c>
      <c r="DC39">
        <v>1000</v>
      </c>
      <c r="DD39">
        <v>1000</v>
      </c>
      <c r="DE39">
        <v>3000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6000</v>
      </c>
      <c r="EE39">
        <v>0</v>
      </c>
      <c r="EF39">
        <v>0</v>
      </c>
      <c r="EG39">
        <v>0</v>
      </c>
      <c r="EH39">
        <v>0</v>
      </c>
      <c r="EI39">
        <v>1154</v>
      </c>
      <c r="EJ39">
        <v>1154</v>
      </c>
      <c r="EK39">
        <v>1155</v>
      </c>
      <c r="EL39">
        <v>3500</v>
      </c>
      <c r="EM39">
        <v>37.065000000000005</v>
      </c>
      <c r="EN39">
        <v>660</v>
      </c>
      <c r="EO39">
        <v>660</v>
      </c>
      <c r="EP39">
        <v>660</v>
      </c>
      <c r="EQ39">
        <v>2000</v>
      </c>
      <c r="ER39">
        <v>21.18</v>
      </c>
      <c r="ES39">
        <v>0</v>
      </c>
      <c r="ET39">
        <v>0</v>
      </c>
      <c r="EU39">
        <v>0</v>
      </c>
      <c r="EV39">
        <v>0</v>
      </c>
      <c r="EW39">
        <v>0</v>
      </c>
      <c r="FA39">
        <v>0</v>
      </c>
      <c r="FE39">
        <v>0</v>
      </c>
      <c r="FI39">
        <v>0</v>
      </c>
      <c r="FJ39">
        <v>5441.7550000000001</v>
      </c>
      <c r="FK39">
        <v>33515</v>
      </c>
      <c r="FL39">
        <v>29315.02965623825</v>
      </c>
      <c r="FM39">
        <v>28073.244999999999</v>
      </c>
    </row>
    <row r="40" spans="1:169" x14ac:dyDescent="0.35">
      <c r="A40">
        <v>196701</v>
      </c>
      <c r="B40" s="43" t="s">
        <v>1940</v>
      </c>
      <c r="C40" s="43" t="s">
        <v>1941</v>
      </c>
      <c r="D40" s="43" t="s">
        <v>1942</v>
      </c>
      <c r="E40" s="43" t="s">
        <v>1943</v>
      </c>
      <c r="F40">
        <v>1</v>
      </c>
      <c r="H40" s="23"/>
      <c r="I40">
        <v>43804</v>
      </c>
      <c r="J40" s="43" t="s">
        <v>4242</v>
      </c>
      <c r="K40" s="43" t="s">
        <v>1715</v>
      </c>
      <c r="L40" s="43" t="s">
        <v>259</v>
      </c>
      <c r="M40" s="43" t="s">
        <v>1944</v>
      </c>
      <c r="N40" s="43" t="s">
        <v>1945</v>
      </c>
      <c r="O40" s="43" t="s">
        <v>1946</v>
      </c>
      <c r="P40" s="43" t="s">
        <v>454</v>
      </c>
      <c r="Q40" s="43" t="s">
        <v>1947</v>
      </c>
      <c r="R40">
        <v>3.72</v>
      </c>
      <c r="S40" s="23">
        <v>44109</v>
      </c>
      <c r="T40" s="43" t="s">
        <v>311</v>
      </c>
      <c r="U40" s="43" t="s">
        <v>286</v>
      </c>
      <c r="V40" s="43" t="s">
        <v>267</v>
      </c>
      <c r="W40" s="43" t="s">
        <v>1718</v>
      </c>
      <c r="X40" s="43" t="s">
        <v>1719</v>
      </c>
      <c r="Y40">
        <v>8772802835</v>
      </c>
      <c r="Z40" s="43" t="s">
        <v>270</v>
      </c>
      <c r="AA40" s="43" t="s">
        <v>271</v>
      </c>
      <c r="AB40">
        <v>27</v>
      </c>
      <c r="AC40">
        <v>0</v>
      </c>
      <c r="AD40">
        <v>121</v>
      </c>
      <c r="AE40" s="43" t="s">
        <v>289</v>
      </c>
      <c r="AF40">
        <v>2</v>
      </c>
      <c r="AG40" s="43" t="s">
        <v>275</v>
      </c>
      <c r="AJ40" s="23"/>
      <c r="AK40" s="43" t="s">
        <v>259</v>
      </c>
      <c r="AL40" s="43" t="s">
        <v>259</v>
      </c>
      <c r="AM40" s="23"/>
      <c r="AN40" s="23"/>
      <c r="AO40" s="23"/>
      <c r="AP40" s="23"/>
      <c r="AQ40" s="23"/>
      <c r="BB40" s="43"/>
      <c r="BC40" s="43" t="s">
        <v>259</v>
      </c>
      <c r="BD40" s="43" t="s">
        <v>259</v>
      </c>
      <c r="BE40" s="43" t="s">
        <v>259</v>
      </c>
      <c r="BF40" s="43" t="s">
        <v>259</v>
      </c>
      <c r="BG40" s="43" t="s">
        <v>259</v>
      </c>
      <c r="BH40" t="s">
        <v>259</v>
      </c>
      <c r="BI40" s="43" t="s">
        <v>259</v>
      </c>
      <c r="BJ40">
        <v>0</v>
      </c>
      <c r="BK40" s="23">
        <v>44109</v>
      </c>
      <c r="BL40" s="23">
        <v>44356</v>
      </c>
      <c r="BM40">
        <v>8505</v>
      </c>
      <c r="BN40">
        <v>8505</v>
      </c>
      <c r="BO40">
        <v>8505</v>
      </c>
      <c r="BP40">
        <v>25515</v>
      </c>
      <c r="BQ40">
        <v>3300</v>
      </c>
      <c r="BR40">
        <v>400</v>
      </c>
      <c r="BS40">
        <v>400</v>
      </c>
      <c r="BT40">
        <v>4100</v>
      </c>
      <c r="BU40">
        <v>2100</v>
      </c>
      <c r="BV40">
        <v>2100</v>
      </c>
      <c r="BW40">
        <v>2100</v>
      </c>
      <c r="BX40">
        <v>6300</v>
      </c>
      <c r="BY40">
        <v>1200</v>
      </c>
      <c r="BZ40">
        <v>1200</v>
      </c>
      <c r="CA40">
        <v>1200</v>
      </c>
      <c r="CB40">
        <v>3600</v>
      </c>
      <c r="CC40">
        <v>0</v>
      </c>
      <c r="CD40">
        <v>0</v>
      </c>
      <c r="CE40">
        <v>0</v>
      </c>
      <c r="CF40">
        <v>0</v>
      </c>
      <c r="CG40">
        <v>39515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1500</v>
      </c>
      <c r="CU40">
        <v>1500</v>
      </c>
      <c r="CV40">
        <v>1500</v>
      </c>
      <c r="CW40">
        <v>4500</v>
      </c>
      <c r="CX40">
        <v>0</v>
      </c>
      <c r="CY40">
        <v>0</v>
      </c>
      <c r="CZ40">
        <v>0</v>
      </c>
      <c r="DA40">
        <v>0</v>
      </c>
      <c r="DB40">
        <v>1000</v>
      </c>
      <c r="DC40">
        <v>1000</v>
      </c>
      <c r="DD40">
        <v>1000</v>
      </c>
      <c r="DE40">
        <v>3000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7500</v>
      </c>
      <c r="EE40">
        <v>0</v>
      </c>
      <c r="EF40">
        <v>0</v>
      </c>
      <c r="EG40">
        <v>0</v>
      </c>
      <c r="EH40">
        <v>0</v>
      </c>
      <c r="EI40">
        <v>1154</v>
      </c>
      <c r="EJ40">
        <v>1154</v>
      </c>
      <c r="EK40">
        <v>1155</v>
      </c>
      <c r="EL40">
        <v>3500</v>
      </c>
      <c r="EM40">
        <v>37.065000000000005</v>
      </c>
      <c r="EN40">
        <v>660</v>
      </c>
      <c r="EO40">
        <v>660</v>
      </c>
      <c r="EP40">
        <v>660</v>
      </c>
      <c r="EQ40">
        <v>2000</v>
      </c>
      <c r="ER40">
        <v>21.18</v>
      </c>
      <c r="ES40">
        <v>0</v>
      </c>
      <c r="ET40">
        <v>0</v>
      </c>
      <c r="EU40">
        <v>0</v>
      </c>
      <c r="EV40">
        <v>0</v>
      </c>
      <c r="EW40">
        <v>0</v>
      </c>
      <c r="FA40">
        <v>0</v>
      </c>
      <c r="FE40">
        <v>0</v>
      </c>
      <c r="FI40">
        <v>0</v>
      </c>
      <c r="FJ40">
        <v>5441.7550000000001</v>
      </c>
      <c r="FK40">
        <v>32015</v>
      </c>
      <c r="FL40">
        <v>27748.679044317276</v>
      </c>
      <c r="FM40">
        <v>26573.244999999999</v>
      </c>
    </row>
    <row r="41" spans="1:169" x14ac:dyDescent="0.35">
      <c r="A41">
        <v>192743</v>
      </c>
      <c r="B41" s="43" t="s">
        <v>1948</v>
      </c>
      <c r="C41" s="43" t="s">
        <v>277</v>
      </c>
      <c r="D41" s="43" t="s">
        <v>1949</v>
      </c>
      <c r="E41" s="43" t="s">
        <v>1950</v>
      </c>
      <c r="F41">
        <v>1</v>
      </c>
      <c r="H41" s="23"/>
      <c r="I41">
        <v>43775</v>
      </c>
      <c r="J41" s="43" t="s">
        <v>3305</v>
      </c>
      <c r="K41" s="43" t="s">
        <v>1715</v>
      </c>
      <c r="L41" s="43" t="s">
        <v>3204</v>
      </c>
      <c r="M41" s="43" t="s">
        <v>1951</v>
      </c>
      <c r="N41" s="43" t="s">
        <v>1952</v>
      </c>
      <c r="O41" s="43" t="s">
        <v>546</v>
      </c>
      <c r="P41" s="43" t="s">
        <v>608</v>
      </c>
      <c r="Q41" s="43" t="s">
        <v>1953</v>
      </c>
      <c r="R41">
        <v>3.98</v>
      </c>
      <c r="S41" s="23">
        <v>44109</v>
      </c>
      <c r="T41" s="43" t="s">
        <v>285</v>
      </c>
      <c r="U41" s="43" t="s">
        <v>286</v>
      </c>
      <c r="V41" s="43" t="s">
        <v>267</v>
      </c>
      <c r="W41" s="43" t="s">
        <v>1718</v>
      </c>
      <c r="X41" s="43" t="s">
        <v>1719</v>
      </c>
      <c r="Y41">
        <v>8772802835</v>
      </c>
      <c r="Z41" s="43" t="s">
        <v>270</v>
      </c>
      <c r="AA41" s="43" t="s">
        <v>271</v>
      </c>
      <c r="AB41">
        <v>31</v>
      </c>
      <c r="AC41">
        <v>0</v>
      </c>
      <c r="AD41">
        <v>133</v>
      </c>
      <c r="AE41" s="43" t="s">
        <v>301</v>
      </c>
      <c r="AF41">
        <v>1</v>
      </c>
      <c r="AG41" s="43" t="s">
        <v>275</v>
      </c>
      <c r="AH41">
        <v>0</v>
      </c>
      <c r="AI41">
        <v>0</v>
      </c>
      <c r="AJ41" s="23">
        <v>43774</v>
      </c>
      <c r="AK41" s="43" t="s">
        <v>3208</v>
      </c>
      <c r="AL41" s="43" t="s">
        <v>3209</v>
      </c>
      <c r="AM41" s="23"/>
      <c r="AN41" s="23"/>
      <c r="AO41" s="23"/>
      <c r="AP41" s="23"/>
      <c r="AQ41" s="23"/>
      <c r="BB41" s="43"/>
      <c r="BC41" s="43" t="s">
        <v>2018</v>
      </c>
      <c r="BD41" s="43" t="s">
        <v>2018</v>
      </c>
      <c r="BE41" s="43" t="s">
        <v>2018</v>
      </c>
      <c r="BF41" s="43" t="s">
        <v>2018</v>
      </c>
      <c r="BG41" s="43" t="s">
        <v>2018</v>
      </c>
      <c r="BH41" t="s">
        <v>2018</v>
      </c>
      <c r="BI41" s="43" t="s">
        <v>2018</v>
      </c>
      <c r="BJ41">
        <v>0</v>
      </c>
      <c r="BK41" s="23">
        <v>44109</v>
      </c>
      <c r="BL41" s="23">
        <v>44356</v>
      </c>
      <c r="BM41">
        <v>8505</v>
      </c>
      <c r="BN41">
        <v>8505</v>
      </c>
      <c r="BO41">
        <v>8505</v>
      </c>
      <c r="BP41">
        <v>25515</v>
      </c>
      <c r="BQ41">
        <v>3300</v>
      </c>
      <c r="BR41">
        <v>400</v>
      </c>
      <c r="BS41">
        <v>400</v>
      </c>
      <c r="BT41">
        <v>4100</v>
      </c>
      <c r="BU41">
        <v>2100</v>
      </c>
      <c r="BV41">
        <v>2100</v>
      </c>
      <c r="BW41">
        <v>2100</v>
      </c>
      <c r="BX41">
        <v>6300</v>
      </c>
      <c r="BY41">
        <v>1200</v>
      </c>
      <c r="BZ41">
        <v>1200</v>
      </c>
      <c r="CA41">
        <v>1200</v>
      </c>
      <c r="CB41">
        <v>3600</v>
      </c>
      <c r="CC41">
        <v>0</v>
      </c>
      <c r="CD41">
        <v>0</v>
      </c>
      <c r="CE41">
        <v>0</v>
      </c>
      <c r="CF41">
        <v>0</v>
      </c>
      <c r="CG41">
        <v>39515</v>
      </c>
      <c r="CH41">
        <v>0</v>
      </c>
      <c r="CI41">
        <v>0</v>
      </c>
      <c r="CJ41">
        <v>0</v>
      </c>
      <c r="CK41">
        <v>0</v>
      </c>
      <c r="CL41">
        <v>2065</v>
      </c>
      <c r="CM41">
        <v>2065</v>
      </c>
      <c r="CN41">
        <v>2065</v>
      </c>
      <c r="CO41">
        <v>6195</v>
      </c>
      <c r="CP41">
        <v>500</v>
      </c>
      <c r="CQ41">
        <v>500</v>
      </c>
      <c r="CR41">
        <v>500</v>
      </c>
      <c r="CS41">
        <v>1500</v>
      </c>
      <c r="CT41">
        <v>1700</v>
      </c>
      <c r="CU41">
        <v>1700</v>
      </c>
      <c r="CV41">
        <v>1700</v>
      </c>
      <c r="CW41">
        <v>5100</v>
      </c>
      <c r="CX41">
        <v>0</v>
      </c>
      <c r="CY41">
        <v>0</v>
      </c>
      <c r="CZ41">
        <v>0</v>
      </c>
      <c r="DA41">
        <v>0</v>
      </c>
      <c r="DB41">
        <v>1000</v>
      </c>
      <c r="DC41">
        <v>1000</v>
      </c>
      <c r="DD41">
        <v>1000</v>
      </c>
      <c r="DE41">
        <v>3000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15795</v>
      </c>
      <c r="EE41">
        <v>0</v>
      </c>
      <c r="EF41">
        <v>0</v>
      </c>
      <c r="EG41">
        <v>0</v>
      </c>
      <c r="EH41">
        <v>0</v>
      </c>
      <c r="EI41">
        <v>1154</v>
      </c>
      <c r="EJ41">
        <v>1154</v>
      </c>
      <c r="EK41">
        <v>1155</v>
      </c>
      <c r="EL41">
        <v>3500</v>
      </c>
      <c r="EM41">
        <v>37.065000000000005</v>
      </c>
      <c r="EN41">
        <v>660</v>
      </c>
      <c r="EO41">
        <v>660</v>
      </c>
      <c r="EP41">
        <v>660</v>
      </c>
      <c r="EQ41">
        <v>2000</v>
      </c>
      <c r="ER41">
        <v>21.18</v>
      </c>
      <c r="ES41">
        <v>0</v>
      </c>
      <c r="ET41">
        <v>0</v>
      </c>
      <c r="EU41">
        <v>0</v>
      </c>
      <c r="EV41">
        <v>0</v>
      </c>
      <c r="EW41">
        <v>0</v>
      </c>
      <c r="FA41">
        <v>0</v>
      </c>
      <c r="FE41">
        <v>0</v>
      </c>
      <c r="FI41">
        <v>0</v>
      </c>
      <c r="FJ41">
        <v>5441.7550000000001</v>
      </c>
      <c r="FK41">
        <v>23720</v>
      </c>
      <c r="FL41">
        <v>19086.7601603943</v>
      </c>
      <c r="FM41">
        <v>18278.244999999999</v>
      </c>
    </row>
    <row r="42" spans="1:169" x14ac:dyDescent="0.35">
      <c r="A42">
        <v>198101</v>
      </c>
      <c r="B42" s="43" t="s">
        <v>1954</v>
      </c>
      <c r="C42" s="43" t="s">
        <v>1955</v>
      </c>
      <c r="D42" s="43" t="s">
        <v>1956</v>
      </c>
      <c r="E42" s="43" t="s">
        <v>1957</v>
      </c>
      <c r="F42">
        <v>1</v>
      </c>
      <c r="H42" s="23"/>
      <c r="I42">
        <v>43804</v>
      </c>
      <c r="J42" s="43" t="s">
        <v>4242</v>
      </c>
      <c r="K42" s="43" t="s">
        <v>1715</v>
      </c>
      <c r="L42" s="43" t="s">
        <v>259</v>
      </c>
      <c r="M42" s="43" t="s">
        <v>1958</v>
      </c>
      <c r="N42" s="43" t="s">
        <v>1959</v>
      </c>
      <c r="O42" s="43" t="s">
        <v>1960</v>
      </c>
      <c r="P42" s="43" t="s">
        <v>542</v>
      </c>
      <c r="Q42" s="43" t="s">
        <v>1961</v>
      </c>
      <c r="S42" s="23">
        <v>44109</v>
      </c>
      <c r="T42" s="43" t="s">
        <v>544</v>
      </c>
      <c r="U42" s="43" t="s">
        <v>266</v>
      </c>
      <c r="V42" s="43" t="s">
        <v>1110</v>
      </c>
      <c r="W42" s="43" t="s">
        <v>1718</v>
      </c>
      <c r="X42" s="43" t="s">
        <v>1719</v>
      </c>
      <c r="Y42">
        <v>8772802835</v>
      </c>
      <c r="Z42" s="43" t="s">
        <v>270</v>
      </c>
      <c r="AA42" s="43" t="s">
        <v>271</v>
      </c>
      <c r="AB42">
        <v>23</v>
      </c>
      <c r="AC42">
        <v>0</v>
      </c>
      <c r="AD42">
        <v>102</v>
      </c>
      <c r="AE42" s="43" t="s">
        <v>354</v>
      </c>
      <c r="AF42">
        <v>6</v>
      </c>
      <c r="AG42" s="43" t="s">
        <v>446</v>
      </c>
      <c r="AJ42" s="23"/>
      <c r="AK42" s="43" t="s">
        <v>259</v>
      </c>
      <c r="AL42" s="43" t="s">
        <v>259</v>
      </c>
      <c r="AM42" s="23"/>
      <c r="AN42" s="23"/>
      <c r="AO42" s="23"/>
      <c r="AP42" s="23"/>
      <c r="AQ42" s="23"/>
      <c r="BB42" s="43"/>
      <c r="BC42" s="43" t="s">
        <v>259</v>
      </c>
      <c r="BD42" s="43" t="s">
        <v>259</v>
      </c>
      <c r="BE42" s="43" t="s">
        <v>259</v>
      </c>
      <c r="BF42" s="43" t="s">
        <v>259</v>
      </c>
      <c r="BG42" s="43" t="s">
        <v>259</v>
      </c>
      <c r="BH42" t="s">
        <v>259</v>
      </c>
      <c r="BI42" s="43" t="s">
        <v>259</v>
      </c>
      <c r="BJ42">
        <v>0</v>
      </c>
      <c r="BK42" s="23">
        <v>44109</v>
      </c>
      <c r="BL42" s="23">
        <v>44356</v>
      </c>
      <c r="BM42">
        <v>8505</v>
      </c>
      <c r="BN42">
        <v>8505</v>
      </c>
      <c r="BO42">
        <v>8505</v>
      </c>
      <c r="BP42">
        <v>25515</v>
      </c>
      <c r="BQ42">
        <v>3300</v>
      </c>
      <c r="BR42">
        <v>400</v>
      </c>
      <c r="BS42">
        <v>400</v>
      </c>
      <c r="BT42">
        <v>4100</v>
      </c>
      <c r="BU42">
        <v>2100</v>
      </c>
      <c r="BV42">
        <v>2100</v>
      </c>
      <c r="BW42">
        <v>2100</v>
      </c>
      <c r="BX42">
        <v>6300</v>
      </c>
      <c r="BY42">
        <v>1200</v>
      </c>
      <c r="BZ42">
        <v>1200</v>
      </c>
      <c r="CA42">
        <v>1200</v>
      </c>
      <c r="CB42">
        <v>3600</v>
      </c>
      <c r="CC42">
        <v>0</v>
      </c>
      <c r="CD42">
        <v>0</v>
      </c>
      <c r="CE42">
        <v>0</v>
      </c>
      <c r="CF42">
        <v>0</v>
      </c>
      <c r="CG42">
        <v>39515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750</v>
      </c>
      <c r="CU42">
        <v>750</v>
      </c>
      <c r="CV42">
        <v>750</v>
      </c>
      <c r="CW42">
        <v>2250</v>
      </c>
      <c r="CX42">
        <v>3000</v>
      </c>
      <c r="CY42">
        <v>3000</v>
      </c>
      <c r="CZ42">
        <v>3000</v>
      </c>
      <c r="DA42">
        <v>9000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11250</v>
      </c>
      <c r="EE42">
        <v>0</v>
      </c>
      <c r="EF42">
        <v>0</v>
      </c>
      <c r="EG42">
        <v>0</v>
      </c>
      <c r="EH42">
        <v>0</v>
      </c>
      <c r="EI42">
        <v>1154</v>
      </c>
      <c r="EJ42">
        <v>1154</v>
      </c>
      <c r="EK42">
        <v>1155</v>
      </c>
      <c r="EL42">
        <v>3500</v>
      </c>
      <c r="EM42">
        <v>37.065000000000005</v>
      </c>
      <c r="EN42">
        <v>660</v>
      </c>
      <c r="EO42">
        <v>660</v>
      </c>
      <c r="EP42">
        <v>660</v>
      </c>
      <c r="EQ42">
        <v>2000</v>
      </c>
      <c r="ER42">
        <v>21.18</v>
      </c>
      <c r="ES42">
        <v>0</v>
      </c>
      <c r="ET42">
        <v>0</v>
      </c>
      <c r="EU42">
        <v>0</v>
      </c>
      <c r="EV42">
        <v>0</v>
      </c>
      <c r="EW42">
        <v>0</v>
      </c>
      <c r="FA42">
        <v>0</v>
      </c>
      <c r="FE42">
        <v>0</v>
      </c>
      <c r="FI42">
        <v>0</v>
      </c>
      <c r="FJ42">
        <v>5441.7550000000001</v>
      </c>
      <c r="FK42">
        <v>28265</v>
      </c>
      <c r="FL42">
        <v>23832.802514514846</v>
      </c>
      <c r="FM42">
        <v>22823.244999999999</v>
      </c>
    </row>
    <row r="43" spans="1:169" x14ac:dyDescent="0.35">
      <c r="A43">
        <v>198122</v>
      </c>
      <c r="B43" s="43" t="s">
        <v>1962</v>
      </c>
      <c r="C43" s="43" t="s">
        <v>1963</v>
      </c>
      <c r="D43" s="43" t="s">
        <v>1964</v>
      </c>
      <c r="E43" s="43" t="s">
        <v>1965</v>
      </c>
      <c r="F43">
        <v>1</v>
      </c>
      <c r="H43" s="23"/>
      <c r="I43">
        <v>43804</v>
      </c>
      <c r="J43" s="43" t="s">
        <v>4242</v>
      </c>
      <c r="K43" s="43" t="s">
        <v>1715</v>
      </c>
      <c r="L43" s="43" t="s">
        <v>259</v>
      </c>
      <c r="M43" s="43" t="s">
        <v>1966</v>
      </c>
      <c r="N43" s="43" t="s">
        <v>1967</v>
      </c>
      <c r="O43" s="43" t="s">
        <v>976</v>
      </c>
      <c r="P43" s="43" t="s">
        <v>553</v>
      </c>
      <c r="Q43" s="43" t="s">
        <v>1968</v>
      </c>
      <c r="R43">
        <v>3.5</v>
      </c>
      <c r="S43" s="23">
        <v>44109</v>
      </c>
      <c r="T43" s="43" t="s">
        <v>285</v>
      </c>
      <c r="U43" s="43" t="s">
        <v>266</v>
      </c>
      <c r="V43" s="43" t="s">
        <v>267</v>
      </c>
      <c r="W43" s="43" t="s">
        <v>1718</v>
      </c>
      <c r="X43" s="43" t="s">
        <v>1719</v>
      </c>
      <c r="Y43">
        <v>8772802835</v>
      </c>
      <c r="Z43" s="43" t="s">
        <v>270</v>
      </c>
      <c r="AA43" s="43" t="s">
        <v>271</v>
      </c>
      <c r="AB43">
        <v>0</v>
      </c>
      <c r="AC43">
        <v>1080</v>
      </c>
      <c r="AD43">
        <v>109</v>
      </c>
      <c r="AE43" s="43" t="s">
        <v>416</v>
      </c>
      <c r="AF43">
        <v>5</v>
      </c>
      <c r="AG43" s="43" t="s">
        <v>275</v>
      </c>
      <c r="AJ43" s="23"/>
      <c r="AK43" s="43" t="s">
        <v>259</v>
      </c>
      <c r="AL43" s="43" t="s">
        <v>259</v>
      </c>
      <c r="AM43" s="23"/>
      <c r="AN43" s="23"/>
      <c r="AO43" s="23"/>
      <c r="AP43" s="23"/>
      <c r="AQ43" s="23"/>
      <c r="BB43" s="43"/>
      <c r="BC43" s="43" t="s">
        <v>259</v>
      </c>
      <c r="BD43" s="43" t="s">
        <v>259</v>
      </c>
      <c r="BE43" s="43" t="s">
        <v>259</v>
      </c>
      <c r="BF43" s="43" t="s">
        <v>259</v>
      </c>
      <c r="BG43" s="43" t="s">
        <v>259</v>
      </c>
      <c r="BH43" t="s">
        <v>259</v>
      </c>
      <c r="BI43" s="43" t="s">
        <v>259</v>
      </c>
      <c r="BJ43">
        <v>0</v>
      </c>
      <c r="BK43" s="23">
        <v>44109</v>
      </c>
      <c r="BL43" s="23">
        <v>44356</v>
      </c>
      <c r="BM43">
        <v>8505</v>
      </c>
      <c r="BN43">
        <v>8505</v>
      </c>
      <c r="BO43">
        <v>8505</v>
      </c>
      <c r="BP43">
        <v>25515</v>
      </c>
      <c r="BQ43">
        <v>3300</v>
      </c>
      <c r="BR43">
        <v>400</v>
      </c>
      <c r="BS43">
        <v>400</v>
      </c>
      <c r="BT43">
        <v>4100</v>
      </c>
      <c r="BU43">
        <v>2100</v>
      </c>
      <c r="BV43">
        <v>2100</v>
      </c>
      <c r="BW43">
        <v>2100</v>
      </c>
      <c r="BX43">
        <v>6300</v>
      </c>
      <c r="BY43">
        <v>1200</v>
      </c>
      <c r="BZ43">
        <v>1200</v>
      </c>
      <c r="CA43">
        <v>1200</v>
      </c>
      <c r="CB43">
        <v>3600</v>
      </c>
      <c r="CC43">
        <v>0</v>
      </c>
      <c r="CD43">
        <v>0</v>
      </c>
      <c r="CE43">
        <v>0</v>
      </c>
      <c r="CF43">
        <v>0</v>
      </c>
      <c r="CG43">
        <v>39515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1000</v>
      </c>
      <c r="CU43">
        <v>1000</v>
      </c>
      <c r="CV43">
        <v>1000</v>
      </c>
      <c r="CW43">
        <v>3000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3000</v>
      </c>
      <c r="EE43">
        <v>0</v>
      </c>
      <c r="EF43">
        <v>0</v>
      </c>
      <c r="EG43">
        <v>0</v>
      </c>
      <c r="EH43">
        <v>0</v>
      </c>
      <c r="EI43">
        <v>1154</v>
      </c>
      <c r="EJ43">
        <v>1154</v>
      </c>
      <c r="EK43">
        <v>1155</v>
      </c>
      <c r="EL43">
        <v>3500</v>
      </c>
      <c r="EM43">
        <v>37.065000000000005</v>
      </c>
      <c r="EN43">
        <v>660</v>
      </c>
      <c r="EO43">
        <v>660</v>
      </c>
      <c r="EP43">
        <v>660</v>
      </c>
      <c r="EQ43">
        <v>2000</v>
      </c>
      <c r="ER43">
        <v>21.18</v>
      </c>
      <c r="ES43">
        <v>0</v>
      </c>
      <c r="ET43">
        <v>0</v>
      </c>
      <c r="EU43">
        <v>0</v>
      </c>
      <c r="EV43">
        <v>0</v>
      </c>
      <c r="EW43">
        <v>0</v>
      </c>
      <c r="FA43">
        <v>0</v>
      </c>
      <c r="FE43">
        <v>0</v>
      </c>
      <c r="FI43">
        <v>0</v>
      </c>
      <c r="FJ43">
        <v>5441.7550000000001</v>
      </c>
      <c r="FK43">
        <v>36515</v>
      </c>
      <c r="FL43">
        <v>32447.730880080198</v>
      </c>
      <c r="FM43">
        <v>31073.245000000003</v>
      </c>
    </row>
    <row r="44" spans="1:169" x14ac:dyDescent="0.35">
      <c r="A44">
        <v>196025</v>
      </c>
      <c r="B44" s="43" t="s">
        <v>2593</v>
      </c>
      <c r="C44" s="43" t="s">
        <v>2563</v>
      </c>
      <c r="D44" s="43" t="s">
        <v>1927</v>
      </c>
      <c r="E44" s="43" t="s">
        <v>2594</v>
      </c>
      <c r="F44">
        <v>1</v>
      </c>
      <c r="H44" s="23"/>
      <c r="I44">
        <v>43775</v>
      </c>
      <c r="J44" s="43" t="s">
        <v>3305</v>
      </c>
      <c r="K44" s="43" t="s">
        <v>1715</v>
      </c>
      <c r="L44" s="43" t="s">
        <v>259</v>
      </c>
      <c r="M44" s="43" t="s">
        <v>2595</v>
      </c>
      <c r="N44" s="43" t="s">
        <v>2596</v>
      </c>
      <c r="O44" s="43" t="s">
        <v>2597</v>
      </c>
      <c r="P44" s="43" t="s">
        <v>542</v>
      </c>
      <c r="Q44" s="43" t="s">
        <v>2598</v>
      </c>
      <c r="S44" s="23">
        <v>44109</v>
      </c>
      <c r="T44" s="43" t="s">
        <v>544</v>
      </c>
      <c r="U44" s="43" t="s">
        <v>266</v>
      </c>
      <c r="V44" s="43" t="s">
        <v>1549</v>
      </c>
      <c r="W44" s="43" t="s">
        <v>1718</v>
      </c>
      <c r="X44" s="43" t="s">
        <v>1719</v>
      </c>
      <c r="Y44">
        <v>8772802835</v>
      </c>
      <c r="Z44" s="43" t="s">
        <v>270</v>
      </c>
      <c r="AA44" s="43" t="s">
        <v>271</v>
      </c>
      <c r="AB44">
        <v>19</v>
      </c>
      <c r="AC44">
        <v>0</v>
      </c>
      <c r="AD44">
        <v>0</v>
      </c>
      <c r="AE44" s="43" t="s">
        <v>354</v>
      </c>
      <c r="AF44">
        <v>6</v>
      </c>
      <c r="AG44" s="43" t="s">
        <v>275</v>
      </c>
      <c r="AJ44" s="23"/>
      <c r="AK44" s="43" t="s">
        <v>259</v>
      </c>
      <c r="AL44" s="43" t="s">
        <v>259</v>
      </c>
      <c r="AM44" s="23"/>
      <c r="AN44" s="23"/>
      <c r="AO44" s="23"/>
      <c r="AP44" s="23"/>
      <c r="AQ44" s="23"/>
      <c r="BB44" s="43"/>
      <c r="BC44" s="43" t="s">
        <v>259</v>
      </c>
      <c r="BD44" s="43" t="s">
        <v>259</v>
      </c>
      <c r="BE44" s="43" t="s">
        <v>259</v>
      </c>
      <c r="BF44" s="43" t="s">
        <v>259</v>
      </c>
      <c r="BG44" s="43" t="s">
        <v>259</v>
      </c>
      <c r="BH44" t="s">
        <v>259</v>
      </c>
      <c r="BI44" s="43" t="s">
        <v>259</v>
      </c>
      <c r="BJ44">
        <v>0</v>
      </c>
      <c r="BK44" s="23">
        <v>44109</v>
      </c>
      <c r="BL44" s="23">
        <v>44356</v>
      </c>
      <c r="BM44">
        <v>8505</v>
      </c>
      <c r="BN44">
        <v>8505</v>
      </c>
      <c r="BO44">
        <v>8505</v>
      </c>
      <c r="BP44">
        <v>25515</v>
      </c>
      <c r="BQ44">
        <v>3300</v>
      </c>
      <c r="BR44">
        <v>400</v>
      </c>
      <c r="BS44">
        <v>400</v>
      </c>
      <c r="BT44">
        <v>4100</v>
      </c>
      <c r="BU44">
        <v>2100</v>
      </c>
      <c r="BV44">
        <v>2100</v>
      </c>
      <c r="BW44">
        <v>2100</v>
      </c>
      <c r="BX44">
        <v>6300</v>
      </c>
      <c r="BY44">
        <v>1200</v>
      </c>
      <c r="BZ44">
        <v>1200</v>
      </c>
      <c r="CA44">
        <v>1200</v>
      </c>
      <c r="CB44">
        <v>3600</v>
      </c>
      <c r="CC44">
        <v>0</v>
      </c>
      <c r="CD44">
        <v>0</v>
      </c>
      <c r="CE44">
        <v>0</v>
      </c>
      <c r="CF44">
        <v>0</v>
      </c>
      <c r="CG44">
        <v>39515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750</v>
      </c>
      <c r="CU44">
        <v>750</v>
      </c>
      <c r="CV44">
        <v>750</v>
      </c>
      <c r="CW44">
        <v>2250</v>
      </c>
      <c r="CX44">
        <v>3000</v>
      </c>
      <c r="CY44">
        <v>3000</v>
      </c>
      <c r="CZ44">
        <v>3000</v>
      </c>
      <c r="DA44">
        <v>9000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11250</v>
      </c>
      <c r="EE44">
        <v>0</v>
      </c>
      <c r="EF44">
        <v>0</v>
      </c>
      <c r="EG44">
        <v>0</v>
      </c>
      <c r="EH44">
        <v>0</v>
      </c>
      <c r="EI44">
        <v>1154</v>
      </c>
      <c r="EJ44">
        <v>1154</v>
      </c>
      <c r="EK44">
        <v>1155</v>
      </c>
      <c r="EL44">
        <v>3500</v>
      </c>
      <c r="EM44">
        <v>37.065000000000005</v>
      </c>
      <c r="EN44">
        <v>660</v>
      </c>
      <c r="EO44">
        <v>660</v>
      </c>
      <c r="EP44">
        <v>660</v>
      </c>
      <c r="EQ44">
        <v>2000</v>
      </c>
      <c r="ER44">
        <v>21.18</v>
      </c>
      <c r="ES44">
        <v>0</v>
      </c>
      <c r="ET44">
        <v>0</v>
      </c>
      <c r="EU44">
        <v>0</v>
      </c>
      <c r="EV44">
        <v>0</v>
      </c>
      <c r="EW44">
        <v>0</v>
      </c>
      <c r="FA44">
        <v>0</v>
      </c>
      <c r="FE44">
        <v>0</v>
      </c>
      <c r="FI44">
        <v>0</v>
      </c>
      <c r="FJ44">
        <v>5441.7550000000001</v>
      </c>
      <c r="FK44">
        <v>28265</v>
      </c>
      <c r="FL44">
        <v>23832.802514514846</v>
      </c>
      <c r="FM44">
        <v>22823.244999999999</v>
      </c>
    </row>
    <row r="45" spans="1:169" x14ac:dyDescent="0.35">
      <c r="A45">
        <v>198078</v>
      </c>
      <c r="B45" s="43" t="s">
        <v>1969</v>
      </c>
      <c r="C45" s="43" t="s">
        <v>1970</v>
      </c>
      <c r="D45" s="43" t="s">
        <v>1971</v>
      </c>
      <c r="E45" s="43" t="s">
        <v>1972</v>
      </c>
      <c r="F45">
        <v>1</v>
      </c>
      <c r="H45" s="23"/>
      <c r="I45">
        <v>43804</v>
      </c>
      <c r="J45" s="43" t="s">
        <v>4242</v>
      </c>
      <c r="K45" s="43" t="s">
        <v>1715</v>
      </c>
      <c r="L45" s="43" t="s">
        <v>259</v>
      </c>
      <c r="M45" s="43" t="s">
        <v>1973</v>
      </c>
      <c r="N45" s="43" t="s">
        <v>1974</v>
      </c>
      <c r="O45" s="43" t="s">
        <v>1975</v>
      </c>
      <c r="P45" s="43" t="s">
        <v>759</v>
      </c>
      <c r="Q45" s="43" t="s">
        <v>1976</v>
      </c>
      <c r="R45">
        <v>3.4</v>
      </c>
      <c r="S45" s="23">
        <v>44109</v>
      </c>
      <c r="T45" s="43" t="s">
        <v>285</v>
      </c>
      <c r="U45" s="43" t="s">
        <v>266</v>
      </c>
      <c r="V45" s="43" t="s">
        <v>267</v>
      </c>
      <c r="W45" s="43" t="s">
        <v>1718</v>
      </c>
      <c r="X45" s="43" t="s">
        <v>1719</v>
      </c>
      <c r="Y45">
        <v>8772802835</v>
      </c>
      <c r="Z45" s="43" t="s">
        <v>270</v>
      </c>
      <c r="AA45" s="43" t="s">
        <v>271</v>
      </c>
      <c r="AB45">
        <v>0</v>
      </c>
      <c r="AC45">
        <v>0</v>
      </c>
      <c r="AD45">
        <v>0</v>
      </c>
      <c r="AE45" s="43" t="s">
        <v>376</v>
      </c>
      <c r="AF45">
        <v>7</v>
      </c>
      <c r="AG45" s="43" t="s">
        <v>275</v>
      </c>
      <c r="AJ45" s="23"/>
      <c r="AK45" s="43" t="s">
        <v>259</v>
      </c>
      <c r="AL45" s="43" t="s">
        <v>259</v>
      </c>
      <c r="AM45" s="23"/>
      <c r="AN45" s="23"/>
      <c r="AO45" s="23"/>
      <c r="AP45" s="23"/>
      <c r="AQ45" s="23"/>
      <c r="BB45" s="43"/>
      <c r="BC45" s="43" t="s">
        <v>259</v>
      </c>
      <c r="BD45" s="43" t="s">
        <v>259</v>
      </c>
      <c r="BE45" s="43" t="s">
        <v>259</v>
      </c>
      <c r="BF45" s="43" t="s">
        <v>259</v>
      </c>
      <c r="BG45" s="43" t="s">
        <v>259</v>
      </c>
      <c r="BH45" t="s">
        <v>259</v>
      </c>
      <c r="BI45" s="43" t="s">
        <v>259</v>
      </c>
      <c r="BJ45">
        <v>0</v>
      </c>
      <c r="BK45" s="23">
        <v>44109</v>
      </c>
      <c r="BL45" s="23">
        <v>44356</v>
      </c>
      <c r="BM45">
        <v>8505</v>
      </c>
      <c r="BN45">
        <v>8505</v>
      </c>
      <c r="BO45">
        <v>8505</v>
      </c>
      <c r="BP45">
        <v>25515</v>
      </c>
      <c r="BQ45">
        <v>3300</v>
      </c>
      <c r="BR45">
        <v>400</v>
      </c>
      <c r="BS45">
        <v>400</v>
      </c>
      <c r="BT45">
        <v>4100</v>
      </c>
      <c r="BU45">
        <v>2100</v>
      </c>
      <c r="BV45">
        <v>2100</v>
      </c>
      <c r="BW45">
        <v>2100</v>
      </c>
      <c r="BX45">
        <v>1200</v>
      </c>
      <c r="BY45">
        <v>600</v>
      </c>
      <c r="BZ45">
        <v>1200</v>
      </c>
      <c r="CA45">
        <v>1200</v>
      </c>
      <c r="CB45">
        <v>3000</v>
      </c>
      <c r="CC45">
        <v>0</v>
      </c>
      <c r="CD45">
        <v>0</v>
      </c>
      <c r="CE45">
        <v>0</v>
      </c>
      <c r="CF45">
        <v>0</v>
      </c>
      <c r="CG45">
        <v>33815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1154</v>
      </c>
      <c r="EJ45">
        <v>1154</v>
      </c>
      <c r="EK45">
        <v>1155</v>
      </c>
      <c r="EL45">
        <v>3500</v>
      </c>
      <c r="EM45">
        <v>37.065000000000005</v>
      </c>
      <c r="EN45">
        <v>660</v>
      </c>
      <c r="EO45">
        <v>660</v>
      </c>
      <c r="EP45">
        <v>660</v>
      </c>
      <c r="EQ45">
        <v>2000</v>
      </c>
      <c r="ER45">
        <v>21.18</v>
      </c>
      <c r="ES45">
        <v>0</v>
      </c>
      <c r="ET45">
        <v>0</v>
      </c>
      <c r="EU45">
        <v>0</v>
      </c>
      <c r="EV45">
        <v>0</v>
      </c>
      <c r="EW45">
        <v>0</v>
      </c>
      <c r="FA45">
        <v>0</v>
      </c>
      <c r="FE45">
        <v>0</v>
      </c>
      <c r="FI45">
        <v>0</v>
      </c>
      <c r="FJ45">
        <v>5441.7550000000001</v>
      </c>
      <c r="FK45">
        <v>33815</v>
      </c>
      <c r="FL45">
        <v>29628.299778622444</v>
      </c>
      <c r="FM45">
        <v>28373.244999999999</v>
      </c>
    </row>
    <row r="46" spans="1:169" x14ac:dyDescent="0.35">
      <c r="A46">
        <v>195424</v>
      </c>
      <c r="B46" s="43" t="s">
        <v>1977</v>
      </c>
      <c r="C46" s="43" t="s">
        <v>1978</v>
      </c>
      <c r="D46" s="43" t="s">
        <v>1979</v>
      </c>
      <c r="E46" s="43" t="s">
        <v>1980</v>
      </c>
      <c r="F46">
        <v>1</v>
      </c>
      <c r="H46" s="23"/>
      <c r="I46">
        <v>43804</v>
      </c>
      <c r="J46" s="43" t="s">
        <v>4242</v>
      </c>
      <c r="K46" s="43" t="s">
        <v>1715</v>
      </c>
      <c r="L46" s="43" t="s">
        <v>259</v>
      </c>
      <c r="M46" s="43" t="s">
        <v>1981</v>
      </c>
      <c r="N46" s="43" t="s">
        <v>1982</v>
      </c>
      <c r="O46" s="43" t="s">
        <v>1983</v>
      </c>
      <c r="P46" s="43" t="s">
        <v>1984</v>
      </c>
      <c r="Q46" s="43" t="s">
        <v>1985</v>
      </c>
      <c r="R46">
        <v>3.4582999999999999</v>
      </c>
      <c r="S46" s="23">
        <v>44109</v>
      </c>
      <c r="T46" s="43" t="s">
        <v>311</v>
      </c>
      <c r="U46" s="43" t="s">
        <v>286</v>
      </c>
      <c r="V46" s="43" t="s">
        <v>267</v>
      </c>
      <c r="W46" s="43" t="s">
        <v>1718</v>
      </c>
      <c r="X46" s="43" t="s">
        <v>1719</v>
      </c>
      <c r="Y46">
        <v>8772802835</v>
      </c>
      <c r="Z46" s="43" t="s">
        <v>508</v>
      </c>
      <c r="AA46" s="43" t="s">
        <v>271</v>
      </c>
      <c r="AB46">
        <v>0</v>
      </c>
      <c r="AC46">
        <v>1170</v>
      </c>
      <c r="AD46">
        <v>115</v>
      </c>
      <c r="AE46" s="43" t="s">
        <v>445</v>
      </c>
      <c r="AF46">
        <v>4</v>
      </c>
      <c r="AG46" s="43" t="s">
        <v>275</v>
      </c>
      <c r="AJ46" s="23"/>
      <c r="AK46" s="43" t="s">
        <v>259</v>
      </c>
      <c r="AL46" s="43" t="s">
        <v>259</v>
      </c>
      <c r="AM46" s="23"/>
      <c r="AN46" s="23"/>
      <c r="AO46" s="23"/>
      <c r="AP46" s="23"/>
      <c r="AQ46" s="23"/>
      <c r="BB46" s="43"/>
      <c r="BC46" s="43" t="s">
        <v>259</v>
      </c>
      <c r="BD46" s="43" t="s">
        <v>259</v>
      </c>
      <c r="BE46" s="43" t="s">
        <v>259</v>
      </c>
      <c r="BF46" s="43" t="s">
        <v>259</v>
      </c>
      <c r="BG46" s="43" t="s">
        <v>259</v>
      </c>
      <c r="BH46" t="s">
        <v>259</v>
      </c>
      <c r="BI46" s="43" t="s">
        <v>259</v>
      </c>
      <c r="BJ46">
        <v>0</v>
      </c>
      <c r="BK46" s="23">
        <v>44109</v>
      </c>
      <c r="BL46" s="23">
        <v>44356</v>
      </c>
      <c r="BM46">
        <v>8505</v>
      </c>
      <c r="BN46">
        <v>8505</v>
      </c>
      <c r="BO46">
        <v>8505</v>
      </c>
      <c r="BP46">
        <v>25515</v>
      </c>
      <c r="BQ46">
        <v>3300</v>
      </c>
      <c r="BR46">
        <v>400</v>
      </c>
      <c r="BS46">
        <v>400</v>
      </c>
      <c r="BT46">
        <v>4100</v>
      </c>
      <c r="BU46">
        <v>2100</v>
      </c>
      <c r="BV46">
        <v>2100</v>
      </c>
      <c r="BW46">
        <v>2100</v>
      </c>
      <c r="BX46">
        <v>6300</v>
      </c>
      <c r="BY46">
        <v>1200</v>
      </c>
      <c r="BZ46">
        <v>1200</v>
      </c>
      <c r="CA46">
        <v>1200</v>
      </c>
      <c r="CB46">
        <v>3600</v>
      </c>
      <c r="CC46">
        <v>0</v>
      </c>
      <c r="CD46">
        <v>0</v>
      </c>
      <c r="CE46">
        <v>0</v>
      </c>
      <c r="CF46">
        <v>0</v>
      </c>
      <c r="CG46">
        <v>39515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1250</v>
      </c>
      <c r="CU46">
        <v>1250</v>
      </c>
      <c r="CV46">
        <v>1250</v>
      </c>
      <c r="CW46">
        <v>3750</v>
      </c>
      <c r="CX46">
        <v>0</v>
      </c>
      <c r="CY46">
        <v>0</v>
      </c>
      <c r="CZ46">
        <v>0</v>
      </c>
      <c r="DA46">
        <v>0</v>
      </c>
      <c r="DB46">
        <v>1000</v>
      </c>
      <c r="DC46">
        <v>1000</v>
      </c>
      <c r="DD46">
        <v>1000</v>
      </c>
      <c r="DE46">
        <v>3000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6750</v>
      </c>
      <c r="EE46">
        <v>0</v>
      </c>
      <c r="EF46">
        <v>0</v>
      </c>
      <c r="EG46">
        <v>0</v>
      </c>
      <c r="EH46">
        <v>0</v>
      </c>
      <c r="EI46">
        <v>1154</v>
      </c>
      <c r="EJ46">
        <v>1154</v>
      </c>
      <c r="EK46">
        <v>1155</v>
      </c>
      <c r="EL46">
        <v>3500</v>
      </c>
      <c r="EM46">
        <v>37.065000000000005</v>
      </c>
      <c r="EN46">
        <v>660</v>
      </c>
      <c r="EO46">
        <v>660</v>
      </c>
      <c r="EP46">
        <v>660</v>
      </c>
      <c r="EQ46">
        <v>2000</v>
      </c>
      <c r="ER46">
        <v>21.18</v>
      </c>
      <c r="ES46">
        <v>0</v>
      </c>
      <c r="ET46">
        <v>0</v>
      </c>
      <c r="EU46">
        <v>0</v>
      </c>
      <c r="EV46">
        <v>0</v>
      </c>
      <c r="EW46">
        <v>0</v>
      </c>
      <c r="FA46">
        <v>0</v>
      </c>
      <c r="FE46">
        <v>0</v>
      </c>
      <c r="FI46">
        <v>0</v>
      </c>
      <c r="FJ46">
        <v>5441.7550000000001</v>
      </c>
      <c r="FK46">
        <v>32765</v>
      </c>
      <c r="FL46">
        <v>28531.854350277765</v>
      </c>
      <c r="FM46">
        <v>27323.244999999999</v>
      </c>
    </row>
    <row r="47" spans="1:169" x14ac:dyDescent="0.35">
      <c r="A47">
        <v>195798</v>
      </c>
      <c r="B47" s="43" t="s">
        <v>1986</v>
      </c>
      <c r="C47" s="43" t="s">
        <v>1987</v>
      </c>
      <c r="D47" s="43" t="s">
        <v>1988</v>
      </c>
      <c r="E47" s="43" t="s">
        <v>1989</v>
      </c>
      <c r="F47">
        <v>1</v>
      </c>
      <c r="H47" s="23"/>
      <c r="I47">
        <v>43775</v>
      </c>
      <c r="J47" s="43" t="s">
        <v>3304</v>
      </c>
      <c r="K47" s="43" t="s">
        <v>1715</v>
      </c>
      <c r="L47" s="43" t="s">
        <v>3204</v>
      </c>
      <c r="M47" s="43" t="s">
        <v>1990</v>
      </c>
      <c r="N47" s="43" t="s">
        <v>1991</v>
      </c>
      <c r="O47" s="43" t="s">
        <v>1992</v>
      </c>
      <c r="P47" s="43" t="s">
        <v>759</v>
      </c>
      <c r="Q47" s="43" t="s">
        <v>1993</v>
      </c>
      <c r="R47">
        <v>3.7</v>
      </c>
      <c r="S47" s="23">
        <v>44109</v>
      </c>
      <c r="T47" s="43" t="s">
        <v>285</v>
      </c>
      <c r="U47" s="43" t="s">
        <v>266</v>
      </c>
      <c r="V47" s="43" t="s">
        <v>267</v>
      </c>
      <c r="W47" s="43" t="s">
        <v>1718</v>
      </c>
      <c r="X47" s="43" t="s">
        <v>1719</v>
      </c>
      <c r="Y47">
        <v>8772802835</v>
      </c>
      <c r="Z47" s="43" t="s">
        <v>270</v>
      </c>
      <c r="AA47" s="43" t="s">
        <v>271</v>
      </c>
      <c r="AB47">
        <v>0</v>
      </c>
      <c r="AC47">
        <v>1200</v>
      </c>
      <c r="AD47">
        <v>119</v>
      </c>
      <c r="AE47" s="43" t="s">
        <v>301</v>
      </c>
      <c r="AF47">
        <v>1</v>
      </c>
      <c r="AG47" s="43" t="s">
        <v>275</v>
      </c>
      <c r="AH47">
        <v>0</v>
      </c>
      <c r="AI47">
        <v>0</v>
      </c>
      <c r="AJ47" s="23">
        <v>43774</v>
      </c>
      <c r="AK47" s="43" t="s">
        <v>3208</v>
      </c>
      <c r="AL47" s="43" t="s">
        <v>3209</v>
      </c>
      <c r="AM47" s="23"/>
      <c r="AN47" s="23"/>
      <c r="AO47" s="23"/>
      <c r="AP47" s="23"/>
      <c r="AQ47" s="23"/>
      <c r="BB47" s="43"/>
      <c r="BC47" s="43" t="s">
        <v>2018</v>
      </c>
      <c r="BD47" s="43" t="s">
        <v>2018</v>
      </c>
      <c r="BE47" s="43" t="s">
        <v>2018</v>
      </c>
      <c r="BF47" s="43" t="s">
        <v>2018</v>
      </c>
      <c r="BG47" s="43" t="s">
        <v>2018</v>
      </c>
      <c r="BH47" t="s">
        <v>2018</v>
      </c>
      <c r="BI47" s="43" t="s">
        <v>2018</v>
      </c>
      <c r="BJ47">
        <v>0</v>
      </c>
      <c r="BK47" s="23">
        <v>44109</v>
      </c>
      <c r="BL47" s="23">
        <v>44356</v>
      </c>
      <c r="BM47">
        <v>8505</v>
      </c>
      <c r="BN47">
        <v>8505</v>
      </c>
      <c r="BO47">
        <v>8505</v>
      </c>
      <c r="BP47">
        <v>25515</v>
      </c>
      <c r="BQ47">
        <v>3300</v>
      </c>
      <c r="BR47">
        <v>400</v>
      </c>
      <c r="BS47">
        <v>400</v>
      </c>
      <c r="BT47">
        <v>4100</v>
      </c>
      <c r="BU47">
        <v>2100</v>
      </c>
      <c r="BV47">
        <v>2100</v>
      </c>
      <c r="BW47">
        <v>2100</v>
      </c>
      <c r="BX47">
        <v>6300</v>
      </c>
      <c r="BY47">
        <v>1200</v>
      </c>
      <c r="BZ47">
        <v>1200</v>
      </c>
      <c r="CA47">
        <v>1200</v>
      </c>
      <c r="CB47">
        <v>3600</v>
      </c>
      <c r="CC47">
        <v>0</v>
      </c>
      <c r="CD47">
        <v>0</v>
      </c>
      <c r="CE47">
        <v>0</v>
      </c>
      <c r="CF47">
        <v>0</v>
      </c>
      <c r="CG47">
        <v>39515</v>
      </c>
      <c r="CH47">
        <v>0</v>
      </c>
      <c r="CI47">
        <v>0</v>
      </c>
      <c r="CJ47">
        <v>0</v>
      </c>
      <c r="CK47">
        <v>0</v>
      </c>
      <c r="CL47">
        <v>2065</v>
      </c>
      <c r="CM47">
        <v>2065</v>
      </c>
      <c r="CN47">
        <v>2065</v>
      </c>
      <c r="CO47">
        <v>6195</v>
      </c>
      <c r="CP47">
        <v>500</v>
      </c>
      <c r="CQ47">
        <v>500</v>
      </c>
      <c r="CR47">
        <v>500</v>
      </c>
      <c r="CS47">
        <v>1500</v>
      </c>
      <c r="CT47">
        <v>1700</v>
      </c>
      <c r="CU47">
        <v>1700</v>
      </c>
      <c r="CV47">
        <v>1700</v>
      </c>
      <c r="CW47">
        <v>5100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12795</v>
      </c>
      <c r="EE47">
        <v>0</v>
      </c>
      <c r="EF47">
        <v>0</v>
      </c>
      <c r="EG47">
        <v>0</v>
      </c>
      <c r="EH47">
        <v>0</v>
      </c>
      <c r="EI47">
        <v>1154</v>
      </c>
      <c r="EJ47">
        <v>1154</v>
      </c>
      <c r="EK47">
        <v>1155</v>
      </c>
      <c r="EL47">
        <v>3500</v>
      </c>
      <c r="EM47">
        <v>37.065000000000005</v>
      </c>
      <c r="EN47">
        <v>660</v>
      </c>
      <c r="EO47">
        <v>660</v>
      </c>
      <c r="EP47">
        <v>660</v>
      </c>
      <c r="EQ47">
        <v>2000</v>
      </c>
      <c r="ER47">
        <v>21.18</v>
      </c>
      <c r="ES47">
        <v>0</v>
      </c>
      <c r="ET47">
        <v>0</v>
      </c>
      <c r="EU47">
        <v>0</v>
      </c>
      <c r="EV47">
        <v>0</v>
      </c>
      <c r="EW47">
        <v>0</v>
      </c>
      <c r="FA47">
        <v>0</v>
      </c>
      <c r="FE47">
        <v>0</v>
      </c>
      <c r="FI47">
        <v>0</v>
      </c>
      <c r="FJ47">
        <v>5441.7550000000001</v>
      </c>
      <c r="FK47">
        <v>26720</v>
      </c>
      <c r="FL47">
        <v>22219.461384236245</v>
      </c>
      <c r="FM47">
        <v>21278.244999999999</v>
      </c>
    </row>
    <row r="48" spans="1:169" x14ac:dyDescent="0.35">
      <c r="A48">
        <v>196703</v>
      </c>
      <c r="B48" s="43" t="s">
        <v>1994</v>
      </c>
      <c r="C48" s="43" t="s">
        <v>1995</v>
      </c>
      <c r="D48" s="43" t="s">
        <v>1996</v>
      </c>
      <c r="E48" s="43" t="s">
        <v>1997</v>
      </c>
      <c r="F48">
        <v>1</v>
      </c>
      <c r="H48" s="23"/>
      <c r="I48">
        <v>43804</v>
      </c>
      <c r="J48" s="43" t="s">
        <v>4242</v>
      </c>
      <c r="K48" s="43" t="s">
        <v>1715</v>
      </c>
      <c r="L48" s="43" t="s">
        <v>259</v>
      </c>
      <c r="M48" s="43" t="s">
        <v>1998</v>
      </c>
      <c r="N48" s="43" t="s">
        <v>1999</v>
      </c>
      <c r="O48" s="43" t="s">
        <v>2000</v>
      </c>
      <c r="P48" s="43" t="s">
        <v>442</v>
      </c>
      <c r="Q48" s="43" t="s">
        <v>2001</v>
      </c>
      <c r="R48">
        <v>2.77</v>
      </c>
      <c r="S48" s="23">
        <v>44109</v>
      </c>
      <c r="T48" s="43" t="s">
        <v>311</v>
      </c>
      <c r="U48" s="43" t="s">
        <v>266</v>
      </c>
      <c r="V48" s="43" t="s">
        <v>267</v>
      </c>
      <c r="W48" s="43" t="s">
        <v>1718</v>
      </c>
      <c r="X48" s="43" t="s">
        <v>1719</v>
      </c>
      <c r="Y48">
        <v>8772802835</v>
      </c>
      <c r="Z48" s="43" t="s">
        <v>270</v>
      </c>
      <c r="AA48" s="43" t="s">
        <v>271</v>
      </c>
      <c r="AB48">
        <v>21</v>
      </c>
      <c r="AC48">
        <v>0</v>
      </c>
      <c r="AD48">
        <v>94</v>
      </c>
      <c r="AE48" s="43" t="s">
        <v>324</v>
      </c>
      <c r="AF48">
        <v>8</v>
      </c>
      <c r="AG48" s="43" t="s">
        <v>275</v>
      </c>
      <c r="AJ48" s="23"/>
      <c r="AK48" s="43" t="s">
        <v>259</v>
      </c>
      <c r="AL48" s="43" t="s">
        <v>259</v>
      </c>
      <c r="AM48" s="23"/>
      <c r="AN48" s="23"/>
      <c r="AO48" s="23"/>
      <c r="AP48" s="23"/>
      <c r="AQ48" s="23"/>
      <c r="BB48" s="43"/>
      <c r="BC48" s="43" t="s">
        <v>259</v>
      </c>
      <c r="BD48" s="43" t="s">
        <v>259</v>
      </c>
      <c r="BE48" s="43" t="s">
        <v>259</v>
      </c>
      <c r="BF48" s="43" t="s">
        <v>259</v>
      </c>
      <c r="BG48" s="43" t="s">
        <v>259</v>
      </c>
      <c r="BH48" t="s">
        <v>259</v>
      </c>
      <c r="BI48" s="43" t="s">
        <v>259</v>
      </c>
      <c r="BJ48">
        <v>0</v>
      </c>
      <c r="BK48" s="23">
        <v>44109</v>
      </c>
      <c r="BL48" s="23">
        <v>44356</v>
      </c>
      <c r="BM48">
        <v>8505</v>
      </c>
      <c r="BN48">
        <v>8505</v>
      </c>
      <c r="BO48">
        <v>8505</v>
      </c>
      <c r="BP48">
        <v>25515</v>
      </c>
      <c r="BQ48">
        <v>3300</v>
      </c>
      <c r="BR48">
        <v>400</v>
      </c>
      <c r="BS48">
        <v>400</v>
      </c>
      <c r="BT48">
        <v>4100</v>
      </c>
      <c r="BU48">
        <v>2100</v>
      </c>
      <c r="BV48">
        <v>2100</v>
      </c>
      <c r="BW48">
        <v>2100</v>
      </c>
      <c r="BX48">
        <v>6300</v>
      </c>
      <c r="BY48">
        <v>1200</v>
      </c>
      <c r="BZ48">
        <v>1200</v>
      </c>
      <c r="CA48">
        <v>1200</v>
      </c>
      <c r="CB48">
        <v>3600</v>
      </c>
      <c r="CC48">
        <v>0</v>
      </c>
      <c r="CD48">
        <v>0</v>
      </c>
      <c r="CE48">
        <v>0</v>
      </c>
      <c r="CF48">
        <v>0</v>
      </c>
      <c r="CG48">
        <v>39515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1154</v>
      </c>
      <c r="EJ48">
        <v>1154</v>
      </c>
      <c r="EK48">
        <v>1155</v>
      </c>
      <c r="EL48">
        <v>3500</v>
      </c>
      <c r="EM48">
        <v>37.065000000000005</v>
      </c>
      <c r="EN48">
        <v>660</v>
      </c>
      <c r="EO48">
        <v>660</v>
      </c>
      <c r="EP48">
        <v>660</v>
      </c>
      <c r="EQ48">
        <v>2000</v>
      </c>
      <c r="ER48">
        <v>21.18</v>
      </c>
      <c r="ES48">
        <v>0</v>
      </c>
      <c r="ET48">
        <v>0</v>
      </c>
      <c r="EU48">
        <v>0</v>
      </c>
      <c r="EV48">
        <v>0</v>
      </c>
      <c r="EW48">
        <v>0</v>
      </c>
      <c r="FA48">
        <v>0</v>
      </c>
      <c r="FE48">
        <v>0</v>
      </c>
      <c r="FI48">
        <v>0</v>
      </c>
      <c r="FJ48">
        <v>5441.7550000000001</v>
      </c>
      <c r="FK48">
        <v>39515</v>
      </c>
      <c r="FL48">
        <v>35580.43210392214</v>
      </c>
      <c r="FM48">
        <v>34073.245000000003</v>
      </c>
    </row>
    <row r="49" spans="1:169" x14ac:dyDescent="0.35">
      <c r="A49">
        <v>196960</v>
      </c>
      <c r="B49" s="43" t="s">
        <v>2002</v>
      </c>
      <c r="C49" s="43" t="s">
        <v>2003</v>
      </c>
      <c r="D49" s="43" t="s">
        <v>2004</v>
      </c>
      <c r="E49" s="43" t="s">
        <v>2005</v>
      </c>
      <c r="F49">
        <v>1</v>
      </c>
      <c r="H49" s="23"/>
      <c r="I49">
        <v>43775</v>
      </c>
      <c r="J49" s="43" t="s">
        <v>3304</v>
      </c>
      <c r="K49" s="43" t="s">
        <v>1715</v>
      </c>
      <c r="L49" s="43" t="s">
        <v>3204</v>
      </c>
      <c r="M49" s="43" t="s">
        <v>2006</v>
      </c>
      <c r="N49" s="43" t="s">
        <v>2007</v>
      </c>
      <c r="O49" s="43" t="s">
        <v>2008</v>
      </c>
      <c r="P49" s="43" t="s">
        <v>384</v>
      </c>
      <c r="Q49" s="43" t="s">
        <v>2009</v>
      </c>
      <c r="R49">
        <v>3.6</v>
      </c>
      <c r="S49" s="23">
        <v>44109</v>
      </c>
      <c r="T49" s="43" t="s">
        <v>285</v>
      </c>
      <c r="U49" s="43" t="s">
        <v>286</v>
      </c>
      <c r="V49" s="43" t="s">
        <v>267</v>
      </c>
      <c r="W49" s="43" t="s">
        <v>1718</v>
      </c>
      <c r="X49" s="43" t="s">
        <v>1719</v>
      </c>
      <c r="Y49">
        <v>8772802835</v>
      </c>
      <c r="Z49" s="43" t="s">
        <v>270</v>
      </c>
      <c r="AA49" s="43" t="s">
        <v>271</v>
      </c>
      <c r="AB49">
        <v>22</v>
      </c>
      <c r="AC49">
        <v>0</v>
      </c>
      <c r="AD49">
        <v>110</v>
      </c>
      <c r="AE49" s="43" t="s">
        <v>445</v>
      </c>
      <c r="AF49">
        <v>4</v>
      </c>
      <c r="AG49" s="43" t="s">
        <v>275</v>
      </c>
      <c r="AH49">
        <v>26754</v>
      </c>
      <c r="AI49">
        <v>26754</v>
      </c>
      <c r="AJ49" s="23">
        <v>43774</v>
      </c>
      <c r="AK49" s="43" t="s">
        <v>3208</v>
      </c>
      <c r="AL49" s="43" t="s">
        <v>3209</v>
      </c>
      <c r="AM49" s="23"/>
      <c r="AN49" s="23"/>
      <c r="AO49" s="23"/>
      <c r="AP49" s="23"/>
      <c r="AQ49" s="23"/>
      <c r="BB49" s="43"/>
      <c r="BC49" s="43" t="s">
        <v>2018</v>
      </c>
      <c r="BD49" s="43" t="s">
        <v>2018</v>
      </c>
      <c r="BE49" s="43" t="s">
        <v>2018</v>
      </c>
      <c r="BF49" s="43" t="s">
        <v>2018</v>
      </c>
      <c r="BG49" s="43" t="s">
        <v>2018</v>
      </c>
      <c r="BH49" t="s">
        <v>2018</v>
      </c>
      <c r="BI49" s="43" t="s">
        <v>2018</v>
      </c>
      <c r="BJ49">
        <v>0</v>
      </c>
      <c r="BK49" s="23">
        <v>44109</v>
      </c>
      <c r="BL49" s="23">
        <v>44356</v>
      </c>
      <c r="BM49">
        <v>8505</v>
      </c>
      <c r="BN49">
        <v>8505</v>
      </c>
      <c r="BO49">
        <v>8505</v>
      </c>
      <c r="BP49">
        <v>25515</v>
      </c>
      <c r="BQ49">
        <v>3300</v>
      </c>
      <c r="BR49">
        <v>400</v>
      </c>
      <c r="BS49">
        <v>400</v>
      </c>
      <c r="BT49">
        <v>4100</v>
      </c>
      <c r="BU49">
        <v>2100</v>
      </c>
      <c r="BV49">
        <v>2100</v>
      </c>
      <c r="BW49">
        <v>2100</v>
      </c>
      <c r="BX49">
        <v>6300</v>
      </c>
      <c r="BY49">
        <v>1200</v>
      </c>
      <c r="BZ49">
        <v>1200</v>
      </c>
      <c r="CA49">
        <v>1200</v>
      </c>
      <c r="CB49">
        <v>3600</v>
      </c>
      <c r="CC49">
        <v>0</v>
      </c>
      <c r="CD49">
        <v>0</v>
      </c>
      <c r="CE49">
        <v>0</v>
      </c>
      <c r="CF49">
        <v>0</v>
      </c>
      <c r="CG49">
        <v>39515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1250</v>
      </c>
      <c r="CU49">
        <v>1250</v>
      </c>
      <c r="CV49">
        <v>1250</v>
      </c>
      <c r="CW49">
        <v>3750</v>
      </c>
      <c r="CX49">
        <v>0</v>
      </c>
      <c r="CY49">
        <v>0</v>
      </c>
      <c r="CZ49">
        <v>0</v>
      </c>
      <c r="DA49">
        <v>0</v>
      </c>
      <c r="DB49">
        <v>1000</v>
      </c>
      <c r="DC49">
        <v>1000</v>
      </c>
      <c r="DD49">
        <v>1000</v>
      </c>
      <c r="DE49">
        <v>3000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6750</v>
      </c>
      <c r="EE49">
        <v>0</v>
      </c>
      <c r="EF49">
        <v>0</v>
      </c>
      <c r="EG49">
        <v>0</v>
      </c>
      <c r="EH49">
        <v>0</v>
      </c>
      <c r="EI49">
        <v>1154</v>
      </c>
      <c r="EJ49">
        <v>1154</v>
      </c>
      <c r="EK49">
        <v>1155</v>
      </c>
      <c r="EL49">
        <v>3500</v>
      </c>
      <c r="EM49">
        <v>37.065000000000005</v>
      </c>
      <c r="EN49">
        <v>660</v>
      </c>
      <c r="EO49">
        <v>660</v>
      </c>
      <c r="EP49">
        <v>660</v>
      </c>
      <c r="EQ49">
        <v>2000</v>
      </c>
      <c r="ER49">
        <v>21.18</v>
      </c>
      <c r="ES49">
        <v>0</v>
      </c>
      <c r="ET49">
        <v>0</v>
      </c>
      <c r="EU49">
        <v>0</v>
      </c>
      <c r="EV49">
        <v>0</v>
      </c>
      <c r="EW49">
        <v>0</v>
      </c>
      <c r="FA49">
        <v>0</v>
      </c>
      <c r="FE49">
        <v>0</v>
      </c>
      <c r="FI49">
        <v>0</v>
      </c>
      <c r="FJ49">
        <v>5441.7550000000001</v>
      </c>
      <c r="FK49">
        <v>32765</v>
      </c>
      <c r="FL49">
        <v>28531.854350277765</v>
      </c>
      <c r="FM49">
        <v>27323.244999999999</v>
      </c>
    </row>
    <row r="50" spans="1:169" x14ac:dyDescent="0.35">
      <c r="A50">
        <v>195918</v>
      </c>
      <c r="B50" s="43" t="s">
        <v>2010</v>
      </c>
      <c r="C50" s="43" t="s">
        <v>2011</v>
      </c>
      <c r="D50" s="43" t="s">
        <v>2012</v>
      </c>
      <c r="E50" s="43" t="s">
        <v>2013</v>
      </c>
      <c r="F50">
        <v>1</v>
      </c>
      <c r="G50">
        <v>43756</v>
      </c>
      <c r="H50" s="23">
        <v>43775</v>
      </c>
      <c r="I50">
        <v>43775</v>
      </c>
      <c r="J50" s="43" t="s">
        <v>3306</v>
      </c>
      <c r="K50" s="43" t="s">
        <v>3307</v>
      </c>
      <c r="L50" s="43" t="s">
        <v>3204</v>
      </c>
      <c r="M50" s="43" t="s">
        <v>2014</v>
      </c>
      <c r="N50" s="43" t="s">
        <v>2015</v>
      </c>
      <c r="O50" s="43" t="s">
        <v>2016</v>
      </c>
      <c r="P50" s="43" t="s">
        <v>332</v>
      </c>
      <c r="Q50" s="43" t="s">
        <v>2017</v>
      </c>
      <c r="R50">
        <v>2.08</v>
      </c>
      <c r="S50" s="23">
        <v>44109</v>
      </c>
      <c r="T50" s="43" t="s">
        <v>311</v>
      </c>
      <c r="U50" s="43" t="s">
        <v>286</v>
      </c>
      <c r="V50" s="43" t="s">
        <v>267</v>
      </c>
      <c r="W50" s="43" t="s">
        <v>1718</v>
      </c>
      <c r="X50" s="43" t="s">
        <v>1719</v>
      </c>
      <c r="Y50">
        <v>8772802835</v>
      </c>
      <c r="Z50" s="43" t="s">
        <v>508</v>
      </c>
      <c r="AA50" s="43" t="s">
        <v>271</v>
      </c>
      <c r="AB50">
        <v>27</v>
      </c>
      <c r="AC50">
        <v>0</v>
      </c>
      <c r="AD50">
        <v>92</v>
      </c>
      <c r="AE50" s="43" t="s">
        <v>324</v>
      </c>
      <c r="AF50">
        <v>8</v>
      </c>
      <c r="AG50" s="43" t="s">
        <v>275</v>
      </c>
      <c r="AH50">
        <v>0</v>
      </c>
      <c r="AI50">
        <v>0</v>
      </c>
      <c r="AJ50" s="23">
        <v>43774</v>
      </c>
      <c r="AK50" s="43" t="s">
        <v>3208</v>
      </c>
      <c r="AL50" s="43" t="s">
        <v>3209</v>
      </c>
      <c r="AM50" s="23">
        <v>43776</v>
      </c>
      <c r="AN50" s="23">
        <v>43776</v>
      </c>
      <c r="AO50" s="23">
        <v>43760</v>
      </c>
      <c r="AP50" s="23">
        <v>43760</v>
      </c>
      <c r="AQ50" s="23">
        <v>43760</v>
      </c>
      <c r="BB50" s="43"/>
      <c r="BC50" s="43" t="s">
        <v>2018</v>
      </c>
      <c r="BD50" s="43" t="s">
        <v>2018</v>
      </c>
      <c r="BE50" s="43" t="s">
        <v>2018</v>
      </c>
      <c r="BF50" s="43" t="s">
        <v>2018</v>
      </c>
      <c r="BG50" s="43" t="s">
        <v>2018</v>
      </c>
      <c r="BH50" t="s">
        <v>2018</v>
      </c>
      <c r="BI50" s="43" t="s">
        <v>2018</v>
      </c>
      <c r="BJ50">
        <v>0.3125</v>
      </c>
      <c r="BK50" s="23">
        <v>44109</v>
      </c>
      <c r="BL50" s="23">
        <v>44356</v>
      </c>
      <c r="BM50">
        <v>8505</v>
      </c>
      <c r="BN50">
        <v>8505</v>
      </c>
      <c r="BO50">
        <v>8505</v>
      </c>
      <c r="BP50">
        <v>25515</v>
      </c>
      <c r="BQ50">
        <v>3300</v>
      </c>
      <c r="BR50">
        <v>400</v>
      </c>
      <c r="BS50">
        <v>400</v>
      </c>
      <c r="BT50">
        <v>4100</v>
      </c>
      <c r="BU50">
        <v>2100</v>
      </c>
      <c r="BV50">
        <v>2100</v>
      </c>
      <c r="BW50">
        <v>2100</v>
      </c>
      <c r="BX50">
        <v>6300</v>
      </c>
      <c r="BY50">
        <v>600</v>
      </c>
      <c r="BZ50">
        <v>600</v>
      </c>
      <c r="CA50">
        <v>600</v>
      </c>
      <c r="CB50">
        <v>1800</v>
      </c>
      <c r="CC50">
        <v>0</v>
      </c>
      <c r="CD50">
        <v>0</v>
      </c>
      <c r="CE50">
        <v>0</v>
      </c>
      <c r="CF50">
        <v>0</v>
      </c>
      <c r="CG50">
        <v>37715</v>
      </c>
      <c r="CH50">
        <v>0</v>
      </c>
      <c r="CI50">
        <v>0</v>
      </c>
      <c r="CJ50">
        <v>0</v>
      </c>
      <c r="CK50">
        <v>0</v>
      </c>
      <c r="CL50">
        <v>2065</v>
      </c>
      <c r="CM50">
        <v>2065</v>
      </c>
      <c r="CN50">
        <v>2065</v>
      </c>
      <c r="CO50">
        <v>6195</v>
      </c>
      <c r="CP50">
        <v>500</v>
      </c>
      <c r="CQ50">
        <v>500</v>
      </c>
      <c r="CR50">
        <v>500</v>
      </c>
      <c r="CS50">
        <v>1500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1000</v>
      </c>
      <c r="DC50">
        <v>1000</v>
      </c>
      <c r="DD50">
        <v>1000</v>
      </c>
      <c r="DE50">
        <v>3000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10695</v>
      </c>
      <c r="EE50">
        <v>0</v>
      </c>
      <c r="EF50">
        <v>0</v>
      </c>
      <c r="EG50">
        <v>0</v>
      </c>
      <c r="EH50">
        <v>0</v>
      </c>
      <c r="EI50">
        <v>1154</v>
      </c>
      <c r="EJ50">
        <v>1154</v>
      </c>
      <c r="EK50">
        <v>1155</v>
      </c>
      <c r="EL50">
        <v>3500</v>
      </c>
      <c r="EM50">
        <v>37.065000000000005</v>
      </c>
      <c r="EN50">
        <v>660</v>
      </c>
      <c r="EO50">
        <v>660</v>
      </c>
      <c r="EP50">
        <v>660</v>
      </c>
      <c r="EQ50">
        <v>2000</v>
      </c>
      <c r="ER50">
        <v>21.18</v>
      </c>
      <c r="ES50">
        <v>7206</v>
      </c>
      <c r="ET50">
        <v>7206</v>
      </c>
      <c r="EU50">
        <v>7206</v>
      </c>
      <c r="EV50">
        <v>22533</v>
      </c>
      <c r="EW50">
        <v>954.49788000000001</v>
      </c>
      <c r="FA50">
        <v>0</v>
      </c>
      <c r="FE50">
        <v>0</v>
      </c>
      <c r="FI50">
        <v>0</v>
      </c>
      <c r="FJ50">
        <v>27020.257120000002</v>
      </c>
      <c r="FK50">
        <v>27020</v>
      </c>
      <c r="FL50">
        <v>-0.26849337956020281</v>
      </c>
      <c r="FM50">
        <v>-0.25712000000203261</v>
      </c>
    </row>
    <row r="51" spans="1:169" x14ac:dyDescent="0.35">
      <c r="A51">
        <v>198364</v>
      </c>
      <c r="B51" s="43" t="s">
        <v>2019</v>
      </c>
      <c r="C51" s="43" t="s">
        <v>2020</v>
      </c>
      <c r="D51" s="43" t="s">
        <v>2021</v>
      </c>
      <c r="E51" s="43" t="s">
        <v>2022</v>
      </c>
      <c r="F51">
        <v>1</v>
      </c>
      <c r="H51" s="23"/>
      <c r="I51">
        <v>43783</v>
      </c>
      <c r="J51" s="43" t="s">
        <v>3304</v>
      </c>
      <c r="K51" s="43" t="s">
        <v>1715</v>
      </c>
      <c r="L51" s="43" t="s">
        <v>3204</v>
      </c>
      <c r="M51" s="43" t="s">
        <v>2023</v>
      </c>
      <c r="N51" s="43" t="s">
        <v>2024</v>
      </c>
      <c r="O51" s="43" t="s">
        <v>462</v>
      </c>
      <c r="P51" s="43" t="s">
        <v>342</v>
      </c>
      <c r="Q51" s="43" t="s">
        <v>463</v>
      </c>
      <c r="R51">
        <v>3.78</v>
      </c>
      <c r="S51" s="23">
        <v>44109</v>
      </c>
      <c r="T51" s="43" t="s">
        <v>311</v>
      </c>
      <c r="U51" s="43" t="s">
        <v>266</v>
      </c>
      <c r="V51" s="43" t="s">
        <v>267</v>
      </c>
      <c r="W51" s="43" t="s">
        <v>1718</v>
      </c>
      <c r="X51" s="43" t="s">
        <v>1719</v>
      </c>
      <c r="Y51">
        <v>8772802835</v>
      </c>
      <c r="Z51" s="43" t="s">
        <v>270</v>
      </c>
      <c r="AA51" s="43" t="s">
        <v>271</v>
      </c>
      <c r="AB51">
        <v>0</v>
      </c>
      <c r="AC51">
        <v>0</v>
      </c>
      <c r="AD51">
        <v>0</v>
      </c>
      <c r="AE51" s="43" t="s">
        <v>301</v>
      </c>
      <c r="AF51">
        <v>1</v>
      </c>
      <c r="AG51" s="43" t="s">
        <v>275</v>
      </c>
      <c r="AH51">
        <v>0</v>
      </c>
      <c r="AI51">
        <v>0</v>
      </c>
      <c r="AJ51" s="23">
        <v>43774</v>
      </c>
      <c r="AK51" s="43" t="s">
        <v>3208</v>
      </c>
      <c r="AL51" s="43" t="s">
        <v>3209</v>
      </c>
      <c r="AM51" s="23"/>
      <c r="AN51" s="23"/>
      <c r="AO51" s="23"/>
      <c r="AP51" s="23"/>
      <c r="AQ51" s="23"/>
      <c r="BB51" s="43"/>
      <c r="BC51" s="43" t="s">
        <v>2018</v>
      </c>
      <c r="BD51" s="43" t="s">
        <v>2018</v>
      </c>
      <c r="BE51" s="43" t="s">
        <v>2018</v>
      </c>
      <c r="BF51" s="43" t="s">
        <v>2018</v>
      </c>
      <c r="BG51" s="43" t="s">
        <v>2018</v>
      </c>
      <c r="BH51" t="s">
        <v>2018</v>
      </c>
      <c r="BI51" s="43" t="s">
        <v>2018</v>
      </c>
      <c r="BJ51">
        <v>0</v>
      </c>
      <c r="BK51" s="23">
        <v>44109</v>
      </c>
      <c r="BL51" s="23">
        <v>44356</v>
      </c>
      <c r="BM51">
        <v>8505</v>
      </c>
      <c r="BN51">
        <v>8505</v>
      </c>
      <c r="BO51">
        <v>8505</v>
      </c>
      <c r="BP51">
        <v>25515</v>
      </c>
      <c r="BQ51">
        <v>3300</v>
      </c>
      <c r="BR51">
        <v>400</v>
      </c>
      <c r="BS51">
        <v>400</v>
      </c>
      <c r="BT51">
        <v>4100</v>
      </c>
      <c r="BU51">
        <v>2100</v>
      </c>
      <c r="BV51">
        <v>2100</v>
      </c>
      <c r="BW51">
        <v>2100</v>
      </c>
      <c r="BX51">
        <v>6300</v>
      </c>
      <c r="BY51">
        <v>1200</v>
      </c>
      <c r="BZ51">
        <v>1200</v>
      </c>
      <c r="CA51">
        <v>1200</v>
      </c>
      <c r="CB51">
        <v>3600</v>
      </c>
      <c r="CC51">
        <v>0</v>
      </c>
      <c r="CD51">
        <v>0</v>
      </c>
      <c r="CE51">
        <v>0</v>
      </c>
      <c r="CF51">
        <v>0</v>
      </c>
      <c r="CG51">
        <v>39515</v>
      </c>
      <c r="CH51">
        <v>0</v>
      </c>
      <c r="CI51">
        <v>0</v>
      </c>
      <c r="CJ51">
        <v>0</v>
      </c>
      <c r="CK51">
        <v>0</v>
      </c>
      <c r="CL51">
        <v>2065</v>
      </c>
      <c r="CM51">
        <v>2065</v>
      </c>
      <c r="CN51">
        <v>2065</v>
      </c>
      <c r="CO51">
        <v>6195</v>
      </c>
      <c r="CP51">
        <v>500</v>
      </c>
      <c r="CQ51">
        <v>500</v>
      </c>
      <c r="CR51">
        <v>500</v>
      </c>
      <c r="CS51">
        <v>1500</v>
      </c>
      <c r="CT51">
        <v>1700</v>
      </c>
      <c r="CU51">
        <v>1700</v>
      </c>
      <c r="CV51">
        <v>1700</v>
      </c>
      <c r="CW51">
        <v>5100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12795</v>
      </c>
      <c r="EE51">
        <v>0</v>
      </c>
      <c r="EF51">
        <v>0</v>
      </c>
      <c r="EG51">
        <v>0</v>
      </c>
      <c r="EH51">
        <v>0</v>
      </c>
      <c r="EI51">
        <v>1154</v>
      </c>
      <c r="EJ51">
        <v>1154</v>
      </c>
      <c r="EK51">
        <v>1155</v>
      </c>
      <c r="EL51">
        <v>3500</v>
      </c>
      <c r="EM51">
        <v>37.065000000000005</v>
      </c>
      <c r="EN51">
        <v>660</v>
      </c>
      <c r="EO51">
        <v>660</v>
      </c>
      <c r="EP51">
        <v>660</v>
      </c>
      <c r="EQ51">
        <v>2000</v>
      </c>
      <c r="ER51">
        <v>21.18</v>
      </c>
      <c r="ES51">
        <v>0</v>
      </c>
      <c r="ET51">
        <v>0</v>
      </c>
      <c r="EU51">
        <v>0</v>
      </c>
      <c r="EV51">
        <v>0</v>
      </c>
      <c r="EW51">
        <v>0</v>
      </c>
      <c r="FA51">
        <v>0</v>
      </c>
      <c r="FE51">
        <v>0</v>
      </c>
      <c r="FI51">
        <v>0</v>
      </c>
      <c r="FJ51">
        <v>5441.7550000000001</v>
      </c>
      <c r="FK51">
        <v>26720</v>
      </c>
      <c r="FL51">
        <v>22219.461384236245</v>
      </c>
      <c r="FM51">
        <v>21278.244999999999</v>
      </c>
    </row>
    <row r="52" spans="1:169" x14ac:dyDescent="0.35">
      <c r="A52">
        <v>198898</v>
      </c>
      <c r="B52" s="43" t="s">
        <v>2025</v>
      </c>
      <c r="C52" s="43" t="s">
        <v>2026</v>
      </c>
      <c r="D52" s="43" t="s">
        <v>2027</v>
      </c>
      <c r="E52" s="43" t="s">
        <v>2028</v>
      </c>
      <c r="F52">
        <v>1</v>
      </c>
      <c r="G52">
        <v>43780</v>
      </c>
      <c r="H52" s="23">
        <v>43789</v>
      </c>
      <c r="I52">
        <v>43789</v>
      </c>
      <c r="J52" s="43" t="s">
        <v>3335</v>
      </c>
      <c r="K52" s="43" t="s">
        <v>1715</v>
      </c>
      <c r="L52" s="43" t="s">
        <v>3204</v>
      </c>
      <c r="M52" s="43" t="s">
        <v>2029</v>
      </c>
      <c r="N52" s="43" t="s">
        <v>2030</v>
      </c>
      <c r="O52" s="43" t="s">
        <v>1426</v>
      </c>
      <c r="P52" s="43" t="s">
        <v>297</v>
      </c>
      <c r="Q52" s="43" t="s">
        <v>2031</v>
      </c>
      <c r="S52" s="23">
        <v>44109</v>
      </c>
      <c r="T52" s="43" t="s">
        <v>311</v>
      </c>
      <c r="U52" s="43" t="s">
        <v>266</v>
      </c>
      <c r="V52" s="43" t="s">
        <v>267</v>
      </c>
      <c r="W52" s="43" t="s">
        <v>1718</v>
      </c>
      <c r="X52" s="43" t="s">
        <v>1719</v>
      </c>
      <c r="Y52">
        <v>8772802835</v>
      </c>
      <c r="Z52" s="43" t="s">
        <v>270</v>
      </c>
      <c r="AA52" s="43" t="s">
        <v>271</v>
      </c>
      <c r="AB52">
        <v>0</v>
      </c>
      <c r="AC52">
        <v>950</v>
      </c>
      <c r="AD52">
        <v>101</v>
      </c>
      <c r="AE52" s="43" t="s">
        <v>301</v>
      </c>
      <c r="AF52">
        <v>1</v>
      </c>
      <c r="AG52" s="43" t="s">
        <v>446</v>
      </c>
      <c r="AH52">
        <v>30226</v>
      </c>
      <c r="AI52">
        <v>30226</v>
      </c>
      <c r="AJ52" s="23">
        <v>43776</v>
      </c>
      <c r="AK52" s="43" t="s">
        <v>3208</v>
      </c>
      <c r="AL52" s="43" t="s">
        <v>3209</v>
      </c>
      <c r="AM52" s="23">
        <v>43789</v>
      </c>
      <c r="AN52" s="23">
        <v>43789</v>
      </c>
      <c r="AO52" s="23">
        <v>43776</v>
      </c>
      <c r="AP52" s="23">
        <v>43779</v>
      </c>
      <c r="AQ52" s="23">
        <v>43779</v>
      </c>
      <c r="BB52" s="43"/>
      <c r="BC52" s="43" t="s">
        <v>2018</v>
      </c>
      <c r="BD52" s="43" t="s">
        <v>2018</v>
      </c>
      <c r="BE52" s="43" t="s">
        <v>2018</v>
      </c>
      <c r="BF52" s="43" t="s">
        <v>2018</v>
      </c>
      <c r="BG52" s="43" t="s">
        <v>2018</v>
      </c>
      <c r="BH52" t="s">
        <v>2018</v>
      </c>
      <c r="BI52" s="43" t="s">
        <v>2018</v>
      </c>
      <c r="BJ52">
        <v>0.3125</v>
      </c>
      <c r="BK52" s="23">
        <v>44109</v>
      </c>
      <c r="BL52" s="23">
        <v>44356</v>
      </c>
      <c r="BM52">
        <v>8505</v>
      </c>
      <c r="BN52">
        <v>8505</v>
      </c>
      <c r="BO52">
        <v>8505</v>
      </c>
      <c r="BP52">
        <v>25515</v>
      </c>
      <c r="BQ52">
        <v>3300</v>
      </c>
      <c r="BR52">
        <v>400</v>
      </c>
      <c r="BS52">
        <v>400</v>
      </c>
      <c r="BT52">
        <v>4100</v>
      </c>
      <c r="BU52">
        <v>2100</v>
      </c>
      <c r="BV52">
        <v>2100</v>
      </c>
      <c r="BW52">
        <v>2100</v>
      </c>
      <c r="BX52">
        <v>6300</v>
      </c>
      <c r="BY52">
        <v>1200</v>
      </c>
      <c r="BZ52">
        <v>1200</v>
      </c>
      <c r="CA52">
        <v>1200</v>
      </c>
      <c r="CB52">
        <v>3600</v>
      </c>
      <c r="CC52">
        <v>0</v>
      </c>
      <c r="CD52">
        <v>0</v>
      </c>
      <c r="CE52">
        <v>0</v>
      </c>
      <c r="CF52">
        <v>0</v>
      </c>
      <c r="CG52">
        <v>39515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1700</v>
      </c>
      <c r="CU52">
        <v>1700</v>
      </c>
      <c r="CV52">
        <v>1700</v>
      </c>
      <c r="CW52">
        <v>5100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5100</v>
      </c>
      <c r="EE52">
        <v>0</v>
      </c>
      <c r="EF52">
        <v>0</v>
      </c>
      <c r="EG52">
        <v>0</v>
      </c>
      <c r="EH52">
        <v>0</v>
      </c>
      <c r="EI52">
        <v>1154</v>
      </c>
      <c r="EJ52">
        <v>1154</v>
      </c>
      <c r="EK52">
        <v>1155</v>
      </c>
      <c r="EL52">
        <v>3500</v>
      </c>
      <c r="EM52">
        <v>37.065000000000005</v>
      </c>
      <c r="EN52">
        <v>660</v>
      </c>
      <c r="EO52">
        <v>660</v>
      </c>
      <c r="EP52">
        <v>660</v>
      </c>
      <c r="EQ52">
        <v>2000</v>
      </c>
      <c r="ER52">
        <v>21.18</v>
      </c>
      <c r="ES52">
        <v>9675</v>
      </c>
      <c r="ET52">
        <v>9675</v>
      </c>
      <c r="EU52">
        <v>9675</v>
      </c>
      <c r="EV52">
        <v>30255</v>
      </c>
      <c r="EW52">
        <v>1281.6018000000001</v>
      </c>
      <c r="FA52">
        <v>0</v>
      </c>
      <c r="FE52">
        <v>0</v>
      </c>
      <c r="FI52">
        <v>0</v>
      </c>
      <c r="FJ52">
        <v>34415.153200000001</v>
      </c>
      <c r="FK52">
        <v>34415</v>
      </c>
      <c r="FL52">
        <v>-0.15997660916487608</v>
      </c>
      <c r="FM52">
        <v>-0.15320000000065193</v>
      </c>
    </row>
    <row r="53" spans="1:169" x14ac:dyDescent="0.35">
      <c r="A53">
        <v>195321</v>
      </c>
      <c r="B53" s="43" t="s">
        <v>2032</v>
      </c>
      <c r="C53" s="43" t="s">
        <v>1244</v>
      </c>
      <c r="D53" s="43" t="s">
        <v>2033</v>
      </c>
      <c r="E53" s="43" t="s">
        <v>2034</v>
      </c>
      <c r="F53">
        <v>1</v>
      </c>
      <c r="G53">
        <v>43787</v>
      </c>
      <c r="H53" s="23">
        <v>43794</v>
      </c>
      <c r="I53">
        <v>43804</v>
      </c>
      <c r="J53" s="43" t="s">
        <v>4240</v>
      </c>
      <c r="K53" s="43" t="s">
        <v>1715</v>
      </c>
      <c r="L53" s="43" t="s">
        <v>3204</v>
      </c>
      <c r="M53" s="43" t="s">
        <v>2035</v>
      </c>
      <c r="N53" s="43" t="s">
        <v>2036</v>
      </c>
      <c r="O53" s="43" t="s">
        <v>2037</v>
      </c>
      <c r="P53" s="43" t="s">
        <v>608</v>
      </c>
      <c r="Q53" s="43" t="s">
        <v>2038</v>
      </c>
      <c r="R53">
        <v>3.5</v>
      </c>
      <c r="S53" s="23">
        <v>44109</v>
      </c>
      <c r="T53" s="43" t="s">
        <v>311</v>
      </c>
      <c r="U53" s="43" t="s">
        <v>266</v>
      </c>
      <c r="V53" s="43" t="s">
        <v>1549</v>
      </c>
      <c r="W53" s="43" t="s">
        <v>1718</v>
      </c>
      <c r="X53" s="43" t="s">
        <v>1719</v>
      </c>
      <c r="Y53">
        <v>8772802835</v>
      </c>
      <c r="Z53" s="43" t="s">
        <v>508</v>
      </c>
      <c r="AA53" s="43" t="s">
        <v>271</v>
      </c>
      <c r="AB53">
        <v>17</v>
      </c>
      <c r="AC53">
        <v>0</v>
      </c>
      <c r="AD53">
        <v>99</v>
      </c>
      <c r="AE53" s="43" t="s">
        <v>445</v>
      </c>
      <c r="AF53">
        <v>4</v>
      </c>
      <c r="AG53" s="43" t="s">
        <v>275</v>
      </c>
      <c r="AH53">
        <v>7473</v>
      </c>
      <c r="AI53">
        <v>7473</v>
      </c>
      <c r="AJ53" s="23">
        <v>43801</v>
      </c>
      <c r="AK53" s="43" t="s">
        <v>3208</v>
      </c>
      <c r="AL53" s="43" t="s">
        <v>3209</v>
      </c>
      <c r="AM53" s="23"/>
      <c r="AN53" s="23"/>
      <c r="AO53" s="23">
        <v>43793</v>
      </c>
      <c r="AP53" s="23"/>
      <c r="AQ53" s="23"/>
      <c r="BB53" s="43"/>
      <c r="BC53" s="43" t="s">
        <v>2018</v>
      </c>
      <c r="BD53" s="43" t="s">
        <v>2018</v>
      </c>
      <c r="BE53" s="43" t="s">
        <v>2018</v>
      </c>
      <c r="BF53" s="43" t="s">
        <v>2018</v>
      </c>
      <c r="BG53" s="43" t="s">
        <v>2018</v>
      </c>
      <c r="BH53" t="s">
        <v>2018</v>
      </c>
      <c r="BI53" s="43" t="s">
        <v>2018</v>
      </c>
      <c r="BJ53">
        <v>6.25E-2</v>
      </c>
      <c r="BK53" s="23">
        <v>44109</v>
      </c>
      <c r="BL53" s="23">
        <v>44356</v>
      </c>
      <c r="BM53">
        <v>8505</v>
      </c>
      <c r="BN53">
        <v>8505</v>
      </c>
      <c r="BO53">
        <v>8505</v>
      </c>
      <c r="BP53">
        <v>25515</v>
      </c>
      <c r="BQ53">
        <v>3300</v>
      </c>
      <c r="BR53">
        <v>400</v>
      </c>
      <c r="BS53">
        <v>400</v>
      </c>
      <c r="BT53">
        <v>4100</v>
      </c>
      <c r="BU53">
        <v>2100</v>
      </c>
      <c r="BV53">
        <v>2100</v>
      </c>
      <c r="BW53">
        <v>2100</v>
      </c>
      <c r="BX53">
        <v>6300</v>
      </c>
      <c r="BY53">
        <v>1200</v>
      </c>
      <c r="BZ53">
        <v>1200</v>
      </c>
      <c r="CA53">
        <v>1200</v>
      </c>
      <c r="CB53">
        <v>3600</v>
      </c>
      <c r="CC53">
        <v>0</v>
      </c>
      <c r="CD53">
        <v>0</v>
      </c>
      <c r="CE53">
        <v>0</v>
      </c>
      <c r="CF53">
        <v>0</v>
      </c>
      <c r="CG53">
        <v>39515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1250</v>
      </c>
      <c r="CU53">
        <v>1250</v>
      </c>
      <c r="CV53">
        <v>1250</v>
      </c>
      <c r="CW53">
        <v>3750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3750</v>
      </c>
      <c r="EE53">
        <v>0</v>
      </c>
      <c r="EF53">
        <v>0</v>
      </c>
      <c r="EG53">
        <v>0</v>
      </c>
      <c r="EH53">
        <v>0</v>
      </c>
      <c r="EI53">
        <v>1154</v>
      </c>
      <c r="EJ53">
        <v>1154</v>
      </c>
      <c r="EK53">
        <v>1155</v>
      </c>
      <c r="EL53">
        <v>3500</v>
      </c>
      <c r="EM53">
        <v>37.065000000000005</v>
      </c>
      <c r="EN53">
        <v>660</v>
      </c>
      <c r="EO53">
        <v>660</v>
      </c>
      <c r="EP53">
        <v>660</v>
      </c>
      <c r="EQ53">
        <v>2000</v>
      </c>
      <c r="ER53">
        <v>21.18</v>
      </c>
      <c r="ES53">
        <v>0</v>
      </c>
      <c r="ET53">
        <v>0</v>
      </c>
      <c r="EU53">
        <v>0</v>
      </c>
      <c r="EV53">
        <v>0</v>
      </c>
      <c r="EW53">
        <v>0</v>
      </c>
      <c r="FA53">
        <v>0</v>
      </c>
      <c r="FE53">
        <v>0</v>
      </c>
      <c r="FI53">
        <v>0</v>
      </c>
      <c r="FJ53">
        <v>5441.7550000000001</v>
      </c>
      <c r="FK53">
        <v>35765</v>
      </c>
      <c r="FL53">
        <v>31664.555574119709</v>
      </c>
      <c r="FM53">
        <v>30323.244999999999</v>
      </c>
    </row>
    <row r="54" spans="1:169" x14ac:dyDescent="0.35">
      <c r="A54">
        <v>195877</v>
      </c>
      <c r="B54" s="43" t="s">
        <v>2032</v>
      </c>
      <c r="C54" s="43" t="s">
        <v>2039</v>
      </c>
      <c r="D54" s="43" t="s">
        <v>2040</v>
      </c>
      <c r="E54" s="43" t="s">
        <v>2041</v>
      </c>
      <c r="F54">
        <v>1</v>
      </c>
      <c r="G54">
        <v>43787</v>
      </c>
      <c r="H54" s="23">
        <v>43787</v>
      </c>
      <c r="I54">
        <v>43787</v>
      </c>
      <c r="J54" s="43" t="s">
        <v>3639</v>
      </c>
      <c r="K54" s="43" t="s">
        <v>1715</v>
      </c>
      <c r="L54" s="43" t="s">
        <v>3204</v>
      </c>
      <c r="M54" s="43" t="s">
        <v>2042</v>
      </c>
      <c r="N54" s="43" t="s">
        <v>2043</v>
      </c>
      <c r="O54" s="43" t="s">
        <v>2037</v>
      </c>
      <c r="P54" s="43" t="s">
        <v>608</v>
      </c>
      <c r="Q54" s="43" t="s">
        <v>2038</v>
      </c>
      <c r="R54">
        <v>3.5476000000000001</v>
      </c>
      <c r="S54" s="23">
        <v>44109</v>
      </c>
      <c r="T54" s="43" t="s">
        <v>265</v>
      </c>
      <c r="U54" s="43" t="s">
        <v>286</v>
      </c>
      <c r="V54" s="43" t="s">
        <v>267</v>
      </c>
      <c r="W54" s="43" t="s">
        <v>1718</v>
      </c>
      <c r="X54" s="43" t="s">
        <v>1719</v>
      </c>
      <c r="Y54">
        <v>8772802835</v>
      </c>
      <c r="Z54" s="43" t="s">
        <v>270</v>
      </c>
      <c r="AA54" s="43" t="s">
        <v>271</v>
      </c>
      <c r="AB54">
        <v>19</v>
      </c>
      <c r="AC54">
        <v>0</v>
      </c>
      <c r="AD54">
        <v>104</v>
      </c>
      <c r="AE54" s="43" t="s">
        <v>364</v>
      </c>
      <c r="AF54">
        <v>3</v>
      </c>
      <c r="AG54" s="43" t="s">
        <v>275</v>
      </c>
      <c r="AH54">
        <v>5183</v>
      </c>
      <c r="AI54">
        <v>5183</v>
      </c>
      <c r="AJ54" s="23">
        <v>43790</v>
      </c>
      <c r="AK54" s="43" t="s">
        <v>1715</v>
      </c>
      <c r="AL54" s="43" t="s">
        <v>259</v>
      </c>
      <c r="AM54" s="23"/>
      <c r="AN54" s="23"/>
      <c r="AO54" s="23"/>
      <c r="AP54" s="23"/>
      <c r="AQ54" s="23"/>
      <c r="BB54" s="43"/>
      <c r="BC54" s="43" t="s">
        <v>259</v>
      </c>
      <c r="BD54" s="43" t="s">
        <v>259</v>
      </c>
      <c r="BE54" s="43" t="s">
        <v>259</v>
      </c>
      <c r="BF54" s="43" t="s">
        <v>259</v>
      </c>
      <c r="BG54" s="43" t="s">
        <v>259</v>
      </c>
      <c r="BH54" t="s">
        <v>259</v>
      </c>
      <c r="BI54" s="43" t="s">
        <v>259</v>
      </c>
      <c r="BJ54">
        <v>0</v>
      </c>
      <c r="BK54" s="23">
        <v>44109</v>
      </c>
      <c r="BL54" s="23">
        <v>44356</v>
      </c>
      <c r="BM54">
        <v>8505</v>
      </c>
      <c r="BN54">
        <v>8505</v>
      </c>
      <c r="BO54">
        <v>8505</v>
      </c>
      <c r="BP54">
        <v>25515</v>
      </c>
      <c r="BQ54">
        <v>3300</v>
      </c>
      <c r="BR54">
        <v>400</v>
      </c>
      <c r="BS54">
        <v>400</v>
      </c>
      <c r="BT54">
        <v>4100</v>
      </c>
      <c r="BU54">
        <v>2100</v>
      </c>
      <c r="BV54">
        <v>2100</v>
      </c>
      <c r="BW54">
        <v>2100</v>
      </c>
      <c r="BX54">
        <v>6300</v>
      </c>
      <c r="BY54">
        <v>1200</v>
      </c>
      <c r="BZ54">
        <v>1200</v>
      </c>
      <c r="CA54">
        <v>1200</v>
      </c>
      <c r="CB54">
        <v>3600</v>
      </c>
      <c r="CC54">
        <v>0</v>
      </c>
      <c r="CD54">
        <v>0</v>
      </c>
      <c r="CE54">
        <v>0</v>
      </c>
      <c r="CF54">
        <v>0</v>
      </c>
      <c r="CG54">
        <v>39515</v>
      </c>
      <c r="CH54">
        <v>0</v>
      </c>
      <c r="CI54">
        <v>0</v>
      </c>
      <c r="CJ54">
        <v>0</v>
      </c>
      <c r="CK54">
        <v>0</v>
      </c>
      <c r="CL54">
        <v>349</v>
      </c>
      <c r="CM54">
        <v>348</v>
      </c>
      <c r="CN54">
        <v>348</v>
      </c>
      <c r="CO54">
        <v>1045</v>
      </c>
      <c r="CP54">
        <v>500</v>
      </c>
      <c r="CQ54">
        <v>500</v>
      </c>
      <c r="CR54">
        <v>500</v>
      </c>
      <c r="CS54">
        <v>1500</v>
      </c>
      <c r="CT54">
        <v>1300</v>
      </c>
      <c r="CU54">
        <v>1300</v>
      </c>
      <c r="CV54">
        <v>1300</v>
      </c>
      <c r="CW54">
        <v>3900</v>
      </c>
      <c r="CX54">
        <v>0</v>
      </c>
      <c r="CY54">
        <v>0</v>
      </c>
      <c r="CZ54">
        <v>0</v>
      </c>
      <c r="DA54">
        <v>0</v>
      </c>
      <c r="DB54">
        <v>1000</v>
      </c>
      <c r="DC54">
        <v>1000</v>
      </c>
      <c r="DD54">
        <v>1000</v>
      </c>
      <c r="DE54">
        <v>3000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9445</v>
      </c>
      <c r="EE54">
        <v>0</v>
      </c>
      <c r="EF54">
        <v>0</v>
      </c>
      <c r="EG54">
        <v>0</v>
      </c>
      <c r="EH54">
        <v>0</v>
      </c>
      <c r="EI54">
        <v>1154</v>
      </c>
      <c r="EJ54">
        <v>1154</v>
      </c>
      <c r="EK54">
        <v>1155</v>
      </c>
      <c r="EL54">
        <v>3500</v>
      </c>
      <c r="EM54">
        <v>37.065000000000005</v>
      </c>
      <c r="EN54">
        <v>660</v>
      </c>
      <c r="EO54">
        <v>660</v>
      </c>
      <c r="EP54">
        <v>660</v>
      </c>
      <c r="EQ54">
        <v>2000</v>
      </c>
      <c r="ER54">
        <v>21.18</v>
      </c>
      <c r="ES54">
        <v>0</v>
      </c>
      <c r="ET54">
        <v>0</v>
      </c>
      <c r="EU54">
        <v>0</v>
      </c>
      <c r="EV54">
        <v>0</v>
      </c>
      <c r="EW54">
        <v>0</v>
      </c>
      <c r="FA54">
        <v>0</v>
      </c>
      <c r="FE54">
        <v>0</v>
      </c>
      <c r="FI54">
        <v>0</v>
      </c>
      <c r="FJ54">
        <v>5441.7550000000001</v>
      </c>
      <c r="FK54">
        <v>30070</v>
      </c>
      <c r="FL54">
        <v>25717.644417526415</v>
      </c>
      <c r="FM54">
        <v>24628.244999999999</v>
      </c>
    </row>
    <row r="55" spans="1:169" x14ac:dyDescent="0.35">
      <c r="A55">
        <v>192381</v>
      </c>
      <c r="B55" s="43" t="s">
        <v>2044</v>
      </c>
      <c r="C55" s="43" t="s">
        <v>1533</v>
      </c>
      <c r="D55" s="43" t="s">
        <v>2045</v>
      </c>
      <c r="E55" s="43" t="s">
        <v>2046</v>
      </c>
      <c r="F55">
        <v>1</v>
      </c>
      <c r="H55" s="23"/>
      <c r="I55">
        <v>43776</v>
      </c>
      <c r="J55" s="43" t="s">
        <v>3304</v>
      </c>
      <c r="K55" s="43" t="s">
        <v>1715</v>
      </c>
      <c r="L55" s="43" t="s">
        <v>259</v>
      </c>
      <c r="M55" s="43" t="s">
        <v>2047</v>
      </c>
      <c r="N55" s="43" t="s">
        <v>2048</v>
      </c>
      <c r="O55" s="43" t="s">
        <v>2049</v>
      </c>
      <c r="P55" s="43" t="s">
        <v>735</v>
      </c>
      <c r="Q55" s="43" t="s">
        <v>2050</v>
      </c>
      <c r="R55">
        <v>4</v>
      </c>
      <c r="S55" s="23">
        <v>44109</v>
      </c>
      <c r="T55" s="43" t="s">
        <v>311</v>
      </c>
      <c r="U55" s="43" t="s">
        <v>266</v>
      </c>
      <c r="V55" s="43" t="s">
        <v>267</v>
      </c>
      <c r="W55" s="43" t="s">
        <v>1718</v>
      </c>
      <c r="X55" s="43" t="s">
        <v>1719</v>
      </c>
      <c r="Y55">
        <v>8772802835</v>
      </c>
      <c r="Z55" s="43" t="s">
        <v>270</v>
      </c>
      <c r="AA55" s="43" t="s">
        <v>271</v>
      </c>
      <c r="AB55">
        <v>27</v>
      </c>
      <c r="AC55">
        <v>1250</v>
      </c>
      <c r="AD55">
        <v>127</v>
      </c>
      <c r="AE55" s="43" t="s">
        <v>301</v>
      </c>
      <c r="AF55">
        <v>1</v>
      </c>
      <c r="AG55" s="43" t="s">
        <v>275</v>
      </c>
      <c r="AJ55" s="23"/>
      <c r="AK55" s="43" t="s">
        <v>259</v>
      </c>
      <c r="AL55" s="43" t="s">
        <v>259</v>
      </c>
      <c r="AM55" s="23"/>
      <c r="AN55" s="23"/>
      <c r="AO55" s="23"/>
      <c r="AP55" s="23"/>
      <c r="AQ55" s="23"/>
      <c r="BB55" s="43"/>
      <c r="BC55" s="43" t="s">
        <v>259</v>
      </c>
      <c r="BD55" s="43" t="s">
        <v>259</v>
      </c>
      <c r="BE55" s="43" t="s">
        <v>259</v>
      </c>
      <c r="BF55" s="43" t="s">
        <v>259</v>
      </c>
      <c r="BG55" s="43" t="s">
        <v>259</v>
      </c>
      <c r="BH55" t="s">
        <v>259</v>
      </c>
      <c r="BI55" s="43" t="s">
        <v>259</v>
      </c>
      <c r="BJ55">
        <v>0</v>
      </c>
      <c r="BK55" s="23">
        <v>44109</v>
      </c>
      <c r="BL55" s="23">
        <v>44356</v>
      </c>
      <c r="BM55">
        <v>8505</v>
      </c>
      <c r="BN55">
        <v>8505</v>
      </c>
      <c r="BO55">
        <v>8505</v>
      </c>
      <c r="BP55">
        <v>25515</v>
      </c>
      <c r="BQ55">
        <v>3300</v>
      </c>
      <c r="BR55">
        <v>400</v>
      </c>
      <c r="BS55">
        <v>400</v>
      </c>
      <c r="BT55">
        <v>4100</v>
      </c>
      <c r="BU55">
        <v>2100</v>
      </c>
      <c r="BV55">
        <v>2100</v>
      </c>
      <c r="BW55">
        <v>2100</v>
      </c>
      <c r="BX55">
        <v>6300</v>
      </c>
      <c r="BY55">
        <v>1200</v>
      </c>
      <c r="BZ55">
        <v>1200</v>
      </c>
      <c r="CA55">
        <v>1200</v>
      </c>
      <c r="CB55">
        <v>3600</v>
      </c>
      <c r="CC55">
        <v>0</v>
      </c>
      <c r="CD55">
        <v>0</v>
      </c>
      <c r="CE55">
        <v>0</v>
      </c>
      <c r="CF55">
        <v>0</v>
      </c>
      <c r="CG55">
        <v>39515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1700</v>
      </c>
      <c r="CU55">
        <v>1700</v>
      </c>
      <c r="CV55">
        <v>1700</v>
      </c>
      <c r="CW55">
        <v>5100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5100</v>
      </c>
      <c r="EE55">
        <v>0</v>
      </c>
      <c r="EF55">
        <v>0</v>
      </c>
      <c r="EG55">
        <v>0</v>
      </c>
      <c r="EH55">
        <v>0</v>
      </c>
      <c r="EI55">
        <v>1154</v>
      </c>
      <c r="EJ55">
        <v>1154</v>
      </c>
      <c r="EK55">
        <v>1155</v>
      </c>
      <c r="EL55">
        <v>3500</v>
      </c>
      <c r="EM55">
        <v>37.065000000000005</v>
      </c>
      <c r="EN55">
        <v>660</v>
      </c>
      <c r="EO55">
        <v>660</v>
      </c>
      <c r="EP55">
        <v>660</v>
      </c>
      <c r="EQ55">
        <v>2000</v>
      </c>
      <c r="ER55">
        <v>21.18</v>
      </c>
      <c r="ES55">
        <v>0</v>
      </c>
      <c r="ET55">
        <v>0</v>
      </c>
      <c r="EU55">
        <v>0</v>
      </c>
      <c r="EV55">
        <v>0</v>
      </c>
      <c r="EW55">
        <v>0</v>
      </c>
      <c r="FA55">
        <v>0</v>
      </c>
      <c r="FE55">
        <v>0</v>
      </c>
      <c r="FI55">
        <v>0</v>
      </c>
      <c r="FJ55">
        <v>5441.7550000000001</v>
      </c>
      <c r="FK55">
        <v>34415</v>
      </c>
      <c r="FL55">
        <v>30254.840023390832</v>
      </c>
      <c r="FM55">
        <v>28973.244999999999</v>
      </c>
    </row>
    <row r="56" spans="1:169" x14ac:dyDescent="0.35">
      <c r="A56">
        <v>198711</v>
      </c>
      <c r="B56" s="43" t="s">
        <v>2044</v>
      </c>
      <c r="C56" s="43" t="s">
        <v>2051</v>
      </c>
      <c r="D56" s="43" t="s">
        <v>2052</v>
      </c>
      <c r="E56" s="43" t="s">
        <v>2053</v>
      </c>
      <c r="F56">
        <v>1</v>
      </c>
      <c r="H56" s="23"/>
      <c r="I56">
        <v>43804</v>
      </c>
      <c r="J56" s="43" t="s">
        <v>4240</v>
      </c>
      <c r="K56" s="43" t="s">
        <v>1715</v>
      </c>
      <c r="L56" s="43" t="s">
        <v>3204</v>
      </c>
      <c r="M56" s="43" t="s">
        <v>2054</v>
      </c>
      <c r="N56" s="43" t="s">
        <v>2055</v>
      </c>
      <c r="O56" s="43" t="s">
        <v>2056</v>
      </c>
      <c r="P56" s="43" t="s">
        <v>735</v>
      </c>
      <c r="Q56" s="43" t="s">
        <v>2057</v>
      </c>
      <c r="R56">
        <v>3.7</v>
      </c>
      <c r="S56" s="23">
        <v>44109</v>
      </c>
      <c r="T56" s="43" t="s">
        <v>285</v>
      </c>
      <c r="U56" s="43" t="s">
        <v>266</v>
      </c>
      <c r="V56" s="43" t="s">
        <v>267</v>
      </c>
      <c r="W56" s="43" t="s">
        <v>1718</v>
      </c>
      <c r="X56" s="43" t="s">
        <v>1719</v>
      </c>
      <c r="Y56">
        <v>8772802835</v>
      </c>
      <c r="Z56" s="43" t="s">
        <v>270</v>
      </c>
      <c r="AA56" s="43" t="s">
        <v>271</v>
      </c>
      <c r="AB56">
        <v>0</v>
      </c>
      <c r="AC56">
        <v>0</v>
      </c>
      <c r="AD56">
        <v>0</v>
      </c>
      <c r="AE56" s="43" t="s">
        <v>416</v>
      </c>
      <c r="AF56">
        <v>5</v>
      </c>
      <c r="AG56" s="43" t="s">
        <v>275</v>
      </c>
      <c r="AH56">
        <v>5165</v>
      </c>
      <c r="AI56">
        <v>5165</v>
      </c>
      <c r="AJ56" s="23">
        <v>43790</v>
      </c>
      <c r="AK56" s="43" t="s">
        <v>1715</v>
      </c>
      <c r="AL56" s="43" t="s">
        <v>259</v>
      </c>
      <c r="AM56" s="23"/>
      <c r="AN56" s="23"/>
      <c r="AO56" s="23"/>
      <c r="AP56" s="23"/>
      <c r="AQ56" s="23"/>
      <c r="BB56" s="43"/>
      <c r="BC56" s="43" t="s">
        <v>259</v>
      </c>
      <c r="BD56" s="43" t="s">
        <v>259</v>
      </c>
      <c r="BE56" s="43" t="s">
        <v>259</v>
      </c>
      <c r="BF56" s="43" t="s">
        <v>259</v>
      </c>
      <c r="BG56" s="43" t="s">
        <v>259</v>
      </c>
      <c r="BH56" t="s">
        <v>259</v>
      </c>
      <c r="BI56" s="43" t="s">
        <v>259</v>
      </c>
      <c r="BJ56">
        <v>0</v>
      </c>
      <c r="BK56" s="23">
        <v>44109</v>
      </c>
      <c r="BL56" s="23">
        <v>44356</v>
      </c>
      <c r="BM56">
        <v>8505</v>
      </c>
      <c r="BN56">
        <v>8505</v>
      </c>
      <c r="BO56">
        <v>8505</v>
      </c>
      <c r="BP56">
        <v>25515</v>
      </c>
      <c r="BQ56">
        <v>3300</v>
      </c>
      <c r="BR56">
        <v>400</v>
      </c>
      <c r="BS56">
        <v>400</v>
      </c>
      <c r="BT56">
        <v>4100</v>
      </c>
      <c r="BU56">
        <v>2100</v>
      </c>
      <c r="BV56">
        <v>2100</v>
      </c>
      <c r="BW56">
        <v>2100</v>
      </c>
      <c r="BX56">
        <v>6300</v>
      </c>
      <c r="BY56">
        <v>1200</v>
      </c>
      <c r="BZ56">
        <v>1200</v>
      </c>
      <c r="CA56">
        <v>1200</v>
      </c>
      <c r="CB56">
        <v>3600</v>
      </c>
      <c r="CC56">
        <v>0</v>
      </c>
      <c r="CD56">
        <v>0</v>
      </c>
      <c r="CE56">
        <v>0</v>
      </c>
      <c r="CF56">
        <v>0</v>
      </c>
      <c r="CG56">
        <v>39515</v>
      </c>
      <c r="CH56">
        <v>0</v>
      </c>
      <c r="CI56">
        <v>0</v>
      </c>
      <c r="CJ56">
        <v>0</v>
      </c>
      <c r="CK56">
        <v>0</v>
      </c>
      <c r="CL56">
        <v>349</v>
      </c>
      <c r="CM56">
        <v>348</v>
      </c>
      <c r="CN56">
        <v>348</v>
      </c>
      <c r="CO56">
        <v>1045</v>
      </c>
      <c r="CP56">
        <v>500</v>
      </c>
      <c r="CQ56">
        <v>500</v>
      </c>
      <c r="CR56">
        <v>500</v>
      </c>
      <c r="CS56">
        <v>1500</v>
      </c>
      <c r="CT56">
        <v>1000</v>
      </c>
      <c r="CU56">
        <v>1000</v>
      </c>
      <c r="CV56">
        <v>1000</v>
      </c>
      <c r="CW56">
        <v>3000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5545</v>
      </c>
      <c r="EE56">
        <v>0</v>
      </c>
      <c r="EF56">
        <v>0</v>
      </c>
      <c r="EG56">
        <v>0</v>
      </c>
      <c r="EH56">
        <v>0</v>
      </c>
      <c r="EI56">
        <v>1154</v>
      </c>
      <c r="EJ56">
        <v>1154</v>
      </c>
      <c r="EK56">
        <v>1155</v>
      </c>
      <c r="EL56">
        <v>3500</v>
      </c>
      <c r="EM56">
        <v>37.065000000000005</v>
      </c>
      <c r="EN56">
        <v>660</v>
      </c>
      <c r="EO56">
        <v>660</v>
      </c>
      <c r="EP56">
        <v>660</v>
      </c>
      <c r="EQ56">
        <v>2000</v>
      </c>
      <c r="ER56">
        <v>21.18</v>
      </c>
      <c r="ES56">
        <v>0</v>
      </c>
      <c r="ET56">
        <v>0</v>
      </c>
      <c r="EU56">
        <v>0</v>
      </c>
      <c r="EV56">
        <v>0</v>
      </c>
      <c r="EW56">
        <v>0</v>
      </c>
      <c r="FA56">
        <v>0</v>
      </c>
      <c r="FE56">
        <v>0</v>
      </c>
      <c r="FI56">
        <v>0</v>
      </c>
      <c r="FJ56">
        <v>5441.7550000000001</v>
      </c>
      <c r="FK56">
        <v>33970</v>
      </c>
      <c r="FL56">
        <v>29790.156008520946</v>
      </c>
      <c r="FM56">
        <v>28528.244999999999</v>
      </c>
    </row>
    <row r="57" spans="1:169" x14ac:dyDescent="0.35">
      <c r="A57">
        <v>196288</v>
      </c>
      <c r="B57" s="43" t="s">
        <v>2058</v>
      </c>
      <c r="C57" s="43" t="s">
        <v>529</v>
      </c>
      <c r="D57" s="43" t="s">
        <v>2059</v>
      </c>
      <c r="E57" s="43" t="s">
        <v>2060</v>
      </c>
      <c r="F57">
        <v>1</v>
      </c>
      <c r="H57" s="23"/>
      <c r="I57">
        <v>43790</v>
      </c>
      <c r="J57" s="43" t="s">
        <v>3304</v>
      </c>
      <c r="K57" s="43" t="s">
        <v>1715</v>
      </c>
      <c r="L57" s="43" t="s">
        <v>3204</v>
      </c>
      <c r="M57" s="43" t="s">
        <v>2061</v>
      </c>
      <c r="N57" s="43" t="s">
        <v>3979</v>
      </c>
      <c r="O57" s="43" t="s">
        <v>2062</v>
      </c>
      <c r="P57" s="43" t="s">
        <v>608</v>
      </c>
      <c r="Q57" s="43" t="s">
        <v>2063</v>
      </c>
      <c r="R57">
        <v>3.4651000000000001</v>
      </c>
      <c r="S57" s="23">
        <v>44109</v>
      </c>
      <c r="T57" s="43" t="s">
        <v>311</v>
      </c>
      <c r="U57" s="43" t="s">
        <v>266</v>
      </c>
      <c r="V57" s="43" t="s">
        <v>267</v>
      </c>
      <c r="W57" s="43" t="s">
        <v>1718</v>
      </c>
      <c r="X57" s="43" t="s">
        <v>1719</v>
      </c>
      <c r="Y57">
        <v>8772802835</v>
      </c>
      <c r="Z57" s="43" t="s">
        <v>270</v>
      </c>
      <c r="AA57" s="43" t="s">
        <v>271</v>
      </c>
      <c r="AB57">
        <v>14</v>
      </c>
      <c r="AC57">
        <v>0</v>
      </c>
      <c r="AD57">
        <v>93</v>
      </c>
      <c r="AE57" s="43" t="s">
        <v>376</v>
      </c>
      <c r="AF57">
        <v>7</v>
      </c>
      <c r="AG57" s="43" t="s">
        <v>275</v>
      </c>
      <c r="AH57">
        <v>0</v>
      </c>
      <c r="AI57">
        <v>0</v>
      </c>
      <c r="AJ57" s="23">
        <v>43783</v>
      </c>
      <c r="AK57" s="43" t="s">
        <v>1715</v>
      </c>
      <c r="AL57" s="43" t="s">
        <v>259</v>
      </c>
      <c r="AM57" s="23"/>
      <c r="AN57" s="23"/>
      <c r="AO57" s="23">
        <v>43796</v>
      </c>
      <c r="AP57" s="23">
        <v>43796</v>
      </c>
      <c r="AQ57" s="23">
        <v>43796</v>
      </c>
      <c r="BB57" s="43"/>
      <c r="BC57" s="43" t="s">
        <v>259</v>
      </c>
      <c r="BD57" s="43" t="s">
        <v>259</v>
      </c>
      <c r="BE57" s="43" t="s">
        <v>259</v>
      </c>
      <c r="BF57" s="43" t="s">
        <v>259</v>
      </c>
      <c r="BG57" s="43" t="s">
        <v>259</v>
      </c>
      <c r="BH57" t="s">
        <v>259</v>
      </c>
      <c r="BI57" s="43" t="s">
        <v>259</v>
      </c>
      <c r="BJ57">
        <v>0.13043478260869568</v>
      </c>
      <c r="BK57" s="23">
        <v>44109</v>
      </c>
      <c r="BL57" s="23">
        <v>44356</v>
      </c>
      <c r="BM57">
        <v>8505</v>
      </c>
      <c r="BN57">
        <v>8505</v>
      </c>
      <c r="BO57">
        <v>8505</v>
      </c>
      <c r="BP57">
        <v>25515</v>
      </c>
      <c r="BQ57">
        <v>3300</v>
      </c>
      <c r="BR57">
        <v>400</v>
      </c>
      <c r="BS57">
        <v>400</v>
      </c>
      <c r="BT57">
        <v>4100</v>
      </c>
      <c r="BU57">
        <v>2100</v>
      </c>
      <c r="BV57">
        <v>2100</v>
      </c>
      <c r="BW57">
        <v>2100</v>
      </c>
      <c r="BX57">
        <v>6300</v>
      </c>
      <c r="BY57">
        <v>1200</v>
      </c>
      <c r="BZ57">
        <v>1200</v>
      </c>
      <c r="CA57">
        <v>1200</v>
      </c>
      <c r="CB57">
        <v>3600</v>
      </c>
      <c r="CC57">
        <v>0</v>
      </c>
      <c r="CD57">
        <v>0</v>
      </c>
      <c r="CE57">
        <v>0</v>
      </c>
      <c r="CF57">
        <v>0</v>
      </c>
      <c r="CG57">
        <v>39515</v>
      </c>
      <c r="CH57">
        <v>0</v>
      </c>
      <c r="CI57">
        <v>0</v>
      </c>
      <c r="CJ57">
        <v>0</v>
      </c>
      <c r="CK57">
        <v>0</v>
      </c>
      <c r="CL57">
        <v>2065</v>
      </c>
      <c r="CM57">
        <v>2065</v>
      </c>
      <c r="CN57">
        <v>2065</v>
      </c>
      <c r="CO57">
        <v>6195</v>
      </c>
      <c r="CP57">
        <v>500</v>
      </c>
      <c r="CQ57">
        <v>500</v>
      </c>
      <c r="CR57">
        <v>500</v>
      </c>
      <c r="CS57">
        <v>1500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7695</v>
      </c>
      <c r="EE57">
        <v>0</v>
      </c>
      <c r="EF57">
        <v>0</v>
      </c>
      <c r="EG57">
        <v>0</v>
      </c>
      <c r="EH57">
        <v>0</v>
      </c>
      <c r="EI57">
        <v>1154</v>
      </c>
      <c r="EJ57">
        <v>1154</v>
      </c>
      <c r="EK57">
        <v>1155</v>
      </c>
      <c r="EL57">
        <v>3500</v>
      </c>
      <c r="EM57">
        <v>37.065000000000005</v>
      </c>
      <c r="EN57">
        <v>660</v>
      </c>
      <c r="EO57">
        <v>660</v>
      </c>
      <c r="EP57">
        <v>660</v>
      </c>
      <c r="EQ57">
        <v>2000</v>
      </c>
      <c r="ER57">
        <v>21.18</v>
      </c>
      <c r="ES57">
        <v>0</v>
      </c>
      <c r="ET57">
        <v>0</v>
      </c>
      <c r="EU57">
        <v>0</v>
      </c>
      <c r="EV57">
        <v>0</v>
      </c>
      <c r="EW57">
        <v>0</v>
      </c>
      <c r="FA57">
        <v>0</v>
      </c>
      <c r="FE57">
        <v>0</v>
      </c>
      <c r="FI57">
        <v>0</v>
      </c>
      <c r="FJ57">
        <v>5441.7550000000001</v>
      </c>
      <c r="FK57">
        <v>31820</v>
      </c>
      <c r="FL57">
        <v>27545.053464767552</v>
      </c>
      <c r="FM57">
        <v>26378.244999999999</v>
      </c>
    </row>
    <row r="58" spans="1:169" x14ac:dyDescent="0.35">
      <c r="A58">
        <v>198689</v>
      </c>
      <c r="B58" s="43" t="s">
        <v>3640</v>
      </c>
      <c r="C58" s="43" t="s">
        <v>1602</v>
      </c>
      <c r="D58" s="43" t="s">
        <v>3641</v>
      </c>
      <c r="E58" s="43" t="s">
        <v>3642</v>
      </c>
      <c r="F58">
        <v>1</v>
      </c>
      <c r="H58" s="23"/>
      <c r="I58">
        <v>43803</v>
      </c>
      <c r="J58" s="43" t="s">
        <v>3304</v>
      </c>
      <c r="K58" s="43" t="s">
        <v>1715</v>
      </c>
      <c r="L58" s="43" t="s">
        <v>259</v>
      </c>
      <c r="M58" s="43" t="s">
        <v>3643</v>
      </c>
      <c r="N58" s="43" t="s">
        <v>3644</v>
      </c>
      <c r="O58" s="43" t="s">
        <v>3645</v>
      </c>
      <c r="P58" s="43" t="s">
        <v>1650</v>
      </c>
      <c r="Q58" s="43" t="s">
        <v>3646</v>
      </c>
      <c r="S58" s="23">
        <v>44109</v>
      </c>
      <c r="T58" s="43" t="s">
        <v>311</v>
      </c>
      <c r="U58" s="43" t="s">
        <v>266</v>
      </c>
      <c r="V58" s="43" t="s">
        <v>267</v>
      </c>
      <c r="W58" s="43" t="s">
        <v>1718</v>
      </c>
      <c r="X58" s="43" t="s">
        <v>1719</v>
      </c>
      <c r="Y58">
        <v>8772802835</v>
      </c>
      <c r="Z58" s="43" t="s">
        <v>270</v>
      </c>
      <c r="AA58" s="43" t="s">
        <v>271</v>
      </c>
      <c r="AB58">
        <v>0</v>
      </c>
      <c r="AC58">
        <v>1020</v>
      </c>
      <c r="AD58">
        <v>89</v>
      </c>
      <c r="AE58" s="43" t="s">
        <v>344</v>
      </c>
      <c r="AF58">
        <v>10</v>
      </c>
      <c r="AG58" s="43" t="s">
        <v>3345</v>
      </c>
      <c r="AJ58" s="23"/>
      <c r="AK58" s="43" t="s">
        <v>259</v>
      </c>
      <c r="AL58" s="43" t="s">
        <v>259</v>
      </c>
      <c r="AM58" s="23"/>
      <c r="AN58" s="23"/>
      <c r="AO58" s="23"/>
      <c r="AP58" s="23"/>
      <c r="AQ58" s="23"/>
      <c r="BB58" s="43"/>
      <c r="BC58" s="43" t="s">
        <v>259</v>
      </c>
      <c r="BD58" s="43" t="s">
        <v>259</v>
      </c>
      <c r="BE58" s="43" t="s">
        <v>259</v>
      </c>
      <c r="BF58" s="43" t="s">
        <v>259</v>
      </c>
      <c r="BG58" s="43" t="s">
        <v>259</v>
      </c>
      <c r="BH58" t="s">
        <v>259</v>
      </c>
      <c r="BI58" s="43" t="s">
        <v>259</v>
      </c>
      <c r="BJ58">
        <v>0</v>
      </c>
      <c r="BK58" s="23">
        <v>44109</v>
      </c>
      <c r="BL58" s="23">
        <v>44356</v>
      </c>
      <c r="BM58">
        <v>8505</v>
      </c>
      <c r="BN58">
        <v>8505</v>
      </c>
      <c r="BO58">
        <v>8505</v>
      </c>
      <c r="BP58">
        <v>25515</v>
      </c>
      <c r="BQ58">
        <v>3300</v>
      </c>
      <c r="BR58">
        <v>400</v>
      </c>
      <c r="BS58">
        <v>400</v>
      </c>
      <c r="BT58">
        <v>4100</v>
      </c>
      <c r="BU58">
        <v>2100</v>
      </c>
      <c r="BV58">
        <v>2100</v>
      </c>
      <c r="BW58">
        <v>2100</v>
      </c>
      <c r="BX58">
        <v>6300</v>
      </c>
      <c r="BY58">
        <v>1200</v>
      </c>
      <c r="BZ58">
        <v>1200</v>
      </c>
      <c r="CA58">
        <v>1200</v>
      </c>
      <c r="CB58">
        <v>3600</v>
      </c>
      <c r="CC58">
        <v>0</v>
      </c>
      <c r="CD58">
        <v>0</v>
      </c>
      <c r="CE58">
        <v>0</v>
      </c>
      <c r="CF58">
        <v>0</v>
      </c>
      <c r="CG58">
        <v>39515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M58">
        <v>0</v>
      </c>
      <c r="EN58">
        <v>660</v>
      </c>
      <c r="EO58">
        <v>660</v>
      </c>
      <c r="EP58">
        <v>660</v>
      </c>
      <c r="EQ58">
        <v>2000</v>
      </c>
      <c r="ER58">
        <v>21.18</v>
      </c>
      <c r="ES58">
        <v>0</v>
      </c>
      <c r="ET58">
        <v>0</v>
      </c>
      <c r="EU58">
        <v>0</v>
      </c>
      <c r="EW58">
        <v>0</v>
      </c>
      <c r="FA58">
        <v>0</v>
      </c>
      <c r="FE58">
        <v>0</v>
      </c>
      <c r="FI58">
        <v>0</v>
      </c>
      <c r="FJ58">
        <v>1978.82</v>
      </c>
      <c r="FK58">
        <v>39515</v>
      </c>
      <c r="FL58">
        <v>39196.54567478384</v>
      </c>
      <c r="FM58">
        <v>37536.18</v>
      </c>
    </row>
    <row r="59" spans="1:169" x14ac:dyDescent="0.35">
      <c r="A59">
        <v>198858</v>
      </c>
      <c r="B59" s="43" t="s">
        <v>3647</v>
      </c>
      <c r="C59" s="43" t="s">
        <v>3648</v>
      </c>
      <c r="D59" s="43" t="s">
        <v>3649</v>
      </c>
      <c r="E59" s="43" t="s">
        <v>3650</v>
      </c>
      <c r="F59">
        <v>1</v>
      </c>
      <c r="H59" s="23"/>
      <c r="I59">
        <v>43802</v>
      </c>
      <c r="J59" s="43" t="s">
        <v>3304</v>
      </c>
      <c r="K59" s="43" t="s">
        <v>1715</v>
      </c>
      <c r="L59" s="43" t="s">
        <v>344</v>
      </c>
      <c r="M59" s="43" t="s">
        <v>3651</v>
      </c>
      <c r="N59" s="43" t="s">
        <v>3652</v>
      </c>
      <c r="O59" s="43" t="s">
        <v>3653</v>
      </c>
      <c r="P59" s="43" t="s">
        <v>1514</v>
      </c>
      <c r="Q59" s="43" t="s">
        <v>3654</v>
      </c>
      <c r="S59" s="23">
        <v>44109</v>
      </c>
      <c r="T59" s="43" t="s">
        <v>265</v>
      </c>
      <c r="U59" s="43" t="s">
        <v>266</v>
      </c>
      <c r="V59" s="43" t="s">
        <v>267</v>
      </c>
      <c r="W59" s="43" t="s">
        <v>1718</v>
      </c>
      <c r="X59" s="43" t="s">
        <v>1719</v>
      </c>
      <c r="Y59">
        <v>8772802835</v>
      </c>
      <c r="Z59" s="43" t="s">
        <v>508</v>
      </c>
      <c r="AA59" s="43" t="s">
        <v>271</v>
      </c>
      <c r="AB59">
        <v>0</v>
      </c>
      <c r="AC59">
        <v>0</v>
      </c>
      <c r="AD59">
        <v>0</v>
      </c>
      <c r="AE59" s="43" t="s">
        <v>344</v>
      </c>
      <c r="AF59">
        <v>10</v>
      </c>
      <c r="AG59" s="43" t="s">
        <v>3345</v>
      </c>
      <c r="AH59">
        <v>0</v>
      </c>
      <c r="AI59">
        <v>0</v>
      </c>
      <c r="AJ59" s="23">
        <v>43801</v>
      </c>
      <c r="AK59" s="43" t="s">
        <v>3208</v>
      </c>
      <c r="AL59" s="43" t="s">
        <v>3209</v>
      </c>
      <c r="AM59" s="23"/>
      <c r="AN59" s="23"/>
      <c r="AO59" s="23">
        <v>43789</v>
      </c>
      <c r="AP59" s="23"/>
      <c r="AQ59" s="23"/>
      <c r="BB59" s="43"/>
      <c r="BC59" s="43" t="s">
        <v>2018</v>
      </c>
      <c r="BD59" s="43" t="s">
        <v>2018</v>
      </c>
      <c r="BE59" s="43" t="s">
        <v>2018</v>
      </c>
      <c r="BF59" s="43" t="s">
        <v>2018</v>
      </c>
      <c r="BG59" s="43" t="s">
        <v>2018</v>
      </c>
      <c r="BH59" t="s">
        <v>2018</v>
      </c>
      <c r="BI59" s="43" t="s">
        <v>2018</v>
      </c>
      <c r="BJ59">
        <v>6.25E-2</v>
      </c>
      <c r="BK59" s="23">
        <v>44109</v>
      </c>
      <c r="BL59" s="23">
        <v>44356</v>
      </c>
      <c r="BM59">
        <v>8505</v>
      </c>
      <c r="BN59">
        <v>8505</v>
      </c>
      <c r="BO59">
        <v>8505</v>
      </c>
      <c r="BP59">
        <v>25515</v>
      </c>
      <c r="BQ59">
        <v>3300</v>
      </c>
      <c r="BR59">
        <v>400</v>
      </c>
      <c r="BS59">
        <v>400</v>
      </c>
      <c r="BT59">
        <v>4100</v>
      </c>
      <c r="BU59">
        <v>2100</v>
      </c>
      <c r="BV59">
        <v>2100</v>
      </c>
      <c r="BW59">
        <v>2100</v>
      </c>
      <c r="BX59">
        <v>6300</v>
      </c>
      <c r="BY59">
        <v>1200</v>
      </c>
      <c r="BZ59">
        <v>1200</v>
      </c>
      <c r="CA59">
        <v>1200</v>
      </c>
      <c r="CB59">
        <v>3600</v>
      </c>
      <c r="CC59">
        <v>0</v>
      </c>
      <c r="CD59">
        <v>0</v>
      </c>
      <c r="CE59">
        <v>0</v>
      </c>
      <c r="CF59">
        <v>0</v>
      </c>
      <c r="CG59">
        <v>39515</v>
      </c>
      <c r="CH59">
        <v>0</v>
      </c>
      <c r="CI59">
        <v>0</v>
      </c>
      <c r="CJ59">
        <v>0</v>
      </c>
      <c r="CK59">
        <v>0</v>
      </c>
      <c r="CL59">
        <v>2065</v>
      </c>
      <c r="CM59">
        <v>2065</v>
      </c>
      <c r="CN59">
        <v>2065</v>
      </c>
      <c r="CO59">
        <v>6195</v>
      </c>
      <c r="CP59">
        <v>500</v>
      </c>
      <c r="CQ59">
        <v>500</v>
      </c>
      <c r="CR59">
        <v>500</v>
      </c>
      <c r="CS59">
        <v>1500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7695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M59">
        <v>0</v>
      </c>
      <c r="EN59">
        <v>660</v>
      </c>
      <c r="EO59">
        <v>660</v>
      </c>
      <c r="EP59">
        <v>660</v>
      </c>
      <c r="EQ59">
        <v>2000</v>
      </c>
      <c r="ER59">
        <v>21.18</v>
      </c>
      <c r="ES59">
        <v>0</v>
      </c>
      <c r="ET59">
        <v>0</v>
      </c>
      <c r="EU59">
        <v>0</v>
      </c>
      <c r="EW59">
        <v>0</v>
      </c>
      <c r="FA59">
        <v>0</v>
      </c>
      <c r="FE59">
        <v>0</v>
      </c>
      <c r="FI59">
        <v>0</v>
      </c>
      <c r="FJ59">
        <v>1978.82</v>
      </c>
      <c r="FK59">
        <v>31820</v>
      </c>
      <c r="FL59">
        <v>31161.167035629252</v>
      </c>
      <c r="FM59">
        <v>29841.18</v>
      </c>
    </row>
    <row r="60" spans="1:169" x14ac:dyDescent="0.35">
      <c r="A60">
        <v>197980</v>
      </c>
      <c r="B60" s="43" t="s">
        <v>2064</v>
      </c>
      <c r="C60" s="43" t="s">
        <v>2065</v>
      </c>
      <c r="D60" s="43" t="s">
        <v>2066</v>
      </c>
      <c r="E60" s="43" t="s">
        <v>2067</v>
      </c>
      <c r="F60">
        <v>1</v>
      </c>
      <c r="H60" s="23"/>
      <c r="I60">
        <v>43804</v>
      </c>
      <c r="J60" s="43" t="s">
        <v>4240</v>
      </c>
      <c r="K60" s="43" t="s">
        <v>1715</v>
      </c>
      <c r="L60" s="43" t="s">
        <v>3204</v>
      </c>
      <c r="M60" s="43" t="s">
        <v>2068</v>
      </c>
      <c r="N60" s="43" t="s">
        <v>2069</v>
      </c>
      <c r="O60" s="43" t="s">
        <v>2070</v>
      </c>
      <c r="P60" s="43" t="s">
        <v>759</v>
      </c>
      <c r="Q60" s="43" t="s">
        <v>2071</v>
      </c>
      <c r="R60">
        <v>4</v>
      </c>
      <c r="S60" s="23">
        <v>44109</v>
      </c>
      <c r="T60" s="43" t="s">
        <v>265</v>
      </c>
      <c r="U60" s="43" t="s">
        <v>266</v>
      </c>
      <c r="V60" s="43" t="s">
        <v>267</v>
      </c>
      <c r="W60" s="43" t="s">
        <v>1718</v>
      </c>
      <c r="X60" s="43" t="s">
        <v>1719</v>
      </c>
      <c r="Y60">
        <v>8772802835</v>
      </c>
      <c r="Z60" s="43" t="s">
        <v>270</v>
      </c>
      <c r="AA60" s="43" t="s">
        <v>271</v>
      </c>
      <c r="AB60">
        <v>0</v>
      </c>
      <c r="AC60">
        <v>1340</v>
      </c>
      <c r="AD60">
        <v>131</v>
      </c>
      <c r="AE60" s="43" t="s">
        <v>301</v>
      </c>
      <c r="AF60">
        <v>1</v>
      </c>
      <c r="AG60" s="43" t="s">
        <v>275</v>
      </c>
      <c r="AH60">
        <v>10365</v>
      </c>
      <c r="AI60">
        <v>10365</v>
      </c>
      <c r="AJ60" s="23">
        <v>43790</v>
      </c>
      <c r="AK60" s="43" t="s">
        <v>3208</v>
      </c>
      <c r="AL60" s="43" t="s">
        <v>3209</v>
      </c>
      <c r="AM60" s="23"/>
      <c r="AN60" s="23"/>
      <c r="AO60" s="23"/>
      <c r="AP60" s="23"/>
      <c r="AQ60" s="23"/>
      <c r="BB60" s="43"/>
      <c r="BC60" s="43" t="s">
        <v>2018</v>
      </c>
      <c r="BD60" s="43" t="s">
        <v>2018</v>
      </c>
      <c r="BE60" s="43" t="s">
        <v>2018</v>
      </c>
      <c r="BF60" s="43" t="s">
        <v>2018</v>
      </c>
      <c r="BG60" s="43" t="s">
        <v>2018</v>
      </c>
      <c r="BH60" t="s">
        <v>2018</v>
      </c>
      <c r="BI60" s="43" t="s">
        <v>2018</v>
      </c>
      <c r="BJ60">
        <v>0</v>
      </c>
      <c r="BK60" s="23">
        <v>44109</v>
      </c>
      <c r="BL60" s="23">
        <v>44356</v>
      </c>
      <c r="BM60">
        <v>8505</v>
      </c>
      <c r="BN60">
        <v>8505</v>
      </c>
      <c r="BO60">
        <v>8505</v>
      </c>
      <c r="BP60">
        <v>25515</v>
      </c>
      <c r="BQ60">
        <v>3300</v>
      </c>
      <c r="BR60">
        <v>400</v>
      </c>
      <c r="BS60">
        <v>400</v>
      </c>
      <c r="BT60">
        <v>4100</v>
      </c>
      <c r="BU60">
        <v>2100</v>
      </c>
      <c r="BV60">
        <v>2100</v>
      </c>
      <c r="BW60">
        <v>2100</v>
      </c>
      <c r="BX60">
        <v>6300</v>
      </c>
      <c r="BY60">
        <v>1200</v>
      </c>
      <c r="BZ60">
        <v>1200</v>
      </c>
      <c r="CA60">
        <v>1200</v>
      </c>
      <c r="CB60">
        <v>3600</v>
      </c>
      <c r="CC60">
        <v>0</v>
      </c>
      <c r="CD60">
        <v>0</v>
      </c>
      <c r="CE60">
        <v>0</v>
      </c>
      <c r="CF60">
        <v>0</v>
      </c>
      <c r="CG60">
        <v>39515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1700</v>
      </c>
      <c r="CU60">
        <v>1700</v>
      </c>
      <c r="CV60">
        <v>1700</v>
      </c>
      <c r="CW60">
        <v>5100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5100</v>
      </c>
      <c r="EE60">
        <v>0</v>
      </c>
      <c r="EF60">
        <v>0</v>
      </c>
      <c r="EG60">
        <v>0</v>
      </c>
      <c r="EH60">
        <v>0</v>
      </c>
      <c r="EI60">
        <v>1154</v>
      </c>
      <c r="EJ60">
        <v>1154</v>
      </c>
      <c r="EK60">
        <v>1155</v>
      </c>
      <c r="EL60">
        <v>3500</v>
      </c>
      <c r="EM60">
        <v>37.065000000000005</v>
      </c>
      <c r="EN60">
        <v>660</v>
      </c>
      <c r="EO60">
        <v>660</v>
      </c>
      <c r="EP60">
        <v>660</v>
      </c>
      <c r="EQ60">
        <v>2000</v>
      </c>
      <c r="ER60">
        <v>21.18</v>
      </c>
      <c r="ES60">
        <v>0</v>
      </c>
      <c r="ET60">
        <v>0</v>
      </c>
      <c r="EU60">
        <v>0</v>
      </c>
      <c r="EV60">
        <v>0</v>
      </c>
      <c r="EW60">
        <v>0</v>
      </c>
      <c r="FA60">
        <v>0</v>
      </c>
      <c r="FE60">
        <v>0</v>
      </c>
      <c r="FI60">
        <v>0</v>
      </c>
      <c r="FJ60">
        <v>5441.7550000000001</v>
      </c>
      <c r="FK60">
        <v>34415</v>
      </c>
      <c r="FL60">
        <v>30254.840023390832</v>
      </c>
      <c r="FM60">
        <v>28973.244999999999</v>
      </c>
    </row>
    <row r="61" spans="1:169" x14ac:dyDescent="0.35">
      <c r="A61">
        <v>192880</v>
      </c>
      <c r="B61" s="43" t="s">
        <v>2064</v>
      </c>
      <c r="C61" s="43" t="s">
        <v>1094</v>
      </c>
      <c r="D61" s="43" t="s">
        <v>2072</v>
      </c>
      <c r="E61" s="43" t="s">
        <v>2073</v>
      </c>
      <c r="F61">
        <v>1</v>
      </c>
      <c r="H61" s="23"/>
      <c r="I61">
        <v>43775</v>
      </c>
      <c r="J61" s="43" t="s">
        <v>3305</v>
      </c>
      <c r="K61" s="43" t="s">
        <v>1715</v>
      </c>
      <c r="L61" s="43" t="s">
        <v>3204</v>
      </c>
      <c r="M61" s="43" t="s">
        <v>2074</v>
      </c>
      <c r="N61" s="43" t="s">
        <v>2075</v>
      </c>
      <c r="O61" s="43" t="s">
        <v>2076</v>
      </c>
      <c r="P61" s="43" t="s">
        <v>677</v>
      </c>
      <c r="Q61" s="43" t="s">
        <v>2077</v>
      </c>
      <c r="R61">
        <v>4</v>
      </c>
      <c r="S61" s="23">
        <v>44109</v>
      </c>
      <c r="T61" s="43" t="s">
        <v>311</v>
      </c>
      <c r="U61" s="43" t="s">
        <v>266</v>
      </c>
      <c r="V61" s="43" t="s">
        <v>267</v>
      </c>
      <c r="W61" s="43" t="s">
        <v>1718</v>
      </c>
      <c r="X61" s="43" t="s">
        <v>1719</v>
      </c>
      <c r="Y61">
        <v>8772802835</v>
      </c>
      <c r="Z61" s="43" t="s">
        <v>270</v>
      </c>
      <c r="AA61" s="43" t="s">
        <v>271</v>
      </c>
      <c r="AB61">
        <v>26</v>
      </c>
      <c r="AC61">
        <v>0</v>
      </c>
      <c r="AD61">
        <v>124</v>
      </c>
      <c r="AE61" s="43" t="s">
        <v>301</v>
      </c>
      <c r="AF61">
        <v>1</v>
      </c>
      <c r="AG61" s="43" t="s">
        <v>275</v>
      </c>
      <c r="AH61">
        <v>0</v>
      </c>
      <c r="AI61">
        <v>0</v>
      </c>
      <c r="AJ61" s="23">
        <v>43774</v>
      </c>
      <c r="AK61" s="43" t="s">
        <v>3208</v>
      </c>
      <c r="AL61" s="43" t="s">
        <v>3209</v>
      </c>
      <c r="AM61" s="23"/>
      <c r="AN61" s="23"/>
      <c r="AO61" s="23"/>
      <c r="AP61" s="23"/>
      <c r="AQ61" s="23"/>
      <c r="BB61" s="43"/>
      <c r="BC61" s="43" t="s">
        <v>2018</v>
      </c>
      <c r="BD61" s="43" t="s">
        <v>2018</v>
      </c>
      <c r="BE61" s="43" t="s">
        <v>2018</v>
      </c>
      <c r="BF61" s="43" t="s">
        <v>2018</v>
      </c>
      <c r="BG61" s="43" t="s">
        <v>2018</v>
      </c>
      <c r="BH61" t="s">
        <v>2018</v>
      </c>
      <c r="BI61" s="43" t="s">
        <v>2018</v>
      </c>
      <c r="BJ61">
        <v>0</v>
      </c>
      <c r="BK61" s="23">
        <v>44109</v>
      </c>
      <c r="BL61" s="23">
        <v>44356</v>
      </c>
      <c r="BM61">
        <v>8505</v>
      </c>
      <c r="BN61">
        <v>8505</v>
      </c>
      <c r="BO61">
        <v>8505</v>
      </c>
      <c r="BP61">
        <v>25515</v>
      </c>
      <c r="BQ61">
        <v>3300</v>
      </c>
      <c r="BR61">
        <v>400</v>
      </c>
      <c r="BS61">
        <v>400</v>
      </c>
      <c r="BT61">
        <v>4100</v>
      </c>
      <c r="BU61">
        <v>2100</v>
      </c>
      <c r="BV61">
        <v>2100</v>
      </c>
      <c r="BW61">
        <v>2100</v>
      </c>
      <c r="BX61">
        <v>6300</v>
      </c>
      <c r="BY61">
        <v>1200</v>
      </c>
      <c r="BZ61">
        <v>1200</v>
      </c>
      <c r="CA61">
        <v>1200</v>
      </c>
      <c r="CB61">
        <v>3600</v>
      </c>
      <c r="CC61">
        <v>0</v>
      </c>
      <c r="CD61">
        <v>0</v>
      </c>
      <c r="CE61">
        <v>0</v>
      </c>
      <c r="CF61">
        <v>0</v>
      </c>
      <c r="CG61">
        <v>39515</v>
      </c>
      <c r="CH61">
        <v>0</v>
      </c>
      <c r="CI61">
        <v>0</v>
      </c>
      <c r="CJ61">
        <v>0</v>
      </c>
      <c r="CK61">
        <v>0</v>
      </c>
      <c r="CL61">
        <v>2065</v>
      </c>
      <c r="CM61">
        <v>2065</v>
      </c>
      <c r="CN61">
        <v>2065</v>
      </c>
      <c r="CO61">
        <v>6195</v>
      </c>
      <c r="CP61">
        <v>500</v>
      </c>
      <c r="CQ61">
        <v>500</v>
      </c>
      <c r="CR61">
        <v>500</v>
      </c>
      <c r="CS61">
        <v>1500</v>
      </c>
      <c r="CT61">
        <v>1700</v>
      </c>
      <c r="CU61">
        <v>1700</v>
      </c>
      <c r="CV61">
        <v>1700</v>
      </c>
      <c r="CW61">
        <v>5100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12795</v>
      </c>
      <c r="EE61">
        <v>0</v>
      </c>
      <c r="EF61">
        <v>0</v>
      </c>
      <c r="EG61">
        <v>0</v>
      </c>
      <c r="EH61">
        <v>0</v>
      </c>
      <c r="EI61">
        <v>1154</v>
      </c>
      <c r="EJ61">
        <v>1154</v>
      </c>
      <c r="EK61">
        <v>1155</v>
      </c>
      <c r="EL61">
        <v>3500</v>
      </c>
      <c r="EM61">
        <v>37.065000000000005</v>
      </c>
      <c r="EN61">
        <v>660</v>
      </c>
      <c r="EO61">
        <v>660</v>
      </c>
      <c r="EP61">
        <v>660</v>
      </c>
      <c r="EQ61">
        <v>2000</v>
      </c>
      <c r="ER61">
        <v>21.18</v>
      </c>
      <c r="ES61">
        <v>0</v>
      </c>
      <c r="ET61">
        <v>0</v>
      </c>
      <c r="EU61">
        <v>0</v>
      </c>
      <c r="EV61">
        <v>0</v>
      </c>
      <c r="EW61">
        <v>0</v>
      </c>
      <c r="FA61">
        <v>0</v>
      </c>
      <c r="FE61">
        <v>0</v>
      </c>
      <c r="FI61">
        <v>0</v>
      </c>
      <c r="FJ61">
        <v>5441.7550000000001</v>
      </c>
      <c r="FK61">
        <v>26720</v>
      </c>
      <c r="FL61">
        <v>22219.461384236245</v>
      </c>
      <c r="FM61">
        <v>21278.244999999999</v>
      </c>
    </row>
    <row r="62" spans="1:169" x14ac:dyDescent="0.35">
      <c r="A62">
        <v>195960</v>
      </c>
      <c r="B62" s="43" t="s">
        <v>2078</v>
      </c>
      <c r="C62" s="43" t="s">
        <v>2079</v>
      </c>
      <c r="D62" s="43" t="s">
        <v>2080</v>
      </c>
      <c r="E62" s="43" t="s">
        <v>2081</v>
      </c>
      <c r="F62">
        <v>1</v>
      </c>
      <c r="H62" s="23"/>
      <c r="I62">
        <v>43775</v>
      </c>
      <c r="J62" s="43" t="s">
        <v>3304</v>
      </c>
      <c r="K62" s="43" t="s">
        <v>1715</v>
      </c>
      <c r="L62" s="43" t="s">
        <v>3204</v>
      </c>
      <c r="M62" s="43" t="s">
        <v>2082</v>
      </c>
      <c r="N62" s="43" t="s">
        <v>2083</v>
      </c>
      <c r="O62" s="43" t="s">
        <v>2084</v>
      </c>
      <c r="P62" s="43" t="s">
        <v>911</v>
      </c>
      <c r="Q62" s="43" t="s">
        <v>2085</v>
      </c>
      <c r="R62">
        <v>3.21</v>
      </c>
      <c r="S62" s="23">
        <v>44109</v>
      </c>
      <c r="T62" s="43" t="s">
        <v>311</v>
      </c>
      <c r="U62" s="43" t="s">
        <v>266</v>
      </c>
      <c r="V62" s="43" t="s">
        <v>267</v>
      </c>
      <c r="W62" s="43" t="s">
        <v>1718</v>
      </c>
      <c r="X62" s="43" t="s">
        <v>1719</v>
      </c>
      <c r="Y62">
        <v>8772802835</v>
      </c>
      <c r="Z62" s="43" t="s">
        <v>270</v>
      </c>
      <c r="AA62" s="43" t="s">
        <v>271</v>
      </c>
      <c r="AB62">
        <v>0</v>
      </c>
      <c r="AC62">
        <v>0</v>
      </c>
      <c r="AD62">
        <v>0</v>
      </c>
      <c r="AE62" s="43" t="s">
        <v>324</v>
      </c>
      <c r="AF62">
        <v>8</v>
      </c>
      <c r="AG62" s="43" t="s">
        <v>275</v>
      </c>
      <c r="AH62">
        <v>1718</v>
      </c>
      <c r="AI62">
        <v>1718</v>
      </c>
      <c r="AJ62" s="23">
        <v>43774</v>
      </c>
      <c r="AK62" s="43" t="s">
        <v>1715</v>
      </c>
      <c r="AL62" s="43" t="s">
        <v>259</v>
      </c>
      <c r="AM62" s="23"/>
      <c r="AN62" s="23"/>
      <c r="AO62" s="23"/>
      <c r="AP62" s="23"/>
      <c r="AQ62" s="23"/>
      <c r="BB62" s="43"/>
      <c r="BC62" s="43" t="s">
        <v>259</v>
      </c>
      <c r="BD62" s="43" t="s">
        <v>259</v>
      </c>
      <c r="BE62" s="43" t="s">
        <v>259</v>
      </c>
      <c r="BF62" s="43" t="s">
        <v>2018</v>
      </c>
      <c r="BG62" s="43" t="s">
        <v>2018</v>
      </c>
      <c r="BH62">
        <v>43740</v>
      </c>
      <c r="BI62" s="43" t="s">
        <v>259</v>
      </c>
      <c r="BJ62">
        <v>4.7619047619047672E-2</v>
      </c>
      <c r="BK62" s="23">
        <v>44109</v>
      </c>
      <c r="BL62" s="23">
        <v>44356</v>
      </c>
      <c r="BM62">
        <v>8505</v>
      </c>
      <c r="BN62">
        <v>8505</v>
      </c>
      <c r="BO62">
        <v>8505</v>
      </c>
      <c r="BP62">
        <v>25515</v>
      </c>
      <c r="BQ62">
        <v>3300</v>
      </c>
      <c r="BR62">
        <v>400</v>
      </c>
      <c r="BS62">
        <v>400</v>
      </c>
      <c r="BT62">
        <v>4100</v>
      </c>
      <c r="BU62">
        <v>2100</v>
      </c>
      <c r="BV62">
        <v>2100</v>
      </c>
      <c r="BW62">
        <v>2100</v>
      </c>
      <c r="BX62">
        <v>6300</v>
      </c>
      <c r="BY62">
        <v>1200</v>
      </c>
      <c r="BZ62">
        <v>1200</v>
      </c>
      <c r="CA62">
        <v>1200</v>
      </c>
      <c r="CB62">
        <v>3600</v>
      </c>
      <c r="CC62">
        <v>0</v>
      </c>
      <c r="CD62">
        <v>0</v>
      </c>
      <c r="CE62">
        <v>0</v>
      </c>
      <c r="CF62">
        <v>0</v>
      </c>
      <c r="CG62">
        <v>39515</v>
      </c>
      <c r="CH62">
        <v>0</v>
      </c>
      <c r="CI62">
        <v>0</v>
      </c>
      <c r="CJ62">
        <v>0</v>
      </c>
      <c r="CK62">
        <v>0</v>
      </c>
      <c r="CL62">
        <v>1482</v>
      </c>
      <c r="CM62">
        <v>1482</v>
      </c>
      <c r="CN62">
        <v>1481</v>
      </c>
      <c r="CO62">
        <v>4445</v>
      </c>
      <c r="CP62">
        <v>500</v>
      </c>
      <c r="CQ62">
        <v>500</v>
      </c>
      <c r="CR62">
        <v>500</v>
      </c>
      <c r="CS62">
        <v>1500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5945</v>
      </c>
      <c r="EE62">
        <v>0</v>
      </c>
      <c r="EF62">
        <v>0</v>
      </c>
      <c r="EG62">
        <v>0</v>
      </c>
      <c r="EH62">
        <v>0</v>
      </c>
      <c r="EI62">
        <v>1154</v>
      </c>
      <c r="EJ62">
        <v>1154</v>
      </c>
      <c r="EK62">
        <v>1155</v>
      </c>
      <c r="EL62">
        <v>3500</v>
      </c>
      <c r="EM62">
        <v>37.065000000000005</v>
      </c>
      <c r="EN62">
        <v>660</v>
      </c>
      <c r="EO62">
        <v>660</v>
      </c>
      <c r="EP62">
        <v>660</v>
      </c>
      <c r="EQ62">
        <v>2000</v>
      </c>
      <c r="ER62">
        <v>21.18</v>
      </c>
      <c r="ES62">
        <v>0</v>
      </c>
      <c r="ET62">
        <v>0</v>
      </c>
      <c r="EU62">
        <v>0</v>
      </c>
      <c r="EV62">
        <v>0</v>
      </c>
      <c r="EW62">
        <v>0</v>
      </c>
      <c r="FA62">
        <v>0</v>
      </c>
      <c r="FE62">
        <v>0</v>
      </c>
      <c r="FI62">
        <v>0</v>
      </c>
      <c r="FJ62">
        <v>5441.7550000000001</v>
      </c>
      <c r="FK62">
        <v>33570</v>
      </c>
      <c r="FL62">
        <v>29372.462512008686</v>
      </c>
      <c r="FM62">
        <v>28128.244999999999</v>
      </c>
    </row>
    <row r="63" spans="1:169" x14ac:dyDescent="0.35">
      <c r="A63">
        <v>198567</v>
      </c>
      <c r="B63" s="43" t="s">
        <v>2078</v>
      </c>
      <c r="C63" s="43" t="s">
        <v>676</v>
      </c>
      <c r="D63" s="43" t="s">
        <v>2086</v>
      </c>
      <c r="E63" s="43" t="s">
        <v>2087</v>
      </c>
      <c r="F63">
        <v>1</v>
      </c>
      <c r="H63" s="23"/>
      <c r="I63">
        <v>43804</v>
      </c>
      <c r="J63" s="43" t="s">
        <v>4242</v>
      </c>
      <c r="K63" s="43" t="s">
        <v>1715</v>
      </c>
      <c r="L63" s="43" t="s">
        <v>259</v>
      </c>
      <c r="M63" s="43" t="s">
        <v>2088</v>
      </c>
      <c r="N63" s="43" t="s">
        <v>2089</v>
      </c>
      <c r="O63" s="43" t="s">
        <v>2090</v>
      </c>
      <c r="P63" s="43" t="s">
        <v>705</v>
      </c>
      <c r="Q63" s="43" t="s">
        <v>2091</v>
      </c>
      <c r="S63" s="23">
        <v>44109</v>
      </c>
      <c r="T63" s="43" t="s">
        <v>285</v>
      </c>
      <c r="U63" s="43" t="s">
        <v>312</v>
      </c>
      <c r="V63" s="43" t="s">
        <v>267</v>
      </c>
      <c r="W63" s="43" t="s">
        <v>1718</v>
      </c>
      <c r="X63" s="43" t="s">
        <v>1719</v>
      </c>
      <c r="Y63">
        <v>8772802835</v>
      </c>
      <c r="Z63" s="43" t="s">
        <v>270</v>
      </c>
      <c r="AA63" s="43" t="s">
        <v>271</v>
      </c>
      <c r="AB63">
        <v>0</v>
      </c>
      <c r="AC63">
        <v>1050</v>
      </c>
      <c r="AD63">
        <v>104</v>
      </c>
      <c r="AE63" s="43" t="s">
        <v>416</v>
      </c>
      <c r="AF63">
        <v>5</v>
      </c>
      <c r="AG63" s="43" t="s">
        <v>446</v>
      </c>
      <c r="AJ63" s="23"/>
      <c r="AK63" s="43" t="s">
        <v>259</v>
      </c>
      <c r="AL63" s="43" t="s">
        <v>259</v>
      </c>
      <c r="AM63" s="23"/>
      <c r="AN63" s="23"/>
      <c r="AO63" s="23"/>
      <c r="AP63" s="23"/>
      <c r="AQ63" s="23"/>
      <c r="BB63" s="43"/>
      <c r="BC63" s="43" t="s">
        <v>259</v>
      </c>
      <c r="BD63" s="43" t="s">
        <v>259</v>
      </c>
      <c r="BE63" s="43" t="s">
        <v>259</v>
      </c>
      <c r="BF63" s="43" t="s">
        <v>259</v>
      </c>
      <c r="BG63" s="43" t="s">
        <v>259</v>
      </c>
      <c r="BH63" t="s">
        <v>259</v>
      </c>
      <c r="BI63" s="43" t="s">
        <v>259</v>
      </c>
      <c r="BJ63">
        <v>0</v>
      </c>
      <c r="BK63" s="23">
        <v>44109</v>
      </c>
      <c r="BL63" s="23">
        <v>44356</v>
      </c>
      <c r="BM63">
        <v>8505</v>
      </c>
      <c r="BN63">
        <v>8505</v>
      </c>
      <c r="BO63">
        <v>8505</v>
      </c>
      <c r="BP63">
        <v>25515</v>
      </c>
      <c r="BQ63">
        <v>3300</v>
      </c>
      <c r="BR63">
        <v>400</v>
      </c>
      <c r="BS63">
        <v>400</v>
      </c>
      <c r="BT63">
        <v>4100</v>
      </c>
      <c r="BU63">
        <v>2100</v>
      </c>
      <c r="BV63">
        <v>2100</v>
      </c>
      <c r="BW63">
        <v>2100</v>
      </c>
      <c r="BX63">
        <v>6300</v>
      </c>
      <c r="BY63">
        <v>1200</v>
      </c>
      <c r="BZ63">
        <v>1200</v>
      </c>
      <c r="CA63">
        <v>1200</v>
      </c>
      <c r="CB63">
        <v>3600</v>
      </c>
      <c r="CC63">
        <v>0</v>
      </c>
      <c r="CD63">
        <v>0</v>
      </c>
      <c r="CE63">
        <v>0</v>
      </c>
      <c r="CF63">
        <v>0</v>
      </c>
      <c r="CG63">
        <v>39515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1000</v>
      </c>
      <c r="CU63">
        <v>1000</v>
      </c>
      <c r="CV63">
        <v>1000</v>
      </c>
      <c r="CW63">
        <v>3000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3000</v>
      </c>
      <c r="EE63">
        <v>0</v>
      </c>
      <c r="EF63">
        <v>0</v>
      </c>
      <c r="EG63">
        <v>0</v>
      </c>
      <c r="EH63">
        <v>0</v>
      </c>
      <c r="EI63">
        <v>1154</v>
      </c>
      <c r="EJ63">
        <v>1154</v>
      </c>
      <c r="EK63">
        <v>1155</v>
      </c>
      <c r="EL63">
        <v>3500</v>
      </c>
      <c r="EM63">
        <v>37.065000000000005</v>
      </c>
      <c r="EN63">
        <v>660</v>
      </c>
      <c r="EO63">
        <v>660</v>
      </c>
      <c r="EP63">
        <v>660</v>
      </c>
      <c r="EQ63">
        <v>2000</v>
      </c>
      <c r="ER63">
        <v>21.18</v>
      </c>
      <c r="ES63">
        <v>0</v>
      </c>
      <c r="ET63">
        <v>0</v>
      </c>
      <c r="EU63">
        <v>0</v>
      </c>
      <c r="EV63">
        <v>0</v>
      </c>
      <c r="EW63">
        <v>0</v>
      </c>
      <c r="FA63">
        <v>0</v>
      </c>
      <c r="FE63">
        <v>0</v>
      </c>
      <c r="FI63">
        <v>0</v>
      </c>
      <c r="FJ63">
        <v>5441.7550000000001</v>
      </c>
      <c r="FK63">
        <v>36515</v>
      </c>
      <c r="FL63">
        <v>32447.730880080198</v>
      </c>
      <c r="FM63">
        <v>31073.245000000003</v>
      </c>
    </row>
    <row r="64" spans="1:169" x14ac:dyDescent="0.35">
      <c r="A64">
        <v>198284</v>
      </c>
      <c r="B64" s="43" t="s">
        <v>2092</v>
      </c>
      <c r="C64" s="43" t="s">
        <v>2093</v>
      </c>
      <c r="D64" s="43" t="s">
        <v>2094</v>
      </c>
      <c r="E64" s="43" t="s">
        <v>2095</v>
      </c>
      <c r="F64">
        <v>1</v>
      </c>
      <c r="H64" s="23"/>
      <c r="I64">
        <v>43804</v>
      </c>
      <c r="J64" s="43" t="s">
        <v>4245</v>
      </c>
      <c r="K64" s="43" t="s">
        <v>1715</v>
      </c>
      <c r="L64" s="43" t="s">
        <v>3204</v>
      </c>
      <c r="M64" s="43" t="s">
        <v>2096</v>
      </c>
      <c r="N64" s="43" t="s">
        <v>2097</v>
      </c>
      <c r="O64" s="43" t="s">
        <v>2098</v>
      </c>
      <c r="P64" s="43" t="s">
        <v>1172</v>
      </c>
      <c r="Q64" s="43" t="s">
        <v>2099</v>
      </c>
      <c r="R64">
        <v>3.52</v>
      </c>
      <c r="S64" s="23">
        <v>44109</v>
      </c>
      <c r="T64" s="43" t="s">
        <v>311</v>
      </c>
      <c r="U64" s="43" t="s">
        <v>266</v>
      </c>
      <c r="V64" s="43" t="s">
        <v>267</v>
      </c>
      <c r="W64" s="43" t="s">
        <v>1718</v>
      </c>
      <c r="X64" s="43" t="s">
        <v>1719</v>
      </c>
      <c r="Y64">
        <v>8772802835</v>
      </c>
      <c r="Z64" s="43" t="s">
        <v>270</v>
      </c>
      <c r="AA64" s="43" t="s">
        <v>271</v>
      </c>
      <c r="AB64">
        <v>30</v>
      </c>
      <c r="AC64">
        <v>0</v>
      </c>
      <c r="AD64">
        <v>122</v>
      </c>
      <c r="AE64" s="43" t="s">
        <v>301</v>
      </c>
      <c r="AF64">
        <v>1</v>
      </c>
      <c r="AG64" s="43" t="s">
        <v>275</v>
      </c>
      <c r="AH64">
        <v>28022</v>
      </c>
      <c r="AI64">
        <v>28022</v>
      </c>
      <c r="AJ64" s="23">
        <v>43790</v>
      </c>
      <c r="AK64" s="43" t="s">
        <v>3208</v>
      </c>
      <c r="AL64" s="43" t="s">
        <v>3209</v>
      </c>
      <c r="AM64" s="23"/>
      <c r="AN64" s="23"/>
      <c r="AO64" s="23">
        <v>43799</v>
      </c>
      <c r="AP64" s="23">
        <v>43799</v>
      </c>
      <c r="AQ64" s="23">
        <v>43799</v>
      </c>
      <c r="BB64" s="43"/>
      <c r="BC64" s="43" t="s">
        <v>2018</v>
      </c>
      <c r="BD64" s="43" t="s">
        <v>2018</v>
      </c>
      <c r="BE64" s="43" t="s">
        <v>2018</v>
      </c>
      <c r="BF64" s="43" t="s">
        <v>2018</v>
      </c>
      <c r="BG64" s="43" t="s">
        <v>2018</v>
      </c>
      <c r="BH64" t="s">
        <v>2018</v>
      </c>
      <c r="BI64" s="43" t="s">
        <v>2018</v>
      </c>
      <c r="BJ64">
        <v>0.1875</v>
      </c>
      <c r="BK64" s="23">
        <v>44109</v>
      </c>
      <c r="BL64" s="23">
        <v>44356</v>
      </c>
      <c r="BM64">
        <v>8505</v>
      </c>
      <c r="BN64">
        <v>8505</v>
      </c>
      <c r="BO64">
        <v>8505</v>
      </c>
      <c r="BP64">
        <v>25515</v>
      </c>
      <c r="BQ64">
        <v>3300</v>
      </c>
      <c r="BR64">
        <v>400</v>
      </c>
      <c r="BS64">
        <v>400</v>
      </c>
      <c r="BT64">
        <v>4100</v>
      </c>
      <c r="BU64">
        <v>2100</v>
      </c>
      <c r="BV64">
        <v>2100</v>
      </c>
      <c r="BW64">
        <v>2100</v>
      </c>
      <c r="BX64">
        <v>6300</v>
      </c>
      <c r="BY64">
        <v>1200</v>
      </c>
      <c r="BZ64">
        <v>1200</v>
      </c>
      <c r="CA64">
        <v>1200</v>
      </c>
      <c r="CB64">
        <v>3600</v>
      </c>
      <c r="CC64">
        <v>0</v>
      </c>
      <c r="CD64">
        <v>0</v>
      </c>
      <c r="CE64">
        <v>0</v>
      </c>
      <c r="CF64">
        <v>0</v>
      </c>
      <c r="CG64">
        <v>39515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1700</v>
      </c>
      <c r="CU64">
        <v>1700</v>
      </c>
      <c r="CV64">
        <v>1700</v>
      </c>
      <c r="CW64">
        <v>5100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5100</v>
      </c>
      <c r="EE64">
        <v>0</v>
      </c>
      <c r="EF64">
        <v>0</v>
      </c>
      <c r="EG64">
        <v>0</v>
      </c>
      <c r="EH64">
        <v>0</v>
      </c>
      <c r="EI64">
        <v>1154</v>
      </c>
      <c r="EJ64">
        <v>1154</v>
      </c>
      <c r="EK64">
        <v>1155</v>
      </c>
      <c r="EL64">
        <v>3500</v>
      </c>
      <c r="EM64">
        <v>37.065000000000005</v>
      </c>
      <c r="EN64">
        <v>660</v>
      </c>
      <c r="EO64">
        <v>660</v>
      </c>
      <c r="EP64">
        <v>660</v>
      </c>
      <c r="EQ64">
        <v>2000</v>
      </c>
      <c r="ER64">
        <v>21.18</v>
      </c>
      <c r="ES64">
        <v>0</v>
      </c>
      <c r="ET64">
        <v>0</v>
      </c>
      <c r="EU64">
        <v>0</v>
      </c>
      <c r="EV64">
        <v>0</v>
      </c>
      <c r="EW64">
        <v>0</v>
      </c>
      <c r="FA64">
        <v>0</v>
      </c>
      <c r="FE64">
        <v>0</v>
      </c>
      <c r="FI64">
        <v>0</v>
      </c>
      <c r="FJ64">
        <v>5441.7550000000001</v>
      </c>
      <c r="FK64">
        <v>34415</v>
      </c>
      <c r="FL64">
        <v>30254.840023390832</v>
      </c>
      <c r="FM64">
        <v>28973.244999999999</v>
      </c>
    </row>
    <row r="65" spans="1:169" x14ac:dyDescent="0.35">
      <c r="A65">
        <v>196728</v>
      </c>
      <c r="B65" s="43" t="s">
        <v>2100</v>
      </c>
      <c r="C65" s="43" t="s">
        <v>699</v>
      </c>
      <c r="D65" s="43" t="s">
        <v>2101</v>
      </c>
      <c r="E65" s="43" t="s">
        <v>2102</v>
      </c>
      <c r="F65">
        <v>1</v>
      </c>
      <c r="H65" s="23"/>
      <c r="I65">
        <v>43804</v>
      </c>
      <c r="J65" s="43" t="s">
        <v>4242</v>
      </c>
      <c r="K65" s="43" t="s">
        <v>1715</v>
      </c>
      <c r="L65" s="43" t="s">
        <v>259</v>
      </c>
      <c r="M65" s="43" t="s">
        <v>2103</v>
      </c>
      <c r="N65" s="43" t="s">
        <v>2104</v>
      </c>
      <c r="O65" s="43" t="s">
        <v>2105</v>
      </c>
      <c r="P65" s="43" t="s">
        <v>677</v>
      </c>
      <c r="Q65" s="43" t="s">
        <v>2106</v>
      </c>
      <c r="R65">
        <v>3.5415999999999999</v>
      </c>
      <c r="S65" s="23">
        <v>44109</v>
      </c>
      <c r="T65" s="43" t="s">
        <v>265</v>
      </c>
      <c r="U65" s="43" t="s">
        <v>266</v>
      </c>
      <c r="V65" s="43" t="s">
        <v>267</v>
      </c>
      <c r="W65" s="43" t="s">
        <v>1718</v>
      </c>
      <c r="X65" s="43" t="s">
        <v>1719</v>
      </c>
      <c r="Y65">
        <v>8772802835</v>
      </c>
      <c r="Z65" s="43" t="s">
        <v>270</v>
      </c>
      <c r="AA65" s="43" t="s">
        <v>271</v>
      </c>
      <c r="AB65">
        <v>24</v>
      </c>
      <c r="AC65">
        <v>0</v>
      </c>
      <c r="AD65">
        <v>111</v>
      </c>
      <c r="AE65" s="43" t="s">
        <v>364</v>
      </c>
      <c r="AF65">
        <v>3</v>
      </c>
      <c r="AG65" s="43" t="s">
        <v>275</v>
      </c>
      <c r="AJ65" s="23"/>
      <c r="AK65" s="43" t="s">
        <v>259</v>
      </c>
      <c r="AL65" s="43" t="s">
        <v>259</v>
      </c>
      <c r="AM65" s="23"/>
      <c r="AN65" s="23"/>
      <c r="AO65" s="23"/>
      <c r="AP65" s="23"/>
      <c r="AQ65" s="23"/>
      <c r="BB65" s="43"/>
      <c r="BC65" s="43" t="s">
        <v>259</v>
      </c>
      <c r="BD65" s="43" t="s">
        <v>259</v>
      </c>
      <c r="BE65" s="43" t="s">
        <v>259</v>
      </c>
      <c r="BF65" s="43" t="s">
        <v>259</v>
      </c>
      <c r="BG65" s="43" t="s">
        <v>259</v>
      </c>
      <c r="BH65" t="s">
        <v>259</v>
      </c>
      <c r="BI65" s="43" t="s">
        <v>259</v>
      </c>
      <c r="BJ65">
        <v>0</v>
      </c>
      <c r="BK65" s="23">
        <v>44109</v>
      </c>
      <c r="BL65" s="23">
        <v>44356</v>
      </c>
      <c r="BM65">
        <v>8505</v>
      </c>
      <c r="BN65">
        <v>8505</v>
      </c>
      <c r="BO65">
        <v>8505</v>
      </c>
      <c r="BP65">
        <v>25515</v>
      </c>
      <c r="BQ65">
        <v>3300</v>
      </c>
      <c r="BR65">
        <v>400</v>
      </c>
      <c r="BS65">
        <v>400</v>
      </c>
      <c r="BT65">
        <v>4100</v>
      </c>
      <c r="BU65">
        <v>2100</v>
      </c>
      <c r="BV65">
        <v>2100</v>
      </c>
      <c r="BW65">
        <v>2100</v>
      </c>
      <c r="BX65">
        <v>6300</v>
      </c>
      <c r="BY65">
        <v>1200</v>
      </c>
      <c r="BZ65">
        <v>1200</v>
      </c>
      <c r="CA65">
        <v>1200</v>
      </c>
      <c r="CB65">
        <v>3600</v>
      </c>
      <c r="CC65">
        <v>0</v>
      </c>
      <c r="CD65">
        <v>0</v>
      </c>
      <c r="CE65">
        <v>0</v>
      </c>
      <c r="CF65">
        <v>0</v>
      </c>
      <c r="CG65">
        <v>39515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1300</v>
      </c>
      <c r="CU65">
        <v>1300</v>
      </c>
      <c r="CV65">
        <v>1300</v>
      </c>
      <c r="CW65">
        <v>3900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3900</v>
      </c>
      <c r="EE65">
        <v>0</v>
      </c>
      <c r="EF65">
        <v>0</v>
      </c>
      <c r="EG65">
        <v>0</v>
      </c>
      <c r="EH65">
        <v>0</v>
      </c>
      <c r="EI65">
        <v>1154</v>
      </c>
      <c r="EJ65">
        <v>1154</v>
      </c>
      <c r="EK65">
        <v>1155</v>
      </c>
      <c r="EL65">
        <v>3500</v>
      </c>
      <c r="EM65">
        <v>37.065000000000005</v>
      </c>
      <c r="EN65">
        <v>660</v>
      </c>
      <c r="EO65">
        <v>660</v>
      </c>
      <c r="EP65">
        <v>660</v>
      </c>
      <c r="EQ65">
        <v>2000</v>
      </c>
      <c r="ER65">
        <v>21.18</v>
      </c>
      <c r="ES65">
        <v>0</v>
      </c>
      <c r="ET65">
        <v>0</v>
      </c>
      <c r="EU65">
        <v>0</v>
      </c>
      <c r="EV65">
        <v>0</v>
      </c>
      <c r="EW65">
        <v>0</v>
      </c>
      <c r="FA65">
        <v>0</v>
      </c>
      <c r="FE65">
        <v>0</v>
      </c>
      <c r="FI65">
        <v>0</v>
      </c>
      <c r="FJ65">
        <v>5441.7550000000001</v>
      </c>
      <c r="FK65">
        <v>35615</v>
      </c>
      <c r="FL65">
        <v>31507.920512927612</v>
      </c>
      <c r="FM65">
        <v>30173.244999999999</v>
      </c>
    </row>
    <row r="66" spans="1:169" x14ac:dyDescent="0.35">
      <c r="A66">
        <v>196069</v>
      </c>
      <c r="B66" s="43" t="s">
        <v>2107</v>
      </c>
      <c r="C66" s="43" t="s">
        <v>2108</v>
      </c>
      <c r="D66" s="43" t="s">
        <v>2109</v>
      </c>
      <c r="E66" s="43" t="s">
        <v>2110</v>
      </c>
      <c r="F66">
        <v>1</v>
      </c>
      <c r="H66" s="23"/>
      <c r="I66">
        <v>43804</v>
      </c>
      <c r="J66" s="43" t="s">
        <v>4246</v>
      </c>
      <c r="K66" s="43" t="s">
        <v>1715</v>
      </c>
      <c r="L66" s="43" t="s">
        <v>3204</v>
      </c>
      <c r="M66" s="43" t="s">
        <v>2111</v>
      </c>
      <c r="N66" s="43" t="s">
        <v>2112</v>
      </c>
      <c r="O66" s="43" t="s">
        <v>2113</v>
      </c>
      <c r="P66" s="43" t="s">
        <v>608</v>
      </c>
      <c r="Q66" s="43" t="s">
        <v>1763</v>
      </c>
      <c r="R66">
        <v>3.27</v>
      </c>
      <c r="S66" s="23">
        <v>44109</v>
      </c>
      <c r="T66" s="43" t="s">
        <v>311</v>
      </c>
      <c r="U66" s="43" t="s">
        <v>286</v>
      </c>
      <c r="V66" s="43" t="s">
        <v>267</v>
      </c>
      <c r="W66" s="43" t="s">
        <v>1718</v>
      </c>
      <c r="X66" s="43" t="s">
        <v>1719</v>
      </c>
      <c r="Y66">
        <v>8772802835</v>
      </c>
      <c r="Z66" s="43" t="s">
        <v>270</v>
      </c>
      <c r="AA66" s="43" t="s">
        <v>271</v>
      </c>
      <c r="AB66">
        <v>23</v>
      </c>
      <c r="AC66">
        <v>0</v>
      </c>
      <c r="AD66">
        <v>106</v>
      </c>
      <c r="AE66" s="43" t="s">
        <v>364</v>
      </c>
      <c r="AF66">
        <v>3</v>
      </c>
      <c r="AG66" s="43" t="s">
        <v>275</v>
      </c>
      <c r="AH66">
        <v>0</v>
      </c>
      <c r="AI66">
        <v>0</v>
      </c>
      <c r="AJ66" s="23">
        <v>43790</v>
      </c>
      <c r="AK66" s="43" t="s">
        <v>3208</v>
      </c>
      <c r="AL66" s="43" t="s">
        <v>3209</v>
      </c>
      <c r="AM66" s="23"/>
      <c r="AN66" s="23"/>
      <c r="AO66" s="23"/>
      <c r="AP66" s="23"/>
      <c r="AQ66" s="23"/>
      <c r="BB66" s="43"/>
      <c r="BC66" s="43" t="s">
        <v>2018</v>
      </c>
      <c r="BD66" s="43" t="s">
        <v>2018</v>
      </c>
      <c r="BE66" s="43" t="s">
        <v>2018</v>
      </c>
      <c r="BF66" s="43" t="s">
        <v>2018</v>
      </c>
      <c r="BG66" s="43" t="s">
        <v>2018</v>
      </c>
      <c r="BH66" t="s">
        <v>2018</v>
      </c>
      <c r="BI66" s="43" t="s">
        <v>2018</v>
      </c>
      <c r="BJ66">
        <v>0</v>
      </c>
      <c r="BK66" s="23">
        <v>44109</v>
      </c>
      <c r="BL66" s="23">
        <v>44356</v>
      </c>
      <c r="BM66">
        <v>8505</v>
      </c>
      <c r="BN66">
        <v>8505</v>
      </c>
      <c r="BO66">
        <v>8505</v>
      </c>
      <c r="BP66">
        <v>25515</v>
      </c>
      <c r="BQ66">
        <v>3300</v>
      </c>
      <c r="BR66">
        <v>400</v>
      </c>
      <c r="BS66">
        <v>400</v>
      </c>
      <c r="BT66">
        <v>4100</v>
      </c>
      <c r="BU66">
        <v>2100</v>
      </c>
      <c r="BV66">
        <v>2100</v>
      </c>
      <c r="BW66">
        <v>2100</v>
      </c>
      <c r="BX66">
        <v>6300</v>
      </c>
      <c r="BY66">
        <v>1200</v>
      </c>
      <c r="BZ66">
        <v>1200</v>
      </c>
      <c r="CA66">
        <v>1200</v>
      </c>
      <c r="CB66">
        <v>3600</v>
      </c>
      <c r="CC66">
        <v>0</v>
      </c>
      <c r="CD66">
        <v>0</v>
      </c>
      <c r="CE66">
        <v>0</v>
      </c>
      <c r="CF66">
        <v>0</v>
      </c>
      <c r="CG66">
        <v>39515</v>
      </c>
      <c r="CH66">
        <v>0</v>
      </c>
      <c r="CI66">
        <v>0</v>
      </c>
      <c r="CJ66">
        <v>0</v>
      </c>
      <c r="CK66">
        <v>0</v>
      </c>
      <c r="CL66">
        <v>2065</v>
      </c>
      <c r="CM66">
        <v>2065</v>
      </c>
      <c r="CN66">
        <v>2065</v>
      </c>
      <c r="CO66">
        <v>6195</v>
      </c>
      <c r="CP66">
        <v>500</v>
      </c>
      <c r="CQ66">
        <v>500</v>
      </c>
      <c r="CR66">
        <v>500</v>
      </c>
      <c r="CS66">
        <v>1500</v>
      </c>
      <c r="CT66">
        <v>1300</v>
      </c>
      <c r="CU66">
        <v>1300</v>
      </c>
      <c r="CV66">
        <v>1300</v>
      </c>
      <c r="CW66">
        <v>3900</v>
      </c>
      <c r="CX66">
        <v>0</v>
      </c>
      <c r="CY66">
        <v>0</v>
      </c>
      <c r="CZ66">
        <v>0</v>
      </c>
      <c r="DA66">
        <v>0</v>
      </c>
      <c r="DB66">
        <v>1000</v>
      </c>
      <c r="DC66">
        <v>1000</v>
      </c>
      <c r="DD66">
        <v>1000</v>
      </c>
      <c r="DE66">
        <v>3000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14595</v>
      </c>
      <c r="EE66">
        <v>0</v>
      </c>
      <c r="EF66">
        <v>0</v>
      </c>
      <c r="EG66">
        <v>0</v>
      </c>
      <c r="EH66">
        <v>0</v>
      </c>
      <c r="EI66">
        <v>1154</v>
      </c>
      <c r="EJ66">
        <v>1154</v>
      </c>
      <c r="EK66">
        <v>1155</v>
      </c>
      <c r="EL66">
        <v>3500</v>
      </c>
      <c r="EM66">
        <v>37.065000000000005</v>
      </c>
      <c r="EN66">
        <v>660</v>
      </c>
      <c r="EO66">
        <v>660</v>
      </c>
      <c r="EP66">
        <v>660</v>
      </c>
      <c r="EQ66">
        <v>2000</v>
      </c>
      <c r="ER66">
        <v>21.18</v>
      </c>
      <c r="ES66">
        <v>0</v>
      </c>
      <c r="ET66">
        <v>0</v>
      </c>
      <c r="EU66">
        <v>0</v>
      </c>
      <c r="EV66">
        <v>0</v>
      </c>
      <c r="EW66">
        <v>0</v>
      </c>
      <c r="FA66">
        <v>0</v>
      </c>
      <c r="FE66">
        <v>0</v>
      </c>
      <c r="FI66">
        <v>0</v>
      </c>
      <c r="FJ66">
        <v>5441.7550000000001</v>
      </c>
      <c r="FK66">
        <v>24920</v>
      </c>
      <c r="FL66">
        <v>20339.840649931077</v>
      </c>
      <c r="FM66">
        <v>19478.244999999999</v>
      </c>
    </row>
    <row r="67" spans="1:169" x14ac:dyDescent="0.35">
      <c r="A67">
        <v>196398</v>
      </c>
      <c r="B67" s="43" t="s">
        <v>2114</v>
      </c>
      <c r="C67" s="43" t="s">
        <v>2115</v>
      </c>
      <c r="D67" s="43" t="s">
        <v>2116</v>
      </c>
      <c r="E67" s="43" t="s">
        <v>2117</v>
      </c>
      <c r="F67">
        <v>1</v>
      </c>
      <c r="G67">
        <v>43788</v>
      </c>
      <c r="H67" s="23">
        <v>43788</v>
      </c>
      <c r="I67">
        <v>43788</v>
      </c>
      <c r="J67" s="43" t="s">
        <v>3335</v>
      </c>
      <c r="K67" s="43" t="s">
        <v>1715</v>
      </c>
      <c r="L67" s="43" t="s">
        <v>3204</v>
      </c>
      <c r="M67" s="43" t="s">
        <v>2118</v>
      </c>
      <c r="N67" s="43" t="s">
        <v>2119</v>
      </c>
      <c r="O67" s="43" t="s">
        <v>2120</v>
      </c>
      <c r="P67" s="43" t="s">
        <v>705</v>
      </c>
      <c r="Q67" s="43" t="s">
        <v>2121</v>
      </c>
      <c r="R67">
        <v>3.3024</v>
      </c>
      <c r="S67" s="23">
        <v>44109</v>
      </c>
      <c r="T67" s="43" t="s">
        <v>265</v>
      </c>
      <c r="U67" s="43" t="s">
        <v>266</v>
      </c>
      <c r="V67" s="43" t="s">
        <v>267</v>
      </c>
      <c r="W67" s="43" t="s">
        <v>1718</v>
      </c>
      <c r="X67" s="43" t="s">
        <v>1719</v>
      </c>
      <c r="Y67">
        <v>8772802835</v>
      </c>
      <c r="Z67" s="43" t="s">
        <v>270</v>
      </c>
      <c r="AA67" s="43" t="s">
        <v>271</v>
      </c>
      <c r="AB67">
        <v>0</v>
      </c>
      <c r="AC67">
        <v>1010</v>
      </c>
      <c r="AD67">
        <v>103</v>
      </c>
      <c r="AE67" s="43" t="s">
        <v>354</v>
      </c>
      <c r="AF67">
        <v>6</v>
      </c>
      <c r="AG67" s="43" t="s">
        <v>275</v>
      </c>
      <c r="AH67">
        <v>0</v>
      </c>
      <c r="AI67">
        <v>0</v>
      </c>
      <c r="AJ67" s="23">
        <v>43783</v>
      </c>
      <c r="AK67" s="43" t="s">
        <v>3208</v>
      </c>
      <c r="AL67" s="43" t="s">
        <v>3209</v>
      </c>
      <c r="AM67" s="23"/>
      <c r="AN67" s="23"/>
      <c r="AO67" s="23"/>
      <c r="AP67" s="23"/>
      <c r="AQ67" s="23"/>
      <c r="BB67" s="43"/>
      <c r="BC67" s="43" t="s">
        <v>2018</v>
      </c>
      <c r="BD67" s="43" t="s">
        <v>2018</v>
      </c>
      <c r="BE67" s="43" t="s">
        <v>2018</v>
      </c>
      <c r="BF67" s="43" t="s">
        <v>2018</v>
      </c>
      <c r="BG67" s="43" t="s">
        <v>2018</v>
      </c>
      <c r="BH67" t="s">
        <v>2018</v>
      </c>
      <c r="BI67" s="43" t="s">
        <v>2018</v>
      </c>
      <c r="BJ67">
        <v>0</v>
      </c>
      <c r="BK67" s="23">
        <v>44109</v>
      </c>
      <c r="BL67" s="23">
        <v>44356</v>
      </c>
      <c r="BM67">
        <v>8505</v>
      </c>
      <c r="BN67">
        <v>8505</v>
      </c>
      <c r="BO67">
        <v>8505</v>
      </c>
      <c r="BP67">
        <v>25515</v>
      </c>
      <c r="BQ67">
        <v>3300</v>
      </c>
      <c r="BR67">
        <v>400</v>
      </c>
      <c r="BS67">
        <v>400</v>
      </c>
      <c r="BT67">
        <v>4100</v>
      </c>
      <c r="BU67">
        <v>2100</v>
      </c>
      <c r="BV67">
        <v>2100</v>
      </c>
      <c r="BW67">
        <v>2100</v>
      </c>
      <c r="BX67">
        <v>6300</v>
      </c>
      <c r="BY67">
        <v>1200</v>
      </c>
      <c r="BZ67">
        <v>1200</v>
      </c>
      <c r="CA67">
        <v>1200</v>
      </c>
      <c r="CB67">
        <v>3600</v>
      </c>
      <c r="CC67">
        <v>0</v>
      </c>
      <c r="CD67">
        <v>0</v>
      </c>
      <c r="CE67">
        <v>0</v>
      </c>
      <c r="CF67">
        <v>0</v>
      </c>
      <c r="CG67">
        <v>39515</v>
      </c>
      <c r="CH67">
        <v>0</v>
      </c>
      <c r="CI67">
        <v>0</v>
      </c>
      <c r="CJ67">
        <v>0</v>
      </c>
      <c r="CK67">
        <v>0</v>
      </c>
      <c r="CL67">
        <v>2065</v>
      </c>
      <c r="CM67">
        <v>2065</v>
      </c>
      <c r="CN67">
        <v>2065</v>
      </c>
      <c r="CO67">
        <v>6195</v>
      </c>
      <c r="CP67">
        <v>500</v>
      </c>
      <c r="CQ67">
        <v>500</v>
      </c>
      <c r="CR67">
        <v>500</v>
      </c>
      <c r="CS67">
        <v>1500</v>
      </c>
      <c r="CT67">
        <v>750</v>
      </c>
      <c r="CU67">
        <v>750</v>
      </c>
      <c r="CV67">
        <v>750</v>
      </c>
      <c r="CW67">
        <v>2250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9945</v>
      </c>
      <c r="EE67">
        <v>0</v>
      </c>
      <c r="EF67">
        <v>0</v>
      </c>
      <c r="EG67">
        <v>0</v>
      </c>
      <c r="EH67">
        <v>0</v>
      </c>
      <c r="EI67">
        <v>1154</v>
      </c>
      <c r="EJ67">
        <v>1154</v>
      </c>
      <c r="EK67">
        <v>1155</v>
      </c>
      <c r="EL67">
        <v>3500</v>
      </c>
      <c r="EM67">
        <v>37.065000000000005</v>
      </c>
      <c r="EN67">
        <v>660</v>
      </c>
      <c r="EO67">
        <v>660</v>
      </c>
      <c r="EP67">
        <v>660</v>
      </c>
      <c r="EQ67">
        <v>2000</v>
      </c>
      <c r="ER67">
        <v>21.18</v>
      </c>
      <c r="ES67">
        <v>0</v>
      </c>
      <c r="ET67">
        <v>0</v>
      </c>
      <c r="EU67">
        <v>0</v>
      </c>
      <c r="EV67">
        <v>0</v>
      </c>
      <c r="EW67">
        <v>0</v>
      </c>
      <c r="FA67">
        <v>0</v>
      </c>
      <c r="FE67">
        <v>0</v>
      </c>
      <c r="FI67">
        <v>0</v>
      </c>
      <c r="FJ67">
        <v>5441.7550000000001</v>
      </c>
      <c r="FK67">
        <v>29570</v>
      </c>
      <c r="FL67">
        <v>25195.527546886093</v>
      </c>
      <c r="FM67">
        <v>24128.244999999999</v>
      </c>
    </row>
    <row r="68" spans="1:169" x14ac:dyDescent="0.35">
      <c r="A68">
        <v>196290</v>
      </c>
      <c r="B68" s="43" t="s">
        <v>3655</v>
      </c>
      <c r="C68" s="43" t="s">
        <v>3656</v>
      </c>
      <c r="D68" s="43" t="s">
        <v>3657</v>
      </c>
      <c r="E68" s="43" t="s">
        <v>3658</v>
      </c>
      <c r="F68">
        <v>1</v>
      </c>
      <c r="G68">
        <v>43802</v>
      </c>
      <c r="H68" s="23">
        <v>43802</v>
      </c>
      <c r="I68">
        <v>43802</v>
      </c>
      <c r="J68" s="43" t="s">
        <v>3335</v>
      </c>
      <c r="K68" s="43" t="s">
        <v>1715</v>
      </c>
      <c r="L68" s="43" t="s">
        <v>3204</v>
      </c>
      <c r="M68" s="43" t="s">
        <v>3659</v>
      </c>
      <c r="N68" s="43" t="s">
        <v>3660</v>
      </c>
      <c r="O68" s="43" t="s">
        <v>3661</v>
      </c>
      <c r="P68" s="43" t="s">
        <v>342</v>
      </c>
      <c r="Q68" s="43" t="s">
        <v>3662</v>
      </c>
      <c r="S68" s="23">
        <v>44109</v>
      </c>
      <c r="T68" s="43" t="s">
        <v>311</v>
      </c>
      <c r="U68" s="43" t="s">
        <v>266</v>
      </c>
      <c r="V68" s="43" t="s">
        <v>267</v>
      </c>
      <c r="W68" s="43" t="s">
        <v>1718</v>
      </c>
      <c r="X68" s="43" t="s">
        <v>1719</v>
      </c>
      <c r="Y68">
        <v>8772802835</v>
      </c>
      <c r="Z68" s="43" t="s">
        <v>270</v>
      </c>
      <c r="AA68" s="43" t="s">
        <v>271</v>
      </c>
      <c r="AB68">
        <v>0</v>
      </c>
      <c r="AC68">
        <v>970</v>
      </c>
      <c r="AD68">
        <v>108</v>
      </c>
      <c r="AE68" s="43" t="s">
        <v>445</v>
      </c>
      <c r="AF68">
        <v>4</v>
      </c>
      <c r="AG68" s="43" t="s">
        <v>3345</v>
      </c>
      <c r="AH68">
        <v>909</v>
      </c>
      <c r="AI68">
        <v>909</v>
      </c>
      <c r="AJ68" s="23">
        <v>43774</v>
      </c>
      <c r="AK68" s="43" t="s">
        <v>1715</v>
      </c>
      <c r="AL68" s="43" t="s">
        <v>259</v>
      </c>
      <c r="AM68" s="23"/>
      <c r="AN68" s="23"/>
      <c r="AO68" s="23">
        <v>43802</v>
      </c>
      <c r="AP68" s="23"/>
      <c r="AQ68" s="23"/>
      <c r="BB68" s="43"/>
      <c r="BC68" s="43" t="s">
        <v>259</v>
      </c>
      <c r="BD68" s="43" t="s">
        <v>259</v>
      </c>
      <c r="BE68" s="43" t="s">
        <v>259</v>
      </c>
      <c r="BF68" s="43" t="s">
        <v>259</v>
      </c>
      <c r="BG68" s="43" t="s">
        <v>259</v>
      </c>
      <c r="BH68" t="s">
        <v>259</v>
      </c>
      <c r="BI68" s="43" t="s">
        <v>259</v>
      </c>
      <c r="BJ68">
        <v>4.3478260869565188E-2</v>
      </c>
      <c r="BK68" s="23">
        <v>44109</v>
      </c>
      <c r="BL68" s="23">
        <v>44356</v>
      </c>
      <c r="BM68">
        <v>8505</v>
      </c>
      <c r="BN68">
        <v>8505</v>
      </c>
      <c r="BO68">
        <v>8505</v>
      </c>
      <c r="BP68">
        <v>25515</v>
      </c>
      <c r="BQ68">
        <v>3300</v>
      </c>
      <c r="BR68">
        <v>400</v>
      </c>
      <c r="BS68">
        <v>400</v>
      </c>
      <c r="BT68">
        <v>4100</v>
      </c>
      <c r="BU68">
        <v>2100</v>
      </c>
      <c r="BV68">
        <v>2100</v>
      </c>
      <c r="BW68">
        <v>2100</v>
      </c>
      <c r="BX68">
        <v>6300</v>
      </c>
      <c r="BY68">
        <v>1200</v>
      </c>
      <c r="BZ68">
        <v>1200</v>
      </c>
      <c r="CA68">
        <v>1200</v>
      </c>
      <c r="CB68">
        <v>3600</v>
      </c>
      <c r="CC68">
        <v>0</v>
      </c>
      <c r="CD68">
        <v>0</v>
      </c>
      <c r="CE68">
        <v>0</v>
      </c>
      <c r="CF68">
        <v>0</v>
      </c>
      <c r="CG68">
        <v>39515</v>
      </c>
      <c r="CH68">
        <v>0</v>
      </c>
      <c r="CI68">
        <v>0</v>
      </c>
      <c r="CJ68">
        <v>0</v>
      </c>
      <c r="CK68">
        <v>0</v>
      </c>
      <c r="CL68">
        <v>1749</v>
      </c>
      <c r="CM68">
        <v>1748</v>
      </c>
      <c r="CN68">
        <v>1748</v>
      </c>
      <c r="CO68">
        <v>5245</v>
      </c>
      <c r="CP68">
        <v>500</v>
      </c>
      <c r="CQ68">
        <v>500</v>
      </c>
      <c r="CR68">
        <v>500</v>
      </c>
      <c r="CS68">
        <v>1500</v>
      </c>
      <c r="CT68">
        <v>1250</v>
      </c>
      <c r="CU68">
        <v>1250</v>
      </c>
      <c r="CV68">
        <v>1250</v>
      </c>
      <c r="CW68">
        <v>3750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10495</v>
      </c>
      <c r="EE68">
        <v>0</v>
      </c>
      <c r="EF68">
        <v>0</v>
      </c>
      <c r="EG68">
        <v>0</v>
      </c>
      <c r="EH68">
        <v>0</v>
      </c>
      <c r="EI68">
        <v>1154</v>
      </c>
      <c r="EJ68">
        <v>1154</v>
      </c>
      <c r="EK68">
        <v>1155</v>
      </c>
      <c r="EL68">
        <v>3500</v>
      </c>
      <c r="EM68">
        <v>37.065000000000005</v>
      </c>
      <c r="EN68">
        <v>660</v>
      </c>
      <c r="EO68">
        <v>660</v>
      </c>
      <c r="EP68">
        <v>660</v>
      </c>
      <c r="EQ68">
        <v>2000</v>
      </c>
      <c r="ER68">
        <v>21.18</v>
      </c>
      <c r="ES68">
        <v>0</v>
      </c>
      <c r="ET68">
        <v>0</v>
      </c>
      <c r="EU68">
        <v>0</v>
      </c>
      <c r="EW68">
        <v>0</v>
      </c>
      <c r="FA68">
        <v>0</v>
      </c>
      <c r="FE68">
        <v>0</v>
      </c>
      <c r="FI68">
        <v>0</v>
      </c>
      <c r="FJ68">
        <v>5441.7550000000001</v>
      </c>
      <c r="FK68">
        <v>29020</v>
      </c>
      <c r="FL68">
        <v>24621.198989181736</v>
      </c>
      <c r="FM68">
        <v>23578.244999999999</v>
      </c>
    </row>
    <row r="69" spans="1:169" x14ac:dyDescent="0.35">
      <c r="A69">
        <v>192121</v>
      </c>
      <c r="B69" s="43" t="s">
        <v>2122</v>
      </c>
      <c r="C69" s="43" t="s">
        <v>2123</v>
      </c>
      <c r="D69" s="43" t="s">
        <v>2124</v>
      </c>
      <c r="E69" s="43" t="s">
        <v>2125</v>
      </c>
      <c r="F69">
        <v>1</v>
      </c>
      <c r="H69" s="23"/>
      <c r="I69">
        <v>43804</v>
      </c>
      <c r="J69" s="43" t="s">
        <v>4242</v>
      </c>
      <c r="K69" s="43" t="s">
        <v>1715</v>
      </c>
      <c r="L69" s="43" t="s">
        <v>259</v>
      </c>
      <c r="M69" s="43" t="s">
        <v>2126</v>
      </c>
      <c r="N69" s="43" t="s">
        <v>2127</v>
      </c>
      <c r="O69" s="43" t="s">
        <v>2128</v>
      </c>
      <c r="P69" s="43" t="s">
        <v>1370</v>
      </c>
      <c r="Q69" s="43" t="s">
        <v>2129</v>
      </c>
      <c r="R69">
        <v>2.6579999999999999</v>
      </c>
      <c r="S69" s="23">
        <v>44109</v>
      </c>
      <c r="T69" s="43" t="s">
        <v>265</v>
      </c>
      <c r="U69" s="43" t="s">
        <v>286</v>
      </c>
      <c r="V69" s="43" t="s">
        <v>267</v>
      </c>
      <c r="W69" s="43" t="s">
        <v>1718</v>
      </c>
      <c r="X69" s="43" t="s">
        <v>1719</v>
      </c>
      <c r="Y69">
        <v>8772802835</v>
      </c>
      <c r="Z69" s="43" t="s">
        <v>270</v>
      </c>
      <c r="AA69" s="43" t="s">
        <v>271</v>
      </c>
      <c r="AB69">
        <v>0</v>
      </c>
      <c r="AC69">
        <v>0</v>
      </c>
      <c r="AD69">
        <v>0</v>
      </c>
      <c r="AE69" s="43" t="s">
        <v>324</v>
      </c>
      <c r="AF69">
        <v>8</v>
      </c>
      <c r="AG69" s="43" t="s">
        <v>275</v>
      </c>
      <c r="AJ69" s="23"/>
      <c r="AK69" s="43" t="s">
        <v>259</v>
      </c>
      <c r="AL69" s="43" t="s">
        <v>259</v>
      </c>
      <c r="AM69" s="23"/>
      <c r="AN69" s="23"/>
      <c r="AO69" s="23"/>
      <c r="AP69" s="23"/>
      <c r="AQ69" s="23"/>
      <c r="BB69" s="43"/>
      <c r="BC69" s="43" t="s">
        <v>259</v>
      </c>
      <c r="BD69" s="43" t="s">
        <v>259</v>
      </c>
      <c r="BE69" s="43" t="s">
        <v>259</v>
      </c>
      <c r="BF69" s="43" t="s">
        <v>259</v>
      </c>
      <c r="BG69" s="43" t="s">
        <v>259</v>
      </c>
      <c r="BH69" t="s">
        <v>259</v>
      </c>
      <c r="BI69" s="43" t="s">
        <v>259</v>
      </c>
      <c r="BJ69">
        <v>0</v>
      </c>
      <c r="BK69" s="23">
        <v>44109</v>
      </c>
      <c r="BL69" s="23">
        <v>44356</v>
      </c>
      <c r="BM69">
        <v>8505</v>
      </c>
      <c r="BN69">
        <v>8505</v>
      </c>
      <c r="BO69">
        <v>8505</v>
      </c>
      <c r="BP69">
        <v>25515</v>
      </c>
      <c r="BQ69">
        <v>3300</v>
      </c>
      <c r="BR69">
        <v>400</v>
      </c>
      <c r="BS69">
        <v>400</v>
      </c>
      <c r="BT69">
        <v>4100</v>
      </c>
      <c r="BU69">
        <v>2100</v>
      </c>
      <c r="BV69">
        <v>2100</v>
      </c>
      <c r="BW69">
        <v>2100</v>
      </c>
      <c r="BX69">
        <v>6300</v>
      </c>
      <c r="BY69">
        <v>1200</v>
      </c>
      <c r="BZ69">
        <v>1200</v>
      </c>
      <c r="CA69">
        <v>1200</v>
      </c>
      <c r="CB69">
        <v>3600</v>
      </c>
      <c r="CC69">
        <v>0</v>
      </c>
      <c r="CD69">
        <v>0</v>
      </c>
      <c r="CE69">
        <v>0</v>
      </c>
      <c r="CF69">
        <v>0</v>
      </c>
      <c r="CG69">
        <v>39515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1000</v>
      </c>
      <c r="DC69">
        <v>1000</v>
      </c>
      <c r="DD69">
        <v>1000</v>
      </c>
      <c r="DE69">
        <v>3000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3000</v>
      </c>
      <c r="EE69">
        <v>0</v>
      </c>
      <c r="EF69">
        <v>0</v>
      </c>
      <c r="EG69">
        <v>0</v>
      </c>
      <c r="EH69">
        <v>0</v>
      </c>
      <c r="EI69">
        <v>1154</v>
      </c>
      <c r="EJ69">
        <v>1154</v>
      </c>
      <c r="EK69">
        <v>1155</v>
      </c>
      <c r="EL69">
        <v>3500</v>
      </c>
      <c r="EM69">
        <v>37.065000000000005</v>
      </c>
      <c r="EN69">
        <v>660</v>
      </c>
      <c r="EO69">
        <v>660</v>
      </c>
      <c r="EP69">
        <v>660</v>
      </c>
      <c r="EQ69">
        <v>2000</v>
      </c>
      <c r="ER69">
        <v>21.18</v>
      </c>
      <c r="ES69">
        <v>0</v>
      </c>
      <c r="ET69">
        <v>0</v>
      </c>
      <c r="EU69">
        <v>0</v>
      </c>
      <c r="EV69">
        <v>0</v>
      </c>
      <c r="EW69">
        <v>0</v>
      </c>
      <c r="FA69">
        <v>0</v>
      </c>
      <c r="FE69">
        <v>0</v>
      </c>
      <c r="FI69">
        <v>0</v>
      </c>
      <c r="FJ69">
        <v>5441.7550000000001</v>
      </c>
      <c r="FK69">
        <v>36515</v>
      </c>
      <c r="FL69">
        <v>32447.730880080198</v>
      </c>
      <c r="FM69">
        <v>31073.245000000003</v>
      </c>
    </row>
    <row r="70" spans="1:169" x14ac:dyDescent="0.35">
      <c r="A70">
        <v>198213</v>
      </c>
      <c r="B70" s="43" t="s">
        <v>2130</v>
      </c>
      <c r="C70" s="43" t="s">
        <v>1339</v>
      </c>
      <c r="D70" s="43" t="s">
        <v>2131</v>
      </c>
      <c r="E70" s="43" t="s">
        <v>2132</v>
      </c>
      <c r="F70">
        <v>1</v>
      </c>
      <c r="H70" s="23"/>
      <c r="I70">
        <v>43781</v>
      </c>
      <c r="J70" s="43" t="s">
        <v>3305</v>
      </c>
      <c r="K70" s="43" t="s">
        <v>1715</v>
      </c>
      <c r="L70" s="43" t="s">
        <v>3204</v>
      </c>
      <c r="M70" s="43" t="s">
        <v>2133</v>
      </c>
      <c r="N70" s="43" t="s">
        <v>2134</v>
      </c>
      <c r="O70" s="43" t="s">
        <v>739</v>
      </c>
      <c r="P70" s="43" t="s">
        <v>442</v>
      </c>
      <c r="Q70" s="43" t="s">
        <v>2135</v>
      </c>
      <c r="R70">
        <v>3.5455000000000001</v>
      </c>
      <c r="S70" s="23">
        <v>44109</v>
      </c>
      <c r="T70" s="43" t="s">
        <v>311</v>
      </c>
      <c r="U70" s="43" t="s">
        <v>266</v>
      </c>
      <c r="V70" s="43" t="s">
        <v>267</v>
      </c>
      <c r="W70" s="43" t="s">
        <v>1718</v>
      </c>
      <c r="X70" s="43" t="s">
        <v>1719</v>
      </c>
      <c r="Y70">
        <v>8772802835</v>
      </c>
      <c r="Z70" s="43" t="s">
        <v>270</v>
      </c>
      <c r="AA70" s="43" t="s">
        <v>271</v>
      </c>
      <c r="AB70">
        <v>0</v>
      </c>
      <c r="AC70">
        <v>0</v>
      </c>
      <c r="AD70">
        <v>0</v>
      </c>
      <c r="AE70" s="43" t="s">
        <v>416</v>
      </c>
      <c r="AF70">
        <v>5</v>
      </c>
      <c r="AG70" s="43" t="s">
        <v>275</v>
      </c>
      <c r="AH70">
        <v>0</v>
      </c>
      <c r="AI70">
        <v>0</v>
      </c>
      <c r="AJ70" s="23">
        <v>43774</v>
      </c>
      <c r="AK70" s="43" t="s">
        <v>3208</v>
      </c>
      <c r="AL70" s="43" t="s">
        <v>3209</v>
      </c>
      <c r="AM70" s="23"/>
      <c r="AN70" s="23"/>
      <c r="AO70" s="23">
        <v>43767</v>
      </c>
      <c r="AP70" s="23">
        <v>43765</v>
      </c>
      <c r="AQ70" s="23">
        <v>43767</v>
      </c>
      <c r="BB70" s="43"/>
      <c r="BC70" s="43" t="s">
        <v>2018</v>
      </c>
      <c r="BD70" s="43" t="s">
        <v>2018</v>
      </c>
      <c r="BE70" s="43" t="s">
        <v>2018</v>
      </c>
      <c r="BF70" s="43" t="s">
        <v>2018</v>
      </c>
      <c r="BG70" s="43" t="s">
        <v>2018</v>
      </c>
      <c r="BH70" t="s">
        <v>2018</v>
      </c>
      <c r="BI70" s="43" t="s">
        <v>2018</v>
      </c>
      <c r="BJ70">
        <v>0.1875</v>
      </c>
      <c r="BK70" s="23">
        <v>44109</v>
      </c>
      <c r="BL70" s="23">
        <v>44356</v>
      </c>
      <c r="BM70">
        <v>8505</v>
      </c>
      <c r="BN70">
        <v>8505</v>
      </c>
      <c r="BO70">
        <v>8505</v>
      </c>
      <c r="BP70">
        <v>25515</v>
      </c>
      <c r="BQ70">
        <v>3300</v>
      </c>
      <c r="BR70">
        <v>400</v>
      </c>
      <c r="BS70">
        <v>400</v>
      </c>
      <c r="BT70">
        <v>4100</v>
      </c>
      <c r="BU70">
        <v>2100</v>
      </c>
      <c r="BV70">
        <v>2100</v>
      </c>
      <c r="BW70">
        <v>2100</v>
      </c>
      <c r="BX70">
        <v>6300</v>
      </c>
      <c r="BY70">
        <v>1200</v>
      </c>
      <c r="BZ70">
        <v>1200</v>
      </c>
      <c r="CA70">
        <v>1200</v>
      </c>
      <c r="CB70">
        <v>3600</v>
      </c>
      <c r="CC70">
        <v>0</v>
      </c>
      <c r="CD70">
        <v>0</v>
      </c>
      <c r="CE70">
        <v>0</v>
      </c>
      <c r="CF70">
        <v>0</v>
      </c>
      <c r="CG70">
        <v>39515</v>
      </c>
      <c r="CH70">
        <v>0</v>
      </c>
      <c r="CI70">
        <v>0</v>
      </c>
      <c r="CJ70">
        <v>0</v>
      </c>
      <c r="CK70">
        <v>0</v>
      </c>
      <c r="CL70">
        <v>2065</v>
      </c>
      <c r="CM70">
        <v>2065</v>
      </c>
      <c r="CN70">
        <v>2065</v>
      </c>
      <c r="CO70">
        <v>6195</v>
      </c>
      <c r="CP70">
        <v>500</v>
      </c>
      <c r="CQ70">
        <v>500</v>
      </c>
      <c r="CR70">
        <v>500</v>
      </c>
      <c r="CS70">
        <v>1500</v>
      </c>
      <c r="CT70">
        <v>1000</v>
      </c>
      <c r="CU70">
        <v>1000</v>
      </c>
      <c r="CV70">
        <v>1000</v>
      </c>
      <c r="CW70">
        <v>3000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10695</v>
      </c>
      <c r="EE70">
        <v>0</v>
      </c>
      <c r="EF70">
        <v>0</v>
      </c>
      <c r="EG70">
        <v>0</v>
      </c>
      <c r="EH70">
        <v>0</v>
      </c>
      <c r="EI70">
        <v>1154</v>
      </c>
      <c r="EJ70">
        <v>1154</v>
      </c>
      <c r="EK70">
        <v>1155</v>
      </c>
      <c r="EL70">
        <v>3500</v>
      </c>
      <c r="EM70">
        <v>37.065000000000005</v>
      </c>
      <c r="EN70">
        <v>660</v>
      </c>
      <c r="EO70">
        <v>660</v>
      </c>
      <c r="EP70">
        <v>660</v>
      </c>
      <c r="EQ70">
        <v>2000</v>
      </c>
      <c r="ER70">
        <v>21.18</v>
      </c>
      <c r="ES70">
        <v>0</v>
      </c>
      <c r="ET70">
        <v>0</v>
      </c>
      <c r="EU70">
        <v>0</v>
      </c>
      <c r="EV70">
        <v>0</v>
      </c>
      <c r="EW70">
        <v>0</v>
      </c>
      <c r="FA70">
        <v>0</v>
      </c>
      <c r="FE70">
        <v>0</v>
      </c>
      <c r="FI70">
        <v>0</v>
      </c>
      <c r="FJ70">
        <v>5441.7550000000001</v>
      </c>
      <c r="FK70">
        <v>28820</v>
      </c>
      <c r="FL70">
        <v>24412.352240925607</v>
      </c>
      <c r="FM70">
        <v>23378.244999999999</v>
      </c>
    </row>
    <row r="71" spans="1:169" x14ac:dyDescent="0.35">
      <c r="A71">
        <v>199303</v>
      </c>
      <c r="B71" s="43" t="s">
        <v>3980</v>
      </c>
      <c r="C71" s="43" t="s">
        <v>3981</v>
      </c>
      <c r="D71" s="43" t="s">
        <v>3982</v>
      </c>
      <c r="E71" s="43" t="s">
        <v>3983</v>
      </c>
      <c r="F71">
        <v>1</v>
      </c>
      <c r="H71" s="23"/>
      <c r="I71">
        <v>43803</v>
      </c>
      <c r="J71" s="43" t="s">
        <v>3304</v>
      </c>
      <c r="K71" s="43" t="s">
        <v>1715</v>
      </c>
      <c r="L71" s="43" t="s">
        <v>3204</v>
      </c>
      <c r="M71" s="43" t="s">
        <v>3984</v>
      </c>
      <c r="N71" s="43" t="s">
        <v>3985</v>
      </c>
      <c r="O71" s="43" t="s">
        <v>3986</v>
      </c>
      <c r="P71" s="43" t="s">
        <v>813</v>
      </c>
      <c r="Q71" s="43" t="s">
        <v>3987</v>
      </c>
      <c r="S71" s="23">
        <v>44109</v>
      </c>
      <c r="T71" s="43" t="s">
        <v>265</v>
      </c>
      <c r="U71" s="43" t="s">
        <v>266</v>
      </c>
      <c r="V71" s="43" t="s">
        <v>1028</v>
      </c>
      <c r="W71" s="43" t="s">
        <v>1718</v>
      </c>
      <c r="X71" s="43" t="s">
        <v>1719</v>
      </c>
      <c r="Y71">
        <v>8772802835</v>
      </c>
      <c r="Z71" s="43" t="s">
        <v>270</v>
      </c>
      <c r="AA71" s="43" t="s">
        <v>271</v>
      </c>
      <c r="AB71">
        <v>21</v>
      </c>
      <c r="AC71">
        <v>0</v>
      </c>
      <c r="AD71">
        <v>103</v>
      </c>
      <c r="AE71" s="43" t="s">
        <v>301</v>
      </c>
      <c r="AF71">
        <v>1</v>
      </c>
      <c r="AG71" s="43" t="s">
        <v>3345</v>
      </c>
      <c r="AH71">
        <v>0</v>
      </c>
      <c r="AI71">
        <v>0</v>
      </c>
      <c r="AJ71" s="23">
        <v>43783</v>
      </c>
      <c r="AK71" s="43" t="s">
        <v>1715</v>
      </c>
      <c r="AL71" s="43" t="s">
        <v>259</v>
      </c>
      <c r="AM71" s="23"/>
      <c r="AN71" s="23"/>
      <c r="AO71" s="23"/>
      <c r="AP71" s="23"/>
      <c r="AQ71" s="23"/>
      <c r="BB71" s="43"/>
      <c r="BC71" s="43" t="s">
        <v>259</v>
      </c>
      <c r="BD71" s="43" t="s">
        <v>259</v>
      </c>
      <c r="BE71" s="43" t="s">
        <v>259</v>
      </c>
      <c r="BF71" s="43" t="s">
        <v>259</v>
      </c>
      <c r="BG71" s="43" t="s">
        <v>259</v>
      </c>
      <c r="BH71" t="s">
        <v>259</v>
      </c>
      <c r="BI71" s="43" t="s">
        <v>259</v>
      </c>
      <c r="BJ71">
        <v>0</v>
      </c>
      <c r="BK71" s="23">
        <v>44109</v>
      </c>
      <c r="BL71" s="23">
        <v>44356</v>
      </c>
      <c r="BM71">
        <v>8505</v>
      </c>
      <c r="BN71">
        <v>8505</v>
      </c>
      <c r="BO71">
        <v>8505</v>
      </c>
      <c r="BP71">
        <v>25515</v>
      </c>
      <c r="BQ71">
        <v>3300</v>
      </c>
      <c r="BR71">
        <v>400</v>
      </c>
      <c r="BS71">
        <v>400</v>
      </c>
      <c r="BT71">
        <v>4100</v>
      </c>
      <c r="BU71">
        <v>2100</v>
      </c>
      <c r="BV71">
        <v>2100</v>
      </c>
      <c r="BW71">
        <v>2100</v>
      </c>
      <c r="BX71">
        <v>6300</v>
      </c>
      <c r="BY71">
        <v>1200</v>
      </c>
      <c r="BZ71">
        <v>1200</v>
      </c>
      <c r="CA71">
        <v>1200</v>
      </c>
      <c r="CB71">
        <v>3600</v>
      </c>
      <c r="CC71">
        <v>0</v>
      </c>
      <c r="CD71">
        <v>0</v>
      </c>
      <c r="CE71">
        <v>0</v>
      </c>
      <c r="CF71">
        <v>0</v>
      </c>
      <c r="CG71">
        <v>39515</v>
      </c>
      <c r="CH71">
        <v>0</v>
      </c>
      <c r="CI71">
        <v>0</v>
      </c>
      <c r="CJ71">
        <v>0</v>
      </c>
      <c r="CK71">
        <v>0</v>
      </c>
      <c r="CL71">
        <v>2065</v>
      </c>
      <c r="CM71">
        <v>2065</v>
      </c>
      <c r="CN71">
        <v>2065</v>
      </c>
      <c r="CO71">
        <v>6195</v>
      </c>
      <c r="CP71">
        <v>500</v>
      </c>
      <c r="CQ71">
        <v>500</v>
      </c>
      <c r="CR71">
        <v>500</v>
      </c>
      <c r="CS71">
        <v>1500</v>
      </c>
      <c r="CT71">
        <v>1700</v>
      </c>
      <c r="CU71">
        <v>1700</v>
      </c>
      <c r="CV71">
        <v>1700</v>
      </c>
      <c r="CW71">
        <v>5100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12795</v>
      </c>
      <c r="EE71">
        <v>0</v>
      </c>
      <c r="EF71">
        <v>0</v>
      </c>
      <c r="EG71">
        <v>0</v>
      </c>
      <c r="EH71">
        <v>0</v>
      </c>
      <c r="EI71">
        <v>1154</v>
      </c>
      <c r="EJ71">
        <v>1154</v>
      </c>
      <c r="EK71">
        <v>1155</v>
      </c>
      <c r="EL71">
        <v>3500</v>
      </c>
      <c r="EM71">
        <v>37.065000000000005</v>
      </c>
      <c r="EN71">
        <v>660</v>
      </c>
      <c r="EO71">
        <v>660</v>
      </c>
      <c r="EP71">
        <v>660</v>
      </c>
      <c r="EQ71">
        <v>2000</v>
      </c>
      <c r="ER71">
        <v>21.18</v>
      </c>
      <c r="ES71">
        <v>0</v>
      </c>
      <c r="ET71">
        <v>0</v>
      </c>
      <c r="EU71">
        <v>0</v>
      </c>
      <c r="EV71">
        <v>0</v>
      </c>
      <c r="EW71">
        <v>0</v>
      </c>
      <c r="FA71">
        <v>0</v>
      </c>
      <c r="FE71">
        <v>0</v>
      </c>
      <c r="FI71">
        <v>0</v>
      </c>
      <c r="FJ71">
        <v>5441.7550000000001</v>
      </c>
      <c r="FK71">
        <v>26720</v>
      </c>
      <c r="FL71">
        <v>22219.461384236245</v>
      </c>
      <c r="FM71">
        <v>21278.244999999999</v>
      </c>
    </row>
    <row r="72" spans="1:169" x14ac:dyDescent="0.35">
      <c r="A72">
        <v>197321</v>
      </c>
      <c r="B72" s="43" t="s">
        <v>2136</v>
      </c>
      <c r="C72" s="43" t="s">
        <v>2137</v>
      </c>
      <c r="D72" s="43" t="s">
        <v>2138</v>
      </c>
      <c r="E72" s="43" t="s">
        <v>2139</v>
      </c>
      <c r="F72">
        <v>1</v>
      </c>
      <c r="H72" s="23"/>
      <c r="I72">
        <v>43804</v>
      </c>
      <c r="J72" s="43" t="s">
        <v>4242</v>
      </c>
      <c r="K72" s="43" t="s">
        <v>1715</v>
      </c>
      <c r="L72" s="43" t="s">
        <v>259</v>
      </c>
      <c r="M72" s="43" t="s">
        <v>2140</v>
      </c>
      <c r="N72" s="43" t="s">
        <v>2141</v>
      </c>
      <c r="O72" s="43" t="s">
        <v>2142</v>
      </c>
      <c r="P72" s="43" t="s">
        <v>1172</v>
      </c>
      <c r="Q72" s="43" t="s">
        <v>2143</v>
      </c>
      <c r="R72">
        <v>3.92</v>
      </c>
      <c r="S72" s="23">
        <v>44109</v>
      </c>
      <c r="T72" s="43" t="s">
        <v>311</v>
      </c>
      <c r="U72" s="43" t="s">
        <v>266</v>
      </c>
      <c r="V72" s="43" t="s">
        <v>267</v>
      </c>
      <c r="W72" s="43" t="s">
        <v>1718</v>
      </c>
      <c r="X72" s="43" t="s">
        <v>1719</v>
      </c>
      <c r="Y72">
        <v>8772802835</v>
      </c>
      <c r="Z72" s="43" t="s">
        <v>270</v>
      </c>
      <c r="AA72" s="43" t="s">
        <v>271</v>
      </c>
      <c r="AB72">
        <v>25</v>
      </c>
      <c r="AC72">
        <v>0</v>
      </c>
      <c r="AD72">
        <v>120</v>
      </c>
      <c r="AE72" s="43" t="s">
        <v>301</v>
      </c>
      <c r="AF72">
        <v>1</v>
      </c>
      <c r="AG72" s="43" t="s">
        <v>275</v>
      </c>
      <c r="AJ72" s="23"/>
      <c r="AK72" s="43" t="s">
        <v>259</v>
      </c>
      <c r="AL72" s="43" t="s">
        <v>259</v>
      </c>
      <c r="AM72" s="23"/>
      <c r="AN72" s="23"/>
      <c r="AO72" s="23"/>
      <c r="AP72" s="23"/>
      <c r="AQ72" s="23"/>
      <c r="BB72" s="43"/>
      <c r="BC72" s="43" t="s">
        <v>259</v>
      </c>
      <c r="BD72" s="43" t="s">
        <v>259</v>
      </c>
      <c r="BE72" s="43" t="s">
        <v>259</v>
      </c>
      <c r="BF72" s="43" t="s">
        <v>259</v>
      </c>
      <c r="BG72" s="43" t="s">
        <v>259</v>
      </c>
      <c r="BH72" t="s">
        <v>259</v>
      </c>
      <c r="BI72" s="43" t="s">
        <v>259</v>
      </c>
      <c r="BJ72">
        <v>0</v>
      </c>
      <c r="BK72" s="23">
        <v>44109</v>
      </c>
      <c r="BL72" s="23">
        <v>44356</v>
      </c>
      <c r="BM72">
        <v>8505</v>
      </c>
      <c r="BN72">
        <v>8505</v>
      </c>
      <c r="BO72">
        <v>8505</v>
      </c>
      <c r="BP72">
        <v>25515</v>
      </c>
      <c r="BQ72">
        <v>3300</v>
      </c>
      <c r="BR72">
        <v>400</v>
      </c>
      <c r="BS72">
        <v>400</v>
      </c>
      <c r="BT72">
        <v>4100</v>
      </c>
      <c r="BU72">
        <v>2100</v>
      </c>
      <c r="BV72">
        <v>2100</v>
      </c>
      <c r="BW72">
        <v>2100</v>
      </c>
      <c r="BX72">
        <v>6300</v>
      </c>
      <c r="BY72">
        <v>1200</v>
      </c>
      <c r="BZ72">
        <v>1200</v>
      </c>
      <c r="CA72">
        <v>1200</v>
      </c>
      <c r="CB72">
        <v>3600</v>
      </c>
      <c r="CC72">
        <v>0</v>
      </c>
      <c r="CD72">
        <v>0</v>
      </c>
      <c r="CE72">
        <v>0</v>
      </c>
      <c r="CF72">
        <v>0</v>
      </c>
      <c r="CG72">
        <v>39515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1700</v>
      </c>
      <c r="CU72">
        <v>1700</v>
      </c>
      <c r="CV72">
        <v>1700</v>
      </c>
      <c r="CW72">
        <v>5100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5100</v>
      </c>
      <c r="EE72">
        <v>0</v>
      </c>
      <c r="EF72">
        <v>0</v>
      </c>
      <c r="EG72">
        <v>0</v>
      </c>
      <c r="EH72">
        <v>0</v>
      </c>
      <c r="EI72">
        <v>1154</v>
      </c>
      <c r="EJ72">
        <v>1154</v>
      </c>
      <c r="EK72">
        <v>1155</v>
      </c>
      <c r="EL72">
        <v>3500</v>
      </c>
      <c r="EM72">
        <v>37.065000000000005</v>
      </c>
      <c r="EN72">
        <v>660</v>
      </c>
      <c r="EO72">
        <v>660</v>
      </c>
      <c r="EP72">
        <v>660</v>
      </c>
      <c r="EQ72">
        <v>2000</v>
      </c>
      <c r="ER72">
        <v>21.18</v>
      </c>
      <c r="ES72">
        <v>0</v>
      </c>
      <c r="ET72">
        <v>0</v>
      </c>
      <c r="EU72">
        <v>0</v>
      </c>
      <c r="EV72">
        <v>0</v>
      </c>
      <c r="EW72">
        <v>0</v>
      </c>
      <c r="FA72">
        <v>0</v>
      </c>
      <c r="FE72">
        <v>0</v>
      </c>
      <c r="FI72">
        <v>0</v>
      </c>
      <c r="FJ72">
        <v>5441.7550000000001</v>
      </c>
      <c r="FK72">
        <v>34415</v>
      </c>
      <c r="FL72">
        <v>30254.840023390832</v>
      </c>
      <c r="FM72">
        <v>28973.244999999999</v>
      </c>
    </row>
    <row r="73" spans="1:169" x14ac:dyDescent="0.35">
      <c r="A73">
        <v>198667</v>
      </c>
      <c r="B73" s="43" t="s">
        <v>2144</v>
      </c>
      <c r="C73" s="43" t="s">
        <v>2145</v>
      </c>
      <c r="D73" s="43" t="s">
        <v>2146</v>
      </c>
      <c r="E73" s="43" t="s">
        <v>2147</v>
      </c>
      <c r="F73">
        <v>1</v>
      </c>
      <c r="H73" s="23"/>
      <c r="I73">
        <v>43804</v>
      </c>
      <c r="J73" s="43" t="s">
        <v>4242</v>
      </c>
      <c r="K73" s="43" t="s">
        <v>1715</v>
      </c>
      <c r="L73" s="43" t="s">
        <v>259</v>
      </c>
      <c r="M73" s="43" t="s">
        <v>2148</v>
      </c>
      <c r="N73" s="43" t="s">
        <v>2149</v>
      </c>
      <c r="O73" s="43" t="s">
        <v>2150</v>
      </c>
      <c r="P73" s="43" t="s">
        <v>263</v>
      </c>
      <c r="Q73" s="43" t="s">
        <v>2151</v>
      </c>
      <c r="S73" s="23">
        <v>44109</v>
      </c>
      <c r="T73" s="43" t="s">
        <v>265</v>
      </c>
      <c r="U73" s="43" t="s">
        <v>266</v>
      </c>
      <c r="V73" s="43" t="s">
        <v>267</v>
      </c>
      <c r="W73" s="43" t="s">
        <v>1718</v>
      </c>
      <c r="X73" s="43" t="s">
        <v>1719</v>
      </c>
      <c r="Y73">
        <v>8772802835</v>
      </c>
      <c r="Z73" s="43" t="s">
        <v>270</v>
      </c>
      <c r="AA73" s="43" t="s">
        <v>271</v>
      </c>
      <c r="AB73">
        <v>18</v>
      </c>
      <c r="AC73">
        <v>0</v>
      </c>
      <c r="AD73">
        <v>93</v>
      </c>
      <c r="AE73" s="43" t="s">
        <v>354</v>
      </c>
      <c r="AF73">
        <v>6</v>
      </c>
      <c r="AG73" s="43" t="s">
        <v>446</v>
      </c>
      <c r="AJ73" s="23"/>
      <c r="AK73" s="43" t="s">
        <v>259</v>
      </c>
      <c r="AL73" s="43" t="s">
        <v>259</v>
      </c>
      <c r="AM73" s="23"/>
      <c r="AN73" s="23"/>
      <c r="AO73" s="23"/>
      <c r="AP73" s="23"/>
      <c r="AQ73" s="23"/>
      <c r="BB73" s="43"/>
      <c r="BC73" s="43" t="s">
        <v>259</v>
      </c>
      <c r="BD73" s="43" t="s">
        <v>259</v>
      </c>
      <c r="BE73" s="43" t="s">
        <v>259</v>
      </c>
      <c r="BF73" s="43" t="s">
        <v>259</v>
      </c>
      <c r="BG73" s="43" t="s">
        <v>259</v>
      </c>
      <c r="BH73" t="s">
        <v>259</v>
      </c>
      <c r="BI73" s="43" t="s">
        <v>259</v>
      </c>
      <c r="BJ73">
        <v>0</v>
      </c>
      <c r="BK73" s="23">
        <v>44109</v>
      </c>
      <c r="BL73" s="23">
        <v>44356</v>
      </c>
      <c r="BM73">
        <v>8505</v>
      </c>
      <c r="BN73">
        <v>8505</v>
      </c>
      <c r="BO73">
        <v>8505</v>
      </c>
      <c r="BP73">
        <v>25515</v>
      </c>
      <c r="BQ73">
        <v>3300</v>
      </c>
      <c r="BR73">
        <v>400</v>
      </c>
      <c r="BS73">
        <v>400</v>
      </c>
      <c r="BT73">
        <v>4100</v>
      </c>
      <c r="BU73">
        <v>2100</v>
      </c>
      <c r="BV73">
        <v>2100</v>
      </c>
      <c r="BW73">
        <v>2100</v>
      </c>
      <c r="BX73">
        <v>6300</v>
      </c>
      <c r="BY73">
        <v>1200</v>
      </c>
      <c r="BZ73">
        <v>1200</v>
      </c>
      <c r="CA73">
        <v>1200</v>
      </c>
      <c r="CB73">
        <v>3600</v>
      </c>
      <c r="CC73">
        <v>0</v>
      </c>
      <c r="CD73">
        <v>0</v>
      </c>
      <c r="CE73">
        <v>0</v>
      </c>
      <c r="CF73">
        <v>0</v>
      </c>
      <c r="CG73">
        <v>39515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750</v>
      </c>
      <c r="CU73">
        <v>750</v>
      </c>
      <c r="CV73">
        <v>750</v>
      </c>
      <c r="CW73">
        <v>2250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2250</v>
      </c>
      <c r="EE73">
        <v>0</v>
      </c>
      <c r="EF73">
        <v>0</v>
      </c>
      <c r="EG73">
        <v>0</v>
      </c>
      <c r="EH73">
        <v>0</v>
      </c>
      <c r="EI73">
        <v>1154</v>
      </c>
      <c r="EJ73">
        <v>1154</v>
      </c>
      <c r="EK73">
        <v>1155</v>
      </c>
      <c r="EL73">
        <v>3500</v>
      </c>
      <c r="EM73">
        <v>37.065000000000005</v>
      </c>
      <c r="EN73">
        <v>660</v>
      </c>
      <c r="EO73">
        <v>660</v>
      </c>
      <c r="EP73">
        <v>660</v>
      </c>
      <c r="EQ73">
        <v>2000</v>
      </c>
      <c r="ER73">
        <v>21.18</v>
      </c>
      <c r="ES73">
        <v>0</v>
      </c>
      <c r="ET73">
        <v>0</v>
      </c>
      <c r="EU73">
        <v>0</v>
      </c>
      <c r="EV73">
        <v>0</v>
      </c>
      <c r="EW73">
        <v>0</v>
      </c>
      <c r="FA73">
        <v>0</v>
      </c>
      <c r="FE73">
        <v>0</v>
      </c>
      <c r="FI73">
        <v>0</v>
      </c>
      <c r="FJ73">
        <v>5441.7550000000001</v>
      </c>
      <c r="FK73">
        <v>37265</v>
      </c>
      <c r="FL73">
        <v>33230.906186040687</v>
      </c>
      <c r="FM73">
        <v>31823.245000000003</v>
      </c>
    </row>
    <row r="74" spans="1:169" x14ac:dyDescent="0.35">
      <c r="A74">
        <v>197971</v>
      </c>
      <c r="B74" s="43" t="s">
        <v>1923</v>
      </c>
      <c r="C74" s="43" t="s">
        <v>690</v>
      </c>
      <c r="D74" s="43" t="s">
        <v>2152</v>
      </c>
      <c r="E74" s="43" t="s">
        <v>2153</v>
      </c>
      <c r="F74">
        <v>1</v>
      </c>
      <c r="G74">
        <v>43783</v>
      </c>
      <c r="H74" s="23">
        <v>43783</v>
      </c>
      <c r="I74">
        <v>43783</v>
      </c>
      <c r="J74" s="43" t="s">
        <v>4247</v>
      </c>
      <c r="K74" s="43" t="s">
        <v>1715</v>
      </c>
      <c r="L74" s="43" t="s">
        <v>3204</v>
      </c>
      <c r="M74" s="43" t="s">
        <v>2154</v>
      </c>
      <c r="N74" s="43" t="s">
        <v>2155</v>
      </c>
      <c r="O74" s="43" t="s">
        <v>2156</v>
      </c>
      <c r="P74" s="43" t="s">
        <v>342</v>
      </c>
      <c r="Q74" s="43" t="s">
        <v>2157</v>
      </c>
      <c r="R74">
        <v>3.83</v>
      </c>
      <c r="S74" s="23">
        <v>44109</v>
      </c>
      <c r="T74" s="43" t="s">
        <v>311</v>
      </c>
      <c r="U74" s="43" t="s">
        <v>266</v>
      </c>
      <c r="V74" s="43" t="s">
        <v>267</v>
      </c>
      <c r="W74" s="43" t="s">
        <v>1718</v>
      </c>
      <c r="X74" s="43" t="s">
        <v>1719</v>
      </c>
      <c r="Y74">
        <v>8772802835</v>
      </c>
      <c r="Z74" s="43" t="s">
        <v>270</v>
      </c>
      <c r="AA74" s="43" t="s">
        <v>271</v>
      </c>
      <c r="AB74">
        <v>25</v>
      </c>
      <c r="AC74">
        <v>1400</v>
      </c>
      <c r="AD74">
        <v>131</v>
      </c>
      <c r="AE74" s="43" t="s">
        <v>301</v>
      </c>
      <c r="AF74">
        <v>1</v>
      </c>
      <c r="AG74" s="43" t="s">
        <v>275</v>
      </c>
      <c r="AH74">
        <v>0</v>
      </c>
      <c r="AI74">
        <v>0</v>
      </c>
      <c r="AJ74" s="23">
        <v>43774</v>
      </c>
      <c r="AK74" s="43" t="s">
        <v>3208</v>
      </c>
      <c r="AL74" s="43" t="s">
        <v>3209</v>
      </c>
      <c r="AM74" s="23"/>
      <c r="AN74" s="23"/>
      <c r="AO74" s="23"/>
      <c r="AP74" s="23"/>
      <c r="AQ74" s="23"/>
      <c r="BB74" s="43"/>
      <c r="BC74" s="43" t="s">
        <v>2018</v>
      </c>
      <c r="BD74" s="43" t="s">
        <v>2018</v>
      </c>
      <c r="BE74" s="43" t="s">
        <v>2018</v>
      </c>
      <c r="BF74" s="43" t="s">
        <v>2018</v>
      </c>
      <c r="BG74" s="43" t="s">
        <v>2018</v>
      </c>
      <c r="BH74" t="s">
        <v>2018</v>
      </c>
      <c r="BI74" s="43" t="s">
        <v>2018</v>
      </c>
      <c r="BJ74">
        <v>0</v>
      </c>
      <c r="BK74" s="23">
        <v>44109</v>
      </c>
      <c r="BL74" s="23">
        <v>44356</v>
      </c>
      <c r="BM74">
        <v>8505</v>
      </c>
      <c r="BN74">
        <v>8505</v>
      </c>
      <c r="BO74">
        <v>8505</v>
      </c>
      <c r="BP74">
        <v>25515</v>
      </c>
      <c r="BQ74">
        <v>3300</v>
      </c>
      <c r="BR74">
        <v>400</v>
      </c>
      <c r="BS74">
        <v>400</v>
      </c>
      <c r="BT74">
        <v>4100</v>
      </c>
      <c r="BU74">
        <v>2100</v>
      </c>
      <c r="BV74">
        <v>2100</v>
      </c>
      <c r="BW74">
        <v>2100</v>
      </c>
      <c r="BX74">
        <v>6300</v>
      </c>
      <c r="BY74">
        <v>1200</v>
      </c>
      <c r="BZ74">
        <v>1200</v>
      </c>
      <c r="CA74">
        <v>1200</v>
      </c>
      <c r="CB74">
        <v>3600</v>
      </c>
      <c r="CC74">
        <v>0</v>
      </c>
      <c r="CD74">
        <v>0</v>
      </c>
      <c r="CE74">
        <v>0</v>
      </c>
      <c r="CF74">
        <v>0</v>
      </c>
      <c r="CG74">
        <v>39515</v>
      </c>
      <c r="CH74">
        <v>0</v>
      </c>
      <c r="CI74">
        <v>0</v>
      </c>
      <c r="CJ74">
        <v>0</v>
      </c>
      <c r="CK74">
        <v>0</v>
      </c>
      <c r="CL74">
        <v>2065</v>
      </c>
      <c r="CM74">
        <v>2065</v>
      </c>
      <c r="CN74">
        <v>2065</v>
      </c>
      <c r="CO74">
        <v>6195</v>
      </c>
      <c r="CP74">
        <v>500</v>
      </c>
      <c r="CQ74">
        <v>500</v>
      </c>
      <c r="CR74">
        <v>500</v>
      </c>
      <c r="CS74">
        <v>1500</v>
      </c>
      <c r="CT74">
        <v>1700</v>
      </c>
      <c r="CU74">
        <v>1700</v>
      </c>
      <c r="CV74">
        <v>1700</v>
      </c>
      <c r="CW74">
        <v>5100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12795</v>
      </c>
      <c r="EE74">
        <v>0</v>
      </c>
      <c r="EF74">
        <v>0</v>
      </c>
      <c r="EG74">
        <v>0</v>
      </c>
      <c r="EH74">
        <v>0</v>
      </c>
      <c r="EI74">
        <v>1154</v>
      </c>
      <c r="EJ74">
        <v>1154</v>
      </c>
      <c r="EK74">
        <v>1155</v>
      </c>
      <c r="EL74">
        <v>3500</v>
      </c>
      <c r="EM74">
        <v>37.065000000000005</v>
      </c>
      <c r="EN74">
        <v>660</v>
      </c>
      <c r="EO74">
        <v>660</v>
      </c>
      <c r="EP74">
        <v>660</v>
      </c>
      <c r="EQ74">
        <v>2000</v>
      </c>
      <c r="ER74">
        <v>21.18</v>
      </c>
      <c r="ES74">
        <v>0</v>
      </c>
      <c r="ET74">
        <v>0</v>
      </c>
      <c r="EU74">
        <v>0</v>
      </c>
      <c r="EV74">
        <v>0</v>
      </c>
      <c r="EW74">
        <v>0</v>
      </c>
      <c r="FA74">
        <v>0</v>
      </c>
      <c r="FE74">
        <v>0</v>
      </c>
      <c r="FI74">
        <v>0</v>
      </c>
      <c r="FJ74">
        <v>5441.7550000000001</v>
      </c>
      <c r="FK74">
        <v>26720</v>
      </c>
      <c r="FL74">
        <v>22219.461384236245</v>
      </c>
      <c r="FM74">
        <v>21278.244999999999</v>
      </c>
    </row>
    <row r="75" spans="1:169" x14ac:dyDescent="0.35">
      <c r="A75">
        <v>195635</v>
      </c>
      <c r="B75" s="43" t="s">
        <v>2158</v>
      </c>
      <c r="C75" s="43" t="s">
        <v>2159</v>
      </c>
      <c r="D75" s="43" t="s">
        <v>2160</v>
      </c>
      <c r="E75" s="43" t="s">
        <v>2161</v>
      </c>
      <c r="F75">
        <v>1</v>
      </c>
      <c r="H75" s="23"/>
      <c r="I75">
        <v>43804</v>
      </c>
      <c r="J75" s="43" t="s">
        <v>4242</v>
      </c>
      <c r="K75" s="43" t="s">
        <v>1715</v>
      </c>
      <c r="L75" s="43" t="s">
        <v>259</v>
      </c>
      <c r="M75" s="43" t="s">
        <v>2162</v>
      </c>
      <c r="N75" s="43" t="s">
        <v>2163</v>
      </c>
      <c r="O75" s="43" t="s">
        <v>2164</v>
      </c>
      <c r="P75" s="43" t="s">
        <v>1892</v>
      </c>
      <c r="Q75" s="43" t="s">
        <v>2165</v>
      </c>
      <c r="R75">
        <v>4</v>
      </c>
      <c r="S75" s="23">
        <v>44109</v>
      </c>
      <c r="T75" s="43" t="s">
        <v>311</v>
      </c>
      <c r="U75" s="43" t="s">
        <v>266</v>
      </c>
      <c r="V75" s="43" t="s">
        <v>267</v>
      </c>
      <c r="W75" s="43" t="s">
        <v>1718</v>
      </c>
      <c r="X75" s="43" t="s">
        <v>1719</v>
      </c>
      <c r="Y75">
        <v>8772802835</v>
      </c>
      <c r="Z75" s="43" t="s">
        <v>270</v>
      </c>
      <c r="AA75" s="43" t="s">
        <v>271</v>
      </c>
      <c r="AB75">
        <v>30</v>
      </c>
      <c r="AC75">
        <v>0</v>
      </c>
      <c r="AD75">
        <v>131</v>
      </c>
      <c r="AE75" s="43" t="s">
        <v>301</v>
      </c>
      <c r="AF75">
        <v>1</v>
      </c>
      <c r="AG75" s="43" t="s">
        <v>275</v>
      </c>
      <c r="AJ75" s="23"/>
      <c r="AK75" s="43" t="s">
        <v>259</v>
      </c>
      <c r="AL75" s="43" t="s">
        <v>259</v>
      </c>
      <c r="AM75" s="23"/>
      <c r="AN75" s="23"/>
      <c r="AO75" s="23"/>
      <c r="AP75" s="23"/>
      <c r="AQ75" s="23"/>
      <c r="BB75" s="43"/>
      <c r="BC75" s="43" t="s">
        <v>259</v>
      </c>
      <c r="BD75" s="43" t="s">
        <v>259</v>
      </c>
      <c r="BE75" s="43" t="s">
        <v>259</v>
      </c>
      <c r="BF75" s="43" t="s">
        <v>259</v>
      </c>
      <c r="BG75" s="43" t="s">
        <v>259</v>
      </c>
      <c r="BH75" t="s">
        <v>259</v>
      </c>
      <c r="BI75" s="43" t="s">
        <v>259</v>
      </c>
      <c r="BJ75">
        <v>0</v>
      </c>
      <c r="BK75" s="23">
        <v>44109</v>
      </c>
      <c r="BL75" s="23">
        <v>44356</v>
      </c>
      <c r="BM75">
        <v>8505</v>
      </c>
      <c r="BN75">
        <v>8505</v>
      </c>
      <c r="BO75">
        <v>8505</v>
      </c>
      <c r="BP75">
        <v>25515</v>
      </c>
      <c r="BQ75">
        <v>3300</v>
      </c>
      <c r="BR75">
        <v>400</v>
      </c>
      <c r="BS75">
        <v>400</v>
      </c>
      <c r="BT75">
        <v>4100</v>
      </c>
      <c r="BU75">
        <v>2100</v>
      </c>
      <c r="BV75">
        <v>2100</v>
      </c>
      <c r="BW75">
        <v>2100</v>
      </c>
      <c r="BX75">
        <v>6300</v>
      </c>
      <c r="BY75">
        <v>1200</v>
      </c>
      <c r="BZ75">
        <v>1200</v>
      </c>
      <c r="CA75">
        <v>1200</v>
      </c>
      <c r="CB75">
        <v>3600</v>
      </c>
      <c r="CC75">
        <v>0</v>
      </c>
      <c r="CD75">
        <v>0</v>
      </c>
      <c r="CE75">
        <v>0</v>
      </c>
      <c r="CF75">
        <v>0</v>
      </c>
      <c r="CG75">
        <v>39515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1700</v>
      </c>
      <c r="CU75">
        <v>1700</v>
      </c>
      <c r="CV75">
        <v>1700</v>
      </c>
      <c r="CW75">
        <v>5100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5100</v>
      </c>
      <c r="EE75">
        <v>0</v>
      </c>
      <c r="EF75">
        <v>0</v>
      </c>
      <c r="EG75">
        <v>0</v>
      </c>
      <c r="EH75">
        <v>0</v>
      </c>
      <c r="EI75">
        <v>1154</v>
      </c>
      <c r="EJ75">
        <v>1154</v>
      </c>
      <c r="EK75">
        <v>1155</v>
      </c>
      <c r="EL75">
        <v>3500</v>
      </c>
      <c r="EM75">
        <v>37.065000000000005</v>
      </c>
      <c r="EN75">
        <v>660</v>
      </c>
      <c r="EO75">
        <v>660</v>
      </c>
      <c r="EP75">
        <v>660</v>
      </c>
      <c r="EQ75">
        <v>2000</v>
      </c>
      <c r="ER75">
        <v>21.18</v>
      </c>
      <c r="ES75">
        <v>0</v>
      </c>
      <c r="ET75">
        <v>0</v>
      </c>
      <c r="EU75">
        <v>0</v>
      </c>
      <c r="EV75">
        <v>0</v>
      </c>
      <c r="EW75">
        <v>0</v>
      </c>
      <c r="FA75">
        <v>0</v>
      </c>
      <c r="FE75">
        <v>0</v>
      </c>
      <c r="FI75">
        <v>0</v>
      </c>
      <c r="FJ75">
        <v>5441.7550000000001</v>
      </c>
      <c r="FK75">
        <v>34415</v>
      </c>
      <c r="FL75">
        <v>30254.840023390832</v>
      </c>
      <c r="FM75">
        <v>28973.244999999999</v>
      </c>
    </row>
    <row r="76" spans="1:169" x14ac:dyDescent="0.35">
      <c r="A76">
        <v>192420</v>
      </c>
      <c r="B76" s="43" t="s">
        <v>2166</v>
      </c>
      <c r="C76" s="43" t="s">
        <v>547</v>
      </c>
      <c r="D76" s="43" t="s">
        <v>2167</v>
      </c>
      <c r="E76" s="43" t="s">
        <v>2168</v>
      </c>
      <c r="F76">
        <v>1</v>
      </c>
      <c r="H76" s="23"/>
      <c r="I76">
        <v>43804</v>
      </c>
      <c r="J76" s="43" t="s">
        <v>4240</v>
      </c>
      <c r="K76" s="43" t="s">
        <v>1715</v>
      </c>
      <c r="L76" s="43" t="s">
        <v>3204</v>
      </c>
      <c r="M76" s="43" t="s">
        <v>2169</v>
      </c>
      <c r="N76" s="43" t="s">
        <v>2170</v>
      </c>
      <c r="O76" s="43" t="s">
        <v>2171</v>
      </c>
      <c r="P76" s="43" t="s">
        <v>342</v>
      </c>
      <c r="Q76" s="43" t="s">
        <v>2172</v>
      </c>
      <c r="R76">
        <v>3.4</v>
      </c>
      <c r="S76" s="23">
        <v>44109</v>
      </c>
      <c r="T76" s="43" t="s">
        <v>311</v>
      </c>
      <c r="U76" s="43" t="s">
        <v>266</v>
      </c>
      <c r="V76" s="43" t="s">
        <v>267</v>
      </c>
      <c r="W76" s="43" t="s">
        <v>1718</v>
      </c>
      <c r="X76" s="43" t="s">
        <v>1719</v>
      </c>
      <c r="Y76">
        <v>8772802835</v>
      </c>
      <c r="Z76" s="43" t="s">
        <v>270</v>
      </c>
      <c r="AA76" s="43" t="s">
        <v>271</v>
      </c>
      <c r="AB76">
        <v>0</v>
      </c>
      <c r="AC76">
        <v>1160</v>
      </c>
      <c r="AD76">
        <v>112</v>
      </c>
      <c r="AE76" s="43" t="s">
        <v>301</v>
      </c>
      <c r="AF76">
        <v>1</v>
      </c>
      <c r="AG76" s="43" t="s">
        <v>275</v>
      </c>
      <c r="AH76">
        <v>0</v>
      </c>
      <c r="AI76">
        <v>0</v>
      </c>
      <c r="AJ76" s="23">
        <v>43804</v>
      </c>
      <c r="AK76" s="43" t="s">
        <v>3208</v>
      </c>
      <c r="AL76" s="43" t="s">
        <v>3209</v>
      </c>
      <c r="AM76" s="23"/>
      <c r="AN76" s="23"/>
      <c r="AO76" s="23"/>
      <c r="AP76" s="23"/>
      <c r="AQ76" s="23"/>
      <c r="BB76" s="43"/>
      <c r="BC76" s="43" t="s">
        <v>2018</v>
      </c>
      <c r="BD76" s="43" t="s">
        <v>2018</v>
      </c>
      <c r="BE76" s="43" t="s">
        <v>2018</v>
      </c>
      <c r="BF76" s="43" t="s">
        <v>2018</v>
      </c>
      <c r="BG76" s="43" t="s">
        <v>2018</v>
      </c>
      <c r="BH76" t="s">
        <v>2018</v>
      </c>
      <c r="BI76" s="43" t="s">
        <v>2018</v>
      </c>
      <c r="BJ76">
        <v>0</v>
      </c>
      <c r="BK76" s="23">
        <v>44109</v>
      </c>
      <c r="BL76" s="23">
        <v>44356</v>
      </c>
      <c r="BM76">
        <v>8505</v>
      </c>
      <c r="BN76">
        <v>8505</v>
      </c>
      <c r="BO76">
        <v>8505</v>
      </c>
      <c r="BP76">
        <v>25515</v>
      </c>
      <c r="BQ76">
        <v>3300</v>
      </c>
      <c r="BR76">
        <v>400</v>
      </c>
      <c r="BS76">
        <v>400</v>
      </c>
      <c r="BT76">
        <v>4100</v>
      </c>
      <c r="BU76">
        <v>2100</v>
      </c>
      <c r="BV76">
        <v>2100</v>
      </c>
      <c r="BW76">
        <v>2100</v>
      </c>
      <c r="BX76">
        <v>6300</v>
      </c>
      <c r="BY76">
        <v>1200</v>
      </c>
      <c r="BZ76">
        <v>1200</v>
      </c>
      <c r="CA76">
        <v>1200</v>
      </c>
      <c r="CB76">
        <v>3600</v>
      </c>
      <c r="CC76">
        <v>0</v>
      </c>
      <c r="CD76">
        <v>0</v>
      </c>
      <c r="CE76">
        <v>0</v>
      </c>
      <c r="CF76">
        <v>0</v>
      </c>
      <c r="CG76">
        <v>39515</v>
      </c>
      <c r="CH76">
        <v>0</v>
      </c>
      <c r="CI76">
        <v>0</v>
      </c>
      <c r="CJ76">
        <v>0</v>
      </c>
      <c r="CK76">
        <v>0</v>
      </c>
      <c r="CL76">
        <v>2065</v>
      </c>
      <c r="CM76">
        <v>2065</v>
      </c>
      <c r="CN76">
        <v>2065</v>
      </c>
      <c r="CO76">
        <v>6195</v>
      </c>
      <c r="CP76">
        <v>500</v>
      </c>
      <c r="CQ76">
        <v>500</v>
      </c>
      <c r="CR76">
        <v>500</v>
      </c>
      <c r="CS76">
        <v>1500</v>
      </c>
      <c r="CT76">
        <v>1700</v>
      </c>
      <c r="CU76">
        <v>1700</v>
      </c>
      <c r="CV76">
        <v>1700</v>
      </c>
      <c r="CW76">
        <v>5100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12795</v>
      </c>
      <c r="EE76">
        <v>0</v>
      </c>
      <c r="EF76">
        <v>0</v>
      </c>
      <c r="EG76">
        <v>0</v>
      </c>
      <c r="EH76">
        <v>0</v>
      </c>
      <c r="EI76">
        <v>1154</v>
      </c>
      <c r="EJ76">
        <v>1154</v>
      </c>
      <c r="EK76">
        <v>1155</v>
      </c>
      <c r="EL76">
        <v>3500</v>
      </c>
      <c r="EM76">
        <v>37.065000000000005</v>
      </c>
      <c r="EN76">
        <v>660</v>
      </c>
      <c r="EO76">
        <v>660</v>
      </c>
      <c r="EP76">
        <v>660</v>
      </c>
      <c r="EQ76">
        <v>2000</v>
      </c>
      <c r="ER76">
        <v>21.18</v>
      </c>
      <c r="ES76">
        <v>0</v>
      </c>
      <c r="ET76">
        <v>0</v>
      </c>
      <c r="EU76">
        <v>0</v>
      </c>
      <c r="EV76">
        <v>0</v>
      </c>
      <c r="EW76">
        <v>0</v>
      </c>
      <c r="FA76">
        <v>0</v>
      </c>
      <c r="FE76">
        <v>0</v>
      </c>
      <c r="FI76">
        <v>0</v>
      </c>
      <c r="FJ76">
        <v>5441.7550000000001</v>
      </c>
      <c r="FK76">
        <v>26720</v>
      </c>
      <c r="FL76">
        <v>22219.461384236245</v>
      </c>
      <c r="FM76">
        <v>21278.244999999999</v>
      </c>
    </row>
    <row r="77" spans="1:169" x14ac:dyDescent="0.35">
      <c r="A77">
        <v>198730</v>
      </c>
      <c r="B77" s="43" t="s">
        <v>2166</v>
      </c>
      <c r="C77" s="43" t="s">
        <v>2173</v>
      </c>
      <c r="D77" s="43" t="s">
        <v>2174</v>
      </c>
      <c r="E77" s="43" t="s">
        <v>2175</v>
      </c>
      <c r="F77">
        <v>1</v>
      </c>
      <c r="H77" s="23"/>
      <c r="I77">
        <v>43775</v>
      </c>
      <c r="J77" s="43" t="s">
        <v>3305</v>
      </c>
      <c r="K77" s="43" t="s">
        <v>1715</v>
      </c>
      <c r="L77" s="43" t="s">
        <v>3204</v>
      </c>
      <c r="M77" s="43" t="s">
        <v>2176</v>
      </c>
      <c r="N77" s="43" t="s">
        <v>2177</v>
      </c>
      <c r="O77" s="43" t="s">
        <v>1205</v>
      </c>
      <c r="P77" s="43" t="s">
        <v>403</v>
      </c>
      <c r="Q77" s="43" t="s">
        <v>2178</v>
      </c>
      <c r="S77" s="23">
        <v>44109</v>
      </c>
      <c r="T77" s="43" t="s">
        <v>285</v>
      </c>
      <c r="U77" s="43" t="s">
        <v>266</v>
      </c>
      <c r="V77" s="43" t="s">
        <v>267</v>
      </c>
      <c r="W77" s="43" t="s">
        <v>1718</v>
      </c>
      <c r="X77" s="43" t="s">
        <v>1719</v>
      </c>
      <c r="Y77">
        <v>8772802835</v>
      </c>
      <c r="Z77" s="43" t="s">
        <v>270</v>
      </c>
      <c r="AA77" s="43" t="s">
        <v>271</v>
      </c>
      <c r="AB77">
        <v>0</v>
      </c>
      <c r="AC77">
        <v>0</v>
      </c>
      <c r="AD77">
        <v>0</v>
      </c>
      <c r="AE77" s="43" t="s">
        <v>364</v>
      </c>
      <c r="AF77">
        <v>3</v>
      </c>
      <c r="AG77" s="43" t="s">
        <v>446</v>
      </c>
      <c r="AH77">
        <v>0</v>
      </c>
      <c r="AI77">
        <v>0</v>
      </c>
      <c r="AJ77" s="23">
        <v>43790</v>
      </c>
      <c r="AK77" s="43" t="s">
        <v>3208</v>
      </c>
      <c r="AL77" s="43" t="s">
        <v>3209</v>
      </c>
      <c r="AM77" s="23"/>
      <c r="AN77" s="23"/>
      <c r="AO77" s="23"/>
      <c r="AP77" s="23"/>
      <c r="AQ77" s="23"/>
      <c r="BB77" s="43"/>
      <c r="BC77" s="43" t="s">
        <v>2018</v>
      </c>
      <c r="BD77" s="43" t="s">
        <v>2018</v>
      </c>
      <c r="BE77" s="43" t="s">
        <v>2018</v>
      </c>
      <c r="BF77" s="43" t="s">
        <v>2018</v>
      </c>
      <c r="BG77" s="43" t="s">
        <v>2018</v>
      </c>
      <c r="BH77" t="s">
        <v>2018</v>
      </c>
      <c r="BI77" s="43" t="s">
        <v>2018</v>
      </c>
      <c r="BJ77">
        <v>0</v>
      </c>
      <c r="BK77" s="23">
        <v>44109</v>
      </c>
      <c r="BL77" s="23">
        <v>44356</v>
      </c>
      <c r="BM77">
        <v>8505</v>
      </c>
      <c r="BN77">
        <v>8505</v>
      </c>
      <c r="BO77">
        <v>8505</v>
      </c>
      <c r="BP77">
        <v>25515</v>
      </c>
      <c r="BQ77">
        <v>3300</v>
      </c>
      <c r="BR77">
        <v>400</v>
      </c>
      <c r="BS77">
        <v>400</v>
      </c>
      <c r="BT77">
        <v>4100</v>
      </c>
      <c r="BU77">
        <v>2100</v>
      </c>
      <c r="BV77">
        <v>2100</v>
      </c>
      <c r="BW77">
        <v>2100</v>
      </c>
      <c r="BX77">
        <v>6300</v>
      </c>
      <c r="BY77">
        <v>1200</v>
      </c>
      <c r="BZ77">
        <v>1200</v>
      </c>
      <c r="CA77">
        <v>1200</v>
      </c>
      <c r="CB77">
        <v>3600</v>
      </c>
      <c r="CC77">
        <v>0</v>
      </c>
      <c r="CD77">
        <v>0</v>
      </c>
      <c r="CE77">
        <v>0</v>
      </c>
      <c r="CF77">
        <v>0</v>
      </c>
      <c r="CG77">
        <v>39515</v>
      </c>
      <c r="CH77">
        <v>0</v>
      </c>
      <c r="CI77">
        <v>0</v>
      </c>
      <c r="CJ77">
        <v>0</v>
      </c>
      <c r="CK77">
        <v>0</v>
      </c>
      <c r="CL77">
        <v>2065</v>
      </c>
      <c r="CM77">
        <v>2065</v>
      </c>
      <c r="CN77">
        <v>2065</v>
      </c>
      <c r="CO77">
        <v>6195</v>
      </c>
      <c r="CP77">
        <v>500</v>
      </c>
      <c r="CQ77">
        <v>500</v>
      </c>
      <c r="CR77">
        <v>500</v>
      </c>
      <c r="CS77">
        <v>1500</v>
      </c>
      <c r="CT77">
        <v>1300</v>
      </c>
      <c r="CU77">
        <v>1300</v>
      </c>
      <c r="CV77">
        <v>1300</v>
      </c>
      <c r="CW77">
        <v>3900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11595</v>
      </c>
      <c r="EE77">
        <v>0</v>
      </c>
      <c r="EF77">
        <v>0</v>
      </c>
      <c r="EG77">
        <v>0</v>
      </c>
      <c r="EH77">
        <v>0</v>
      </c>
      <c r="EI77">
        <v>1154</v>
      </c>
      <c r="EJ77">
        <v>1154</v>
      </c>
      <c r="EK77">
        <v>1155</v>
      </c>
      <c r="EL77">
        <v>3500</v>
      </c>
      <c r="EM77">
        <v>37.065000000000005</v>
      </c>
      <c r="EN77">
        <v>660</v>
      </c>
      <c r="EO77">
        <v>660</v>
      </c>
      <c r="EP77">
        <v>660</v>
      </c>
      <c r="EQ77">
        <v>2000</v>
      </c>
      <c r="ER77">
        <v>21.18</v>
      </c>
      <c r="ES77">
        <v>0</v>
      </c>
      <c r="ET77">
        <v>0</v>
      </c>
      <c r="EU77">
        <v>0</v>
      </c>
      <c r="EV77">
        <v>0</v>
      </c>
      <c r="EW77">
        <v>0</v>
      </c>
      <c r="FA77">
        <v>0</v>
      </c>
      <c r="FE77">
        <v>0</v>
      </c>
      <c r="FI77">
        <v>0</v>
      </c>
      <c r="FJ77">
        <v>5441.7550000000001</v>
      </c>
      <c r="FK77">
        <v>27920</v>
      </c>
      <c r="FL77">
        <v>23472.541873773022</v>
      </c>
      <c r="FM77">
        <v>22478.244999999999</v>
      </c>
    </row>
    <row r="78" spans="1:169" x14ac:dyDescent="0.35">
      <c r="A78">
        <v>198383</v>
      </c>
      <c r="B78" s="43" t="s">
        <v>2179</v>
      </c>
      <c r="C78" s="43" t="s">
        <v>2180</v>
      </c>
      <c r="D78" s="43" t="s">
        <v>2181</v>
      </c>
      <c r="E78" s="43" t="s">
        <v>2182</v>
      </c>
      <c r="F78">
        <v>1</v>
      </c>
      <c r="H78" s="23"/>
      <c r="I78">
        <v>43804</v>
      </c>
      <c r="J78" s="43" t="s">
        <v>4240</v>
      </c>
      <c r="K78" s="43" t="s">
        <v>1715</v>
      </c>
      <c r="L78" s="43" t="s">
        <v>3204</v>
      </c>
      <c r="M78" s="43" t="s">
        <v>2183</v>
      </c>
      <c r="N78" s="43" t="s">
        <v>4228</v>
      </c>
      <c r="O78" s="43" t="s">
        <v>2184</v>
      </c>
      <c r="P78" s="43" t="s">
        <v>297</v>
      </c>
      <c r="Q78" s="43" t="s">
        <v>2185</v>
      </c>
      <c r="R78">
        <v>3.5</v>
      </c>
      <c r="S78" s="23">
        <v>44109</v>
      </c>
      <c r="T78" s="43" t="s">
        <v>311</v>
      </c>
      <c r="U78" s="43" t="s">
        <v>286</v>
      </c>
      <c r="V78" s="43" t="s">
        <v>267</v>
      </c>
      <c r="W78" s="43" t="s">
        <v>1718</v>
      </c>
      <c r="X78" s="43" t="s">
        <v>1719</v>
      </c>
      <c r="Y78">
        <v>8772802835</v>
      </c>
      <c r="Z78" s="43" t="s">
        <v>270</v>
      </c>
      <c r="AA78" s="43" t="s">
        <v>271</v>
      </c>
      <c r="AB78">
        <v>0</v>
      </c>
      <c r="AC78">
        <v>0</v>
      </c>
      <c r="AD78">
        <v>0</v>
      </c>
      <c r="AE78" s="43" t="s">
        <v>445</v>
      </c>
      <c r="AF78">
        <v>4</v>
      </c>
      <c r="AG78" s="43" t="s">
        <v>275</v>
      </c>
      <c r="AH78">
        <v>15483</v>
      </c>
      <c r="AI78">
        <v>15483</v>
      </c>
      <c r="AJ78" s="23">
        <v>43801</v>
      </c>
      <c r="AK78" s="43" t="s">
        <v>3208</v>
      </c>
      <c r="AL78" s="43" t="s">
        <v>3209</v>
      </c>
      <c r="AM78" s="23"/>
      <c r="AN78" s="23"/>
      <c r="AO78" s="23">
        <v>43804</v>
      </c>
      <c r="AP78" s="23"/>
      <c r="AQ78" s="23"/>
      <c r="BB78" s="43"/>
      <c r="BC78" s="43" t="s">
        <v>2018</v>
      </c>
      <c r="BD78" s="43" t="s">
        <v>2018</v>
      </c>
      <c r="BE78" s="43" t="s">
        <v>2018</v>
      </c>
      <c r="BF78" s="43" t="s">
        <v>2018</v>
      </c>
      <c r="BG78" s="43" t="s">
        <v>2018</v>
      </c>
      <c r="BH78" t="s">
        <v>2018</v>
      </c>
      <c r="BI78" s="43" t="s">
        <v>2018</v>
      </c>
      <c r="BJ78">
        <v>6.25E-2</v>
      </c>
      <c r="BK78" s="23">
        <v>44109</v>
      </c>
      <c r="BL78" s="23">
        <v>44356</v>
      </c>
      <c r="BM78">
        <v>8505</v>
      </c>
      <c r="BN78">
        <v>8505</v>
      </c>
      <c r="BO78">
        <v>8505</v>
      </c>
      <c r="BP78">
        <v>25515</v>
      </c>
      <c r="BQ78">
        <v>3300</v>
      </c>
      <c r="BR78">
        <v>400</v>
      </c>
      <c r="BS78">
        <v>400</v>
      </c>
      <c r="BT78">
        <v>4100</v>
      </c>
      <c r="BU78">
        <v>2100</v>
      </c>
      <c r="BV78">
        <v>2100</v>
      </c>
      <c r="BW78">
        <v>2100</v>
      </c>
      <c r="BX78">
        <v>6300</v>
      </c>
      <c r="BY78">
        <v>1200</v>
      </c>
      <c r="BZ78">
        <v>1200</v>
      </c>
      <c r="CA78">
        <v>1200</v>
      </c>
      <c r="CB78">
        <v>3600</v>
      </c>
      <c r="CC78">
        <v>0</v>
      </c>
      <c r="CD78">
        <v>0</v>
      </c>
      <c r="CE78">
        <v>0</v>
      </c>
      <c r="CF78">
        <v>0</v>
      </c>
      <c r="CG78">
        <v>39515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1250</v>
      </c>
      <c r="CU78">
        <v>1250</v>
      </c>
      <c r="CV78">
        <v>1250</v>
      </c>
      <c r="CW78">
        <v>3750</v>
      </c>
      <c r="CX78">
        <v>0</v>
      </c>
      <c r="CY78">
        <v>0</v>
      </c>
      <c r="CZ78">
        <v>0</v>
      </c>
      <c r="DA78">
        <v>0</v>
      </c>
      <c r="DB78">
        <v>1000</v>
      </c>
      <c r="DC78">
        <v>1000</v>
      </c>
      <c r="DD78">
        <v>1000</v>
      </c>
      <c r="DE78">
        <v>3000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6750</v>
      </c>
      <c r="EE78">
        <v>0</v>
      </c>
      <c r="EF78">
        <v>0</v>
      </c>
      <c r="EG78">
        <v>0</v>
      </c>
      <c r="EH78">
        <v>0</v>
      </c>
      <c r="EI78">
        <v>1154</v>
      </c>
      <c r="EJ78">
        <v>1154</v>
      </c>
      <c r="EK78">
        <v>1155</v>
      </c>
      <c r="EL78">
        <v>3500</v>
      </c>
      <c r="EM78">
        <v>37.065000000000005</v>
      </c>
      <c r="EN78">
        <v>660</v>
      </c>
      <c r="EO78">
        <v>660</v>
      </c>
      <c r="EP78">
        <v>660</v>
      </c>
      <c r="EQ78">
        <v>2000</v>
      </c>
      <c r="ER78">
        <v>21.18</v>
      </c>
      <c r="ES78">
        <v>0</v>
      </c>
      <c r="ET78">
        <v>0</v>
      </c>
      <c r="EU78">
        <v>0</v>
      </c>
      <c r="EV78">
        <v>0</v>
      </c>
      <c r="EW78">
        <v>0</v>
      </c>
      <c r="FA78">
        <v>0</v>
      </c>
      <c r="FE78">
        <v>0</v>
      </c>
      <c r="FI78">
        <v>0</v>
      </c>
      <c r="FJ78">
        <v>5441.7550000000001</v>
      </c>
      <c r="FK78">
        <v>32765</v>
      </c>
      <c r="FL78">
        <v>28531.854350277765</v>
      </c>
      <c r="FM78">
        <v>27323.244999999999</v>
      </c>
    </row>
    <row r="79" spans="1:169" x14ac:dyDescent="0.35">
      <c r="A79">
        <v>198483</v>
      </c>
      <c r="B79" s="43" t="s">
        <v>2186</v>
      </c>
      <c r="C79" s="43" t="s">
        <v>2187</v>
      </c>
      <c r="D79" s="43" t="s">
        <v>2188</v>
      </c>
      <c r="E79" s="43" t="s">
        <v>2189</v>
      </c>
      <c r="F79">
        <v>1</v>
      </c>
      <c r="H79" s="23"/>
      <c r="I79">
        <v>43781</v>
      </c>
      <c r="J79" s="43" t="s">
        <v>3305</v>
      </c>
      <c r="K79" s="43" t="s">
        <v>1715</v>
      </c>
      <c r="L79" s="43" t="s">
        <v>3204</v>
      </c>
      <c r="M79" s="43" t="s">
        <v>3336</v>
      </c>
      <c r="N79" s="43" t="s">
        <v>2190</v>
      </c>
      <c r="O79" s="43" t="s">
        <v>2191</v>
      </c>
      <c r="P79" s="43" t="s">
        <v>297</v>
      </c>
      <c r="Q79" s="43" t="s">
        <v>2192</v>
      </c>
      <c r="S79" s="23">
        <v>44109</v>
      </c>
      <c r="T79" s="43" t="s">
        <v>285</v>
      </c>
      <c r="U79" s="43" t="s">
        <v>286</v>
      </c>
      <c r="V79" s="43" t="s">
        <v>267</v>
      </c>
      <c r="W79" s="43" t="s">
        <v>1718</v>
      </c>
      <c r="X79" s="43" t="s">
        <v>1719</v>
      </c>
      <c r="Y79">
        <v>8772802835</v>
      </c>
      <c r="Z79" s="43" t="s">
        <v>270</v>
      </c>
      <c r="AA79" s="43" t="s">
        <v>271</v>
      </c>
      <c r="AB79">
        <v>0</v>
      </c>
      <c r="AC79">
        <v>1240</v>
      </c>
      <c r="AD79">
        <v>105</v>
      </c>
      <c r="AE79" s="43" t="s">
        <v>289</v>
      </c>
      <c r="AF79">
        <v>2</v>
      </c>
      <c r="AG79" s="43" t="s">
        <v>446</v>
      </c>
      <c r="AH79">
        <v>878</v>
      </c>
      <c r="AI79">
        <v>878</v>
      </c>
      <c r="AJ79" s="23">
        <v>43776</v>
      </c>
      <c r="AK79" s="43" t="s">
        <v>1715</v>
      </c>
      <c r="AL79" s="43" t="s">
        <v>259</v>
      </c>
      <c r="AM79" s="23"/>
      <c r="AN79" s="23"/>
      <c r="AO79" s="23"/>
      <c r="AP79" s="23"/>
      <c r="AQ79" s="23"/>
      <c r="BB79" s="43"/>
      <c r="BC79" s="43" t="s">
        <v>259</v>
      </c>
      <c r="BD79" s="43" t="s">
        <v>259</v>
      </c>
      <c r="BE79" s="43" t="s">
        <v>259</v>
      </c>
      <c r="BF79" s="43" t="s">
        <v>2018</v>
      </c>
      <c r="BG79" s="43" t="s">
        <v>2018</v>
      </c>
      <c r="BH79">
        <v>43739</v>
      </c>
      <c r="BI79" s="43" t="s">
        <v>2018</v>
      </c>
      <c r="BJ79">
        <v>5.0000000000000044E-2</v>
      </c>
      <c r="BK79" s="23">
        <v>44109</v>
      </c>
      <c r="BL79" s="23">
        <v>44356</v>
      </c>
      <c r="BM79">
        <v>8505</v>
      </c>
      <c r="BN79">
        <v>8505</v>
      </c>
      <c r="BO79">
        <v>8505</v>
      </c>
      <c r="BP79">
        <v>25515</v>
      </c>
      <c r="BQ79">
        <v>3300</v>
      </c>
      <c r="BR79">
        <v>400</v>
      </c>
      <c r="BS79">
        <v>400</v>
      </c>
      <c r="BT79">
        <v>4100</v>
      </c>
      <c r="BU79">
        <v>2100</v>
      </c>
      <c r="BV79">
        <v>2100</v>
      </c>
      <c r="BW79">
        <v>2100</v>
      </c>
      <c r="BX79">
        <v>6300</v>
      </c>
      <c r="BY79">
        <v>1200</v>
      </c>
      <c r="BZ79">
        <v>1200</v>
      </c>
      <c r="CA79">
        <v>1200</v>
      </c>
      <c r="CB79">
        <v>3600</v>
      </c>
      <c r="CC79">
        <v>0</v>
      </c>
      <c r="CD79">
        <v>0</v>
      </c>
      <c r="CE79">
        <v>0</v>
      </c>
      <c r="CF79">
        <v>0</v>
      </c>
      <c r="CG79">
        <v>39515</v>
      </c>
      <c r="CH79">
        <v>0</v>
      </c>
      <c r="CI79">
        <v>0</v>
      </c>
      <c r="CJ79">
        <v>0</v>
      </c>
      <c r="CK79">
        <v>0</v>
      </c>
      <c r="CL79">
        <v>1782</v>
      </c>
      <c r="CM79">
        <v>1782</v>
      </c>
      <c r="CN79">
        <v>1781</v>
      </c>
      <c r="CO79">
        <v>5345</v>
      </c>
      <c r="CP79">
        <v>500</v>
      </c>
      <c r="CQ79">
        <v>500</v>
      </c>
      <c r="CR79">
        <v>500</v>
      </c>
      <c r="CS79">
        <v>1500</v>
      </c>
      <c r="CT79">
        <v>1500</v>
      </c>
      <c r="CU79">
        <v>1500</v>
      </c>
      <c r="CV79">
        <v>1500</v>
      </c>
      <c r="CW79">
        <v>4500</v>
      </c>
      <c r="CX79">
        <v>0</v>
      </c>
      <c r="CY79">
        <v>0</v>
      </c>
      <c r="CZ79">
        <v>0</v>
      </c>
      <c r="DA79">
        <v>0</v>
      </c>
      <c r="DB79">
        <v>1000</v>
      </c>
      <c r="DC79">
        <v>1000</v>
      </c>
      <c r="DD79">
        <v>1000</v>
      </c>
      <c r="DE79">
        <v>3000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14345</v>
      </c>
      <c r="EE79">
        <v>0</v>
      </c>
      <c r="EF79">
        <v>0</v>
      </c>
      <c r="EG79">
        <v>0</v>
      </c>
      <c r="EH79">
        <v>0</v>
      </c>
      <c r="EI79">
        <v>1154</v>
      </c>
      <c r="EJ79">
        <v>1154</v>
      </c>
      <c r="EK79">
        <v>1155</v>
      </c>
      <c r="EL79">
        <v>3500</v>
      </c>
      <c r="EM79">
        <v>37.065000000000005</v>
      </c>
      <c r="EN79">
        <v>660</v>
      </c>
      <c r="EO79">
        <v>660</v>
      </c>
      <c r="EP79">
        <v>660</v>
      </c>
      <c r="EQ79">
        <v>2000</v>
      </c>
      <c r="ER79">
        <v>21.18</v>
      </c>
      <c r="ES79">
        <v>0</v>
      </c>
      <c r="ET79">
        <v>0</v>
      </c>
      <c r="EU79">
        <v>0</v>
      </c>
      <c r="EV79">
        <v>0</v>
      </c>
      <c r="EW79">
        <v>0</v>
      </c>
      <c r="FA79">
        <v>0</v>
      </c>
      <c r="FE79">
        <v>0</v>
      </c>
      <c r="FI79">
        <v>0</v>
      </c>
      <c r="FJ79">
        <v>5441.7550000000001</v>
      </c>
      <c r="FK79">
        <v>25170</v>
      </c>
      <c r="FL79">
        <v>20600.89908525124</v>
      </c>
      <c r="FM79">
        <v>19728.244999999999</v>
      </c>
    </row>
    <row r="80" spans="1:169" x14ac:dyDescent="0.35">
      <c r="A80">
        <v>197958</v>
      </c>
      <c r="B80" s="43" t="s">
        <v>2193</v>
      </c>
      <c r="C80" s="43" t="s">
        <v>2194</v>
      </c>
      <c r="D80" s="43" t="s">
        <v>2195</v>
      </c>
      <c r="E80" s="43" t="s">
        <v>2196</v>
      </c>
      <c r="F80">
        <v>1</v>
      </c>
      <c r="H80" s="23"/>
      <c r="I80">
        <v>43781</v>
      </c>
      <c r="J80" s="43" t="s">
        <v>3304</v>
      </c>
      <c r="K80" s="43" t="s">
        <v>1715</v>
      </c>
      <c r="L80" s="43" t="s">
        <v>3204</v>
      </c>
      <c r="M80" s="43" t="s">
        <v>2197</v>
      </c>
      <c r="N80" s="43" t="s">
        <v>2198</v>
      </c>
      <c r="O80" s="43" t="s">
        <v>2199</v>
      </c>
      <c r="P80" s="43" t="s">
        <v>542</v>
      </c>
      <c r="Q80" s="43" t="s">
        <v>2200</v>
      </c>
      <c r="R80">
        <v>3.6629999999999998</v>
      </c>
      <c r="S80" s="23">
        <v>44109</v>
      </c>
      <c r="T80" s="43" t="s">
        <v>544</v>
      </c>
      <c r="U80" s="43" t="s">
        <v>266</v>
      </c>
      <c r="V80" s="43" t="s">
        <v>267</v>
      </c>
      <c r="W80" s="43" t="s">
        <v>1718</v>
      </c>
      <c r="X80" s="43" t="s">
        <v>1719</v>
      </c>
      <c r="Y80">
        <v>8772802835</v>
      </c>
      <c r="Z80" s="43" t="s">
        <v>270</v>
      </c>
      <c r="AA80" s="43" t="s">
        <v>271</v>
      </c>
      <c r="AB80">
        <v>27</v>
      </c>
      <c r="AC80">
        <v>0</v>
      </c>
      <c r="AD80">
        <v>0</v>
      </c>
      <c r="AE80" s="43" t="s">
        <v>289</v>
      </c>
      <c r="AF80">
        <v>2</v>
      </c>
      <c r="AG80" s="43" t="s">
        <v>275</v>
      </c>
      <c r="AH80">
        <v>0</v>
      </c>
      <c r="AI80">
        <v>0</v>
      </c>
      <c r="AJ80" s="23">
        <v>43776</v>
      </c>
      <c r="AK80" s="43" t="s">
        <v>3208</v>
      </c>
      <c r="AL80" s="43" t="s">
        <v>3209</v>
      </c>
      <c r="AM80" s="23"/>
      <c r="AN80" s="23"/>
      <c r="AO80" s="23"/>
      <c r="AP80" s="23"/>
      <c r="AQ80" s="23"/>
      <c r="BB80" s="43"/>
      <c r="BC80" s="43" t="s">
        <v>2018</v>
      </c>
      <c r="BD80" s="43" t="s">
        <v>2018</v>
      </c>
      <c r="BE80" s="43" t="s">
        <v>2018</v>
      </c>
      <c r="BF80" s="43" t="s">
        <v>2018</v>
      </c>
      <c r="BG80" s="43" t="s">
        <v>2018</v>
      </c>
      <c r="BH80" t="s">
        <v>2018</v>
      </c>
      <c r="BI80" s="43" t="s">
        <v>2018</v>
      </c>
      <c r="BJ80">
        <v>0</v>
      </c>
      <c r="BK80" s="23">
        <v>44109</v>
      </c>
      <c r="BL80" s="23">
        <v>44356</v>
      </c>
      <c r="BM80">
        <v>8505</v>
      </c>
      <c r="BN80">
        <v>8505</v>
      </c>
      <c r="BO80">
        <v>8505</v>
      </c>
      <c r="BP80">
        <v>25515</v>
      </c>
      <c r="BQ80">
        <v>3300</v>
      </c>
      <c r="BR80">
        <v>400</v>
      </c>
      <c r="BS80">
        <v>400</v>
      </c>
      <c r="BT80">
        <v>4100</v>
      </c>
      <c r="BU80">
        <v>2100</v>
      </c>
      <c r="BV80">
        <v>2100</v>
      </c>
      <c r="BW80">
        <v>2100</v>
      </c>
      <c r="BX80">
        <v>6300</v>
      </c>
      <c r="BY80">
        <v>1200</v>
      </c>
      <c r="BZ80">
        <v>1200</v>
      </c>
      <c r="CA80">
        <v>1200</v>
      </c>
      <c r="CB80">
        <v>3600</v>
      </c>
      <c r="CC80">
        <v>0</v>
      </c>
      <c r="CD80">
        <v>0</v>
      </c>
      <c r="CE80">
        <v>0</v>
      </c>
      <c r="CF80">
        <v>0</v>
      </c>
      <c r="CG80">
        <v>39515</v>
      </c>
      <c r="CH80">
        <v>0</v>
      </c>
      <c r="CI80">
        <v>0</v>
      </c>
      <c r="CJ80">
        <v>0</v>
      </c>
      <c r="CK80">
        <v>0</v>
      </c>
      <c r="CL80">
        <v>2065</v>
      </c>
      <c r="CM80">
        <v>2065</v>
      </c>
      <c r="CN80">
        <v>2065</v>
      </c>
      <c r="CO80">
        <v>6195</v>
      </c>
      <c r="CP80">
        <v>500</v>
      </c>
      <c r="CQ80">
        <v>500</v>
      </c>
      <c r="CR80">
        <v>500</v>
      </c>
      <c r="CS80">
        <v>1500</v>
      </c>
      <c r="CT80">
        <v>1500</v>
      </c>
      <c r="CU80">
        <v>1500</v>
      </c>
      <c r="CV80">
        <v>1500</v>
      </c>
      <c r="CW80">
        <v>4500</v>
      </c>
      <c r="CX80">
        <v>3000</v>
      </c>
      <c r="CY80">
        <v>3000</v>
      </c>
      <c r="CZ80">
        <v>3000</v>
      </c>
      <c r="DA80">
        <v>9000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21195</v>
      </c>
      <c r="EE80">
        <v>0</v>
      </c>
      <c r="EF80">
        <v>0</v>
      </c>
      <c r="EG80">
        <v>0</v>
      </c>
      <c r="EH80">
        <v>0</v>
      </c>
      <c r="EI80">
        <v>1154</v>
      </c>
      <c r="EJ80">
        <v>1154</v>
      </c>
      <c r="EK80">
        <v>1155</v>
      </c>
      <c r="EL80">
        <v>3500</v>
      </c>
      <c r="EM80">
        <v>37.065000000000005</v>
      </c>
      <c r="EN80">
        <v>660</v>
      </c>
      <c r="EO80">
        <v>660</v>
      </c>
      <c r="EP80">
        <v>660</v>
      </c>
      <c r="EQ80">
        <v>2000</v>
      </c>
      <c r="ER80">
        <v>21.18</v>
      </c>
      <c r="ES80">
        <v>0</v>
      </c>
      <c r="ET80">
        <v>0</v>
      </c>
      <c r="EU80">
        <v>0</v>
      </c>
      <c r="EV80">
        <v>0</v>
      </c>
      <c r="EW80">
        <v>0</v>
      </c>
      <c r="FA80">
        <v>0</v>
      </c>
      <c r="FE80">
        <v>0</v>
      </c>
      <c r="FI80">
        <v>0</v>
      </c>
      <c r="FJ80">
        <v>5441.7550000000001</v>
      </c>
      <c r="FK80">
        <v>18320</v>
      </c>
      <c r="FL80">
        <v>13447.897957478803</v>
      </c>
      <c r="FM80">
        <v>12878.245000000001</v>
      </c>
    </row>
    <row r="81" spans="1:169" x14ac:dyDescent="0.35">
      <c r="A81">
        <v>192461</v>
      </c>
      <c r="B81" s="43" t="s">
        <v>2201</v>
      </c>
      <c r="C81" s="43" t="s">
        <v>2202</v>
      </c>
      <c r="D81" s="43" t="s">
        <v>2203</v>
      </c>
      <c r="E81" s="43" t="s">
        <v>2204</v>
      </c>
      <c r="F81">
        <v>1</v>
      </c>
      <c r="H81" s="23"/>
      <c r="I81">
        <v>43804</v>
      </c>
      <c r="J81" s="43" t="s">
        <v>4242</v>
      </c>
      <c r="K81" s="43" t="s">
        <v>1715</v>
      </c>
      <c r="L81" s="43" t="s">
        <v>259</v>
      </c>
      <c r="M81" s="43" t="s">
        <v>2205</v>
      </c>
      <c r="N81" s="43" t="s">
        <v>2206</v>
      </c>
      <c r="O81" s="43" t="s">
        <v>2207</v>
      </c>
      <c r="P81" s="43" t="s">
        <v>822</v>
      </c>
      <c r="Q81" s="43" t="s">
        <v>2208</v>
      </c>
      <c r="R81">
        <v>3.2</v>
      </c>
      <c r="S81" s="23">
        <v>44109</v>
      </c>
      <c r="T81" s="43" t="s">
        <v>285</v>
      </c>
      <c r="U81" s="43" t="s">
        <v>266</v>
      </c>
      <c r="V81" s="43" t="s">
        <v>267</v>
      </c>
      <c r="W81" s="43" t="s">
        <v>1718</v>
      </c>
      <c r="X81" s="43" t="s">
        <v>1719</v>
      </c>
      <c r="Y81">
        <v>8772802835</v>
      </c>
      <c r="Z81" s="43" t="s">
        <v>270</v>
      </c>
      <c r="AA81" s="43" t="s">
        <v>271</v>
      </c>
      <c r="AB81">
        <v>0</v>
      </c>
      <c r="AC81">
        <v>1110</v>
      </c>
      <c r="AD81">
        <v>106</v>
      </c>
      <c r="AE81" s="43" t="s">
        <v>445</v>
      </c>
      <c r="AF81">
        <v>4</v>
      </c>
      <c r="AG81" s="43" t="s">
        <v>275</v>
      </c>
      <c r="AJ81" s="23"/>
      <c r="AK81" s="43" t="s">
        <v>259</v>
      </c>
      <c r="AL81" s="43" t="s">
        <v>259</v>
      </c>
      <c r="AM81" s="23"/>
      <c r="AN81" s="23"/>
      <c r="AO81" s="23"/>
      <c r="AP81" s="23"/>
      <c r="AQ81" s="23"/>
      <c r="BB81" s="43"/>
      <c r="BC81" s="43" t="s">
        <v>259</v>
      </c>
      <c r="BD81" s="43" t="s">
        <v>259</v>
      </c>
      <c r="BE81" s="43" t="s">
        <v>259</v>
      </c>
      <c r="BF81" s="43" t="s">
        <v>259</v>
      </c>
      <c r="BG81" s="43" t="s">
        <v>259</v>
      </c>
      <c r="BH81" t="s">
        <v>259</v>
      </c>
      <c r="BI81" s="43" t="s">
        <v>259</v>
      </c>
      <c r="BJ81">
        <v>0</v>
      </c>
      <c r="BK81" s="23">
        <v>44109</v>
      </c>
      <c r="BL81" s="23">
        <v>44356</v>
      </c>
      <c r="BM81">
        <v>8505</v>
      </c>
      <c r="BN81">
        <v>8505</v>
      </c>
      <c r="BO81">
        <v>8505</v>
      </c>
      <c r="BP81">
        <v>25515</v>
      </c>
      <c r="BQ81">
        <v>3300</v>
      </c>
      <c r="BR81">
        <v>400</v>
      </c>
      <c r="BS81">
        <v>400</v>
      </c>
      <c r="BT81">
        <v>4100</v>
      </c>
      <c r="BU81">
        <v>2100</v>
      </c>
      <c r="BV81">
        <v>2100</v>
      </c>
      <c r="BW81">
        <v>2100</v>
      </c>
      <c r="BX81">
        <v>6300</v>
      </c>
      <c r="BY81">
        <v>1200</v>
      </c>
      <c r="BZ81">
        <v>1200</v>
      </c>
      <c r="CA81">
        <v>1200</v>
      </c>
      <c r="CB81">
        <v>3600</v>
      </c>
      <c r="CC81">
        <v>0</v>
      </c>
      <c r="CD81">
        <v>0</v>
      </c>
      <c r="CE81">
        <v>0</v>
      </c>
      <c r="CF81">
        <v>0</v>
      </c>
      <c r="CG81">
        <v>39515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1250</v>
      </c>
      <c r="CU81">
        <v>1250</v>
      </c>
      <c r="CV81">
        <v>1250</v>
      </c>
      <c r="CW81">
        <v>3750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3750</v>
      </c>
      <c r="EE81">
        <v>0</v>
      </c>
      <c r="EF81">
        <v>0</v>
      </c>
      <c r="EG81">
        <v>0</v>
      </c>
      <c r="EH81">
        <v>0</v>
      </c>
      <c r="EI81">
        <v>1154</v>
      </c>
      <c r="EJ81">
        <v>1154</v>
      </c>
      <c r="EK81">
        <v>1155</v>
      </c>
      <c r="EL81">
        <v>3500</v>
      </c>
      <c r="EM81">
        <v>37.065000000000005</v>
      </c>
      <c r="EN81">
        <v>660</v>
      </c>
      <c r="EO81">
        <v>660</v>
      </c>
      <c r="EP81">
        <v>660</v>
      </c>
      <c r="EQ81">
        <v>2000</v>
      </c>
      <c r="ER81">
        <v>21.18</v>
      </c>
      <c r="ES81">
        <v>0</v>
      </c>
      <c r="ET81">
        <v>0</v>
      </c>
      <c r="EU81">
        <v>0</v>
      </c>
      <c r="EV81">
        <v>0</v>
      </c>
      <c r="EW81">
        <v>0</v>
      </c>
      <c r="FA81">
        <v>0</v>
      </c>
      <c r="FE81">
        <v>0</v>
      </c>
      <c r="FI81">
        <v>0</v>
      </c>
      <c r="FJ81">
        <v>5441.7550000000001</v>
      </c>
      <c r="FK81">
        <v>35765</v>
      </c>
      <c r="FL81">
        <v>31664.555574119709</v>
      </c>
      <c r="FM81">
        <v>30323.244999999999</v>
      </c>
    </row>
    <row r="82" spans="1:169" x14ac:dyDescent="0.35">
      <c r="A82">
        <v>196262</v>
      </c>
      <c r="B82" s="43" t="s">
        <v>2209</v>
      </c>
      <c r="C82" s="43" t="s">
        <v>2210</v>
      </c>
      <c r="D82" s="43" t="s">
        <v>2211</v>
      </c>
      <c r="E82" s="43" t="s">
        <v>2212</v>
      </c>
      <c r="F82">
        <v>1</v>
      </c>
      <c r="H82" s="23"/>
      <c r="I82">
        <v>43781</v>
      </c>
      <c r="J82" s="43"/>
      <c r="K82" s="43" t="s">
        <v>1715</v>
      </c>
      <c r="L82" s="43" t="s">
        <v>3204</v>
      </c>
      <c r="M82" s="43" t="s">
        <v>2213</v>
      </c>
      <c r="N82" s="43" t="s">
        <v>1241</v>
      </c>
      <c r="O82" s="43" t="s">
        <v>2214</v>
      </c>
      <c r="P82" s="43" t="s">
        <v>2215</v>
      </c>
      <c r="Q82" s="43" t="s">
        <v>2216</v>
      </c>
      <c r="R82">
        <v>3.843</v>
      </c>
      <c r="S82" s="23">
        <v>44109</v>
      </c>
      <c r="T82" s="43" t="s">
        <v>311</v>
      </c>
      <c r="U82" s="43" t="s">
        <v>266</v>
      </c>
      <c r="V82" s="43" t="s">
        <v>267</v>
      </c>
      <c r="W82" s="43" t="s">
        <v>1718</v>
      </c>
      <c r="X82" s="43" t="s">
        <v>1719</v>
      </c>
      <c r="Y82">
        <v>8772802835</v>
      </c>
      <c r="Z82" s="43" t="s">
        <v>270</v>
      </c>
      <c r="AA82" s="43" t="s">
        <v>271</v>
      </c>
      <c r="AB82">
        <v>32</v>
      </c>
      <c r="AC82">
        <v>0</v>
      </c>
      <c r="AD82">
        <v>131</v>
      </c>
      <c r="AE82" s="43" t="s">
        <v>301</v>
      </c>
      <c r="AF82">
        <v>1</v>
      </c>
      <c r="AG82" s="43" t="s">
        <v>275</v>
      </c>
      <c r="AH82">
        <v>0</v>
      </c>
      <c r="AI82">
        <v>0</v>
      </c>
      <c r="AJ82" s="23">
        <v>43774</v>
      </c>
      <c r="AK82" s="43" t="s">
        <v>3208</v>
      </c>
      <c r="AL82" s="43" t="s">
        <v>3209</v>
      </c>
      <c r="AM82" s="23"/>
      <c r="AN82" s="23"/>
      <c r="AO82" s="23"/>
      <c r="AP82" s="23"/>
      <c r="AQ82" s="23"/>
      <c r="BB82" s="43"/>
      <c r="BC82" s="43" t="s">
        <v>2018</v>
      </c>
      <c r="BD82" s="43" t="s">
        <v>2018</v>
      </c>
      <c r="BE82" s="43" t="s">
        <v>2018</v>
      </c>
      <c r="BF82" s="43" t="s">
        <v>2018</v>
      </c>
      <c r="BG82" s="43" t="s">
        <v>2018</v>
      </c>
      <c r="BH82" t="s">
        <v>2018</v>
      </c>
      <c r="BI82" s="43" t="s">
        <v>2018</v>
      </c>
      <c r="BJ82">
        <v>0</v>
      </c>
      <c r="BK82" s="23">
        <v>44109</v>
      </c>
      <c r="BL82" s="23">
        <v>44356</v>
      </c>
      <c r="BM82">
        <v>8505</v>
      </c>
      <c r="BN82">
        <v>8505</v>
      </c>
      <c r="BO82">
        <v>8505</v>
      </c>
      <c r="BP82">
        <v>25515</v>
      </c>
      <c r="BQ82">
        <v>3300</v>
      </c>
      <c r="BR82">
        <v>400</v>
      </c>
      <c r="BS82">
        <v>400</v>
      </c>
      <c r="BT82">
        <v>4100</v>
      </c>
      <c r="BU82">
        <v>2100</v>
      </c>
      <c r="BV82">
        <v>2100</v>
      </c>
      <c r="BW82">
        <v>2100</v>
      </c>
      <c r="BX82">
        <v>6300</v>
      </c>
      <c r="BY82">
        <v>1200</v>
      </c>
      <c r="BZ82">
        <v>1200</v>
      </c>
      <c r="CA82">
        <v>1200</v>
      </c>
      <c r="CB82">
        <v>3600</v>
      </c>
      <c r="CC82">
        <v>0</v>
      </c>
      <c r="CD82">
        <v>0</v>
      </c>
      <c r="CE82">
        <v>0</v>
      </c>
      <c r="CF82">
        <v>0</v>
      </c>
      <c r="CG82">
        <v>39515</v>
      </c>
      <c r="CH82">
        <v>0</v>
      </c>
      <c r="CI82">
        <v>0</v>
      </c>
      <c r="CJ82">
        <v>0</v>
      </c>
      <c r="CK82">
        <v>0</v>
      </c>
      <c r="CL82">
        <v>2065</v>
      </c>
      <c r="CM82">
        <v>2065</v>
      </c>
      <c r="CN82">
        <v>2065</v>
      </c>
      <c r="CO82">
        <v>6195</v>
      </c>
      <c r="CP82">
        <v>500</v>
      </c>
      <c r="CQ82">
        <v>500</v>
      </c>
      <c r="CR82">
        <v>500</v>
      </c>
      <c r="CS82">
        <v>1500</v>
      </c>
      <c r="CT82">
        <v>1700</v>
      </c>
      <c r="CU82">
        <v>1700</v>
      </c>
      <c r="CV82">
        <v>1700</v>
      </c>
      <c r="CW82">
        <v>5100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12795</v>
      </c>
      <c r="EE82">
        <v>0</v>
      </c>
      <c r="EF82">
        <v>0</v>
      </c>
      <c r="EG82">
        <v>0</v>
      </c>
      <c r="EH82">
        <v>0</v>
      </c>
      <c r="EI82">
        <v>1154</v>
      </c>
      <c r="EJ82">
        <v>1154</v>
      </c>
      <c r="EK82">
        <v>1155</v>
      </c>
      <c r="EL82">
        <v>3500</v>
      </c>
      <c r="EM82">
        <v>37.065000000000005</v>
      </c>
      <c r="EN82">
        <v>660</v>
      </c>
      <c r="EO82">
        <v>660</v>
      </c>
      <c r="EP82">
        <v>660</v>
      </c>
      <c r="EQ82">
        <v>2000</v>
      </c>
      <c r="ER82">
        <v>21.18</v>
      </c>
      <c r="ES82">
        <v>0</v>
      </c>
      <c r="ET82">
        <v>0</v>
      </c>
      <c r="EU82">
        <v>0</v>
      </c>
      <c r="EV82">
        <v>0</v>
      </c>
      <c r="EW82">
        <v>0</v>
      </c>
      <c r="FA82">
        <v>0</v>
      </c>
      <c r="FE82">
        <v>0</v>
      </c>
      <c r="FI82">
        <v>0</v>
      </c>
      <c r="FJ82">
        <v>5441.7550000000001</v>
      </c>
      <c r="FK82">
        <v>26720</v>
      </c>
      <c r="FL82">
        <v>22219.461384236245</v>
      </c>
      <c r="FM82">
        <v>21278.244999999999</v>
      </c>
    </row>
    <row r="83" spans="1:169" x14ac:dyDescent="0.35">
      <c r="A83">
        <v>197551</v>
      </c>
      <c r="B83" s="43" t="s">
        <v>2217</v>
      </c>
      <c r="C83" s="43" t="s">
        <v>1780</v>
      </c>
      <c r="D83" s="43" t="s">
        <v>2218</v>
      </c>
      <c r="E83" s="43" t="s">
        <v>2219</v>
      </c>
      <c r="F83">
        <v>1</v>
      </c>
      <c r="H83" s="23"/>
      <c r="I83">
        <v>43804</v>
      </c>
      <c r="J83" s="43" t="s">
        <v>4242</v>
      </c>
      <c r="K83" s="43" t="s">
        <v>1715</v>
      </c>
      <c r="L83" s="43" t="s">
        <v>259</v>
      </c>
      <c r="M83" s="43" t="s">
        <v>2220</v>
      </c>
      <c r="N83" s="43" t="s">
        <v>2221</v>
      </c>
      <c r="O83" s="43" t="s">
        <v>2222</v>
      </c>
      <c r="P83" s="43" t="s">
        <v>542</v>
      </c>
      <c r="Q83" s="43" t="s">
        <v>2223</v>
      </c>
      <c r="R83">
        <v>3.8820000000000001</v>
      </c>
      <c r="S83" s="23">
        <v>44109</v>
      </c>
      <c r="T83" s="43" t="s">
        <v>544</v>
      </c>
      <c r="U83" s="43" t="s">
        <v>266</v>
      </c>
      <c r="V83" s="43" t="s">
        <v>267</v>
      </c>
      <c r="W83" s="43" t="s">
        <v>1718</v>
      </c>
      <c r="X83" s="43" t="s">
        <v>1719</v>
      </c>
      <c r="Y83">
        <v>8772802835</v>
      </c>
      <c r="Z83" s="43" t="s">
        <v>270</v>
      </c>
      <c r="AA83" s="43" t="s">
        <v>271</v>
      </c>
      <c r="AB83">
        <v>27</v>
      </c>
      <c r="AC83">
        <v>0</v>
      </c>
      <c r="AD83">
        <v>0</v>
      </c>
      <c r="AE83" s="43" t="s">
        <v>364</v>
      </c>
      <c r="AF83">
        <v>3</v>
      </c>
      <c r="AG83" s="43" t="s">
        <v>275</v>
      </c>
      <c r="AJ83" s="23"/>
      <c r="AK83" s="43" t="s">
        <v>259</v>
      </c>
      <c r="AL83" s="43" t="s">
        <v>259</v>
      </c>
      <c r="AM83" s="23"/>
      <c r="AN83" s="23"/>
      <c r="AO83" s="23"/>
      <c r="AP83" s="23"/>
      <c r="AQ83" s="23"/>
      <c r="BB83" s="43"/>
      <c r="BC83" s="43" t="s">
        <v>259</v>
      </c>
      <c r="BD83" s="43" t="s">
        <v>259</v>
      </c>
      <c r="BE83" s="43" t="s">
        <v>259</v>
      </c>
      <c r="BF83" s="43" t="s">
        <v>259</v>
      </c>
      <c r="BG83" s="43" t="s">
        <v>259</v>
      </c>
      <c r="BH83" t="s">
        <v>259</v>
      </c>
      <c r="BI83" s="43" t="s">
        <v>259</v>
      </c>
      <c r="BJ83">
        <v>0</v>
      </c>
      <c r="BK83" s="23">
        <v>44109</v>
      </c>
      <c r="BL83" s="23">
        <v>44356</v>
      </c>
      <c r="BM83">
        <v>8505</v>
      </c>
      <c r="BN83">
        <v>8505</v>
      </c>
      <c r="BO83">
        <v>8505</v>
      </c>
      <c r="BP83">
        <v>25515</v>
      </c>
      <c r="BQ83">
        <v>3300</v>
      </c>
      <c r="BR83">
        <v>400</v>
      </c>
      <c r="BS83">
        <v>400</v>
      </c>
      <c r="BT83">
        <v>4100</v>
      </c>
      <c r="BU83">
        <v>2100</v>
      </c>
      <c r="BV83">
        <v>2100</v>
      </c>
      <c r="BW83">
        <v>2100</v>
      </c>
      <c r="BX83">
        <v>6300</v>
      </c>
      <c r="BY83">
        <v>1200</v>
      </c>
      <c r="BZ83">
        <v>1200</v>
      </c>
      <c r="CA83">
        <v>1200</v>
      </c>
      <c r="CB83">
        <v>3600</v>
      </c>
      <c r="CC83">
        <v>0</v>
      </c>
      <c r="CD83">
        <v>0</v>
      </c>
      <c r="CE83">
        <v>0</v>
      </c>
      <c r="CF83">
        <v>0</v>
      </c>
      <c r="CG83">
        <v>39515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1300</v>
      </c>
      <c r="CU83">
        <v>1300</v>
      </c>
      <c r="CV83">
        <v>1300</v>
      </c>
      <c r="CW83">
        <v>3900</v>
      </c>
      <c r="CX83">
        <v>3000</v>
      </c>
      <c r="CY83">
        <v>3000</v>
      </c>
      <c r="CZ83">
        <v>3000</v>
      </c>
      <c r="DA83">
        <v>9000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12900</v>
      </c>
      <c r="EE83">
        <v>0</v>
      </c>
      <c r="EF83">
        <v>0</v>
      </c>
      <c r="EG83">
        <v>0</v>
      </c>
      <c r="EH83">
        <v>0</v>
      </c>
      <c r="EI83">
        <v>1154</v>
      </c>
      <c r="EJ83">
        <v>1154</v>
      </c>
      <c r="EK83">
        <v>1155</v>
      </c>
      <c r="EL83">
        <v>3500</v>
      </c>
      <c r="EM83">
        <v>37.065000000000005</v>
      </c>
      <c r="EN83">
        <v>660</v>
      </c>
      <c r="EO83">
        <v>660</v>
      </c>
      <c r="EP83">
        <v>660</v>
      </c>
      <c r="EQ83">
        <v>2000</v>
      </c>
      <c r="ER83">
        <v>21.18</v>
      </c>
      <c r="ES83">
        <v>0</v>
      </c>
      <c r="ET83">
        <v>0</v>
      </c>
      <c r="EU83">
        <v>0</v>
      </c>
      <c r="EV83">
        <v>0</v>
      </c>
      <c r="EW83">
        <v>0</v>
      </c>
      <c r="FA83">
        <v>0</v>
      </c>
      <c r="FE83">
        <v>0</v>
      </c>
      <c r="FI83">
        <v>0</v>
      </c>
      <c r="FJ83">
        <v>5441.7550000000001</v>
      </c>
      <c r="FK83">
        <v>26615</v>
      </c>
      <c r="FL83">
        <v>22109.816841401778</v>
      </c>
      <c r="FM83">
        <v>21173.244999999999</v>
      </c>
    </row>
    <row r="84" spans="1:169" x14ac:dyDescent="0.35">
      <c r="A84">
        <v>196094</v>
      </c>
      <c r="B84" s="43" t="s">
        <v>2224</v>
      </c>
      <c r="C84" s="43" t="s">
        <v>547</v>
      </c>
      <c r="D84" s="43" t="s">
        <v>2225</v>
      </c>
      <c r="E84" s="43" t="s">
        <v>2226</v>
      </c>
      <c r="F84">
        <v>1</v>
      </c>
      <c r="G84">
        <v>43787</v>
      </c>
      <c r="H84" s="23">
        <v>43794</v>
      </c>
      <c r="I84">
        <v>43794</v>
      </c>
      <c r="J84" s="43" t="s">
        <v>3421</v>
      </c>
      <c r="K84" s="43" t="s">
        <v>1715</v>
      </c>
      <c r="L84" s="43" t="s">
        <v>3204</v>
      </c>
      <c r="M84" s="43" t="s">
        <v>2227</v>
      </c>
      <c r="N84" s="43" t="s">
        <v>2228</v>
      </c>
      <c r="O84" s="43" t="s">
        <v>1426</v>
      </c>
      <c r="P84" s="43" t="s">
        <v>297</v>
      </c>
      <c r="Q84" s="43" t="s">
        <v>2229</v>
      </c>
      <c r="S84" s="23">
        <v>44109</v>
      </c>
      <c r="T84" s="43" t="s">
        <v>265</v>
      </c>
      <c r="U84" s="43" t="s">
        <v>266</v>
      </c>
      <c r="V84" s="43" t="s">
        <v>267</v>
      </c>
      <c r="W84" s="43" t="s">
        <v>1718</v>
      </c>
      <c r="X84" s="43" t="s">
        <v>1719</v>
      </c>
      <c r="Y84">
        <v>8772802835</v>
      </c>
      <c r="Z84" s="43" t="s">
        <v>270</v>
      </c>
      <c r="AA84" s="43" t="s">
        <v>271</v>
      </c>
      <c r="AB84">
        <v>27</v>
      </c>
      <c r="AC84">
        <v>0</v>
      </c>
      <c r="AD84">
        <v>114</v>
      </c>
      <c r="AE84" s="43" t="s">
        <v>301</v>
      </c>
      <c r="AF84">
        <v>1</v>
      </c>
      <c r="AG84" s="43" t="s">
        <v>275</v>
      </c>
      <c r="AH84">
        <v>101834</v>
      </c>
      <c r="AI84">
        <v>101834</v>
      </c>
      <c r="AJ84" s="23">
        <v>43774</v>
      </c>
      <c r="AK84" s="43" t="s">
        <v>3208</v>
      </c>
      <c r="AL84" s="43" t="s">
        <v>3209</v>
      </c>
      <c r="AM84" s="23">
        <v>43794</v>
      </c>
      <c r="AN84" s="23">
        <v>43794</v>
      </c>
      <c r="AO84" s="23">
        <v>43761</v>
      </c>
      <c r="AP84" s="23">
        <v>43761</v>
      </c>
      <c r="AQ84" s="23">
        <v>43761</v>
      </c>
      <c r="BB84" s="43"/>
      <c r="BC84" s="43" t="s">
        <v>2018</v>
      </c>
      <c r="BD84" s="43" t="s">
        <v>2018</v>
      </c>
      <c r="BE84" s="43" t="s">
        <v>2018</v>
      </c>
      <c r="BF84" s="43" t="s">
        <v>2018</v>
      </c>
      <c r="BG84" s="43" t="s">
        <v>2018</v>
      </c>
      <c r="BH84" t="s">
        <v>2018</v>
      </c>
      <c r="BI84" s="43" t="s">
        <v>2018</v>
      </c>
      <c r="BJ84">
        <v>0.3125</v>
      </c>
      <c r="BK84" s="23">
        <v>44109</v>
      </c>
      <c r="BL84" s="23">
        <v>44356</v>
      </c>
      <c r="BM84">
        <v>8505</v>
      </c>
      <c r="BN84">
        <v>8505</v>
      </c>
      <c r="BO84">
        <v>8505</v>
      </c>
      <c r="BP84">
        <v>25515</v>
      </c>
      <c r="BQ84">
        <v>3300</v>
      </c>
      <c r="BR84">
        <v>400</v>
      </c>
      <c r="BS84">
        <v>400</v>
      </c>
      <c r="BT84">
        <v>4100</v>
      </c>
      <c r="BU84">
        <v>2100</v>
      </c>
      <c r="BV84">
        <v>2100</v>
      </c>
      <c r="BW84">
        <v>2100</v>
      </c>
      <c r="BX84">
        <v>6300</v>
      </c>
      <c r="BY84">
        <v>1050</v>
      </c>
      <c r="BZ84">
        <v>1050</v>
      </c>
      <c r="CA84">
        <v>1050</v>
      </c>
      <c r="CB84">
        <v>3150</v>
      </c>
      <c r="CC84">
        <v>0</v>
      </c>
      <c r="CD84">
        <v>0</v>
      </c>
      <c r="CE84">
        <v>0</v>
      </c>
      <c r="CF84">
        <v>0</v>
      </c>
      <c r="CG84">
        <v>39065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1700</v>
      </c>
      <c r="CU84">
        <v>1700</v>
      </c>
      <c r="CV84">
        <v>1700</v>
      </c>
      <c r="CW84">
        <v>5100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5100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1814</v>
      </c>
      <c r="EO84">
        <v>1814</v>
      </c>
      <c r="EP84">
        <v>1814</v>
      </c>
      <c r="EQ84">
        <v>5500</v>
      </c>
      <c r="ER84">
        <v>58.245000000000005</v>
      </c>
      <c r="ES84">
        <v>9525</v>
      </c>
      <c r="ET84">
        <v>9525</v>
      </c>
      <c r="EU84">
        <v>9525</v>
      </c>
      <c r="EV84">
        <v>29785</v>
      </c>
      <c r="EW84">
        <v>1261.6926000000001</v>
      </c>
      <c r="FA84">
        <v>0</v>
      </c>
      <c r="FE84">
        <v>0</v>
      </c>
      <c r="FI84">
        <v>0</v>
      </c>
      <c r="FJ84">
        <v>33965.062400000003</v>
      </c>
      <c r="FK84">
        <v>33965</v>
      </c>
      <c r="FL84">
        <v>-6.5160185458550401E-2</v>
      </c>
      <c r="FM84">
        <v>-6.2400000002526212E-2</v>
      </c>
    </row>
    <row r="85" spans="1:169" x14ac:dyDescent="0.35">
      <c r="A85">
        <v>199255</v>
      </c>
      <c r="B85" s="43" t="s">
        <v>3663</v>
      </c>
      <c r="C85" s="43" t="s">
        <v>3664</v>
      </c>
      <c r="D85" s="43" t="s">
        <v>3665</v>
      </c>
      <c r="E85" s="43" t="s">
        <v>3666</v>
      </c>
      <c r="F85">
        <v>1</v>
      </c>
      <c r="G85">
        <v>43802</v>
      </c>
      <c r="H85" s="23">
        <v>43802</v>
      </c>
      <c r="I85">
        <v>43802</v>
      </c>
      <c r="J85" s="43" t="s">
        <v>4248</v>
      </c>
      <c r="K85" s="43" t="s">
        <v>1715</v>
      </c>
      <c r="L85" s="43" t="s">
        <v>3204</v>
      </c>
      <c r="M85" s="43" t="s">
        <v>3667</v>
      </c>
      <c r="N85" s="43" t="s">
        <v>3668</v>
      </c>
      <c r="O85" s="43" t="s">
        <v>3669</v>
      </c>
      <c r="P85" s="43" t="s">
        <v>3670</v>
      </c>
      <c r="Q85" s="43" t="s">
        <v>3671</v>
      </c>
      <c r="S85" s="23">
        <v>44109</v>
      </c>
      <c r="T85" s="43" t="s">
        <v>285</v>
      </c>
      <c r="U85" s="43" t="s">
        <v>266</v>
      </c>
      <c r="V85" s="43" t="s">
        <v>267</v>
      </c>
      <c r="W85" s="43" t="s">
        <v>1718</v>
      </c>
      <c r="X85" s="43" t="s">
        <v>1719</v>
      </c>
      <c r="Y85">
        <v>8772802835</v>
      </c>
      <c r="Z85" s="43" t="s">
        <v>270</v>
      </c>
      <c r="AA85" s="43" t="s">
        <v>271</v>
      </c>
      <c r="AB85">
        <v>0</v>
      </c>
      <c r="AC85">
        <v>1090</v>
      </c>
      <c r="AD85">
        <v>108</v>
      </c>
      <c r="AE85" s="43" t="s">
        <v>416</v>
      </c>
      <c r="AF85">
        <v>5</v>
      </c>
      <c r="AG85" s="43" t="s">
        <v>3345</v>
      </c>
      <c r="AH85">
        <v>91747</v>
      </c>
      <c r="AI85">
        <v>91747</v>
      </c>
      <c r="AJ85" s="23">
        <v>43774</v>
      </c>
      <c r="AK85" s="43" t="s">
        <v>3208</v>
      </c>
      <c r="AL85" s="43" t="s">
        <v>3209</v>
      </c>
      <c r="AM85" s="23">
        <v>43803</v>
      </c>
      <c r="AN85" s="23">
        <v>43803</v>
      </c>
      <c r="AO85" s="23">
        <v>43803</v>
      </c>
      <c r="AP85" s="23"/>
      <c r="AQ85" s="23"/>
      <c r="BB85" s="43"/>
      <c r="BC85" s="43" t="s">
        <v>2018</v>
      </c>
      <c r="BD85" s="43" t="s">
        <v>2018</v>
      </c>
      <c r="BE85" s="43" t="s">
        <v>2018</v>
      </c>
      <c r="BF85" s="43" t="s">
        <v>2018</v>
      </c>
      <c r="BG85" s="43" t="s">
        <v>2018</v>
      </c>
      <c r="BH85" t="s">
        <v>2018</v>
      </c>
      <c r="BI85" s="43" t="s">
        <v>2018</v>
      </c>
      <c r="BJ85">
        <v>0.1875</v>
      </c>
      <c r="BK85" s="23">
        <v>44109</v>
      </c>
      <c r="BL85" s="23">
        <v>44356</v>
      </c>
      <c r="BM85">
        <v>8505</v>
      </c>
      <c r="BN85">
        <v>8505</v>
      </c>
      <c r="BO85">
        <v>8505</v>
      </c>
      <c r="BP85">
        <v>25515</v>
      </c>
      <c r="BQ85">
        <v>3300</v>
      </c>
      <c r="BR85">
        <v>400</v>
      </c>
      <c r="BS85">
        <v>400</v>
      </c>
      <c r="BT85">
        <v>4100</v>
      </c>
      <c r="BU85">
        <v>2100</v>
      </c>
      <c r="BV85">
        <v>2100</v>
      </c>
      <c r="BW85">
        <v>2100</v>
      </c>
      <c r="BX85">
        <v>6300</v>
      </c>
      <c r="BY85">
        <v>1200</v>
      </c>
      <c r="BZ85">
        <v>1200</v>
      </c>
      <c r="CA85">
        <v>1200</v>
      </c>
      <c r="CB85">
        <v>3600</v>
      </c>
      <c r="CC85">
        <v>0</v>
      </c>
      <c r="CD85">
        <v>0</v>
      </c>
      <c r="CE85">
        <v>0</v>
      </c>
      <c r="CF85">
        <v>0</v>
      </c>
      <c r="CG85">
        <v>39515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1000</v>
      </c>
      <c r="CU85">
        <v>1000</v>
      </c>
      <c r="CV85">
        <v>1000</v>
      </c>
      <c r="CW85">
        <v>3000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3000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1814</v>
      </c>
      <c r="EO85">
        <v>1814</v>
      </c>
      <c r="EP85">
        <v>1814</v>
      </c>
      <c r="EQ85">
        <v>5500</v>
      </c>
      <c r="ER85">
        <v>58.245000000000005</v>
      </c>
      <c r="ES85">
        <v>10376</v>
      </c>
      <c r="ET85">
        <v>10376</v>
      </c>
      <c r="EU85">
        <v>10376</v>
      </c>
      <c r="EV85">
        <v>32448</v>
      </c>
      <c r="EW85">
        <v>1374.49728</v>
      </c>
      <c r="FA85">
        <v>0</v>
      </c>
      <c r="FE85">
        <v>0</v>
      </c>
      <c r="FI85">
        <v>0</v>
      </c>
      <c r="FJ85">
        <v>36515.257720000001</v>
      </c>
      <c r="FK85">
        <v>36515</v>
      </c>
      <c r="FL85">
        <v>-0.26911991980433903</v>
      </c>
      <c r="FM85">
        <v>-0.25772000000142725</v>
      </c>
    </row>
    <row r="86" spans="1:169" x14ac:dyDescent="0.35">
      <c r="A86">
        <v>198282</v>
      </c>
      <c r="B86" s="43" t="s">
        <v>1903</v>
      </c>
      <c r="C86" s="43" t="s">
        <v>1987</v>
      </c>
      <c r="D86" s="43" t="s">
        <v>2230</v>
      </c>
      <c r="E86" s="43" t="s">
        <v>2231</v>
      </c>
      <c r="F86">
        <v>1</v>
      </c>
      <c r="H86" s="23"/>
      <c r="I86">
        <v>43781</v>
      </c>
      <c r="J86" s="43" t="s">
        <v>3305</v>
      </c>
      <c r="K86" s="43" t="s">
        <v>1715</v>
      </c>
      <c r="L86" s="43" t="s">
        <v>3204</v>
      </c>
      <c r="M86" s="43" t="s">
        <v>2232</v>
      </c>
      <c r="N86" s="43" t="s">
        <v>2233</v>
      </c>
      <c r="O86" s="43" t="s">
        <v>2234</v>
      </c>
      <c r="P86" s="43" t="s">
        <v>372</v>
      </c>
      <c r="Q86" s="43" t="s">
        <v>2235</v>
      </c>
      <c r="R86">
        <v>3.1</v>
      </c>
      <c r="S86" s="23">
        <v>44109</v>
      </c>
      <c r="T86" s="43" t="s">
        <v>285</v>
      </c>
      <c r="U86" s="43" t="s">
        <v>266</v>
      </c>
      <c r="V86" s="43" t="s">
        <v>267</v>
      </c>
      <c r="W86" s="43" t="s">
        <v>1718</v>
      </c>
      <c r="X86" s="43" t="s">
        <v>1719</v>
      </c>
      <c r="Y86">
        <v>8772802835</v>
      </c>
      <c r="Z86" s="43" t="s">
        <v>270</v>
      </c>
      <c r="AA86" s="43" t="s">
        <v>271</v>
      </c>
      <c r="AB86">
        <v>0</v>
      </c>
      <c r="AC86">
        <v>980</v>
      </c>
      <c r="AD86">
        <v>99</v>
      </c>
      <c r="AE86" s="43" t="s">
        <v>354</v>
      </c>
      <c r="AF86">
        <v>6</v>
      </c>
      <c r="AG86" s="43" t="s">
        <v>275</v>
      </c>
      <c r="AH86">
        <v>0</v>
      </c>
      <c r="AI86">
        <v>0</v>
      </c>
      <c r="AJ86" s="23">
        <v>43776</v>
      </c>
      <c r="AK86" s="43" t="s">
        <v>1715</v>
      </c>
      <c r="AL86" s="43" t="s">
        <v>259</v>
      </c>
      <c r="AM86" s="23"/>
      <c r="AN86" s="23"/>
      <c r="AO86" s="23"/>
      <c r="AP86" s="23"/>
      <c r="AQ86" s="23"/>
      <c r="BB86" s="43"/>
      <c r="BC86" s="43" t="s">
        <v>259</v>
      </c>
      <c r="BD86" s="43" t="s">
        <v>259</v>
      </c>
      <c r="BE86" s="43" t="s">
        <v>259</v>
      </c>
      <c r="BF86" s="43" t="s">
        <v>259</v>
      </c>
      <c r="BG86" s="43" t="s">
        <v>259</v>
      </c>
      <c r="BH86" t="s">
        <v>259</v>
      </c>
      <c r="BI86" s="43" t="s">
        <v>259</v>
      </c>
      <c r="BJ86">
        <v>0</v>
      </c>
      <c r="BK86" s="23">
        <v>44109</v>
      </c>
      <c r="BL86" s="23">
        <v>44356</v>
      </c>
      <c r="BM86">
        <v>8505</v>
      </c>
      <c r="BN86">
        <v>8505</v>
      </c>
      <c r="BO86">
        <v>8505</v>
      </c>
      <c r="BP86">
        <v>25515</v>
      </c>
      <c r="BQ86">
        <v>3300</v>
      </c>
      <c r="BR86">
        <v>400</v>
      </c>
      <c r="BS86">
        <v>400</v>
      </c>
      <c r="BT86">
        <v>4100</v>
      </c>
      <c r="BU86">
        <v>2100</v>
      </c>
      <c r="BV86">
        <v>2100</v>
      </c>
      <c r="BW86">
        <v>2100</v>
      </c>
      <c r="BX86">
        <v>6300</v>
      </c>
      <c r="BY86">
        <v>1200</v>
      </c>
      <c r="BZ86">
        <v>1200</v>
      </c>
      <c r="CA86">
        <v>1200</v>
      </c>
      <c r="CB86">
        <v>3600</v>
      </c>
      <c r="CC86">
        <v>0</v>
      </c>
      <c r="CD86">
        <v>0</v>
      </c>
      <c r="CE86">
        <v>0</v>
      </c>
      <c r="CF86">
        <v>0</v>
      </c>
      <c r="CG86">
        <v>39515</v>
      </c>
      <c r="CH86">
        <v>0</v>
      </c>
      <c r="CI86">
        <v>0</v>
      </c>
      <c r="CJ86">
        <v>0</v>
      </c>
      <c r="CK86">
        <v>0</v>
      </c>
      <c r="CL86">
        <v>2065</v>
      </c>
      <c r="CM86">
        <v>2065</v>
      </c>
      <c r="CN86">
        <v>2065</v>
      </c>
      <c r="CO86">
        <v>6195</v>
      </c>
      <c r="CP86">
        <v>500</v>
      </c>
      <c r="CQ86">
        <v>500</v>
      </c>
      <c r="CR86">
        <v>500</v>
      </c>
      <c r="CS86">
        <v>1500</v>
      </c>
      <c r="CT86">
        <v>750</v>
      </c>
      <c r="CU86">
        <v>750</v>
      </c>
      <c r="CV86">
        <v>750</v>
      </c>
      <c r="CW86">
        <v>2250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9945</v>
      </c>
      <c r="EE86">
        <v>0</v>
      </c>
      <c r="EF86">
        <v>0</v>
      </c>
      <c r="EG86">
        <v>0</v>
      </c>
      <c r="EH86">
        <v>0</v>
      </c>
      <c r="EI86">
        <v>1154</v>
      </c>
      <c r="EJ86">
        <v>1154</v>
      </c>
      <c r="EK86">
        <v>1155</v>
      </c>
      <c r="EL86">
        <v>3500</v>
      </c>
      <c r="EM86">
        <v>37.065000000000005</v>
      </c>
      <c r="EN86">
        <v>660</v>
      </c>
      <c r="EO86">
        <v>660</v>
      </c>
      <c r="EP86">
        <v>660</v>
      </c>
      <c r="EQ86">
        <v>2000</v>
      </c>
      <c r="ER86">
        <v>21.18</v>
      </c>
      <c r="ES86">
        <v>0</v>
      </c>
      <c r="ET86">
        <v>0</v>
      </c>
      <c r="EU86">
        <v>0</v>
      </c>
      <c r="EV86">
        <v>0</v>
      </c>
      <c r="EW86">
        <v>0</v>
      </c>
      <c r="FA86">
        <v>0</v>
      </c>
      <c r="FE86">
        <v>0</v>
      </c>
      <c r="FI86">
        <v>0</v>
      </c>
      <c r="FJ86">
        <v>5441.7550000000001</v>
      </c>
      <c r="FK86">
        <v>29570</v>
      </c>
      <c r="FL86">
        <v>25195.527546886093</v>
      </c>
      <c r="FM86">
        <v>24128.244999999999</v>
      </c>
    </row>
    <row r="87" spans="1:169" x14ac:dyDescent="0.35">
      <c r="A87">
        <v>196587</v>
      </c>
      <c r="B87" s="43" t="s">
        <v>2236</v>
      </c>
      <c r="C87" s="43" t="s">
        <v>2237</v>
      </c>
      <c r="D87" s="43" t="s">
        <v>2238</v>
      </c>
      <c r="E87" s="43" t="s">
        <v>2239</v>
      </c>
      <c r="F87">
        <v>1</v>
      </c>
      <c r="H87" s="23"/>
      <c r="I87">
        <v>43804</v>
      </c>
      <c r="J87" s="43" t="s">
        <v>4242</v>
      </c>
      <c r="K87" s="43" t="s">
        <v>1715</v>
      </c>
      <c r="L87" s="43" t="s">
        <v>259</v>
      </c>
      <c r="M87" s="43" t="s">
        <v>2240</v>
      </c>
      <c r="N87" s="43" t="s">
        <v>2241</v>
      </c>
      <c r="O87" s="43" t="s">
        <v>2242</v>
      </c>
      <c r="P87" s="43" t="s">
        <v>524</v>
      </c>
      <c r="Q87" s="43" t="s">
        <v>2243</v>
      </c>
      <c r="R87">
        <v>3.6739000000000002</v>
      </c>
      <c r="S87" s="23">
        <v>44109</v>
      </c>
      <c r="T87" s="43" t="s">
        <v>311</v>
      </c>
      <c r="U87" s="43" t="s">
        <v>266</v>
      </c>
      <c r="V87" s="43" t="s">
        <v>267</v>
      </c>
      <c r="W87" s="43" t="s">
        <v>1718</v>
      </c>
      <c r="X87" s="43" t="s">
        <v>1719</v>
      </c>
      <c r="Y87">
        <v>8772802835</v>
      </c>
      <c r="Z87" s="43" t="s">
        <v>270</v>
      </c>
      <c r="AA87" s="43" t="s">
        <v>271</v>
      </c>
      <c r="AB87">
        <v>27</v>
      </c>
      <c r="AC87">
        <v>0</v>
      </c>
      <c r="AD87">
        <v>121</v>
      </c>
      <c r="AE87" s="43" t="s">
        <v>301</v>
      </c>
      <c r="AF87">
        <v>1</v>
      </c>
      <c r="AG87" s="43" t="s">
        <v>275</v>
      </c>
      <c r="AJ87" s="23"/>
      <c r="AK87" s="43" t="s">
        <v>259</v>
      </c>
      <c r="AL87" s="43" t="s">
        <v>259</v>
      </c>
      <c r="AM87" s="23"/>
      <c r="AN87" s="23"/>
      <c r="AO87" s="23"/>
      <c r="AP87" s="23"/>
      <c r="AQ87" s="23"/>
      <c r="BB87" s="43"/>
      <c r="BC87" s="43" t="s">
        <v>259</v>
      </c>
      <c r="BD87" s="43" t="s">
        <v>259</v>
      </c>
      <c r="BE87" s="43" t="s">
        <v>259</v>
      </c>
      <c r="BF87" s="43" t="s">
        <v>259</v>
      </c>
      <c r="BG87" s="43" t="s">
        <v>259</v>
      </c>
      <c r="BH87" t="s">
        <v>259</v>
      </c>
      <c r="BI87" s="43" t="s">
        <v>259</v>
      </c>
      <c r="BJ87">
        <v>0</v>
      </c>
      <c r="BK87" s="23">
        <v>44109</v>
      </c>
      <c r="BL87" s="23">
        <v>44356</v>
      </c>
      <c r="BM87">
        <v>8505</v>
      </c>
      <c r="BN87">
        <v>8505</v>
      </c>
      <c r="BO87">
        <v>8505</v>
      </c>
      <c r="BP87">
        <v>25515</v>
      </c>
      <c r="BQ87">
        <v>3300</v>
      </c>
      <c r="BR87">
        <v>400</v>
      </c>
      <c r="BS87">
        <v>400</v>
      </c>
      <c r="BT87">
        <v>4100</v>
      </c>
      <c r="BU87">
        <v>2100</v>
      </c>
      <c r="BV87">
        <v>2100</v>
      </c>
      <c r="BW87">
        <v>2100</v>
      </c>
      <c r="BX87">
        <v>6300</v>
      </c>
      <c r="BY87">
        <v>1200</v>
      </c>
      <c r="BZ87">
        <v>1200</v>
      </c>
      <c r="CA87">
        <v>1200</v>
      </c>
      <c r="CB87">
        <v>3600</v>
      </c>
      <c r="CC87">
        <v>0</v>
      </c>
      <c r="CD87">
        <v>0</v>
      </c>
      <c r="CE87">
        <v>0</v>
      </c>
      <c r="CF87">
        <v>0</v>
      </c>
      <c r="CG87">
        <v>39515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1700</v>
      </c>
      <c r="CU87">
        <v>1700</v>
      </c>
      <c r="CV87">
        <v>1700</v>
      </c>
      <c r="CW87">
        <v>5100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5100</v>
      </c>
      <c r="EE87">
        <v>0</v>
      </c>
      <c r="EF87">
        <v>0</v>
      </c>
      <c r="EG87">
        <v>0</v>
      </c>
      <c r="EH87">
        <v>0</v>
      </c>
      <c r="EI87">
        <v>1154</v>
      </c>
      <c r="EJ87">
        <v>1154</v>
      </c>
      <c r="EK87">
        <v>1155</v>
      </c>
      <c r="EL87">
        <v>3500</v>
      </c>
      <c r="EM87">
        <v>37.065000000000005</v>
      </c>
      <c r="EN87">
        <v>660</v>
      </c>
      <c r="EO87">
        <v>660</v>
      </c>
      <c r="EP87">
        <v>660</v>
      </c>
      <c r="EQ87">
        <v>2000</v>
      </c>
      <c r="ER87">
        <v>21.18</v>
      </c>
      <c r="ES87">
        <v>0</v>
      </c>
      <c r="ET87">
        <v>0</v>
      </c>
      <c r="EU87">
        <v>0</v>
      </c>
      <c r="EV87">
        <v>0</v>
      </c>
      <c r="EW87">
        <v>0</v>
      </c>
      <c r="FA87">
        <v>0</v>
      </c>
      <c r="FE87">
        <v>0</v>
      </c>
      <c r="FI87">
        <v>0</v>
      </c>
      <c r="FJ87">
        <v>5441.7550000000001</v>
      </c>
      <c r="FK87">
        <v>34415</v>
      </c>
      <c r="FL87">
        <v>30254.840023390832</v>
      </c>
      <c r="FM87">
        <v>28973.244999999999</v>
      </c>
    </row>
    <row r="88" spans="1:169" x14ac:dyDescent="0.35">
      <c r="A88">
        <v>197855</v>
      </c>
      <c r="B88" s="43" t="s">
        <v>2244</v>
      </c>
      <c r="C88" s="43" t="s">
        <v>2115</v>
      </c>
      <c r="D88" s="43" t="s">
        <v>2245</v>
      </c>
      <c r="E88" s="43" t="s">
        <v>2246</v>
      </c>
      <c r="F88">
        <v>1</v>
      </c>
      <c r="H88" s="23"/>
      <c r="I88">
        <v>43804</v>
      </c>
      <c r="J88" s="43" t="s">
        <v>4242</v>
      </c>
      <c r="K88" s="43" t="s">
        <v>1715</v>
      </c>
      <c r="L88" s="43" t="s">
        <v>259</v>
      </c>
      <c r="M88" s="43" t="s">
        <v>2247</v>
      </c>
      <c r="N88" s="43" t="s">
        <v>2248</v>
      </c>
      <c r="O88" s="43" t="s">
        <v>1600</v>
      </c>
      <c r="P88" s="43" t="s">
        <v>283</v>
      </c>
      <c r="Q88" s="43" t="s">
        <v>2249</v>
      </c>
      <c r="R88">
        <v>3.3</v>
      </c>
      <c r="S88" s="23">
        <v>44109</v>
      </c>
      <c r="T88" s="43" t="s">
        <v>285</v>
      </c>
      <c r="U88" s="43" t="s">
        <v>266</v>
      </c>
      <c r="V88" s="43" t="s">
        <v>267</v>
      </c>
      <c r="W88" s="43" t="s">
        <v>1718</v>
      </c>
      <c r="X88" s="43" t="s">
        <v>1719</v>
      </c>
      <c r="Y88">
        <v>8772802835</v>
      </c>
      <c r="Z88" s="43" t="s">
        <v>270</v>
      </c>
      <c r="AA88" s="43" t="s">
        <v>271</v>
      </c>
      <c r="AB88">
        <v>23</v>
      </c>
      <c r="AC88">
        <v>0</v>
      </c>
      <c r="AD88">
        <v>106</v>
      </c>
      <c r="AE88" s="43" t="s">
        <v>416</v>
      </c>
      <c r="AF88">
        <v>5</v>
      </c>
      <c r="AG88" s="43" t="s">
        <v>275</v>
      </c>
      <c r="AJ88" s="23"/>
      <c r="AK88" s="43" t="s">
        <v>259</v>
      </c>
      <c r="AL88" s="43" t="s">
        <v>259</v>
      </c>
      <c r="AM88" s="23"/>
      <c r="AN88" s="23"/>
      <c r="AO88" s="23"/>
      <c r="AP88" s="23"/>
      <c r="AQ88" s="23"/>
      <c r="BB88" s="43"/>
      <c r="BC88" s="43" t="s">
        <v>259</v>
      </c>
      <c r="BD88" s="43" t="s">
        <v>259</v>
      </c>
      <c r="BE88" s="43" t="s">
        <v>259</v>
      </c>
      <c r="BF88" s="43" t="s">
        <v>259</v>
      </c>
      <c r="BG88" s="43" t="s">
        <v>259</v>
      </c>
      <c r="BH88" t="s">
        <v>259</v>
      </c>
      <c r="BI88" s="43" t="s">
        <v>259</v>
      </c>
      <c r="BJ88">
        <v>0</v>
      </c>
      <c r="BK88" s="23">
        <v>44109</v>
      </c>
      <c r="BL88" s="23">
        <v>44356</v>
      </c>
      <c r="BM88">
        <v>8505</v>
      </c>
      <c r="BN88">
        <v>8505</v>
      </c>
      <c r="BO88">
        <v>8505</v>
      </c>
      <c r="BP88">
        <v>25515</v>
      </c>
      <c r="BQ88">
        <v>3300</v>
      </c>
      <c r="BR88">
        <v>400</v>
      </c>
      <c r="BS88">
        <v>400</v>
      </c>
      <c r="BT88">
        <v>4100</v>
      </c>
      <c r="BU88">
        <v>2100</v>
      </c>
      <c r="BV88">
        <v>2100</v>
      </c>
      <c r="BW88">
        <v>2100</v>
      </c>
      <c r="BX88">
        <v>6300</v>
      </c>
      <c r="BY88">
        <v>1200</v>
      </c>
      <c r="BZ88">
        <v>1200</v>
      </c>
      <c r="CA88">
        <v>1200</v>
      </c>
      <c r="CB88">
        <v>3600</v>
      </c>
      <c r="CC88">
        <v>0</v>
      </c>
      <c r="CD88">
        <v>0</v>
      </c>
      <c r="CE88">
        <v>0</v>
      </c>
      <c r="CF88">
        <v>0</v>
      </c>
      <c r="CG88">
        <v>39515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1000</v>
      </c>
      <c r="CU88">
        <v>1000</v>
      </c>
      <c r="CV88">
        <v>1000</v>
      </c>
      <c r="CW88">
        <v>3000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3000</v>
      </c>
      <c r="EE88">
        <v>0</v>
      </c>
      <c r="EF88">
        <v>0</v>
      </c>
      <c r="EG88">
        <v>0</v>
      </c>
      <c r="EH88">
        <v>0</v>
      </c>
      <c r="EI88">
        <v>1154</v>
      </c>
      <c r="EJ88">
        <v>1154</v>
      </c>
      <c r="EK88">
        <v>1155</v>
      </c>
      <c r="EL88">
        <v>3500</v>
      </c>
      <c r="EM88">
        <v>37.065000000000005</v>
      </c>
      <c r="EN88">
        <v>660</v>
      </c>
      <c r="EO88">
        <v>660</v>
      </c>
      <c r="EP88">
        <v>660</v>
      </c>
      <c r="EQ88">
        <v>2000</v>
      </c>
      <c r="ER88">
        <v>21.18</v>
      </c>
      <c r="ES88">
        <v>0</v>
      </c>
      <c r="ET88">
        <v>0</v>
      </c>
      <c r="EU88">
        <v>0</v>
      </c>
      <c r="EV88">
        <v>0</v>
      </c>
      <c r="EW88">
        <v>0</v>
      </c>
      <c r="FA88">
        <v>0</v>
      </c>
      <c r="FE88">
        <v>0</v>
      </c>
      <c r="FI88">
        <v>0</v>
      </c>
      <c r="FJ88">
        <v>5441.7550000000001</v>
      </c>
      <c r="FK88">
        <v>36515</v>
      </c>
      <c r="FL88">
        <v>32447.730880080198</v>
      </c>
      <c r="FM88">
        <v>31073.245000000003</v>
      </c>
    </row>
    <row r="89" spans="1:169" x14ac:dyDescent="0.35">
      <c r="A89">
        <v>197514</v>
      </c>
      <c r="B89" s="43" t="s">
        <v>2244</v>
      </c>
      <c r="C89" s="43" t="s">
        <v>2250</v>
      </c>
      <c r="D89" s="43" t="s">
        <v>2251</v>
      </c>
      <c r="E89" s="43" t="s">
        <v>2252</v>
      </c>
      <c r="F89">
        <v>1</v>
      </c>
      <c r="H89" s="23"/>
      <c r="I89">
        <v>43804</v>
      </c>
      <c r="J89" s="43" t="s">
        <v>4241</v>
      </c>
      <c r="K89" s="43" t="s">
        <v>1715</v>
      </c>
      <c r="L89" s="43" t="s">
        <v>259</v>
      </c>
      <c r="M89" s="43" t="s">
        <v>3310</v>
      </c>
      <c r="N89" s="43" t="s">
        <v>2253</v>
      </c>
      <c r="O89" s="43" t="s">
        <v>804</v>
      </c>
      <c r="P89" s="43" t="s">
        <v>283</v>
      </c>
      <c r="Q89" s="43" t="s">
        <v>2254</v>
      </c>
      <c r="R89">
        <v>3.3</v>
      </c>
      <c r="S89" s="23">
        <v>44109</v>
      </c>
      <c r="T89" s="43" t="s">
        <v>285</v>
      </c>
      <c r="U89" s="43" t="s">
        <v>286</v>
      </c>
      <c r="V89" s="43" t="s">
        <v>267</v>
      </c>
      <c r="W89" s="43" t="s">
        <v>1718</v>
      </c>
      <c r="X89" s="43" t="s">
        <v>1719</v>
      </c>
      <c r="Y89">
        <v>8772802835</v>
      </c>
      <c r="Z89" s="43" t="s">
        <v>270</v>
      </c>
      <c r="AA89" s="43" t="s">
        <v>271</v>
      </c>
      <c r="AB89">
        <v>25</v>
      </c>
      <c r="AC89">
        <v>0</v>
      </c>
      <c r="AD89">
        <v>110</v>
      </c>
      <c r="AE89" s="43" t="s">
        <v>364</v>
      </c>
      <c r="AF89">
        <v>3</v>
      </c>
      <c r="AG89" s="43" t="s">
        <v>275</v>
      </c>
      <c r="AJ89" s="23"/>
      <c r="AK89" s="43" t="s">
        <v>259</v>
      </c>
      <c r="AL89" s="43" t="s">
        <v>259</v>
      </c>
      <c r="AM89" s="23"/>
      <c r="AN89" s="23"/>
      <c r="AO89" s="23"/>
      <c r="AP89" s="23"/>
      <c r="AQ89" s="23"/>
      <c r="BB89" s="43"/>
      <c r="BC89" s="43" t="s">
        <v>259</v>
      </c>
      <c r="BD89" s="43" t="s">
        <v>259</v>
      </c>
      <c r="BE89" s="43" t="s">
        <v>259</v>
      </c>
      <c r="BF89" s="43" t="s">
        <v>259</v>
      </c>
      <c r="BG89" s="43" t="s">
        <v>259</v>
      </c>
      <c r="BH89" t="s">
        <v>259</v>
      </c>
      <c r="BI89" s="43" t="s">
        <v>259</v>
      </c>
      <c r="BJ89">
        <v>0</v>
      </c>
      <c r="BK89" s="23">
        <v>44109</v>
      </c>
      <c r="BL89" s="23">
        <v>44356</v>
      </c>
      <c r="BM89">
        <v>8505</v>
      </c>
      <c r="BN89">
        <v>8505</v>
      </c>
      <c r="BO89">
        <v>8505</v>
      </c>
      <c r="BP89">
        <v>25515</v>
      </c>
      <c r="BQ89">
        <v>3300</v>
      </c>
      <c r="BR89">
        <v>400</v>
      </c>
      <c r="BS89">
        <v>400</v>
      </c>
      <c r="BT89">
        <v>4100</v>
      </c>
      <c r="BU89">
        <v>2100</v>
      </c>
      <c r="BV89">
        <v>2100</v>
      </c>
      <c r="BW89">
        <v>2100</v>
      </c>
      <c r="BX89">
        <v>6300</v>
      </c>
      <c r="BY89">
        <v>1200</v>
      </c>
      <c r="BZ89">
        <v>1200</v>
      </c>
      <c r="CA89">
        <v>1200</v>
      </c>
      <c r="CB89">
        <v>3600</v>
      </c>
      <c r="CC89">
        <v>0</v>
      </c>
      <c r="CD89">
        <v>0</v>
      </c>
      <c r="CE89">
        <v>0</v>
      </c>
      <c r="CF89">
        <v>0</v>
      </c>
      <c r="CG89">
        <v>39515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1300</v>
      </c>
      <c r="CU89">
        <v>1300</v>
      </c>
      <c r="CV89">
        <v>1300</v>
      </c>
      <c r="CW89">
        <v>3900</v>
      </c>
      <c r="CX89">
        <v>0</v>
      </c>
      <c r="CY89">
        <v>0</v>
      </c>
      <c r="CZ89">
        <v>0</v>
      </c>
      <c r="DA89">
        <v>0</v>
      </c>
      <c r="DB89">
        <v>1000</v>
      </c>
      <c r="DC89">
        <v>1000</v>
      </c>
      <c r="DD89">
        <v>1000</v>
      </c>
      <c r="DE89">
        <v>3000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6900</v>
      </c>
      <c r="EE89">
        <v>0</v>
      </c>
      <c r="EF89">
        <v>0</v>
      </c>
      <c r="EG89">
        <v>0</v>
      </c>
      <c r="EH89">
        <v>0</v>
      </c>
      <c r="EI89">
        <v>1154</v>
      </c>
      <c r="EJ89">
        <v>1154</v>
      </c>
      <c r="EK89">
        <v>1155</v>
      </c>
      <c r="EL89">
        <v>3500</v>
      </c>
      <c r="EM89">
        <v>37.065000000000005</v>
      </c>
      <c r="EN89">
        <v>660</v>
      </c>
      <c r="EO89">
        <v>660</v>
      </c>
      <c r="EP89">
        <v>660</v>
      </c>
      <c r="EQ89">
        <v>2000</v>
      </c>
      <c r="ER89">
        <v>21.18</v>
      </c>
      <c r="ES89">
        <v>0</v>
      </c>
      <c r="ET89">
        <v>0</v>
      </c>
      <c r="EU89">
        <v>0</v>
      </c>
      <c r="EV89">
        <v>0</v>
      </c>
      <c r="EW89">
        <v>0</v>
      </c>
      <c r="FA89">
        <v>0</v>
      </c>
      <c r="FE89">
        <v>0</v>
      </c>
      <c r="FI89">
        <v>0</v>
      </c>
      <c r="FJ89">
        <v>5441.7550000000001</v>
      </c>
      <c r="FK89">
        <v>32615</v>
      </c>
      <c r="FL89">
        <v>28375.219289085668</v>
      </c>
      <c r="FM89">
        <v>27173.244999999999</v>
      </c>
    </row>
    <row r="90" spans="1:169" x14ac:dyDescent="0.35">
      <c r="A90">
        <v>196302</v>
      </c>
      <c r="B90" s="43" t="s">
        <v>2255</v>
      </c>
      <c r="C90" s="43" t="s">
        <v>2256</v>
      </c>
      <c r="D90" s="43" t="s">
        <v>2257</v>
      </c>
      <c r="E90" s="43" t="s">
        <v>2258</v>
      </c>
      <c r="F90">
        <v>1</v>
      </c>
      <c r="H90" s="23"/>
      <c r="I90">
        <v>43804</v>
      </c>
      <c r="J90" s="43" t="s">
        <v>4242</v>
      </c>
      <c r="K90" s="43" t="s">
        <v>1715</v>
      </c>
      <c r="L90" s="43" t="s">
        <v>259</v>
      </c>
      <c r="M90" s="43" t="s">
        <v>2259</v>
      </c>
      <c r="N90" s="43" t="s">
        <v>2260</v>
      </c>
      <c r="O90" s="43" t="s">
        <v>2261</v>
      </c>
      <c r="P90" s="43" t="s">
        <v>403</v>
      </c>
      <c r="Q90" s="43" t="s">
        <v>2262</v>
      </c>
      <c r="R90">
        <v>3.8</v>
      </c>
      <c r="S90" s="23">
        <v>44109</v>
      </c>
      <c r="T90" s="43" t="s">
        <v>285</v>
      </c>
      <c r="U90" s="43" t="s">
        <v>266</v>
      </c>
      <c r="V90" s="43" t="s">
        <v>267</v>
      </c>
      <c r="W90" s="43" t="s">
        <v>1718</v>
      </c>
      <c r="X90" s="43" t="s">
        <v>1719</v>
      </c>
      <c r="Y90">
        <v>8772802835</v>
      </c>
      <c r="Z90" s="43" t="s">
        <v>270</v>
      </c>
      <c r="AA90" s="43" t="s">
        <v>271</v>
      </c>
      <c r="AB90">
        <v>0</v>
      </c>
      <c r="AC90">
        <v>1210</v>
      </c>
      <c r="AD90">
        <v>123</v>
      </c>
      <c r="AE90" s="43" t="s">
        <v>301</v>
      </c>
      <c r="AF90">
        <v>1</v>
      </c>
      <c r="AG90" s="43" t="s">
        <v>275</v>
      </c>
      <c r="AJ90" s="23"/>
      <c r="AK90" s="43" t="s">
        <v>259</v>
      </c>
      <c r="AL90" s="43" t="s">
        <v>259</v>
      </c>
      <c r="AM90" s="23"/>
      <c r="AN90" s="23"/>
      <c r="AO90" s="23"/>
      <c r="AP90" s="23"/>
      <c r="AQ90" s="23"/>
      <c r="BB90" s="43"/>
      <c r="BC90" s="43" t="s">
        <v>259</v>
      </c>
      <c r="BD90" s="43" t="s">
        <v>259</v>
      </c>
      <c r="BE90" s="43" t="s">
        <v>259</v>
      </c>
      <c r="BF90" s="43" t="s">
        <v>259</v>
      </c>
      <c r="BG90" s="43" t="s">
        <v>259</v>
      </c>
      <c r="BH90" t="s">
        <v>259</v>
      </c>
      <c r="BI90" s="43" t="s">
        <v>259</v>
      </c>
      <c r="BJ90">
        <v>0</v>
      </c>
      <c r="BK90" s="23">
        <v>44109</v>
      </c>
      <c r="BL90" s="23">
        <v>44356</v>
      </c>
      <c r="BM90">
        <v>8505</v>
      </c>
      <c r="BN90">
        <v>8505</v>
      </c>
      <c r="BO90">
        <v>8505</v>
      </c>
      <c r="BP90">
        <v>25515</v>
      </c>
      <c r="BQ90">
        <v>3300</v>
      </c>
      <c r="BR90">
        <v>400</v>
      </c>
      <c r="BS90">
        <v>400</v>
      </c>
      <c r="BT90">
        <v>4100</v>
      </c>
      <c r="BU90">
        <v>2100</v>
      </c>
      <c r="BV90">
        <v>2100</v>
      </c>
      <c r="BW90">
        <v>2100</v>
      </c>
      <c r="BX90">
        <v>6300</v>
      </c>
      <c r="BY90">
        <v>1200</v>
      </c>
      <c r="BZ90">
        <v>1200</v>
      </c>
      <c r="CA90">
        <v>1200</v>
      </c>
      <c r="CB90">
        <v>3600</v>
      </c>
      <c r="CC90">
        <v>0</v>
      </c>
      <c r="CD90">
        <v>0</v>
      </c>
      <c r="CE90">
        <v>0</v>
      </c>
      <c r="CF90">
        <v>0</v>
      </c>
      <c r="CG90">
        <v>39515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1700</v>
      </c>
      <c r="CU90">
        <v>1700</v>
      </c>
      <c r="CV90">
        <v>1700</v>
      </c>
      <c r="CW90">
        <v>5100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5100</v>
      </c>
      <c r="EE90">
        <v>0</v>
      </c>
      <c r="EF90">
        <v>0</v>
      </c>
      <c r="EG90">
        <v>0</v>
      </c>
      <c r="EH90">
        <v>0</v>
      </c>
      <c r="EI90">
        <v>1154</v>
      </c>
      <c r="EJ90">
        <v>1154</v>
      </c>
      <c r="EK90">
        <v>1155</v>
      </c>
      <c r="EL90">
        <v>3500</v>
      </c>
      <c r="EM90">
        <v>37.065000000000005</v>
      </c>
      <c r="EN90">
        <v>660</v>
      </c>
      <c r="EO90">
        <v>660</v>
      </c>
      <c r="EP90">
        <v>660</v>
      </c>
      <c r="EQ90">
        <v>2000</v>
      </c>
      <c r="ER90">
        <v>21.18</v>
      </c>
      <c r="ES90">
        <v>0</v>
      </c>
      <c r="ET90">
        <v>0</v>
      </c>
      <c r="EU90">
        <v>0</v>
      </c>
      <c r="EV90">
        <v>0</v>
      </c>
      <c r="EW90">
        <v>0</v>
      </c>
      <c r="FA90">
        <v>0</v>
      </c>
      <c r="FE90">
        <v>0</v>
      </c>
      <c r="FI90">
        <v>0</v>
      </c>
      <c r="FJ90">
        <v>5441.7550000000001</v>
      </c>
      <c r="FK90">
        <v>34415</v>
      </c>
      <c r="FL90">
        <v>30254.840023390832</v>
      </c>
      <c r="FM90">
        <v>28973.244999999999</v>
      </c>
    </row>
    <row r="91" spans="1:169" x14ac:dyDescent="0.35">
      <c r="A91">
        <v>195707</v>
      </c>
      <c r="B91" s="43" t="s">
        <v>2263</v>
      </c>
      <c r="C91" s="43" t="s">
        <v>2264</v>
      </c>
      <c r="D91" s="43" t="s">
        <v>2265</v>
      </c>
      <c r="E91" s="43" t="s">
        <v>2266</v>
      </c>
      <c r="F91">
        <v>1</v>
      </c>
      <c r="G91">
        <v>43801</v>
      </c>
      <c r="H91" s="23">
        <v>43804</v>
      </c>
      <c r="I91">
        <v>43804</v>
      </c>
      <c r="J91" s="43" t="s">
        <v>3421</v>
      </c>
      <c r="K91" s="43" t="s">
        <v>1715</v>
      </c>
      <c r="L91" s="43" t="s">
        <v>3204</v>
      </c>
      <c r="M91" s="43" t="s">
        <v>2267</v>
      </c>
      <c r="N91" s="43" t="s">
        <v>2268</v>
      </c>
      <c r="O91" s="43" t="s">
        <v>2269</v>
      </c>
      <c r="P91" s="43" t="s">
        <v>2270</v>
      </c>
      <c r="Q91" s="43" t="s">
        <v>2271</v>
      </c>
      <c r="R91">
        <v>3.3</v>
      </c>
      <c r="S91" s="23">
        <v>44109</v>
      </c>
      <c r="T91" s="43" t="s">
        <v>311</v>
      </c>
      <c r="U91" s="43" t="s">
        <v>266</v>
      </c>
      <c r="V91" s="43" t="s">
        <v>267</v>
      </c>
      <c r="W91" s="43" t="s">
        <v>1718</v>
      </c>
      <c r="X91" s="43" t="s">
        <v>1719</v>
      </c>
      <c r="Y91">
        <v>8772802835</v>
      </c>
      <c r="Z91" s="43" t="s">
        <v>270</v>
      </c>
      <c r="AA91" s="43" t="s">
        <v>271</v>
      </c>
      <c r="AB91">
        <v>28</v>
      </c>
      <c r="AC91">
        <v>0</v>
      </c>
      <c r="AD91">
        <v>115</v>
      </c>
      <c r="AE91" s="43" t="s">
        <v>301</v>
      </c>
      <c r="AF91">
        <v>1</v>
      </c>
      <c r="AG91" s="43" t="s">
        <v>275</v>
      </c>
      <c r="AH91">
        <v>2327</v>
      </c>
      <c r="AI91">
        <v>2327</v>
      </c>
      <c r="AJ91" s="23">
        <v>43774</v>
      </c>
      <c r="AK91" s="43" t="s">
        <v>1715</v>
      </c>
      <c r="AL91" s="43" t="s">
        <v>259</v>
      </c>
      <c r="AM91" s="23">
        <v>43804</v>
      </c>
      <c r="AN91" s="23">
        <v>43804</v>
      </c>
      <c r="AO91" s="23">
        <v>43784</v>
      </c>
      <c r="AP91" s="23"/>
      <c r="AQ91" s="23"/>
      <c r="BB91" s="43"/>
      <c r="BC91" s="43" t="s">
        <v>259</v>
      </c>
      <c r="BD91" s="43" t="s">
        <v>259</v>
      </c>
      <c r="BE91" s="43" t="s">
        <v>2018</v>
      </c>
      <c r="BF91" s="43" t="s">
        <v>2018</v>
      </c>
      <c r="BG91" s="43" t="s">
        <v>2018</v>
      </c>
      <c r="BH91">
        <v>43743</v>
      </c>
      <c r="BI91" s="43" t="s">
        <v>2018</v>
      </c>
      <c r="BJ91">
        <v>0.21052631578947367</v>
      </c>
      <c r="BK91" s="23">
        <v>44109</v>
      </c>
      <c r="BL91" s="23">
        <v>44356</v>
      </c>
      <c r="BM91">
        <v>8505</v>
      </c>
      <c r="BN91">
        <v>8505</v>
      </c>
      <c r="BO91">
        <v>8505</v>
      </c>
      <c r="BP91">
        <v>25515</v>
      </c>
      <c r="BQ91">
        <v>3300</v>
      </c>
      <c r="BR91">
        <v>400</v>
      </c>
      <c r="BS91">
        <v>400</v>
      </c>
      <c r="BT91">
        <v>4100</v>
      </c>
      <c r="BU91">
        <v>2100</v>
      </c>
      <c r="BV91">
        <v>2100</v>
      </c>
      <c r="BW91">
        <v>2100</v>
      </c>
      <c r="BX91">
        <v>6300</v>
      </c>
      <c r="BY91">
        <v>1200</v>
      </c>
      <c r="BZ91">
        <v>1200</v>
      </c>
      <c r="CA91">
        <v>1200</v>
      </c>
      <c r="CB91">
        <v>3600</v>
      </c>
      <c r="CC91">
        <v>0</v>
      </c>
      <c r="CD91">
        <v>0</v>
      </c>
      <c r="CE91">
        <v>0</v>
      </c>
      <c r="CF91">
        <v>0</v>
      </c>
      <c r="CG91">
        <v>39515</v>
      </c>
      <c r="CH91">
        <v>0</v>
      </c>
      <c r="CI91">
        <v>0</v>
      </c>
      <c r="CJ91">
        <v>0</v>
      </c>
      <c r="CK91">
        <v>0</v>
      </c>
      <c r="CL91">
        <v>1282</v>
      </c>
      <c r="CM91">
        <v>1282</v>
      </c>
      <c r="CN91">
        <v>1281</v>
      </c>
      <c r="CO91">
        <v>3845</v>
      </c>
      <c r="CP91">
        <v>500</v>
      </c>
      <c r="CQ91">
        <v>500</v>
      </c>
      <c r="CR91">
        <v>500</v>
      </c>
      <c r="CS91">
        <v>1500</v>
      </c>
      <c r="CT91">
        <v>1700</v>
      </c>
      <c r="CU91">
        <v>1700</v>
      </c>
      <c r="CV91">
        <v>1700</v>
      </c>
      <c r="CW91">
        <v>5100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10445</v>
      </c>
      <c r="EE91">
        <v>0</v>
      </c>
      <c r="EF91">
        <v>0</v>
      </c>
      <c r="EG91">
        <v>0</v>
      </c>
      <c r="EH91">
        <v>0</v>
      </c>
      <c r="EI91">
        <v>1154</v>
      </c>
      <c r="EJ91">
        <v>1154</v>
      </c>
      <c r="EK91">
        <v>1155</v>
      </c>
      <c r="EL91">
        <v>3500</v>
      </c>
      <c r="EM91">
        <v>37.065000000000005</v>
      </c>
      <c r="EN91">
        <v>660</v>
      </c>
      <c r="EO91">
        <v>660</v>
      </c>
      <c r="EP91">
        <v>660</v>
      </c>
      <c r="EQ91">
        <v>2000</v>
      </c>
      <c r="ER91">
        <v>21.18</v>
      </c>
      <c r="ES91">
        <v>7890</v>
      </c>
      <c r="ET91">
        <v>7890</v>
      </c>
      <c r="EU91">
        <v>7890</v>
      </c>
      <c r="EV91">
        <v>24673</v>
      </c>
      <c r="EW91">
        <v>1045.1482800000001</v>
      </c>
      <c r="FA91">
        <v>0</v>
      </c>
      <c r="FE91">
        <v>0</v>
      </c>
      <c r="FI91">
        <v>0</v>
      </c>
      <c r="FJ91">
        <v>29069.60672</v>
      </c>
      <c r="FK91">
        <v>29070</v>
      </c>
      <c r="FL91">
        <v>0.41067624577109524</v>
      </c>
      <c r="FM91">
        <v>0.39328000000023167</v>
      </c>
    </row>
    <row r="92" spans="1:169" x14ac:dyDescent="0.35">
      <c r="A92">
        <v>192303</v>
      </c>
      <c r="B92" s="43" t="s">
        <v>2272</v>
      </c>
      <c r="C92" s="43" t="s">
        <v>2273</v>
      </c>
      <c r="D92" s="43" t="s">
        <v>2274</v>
      </c>
      <c r="E92" s="43" t="s">
        <v>2275</v>
      </c>
      <c r="F92">
        <v>1</v>
      </c>
      <c r="G92">
        <v>43788</v>
      </c>
      <c r="H92" s="23">
        <v>43788</v>
      </c>
      <c r="I92">
        <v>43788</v>
      </c>
      <c r="J92" s="43" t="s">
        <v>4249</v>
      </c>
      <c r="K92" s="43" t="s">
        <v>1715</v>
      </c>
      <c r="L92" s="43" t="s">
        <v>3204</v>
      </c>
      <c r="M92" s="43" t="s">
        <v>2276</v>
      </c>
      <c r="N92" s="43" t="s">
        <v>2277</v>
      </c>
      <c r="O92" s="43" t="s">
        <v>2278</v>
      </c>
      <c r="P92" s="43" t="s">
        <v>2279</v>
      </c>
      <c r="Q92" s="43" t="s">
        <v>2280</v>
      </c>
      <c r="S92" s="23">
        <v>44109</v>
      </c>
      <c r="T92" s="43" t="s">
        <v>285</v>
      </c>
      <c r="U92" s="43" t="s">
        <v>266</v>
      </c>
      <c r="V92" s="43" t="s">
        <v>267</v>
      </c>
      <c r="W92" s="43" t="s">
        <v>1718</v>
      </c>
      <c r="X92" s="43" t="s">
        <v>1719</v>
      </c>
      <c r="Y92">
        <v>8772802835</v>
      </c>
      <c r="Z92" s="43" t="s">
        <v>270</v>
      </c>
      <c r="AA92" s="43" t="s">
        <v>271</v>
      </c>
      <c r="AB92">
        <v>0</v>
      </c>
      <c r="AC92">
        <v>0</v>
      </c>
      <c r="AD92">
        <v>0</v>
      </c>
      <c r="AE92" s="43" t="s">
        <v>301</v>
      </c>
      <c r="AF92">
        <v>1</v>
      </c>
      <c r="AG92" s="43" t="s">
        <v>446</v>
      </c>
      <c r="AH92">
        <v>67596</v>
      </c>
      <c r="AI92">
        <v>67596</v>
      </c>
      <c r="AJ92" s="23">
        <v>43783</v>
      </c>
      <c r="AK92" s="43" t="s">
        <v>3208</v>
      </c>
      <c r="AL92" s="43" t="s">
        <v>3209</v>
      </c>
      <c r="AM92" s="23"/>
      <c r="AN92" s="23"/>
      <c r="AO92" s="23">
        <v>43775</v>
      </c>
      <c r="AP92" s="23"/>
      <c r="AQ92" s="23"/>
      <c r="BB92" s="43"/>
      <c r="BC92" s="43" t="s">
        <v>2018</v>
      </c>
      <c r="BD92" s="43" t="s">
        <v>2018</v>
      </c>
      <c r="BE92" s="43" t="s">
        <v>2018</v>
      </c>
      <c r="BF92" s="43" t="s">
        <v>2018</v>
      </c>
      <c r="BG92" s="43" t="s">
        <v>2018</v>
      </c>
      <c r="BH92" t="s">
        <v>2018</v>
      </c>
      <c r="BI92" s="43" t="s">
        <v>2018</v>
      </c>
      <c r="BJ92">
        <v>6.25E-2</v>
      </c>
      <c r="BK92" s="23">
        <v>44109</v>
      </c>
      <c r="BL92" s="23">
        <v>44356</v>
      </c>
      <c r="BM92">
        <v>8505</v>
      </c>
      <c r="BN92">
        <v>8505</v>
      </c>
      <c r="BO92">
        <v>8505</v>
      </c>
      <c r="BP92">
        <v>25515</v>
      </c>
      <c r="BQ92">
        <v>3300</v>
      </c>
      <c r="BR92">
        <v>400</v>
      </c>
      <c r="BS92">
        <v>400</v>
      </c>
      <c r="BT92">
        <v>4100</v>
      </c>
      <c r="BU92">
        <v>2100</v>
      </c>
      <c r="BV92">
        <v>2100</v>
      </c>
      <c r="BW92">
        <v>2100</v>
      </c>
      <c r="BX92">
        <v>6300</v>
      </c>
      <c r="BY92">
        <v>1200</v>
      </c>
      <c r="BZ92">
        <v>1200</v>
      </c>
      <c r="CA92">
        <v>1200</v>
      </c>
      <c r="CB92">
        <v>3600</v>
      </c>
      <c r="CC92">
        <v>0</v>
      </c>
      <c r="CD92">
        <v>0</v>
      </c>
      <c r="CE92">
        <v>0</v>
      </c>
      <c r="CF92">
        <v>0</v>
      </c>
      <c r="CG92">
        <v>39515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1700</v>
      </c>
      <c r="CU92">
        <v>1700</v>
      </c>
      <c r="CV92">
        <v>1700</v>
      </c>
      <c r="CW92">
        <v>5100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5100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1814</v>
      </c>
      <c r="EO92">
        <v>1814</v>
      </c>
      <c r="EP92">
        <v>1814</v>
      </c>
      <c r="EQ92">
        <v>5500</v>
      </c>
      <c r="ER92">
        <v>58.245000000000005</v>
      </c>
      <c r="ES92">
        <v>0</v>
      </c>
      <c r="ET92">
        <v>0</v>
      </c>
      <c r="EU92">
        <v>0</v>
      </c>
      <c r="EV92">
        <v>0</v>
      </c>
      <c r="EW92">
        <v>0</v>
      </c>
      <c r="FA92">
        <v>0</v>
      </c>
      <c r="FE92">
        <v>0</v>
      </c>
      <c r="FI92">
        <v>0</v>
      </c>
      <c r="FJ92">
        <v>5441.7550000000001</v>
      </c>
      <c r="FK92">
        <v>34415</v>
      </c>
      <c r="FL92">
        <v>30254.840023390832</v>
      </c>
      <c r="FM92">
        <v>28973.244999999999</v>
      </c>
    </row>
    <row r="93" spans="1:169" x14ac:dyDescent="0.35">
      <c r="A93">
        <v>197730</v>
      </c>
      <c r="B93" s="43" t="s">
        <v>2281</v>
      </c>
      <c r="C93" s="43" t="s">
        <v>1457</v>
      </c>
      <c r="D93" s="43" t="s">
        <v>2282</v>
      </c>
      <c r="E93" s="43" t="s">
        <v>2283</v>
      </c>
      <c r="F93">
        <v>1</v>
      </c>
      <c r="H93" s="23"/>
      <c r="I93">
        <v>43781</v>
      </c>
      <c r="J93" s="43" t="s">
        <v>3305</v>
      </c>
      <c r="K93" s="43" t="s">
        <v>1715</v>
      </c>
      <c r="L93" s="43" t="s">
        <v>3204</v>
      </c>
      <c r="M93" s="43" t="s">
        <v>2284</v>
      </c>
      <c r="N93" s="43" t="s">
        <v>2285</v>
      </c>
      <c r="O93" s="43" t="s">
        <v>2286</v>
      </c>
      <c r="P93" s="43" t="s">
        <v>1108</v>
      </c>
      <c r="Q93" s="43" t="s">
        <v>2287</v>
      </c>
      <c r="R93">
        <v>3.1589999999999998</v>
      </c>
      <c r="S93" s="23">
        <v>44109</v>
      </c>
      <c r="T93" s="43" t="s">
        <v>311</v>
      </c>
      <c r="U93" s="43" t="s">
        <v>266</v>
      </c>
      <c r="V93" s="43" t="s">
        <v>267</v>
      </c>
      <c r="W93" s="43" t="s">
        <v>1718</v>
      </c>
      <c r="X93" s="43" t="s">
        <v>1719</v>
      </c>
      <c r="Y93">
        <v>8772802835</v>
      </c>
      <c r="Z93" s="43" t="s">
        <v>270</v>
      </c>
      <c r="AA93" s="43" t="s">
        <v>271</v>
      </c>
      <c r="AB93">
        <v>22</v>
      </c>
      <c r="AC93">
        <v>0</v>
      </c>
      <c r="AD93">
        <v>103</v>
      </c>
      <c r="AE93" s="43" t="s">
        <v>416</v>
      </c>
      <c r="AF93">
        <v>5</v>
      </c>
      <c r="AG93" s="43" t="s">
        <v>275</v>
      </c>
      <c r="AH93">
        <v>17221</v>
      </c>
      <c r="AI93">
        <v>17221</v>
      </c>
      <c r="AJ93" s="23">
        <v>43774</v>
      </c>
      <c r="AK93" s="43" t="s">
        <v>3208</v>
      </c>
      <c r="AL93" s="43" t="s">
        <v>3209</v>
      </c>
      <c r="AM93" s="23"/>
      <c r="AN93" s="23"/>
      <c r="AO93" s="23">
        <v>43782</v>
      </c>
      <c r="AP93" s="23"/>
      <c r="AQ93" s="23"/>
      <c r="BB93" s="43"/>
      <c r="BC93" s="43" t="s">
        <v>2018</v>
      </c>
      <c r="BD93" s="43" t="s">
        <v>2018</v>
      </c>
      <c r="BE93" s="43" t="s">
        <v>2018</v>
      </c>
      <c r="BF93" s="43" t="s">
        <v>2018</v>
      </c>
      <c r="BG93" s="43" t="s">
        <v>2018</v>
      </c>
      <c r="BH93" t="s">
        <v>2018</v>
      </c>
      <c r="BI93" s="43" t="s">
        <v>2018</v>
      </c>
      <c r="BJ93">
        <v>6.25E-2</v>
      </c>
      <c r="BK93" s="23">
        <v>44109</v>
      </c>
      <c r="BL93" s="23">
        <v>44356</v>
      </c>
      <c r="BM93">
        <v>8505</v>
      </c>
      <c r="BN93">
        <v>8505</v>
      </c>
      <c r="BO93">
        <v>8505</v>
      </c>
      <c r="BP93">
        <v>25515</v>
      </c>
      <c r="BQ93">
        <v>3300</v>
      </c>
      <c r="BR93">
        <v>400</v>
      </c>
      <c r="BS93">
        <v>400</v>
      </c>
      <c r="BT93">
        <v>4100</v>
      </c>
      <c r="BU93">
        <v>2100</v>
      </c>
      <c r="BV93">
        <v>2100</v>
      </c>
      <c r="BW93">
        <v>2100</v>
      </c>
      <c r="BX93">
        <v>6300</v>
      </c>
      <c r="BY93">
        <v>1200</v>
      </c>
      <c r="BZ93">
        <v>1200</v>
      </c>
      <c r="CA93">
        <v>1200</v>
      </c>
      <c r="CB93">
        <v>3600</v>
      </c>
      <c r="CC93">
        <v>0</v>
      </c>
      <c r="CD93">
        <v>0</v>
      </c>
      <c r="CE93">
        <v>0</v>
      </c>
      <c r="CF93">
        <v>0</v>
      </c>
      <c r="CG93">
        <v>39515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1000</v>
      </c>
      <c r="CU93">
        <v>1000</v>
      </c>
      <c r="CV93">
        <v>1000</v>
      </c>
      <c r="CW93">
        <v>3000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3000</v>
      </c>
      <c r="EE93">
        <v>0</v>
      </c>
      <c r="EF93">
        <v>0</v>
      </c>
      <c r="EG93">
        <v>0</v>
      </c>
      <c r="EH93">
        <v>0</v>
      </c>
      <c r="EI93">
        <v>1154</v>
      </c>
      <c r="EJ93">
        <v>1154</v>
      </c>
      <c r="EK93">
        <v>1155</v>
      </c>
      <c r="EL93">
        <v>3500</v>
      </c>
      <c r="EM93">
        <v>37.065000000000005</v>
      </c>
      <c r="EN93">
        <v>660</v>
      </c>
      <c r="EO93">
        <v>660</v>
      </c>
      <c r="EP93">
        <v>660</v>
      </c>
      <c r="EQ93">
        <v>2000</v>
      </c>
      <c r="ER93">
        <v>21.18</v>
      </c>
      <c r="ES93">
        <v>0</v>
      </c>
      <c r="ET93">
        <v>0</v>
      </c>
      <c r="EU93">
        <v>0</v>
      </c>
      <c r="EV93">
        <v>0</v>
      </c>
      <c r="EW93">
        <v>0</v>
      </c>
      <c r="FA93">
        <v>0</v>
      </c>
      <c r="FE93">
        <v>0</v>
      </c>
      <c r="FI93">
        <v>0</v>
      </c>
      <c r="FJ93">
        <v>5441.7550000000001</v>
      </c>
      <c r="FK93">
        <v>36515</v>
      </c>
      <c r="FL93">
        <v>32447.730880080198</v>
      </c>
      <c r="FM93">
        <v>31073.245000000003</v>
      </c>
    </row>
    <row r="94" spans="1:169" x14ac:dyDescent="0.35">
      <c r="A94">
        <v>195135</v>
      </c>
      <c r="B94" s="43" t="s">
        <v>2288</v>
      </c>
      <c r="C94" s="43" t="s">
        <v>2289</v>
      </c>
      <c r="D94" s="43" t="s">
        <v>2290</v>
      </c>
      <c r="E94" s="43" t="s">
        <v>2291</v>
      </c>
      <c r="F94">
        <v>1</v>
      </c>
      <c r="H94" s="23"/>
      <c r="I94">
        <v>43804</v>
      </c>
      <c r="J94" s="43" t="s">
        <v>4242</v>
      </c>
      <c r="K94" s="43" t="s">
        <v>1715</v>
      </c>
      <c r="L94" s="43" t="s">
        <v>259</v>
      </c>
      <c r="M94" s="43" t="s">
        <v>2292</v>
      </c>
      <c r="N94" s="43" t="s">
        <v>2293</v>
      </c>
      <c r="O94" s="43" t="s">
        <v>2294</v>
      </c>
      <c r="P94" s="43" t="s">
        <v>524</v>
      </c>
      <c r="Q94" s="43" t="s">
        <v>2295</v>
      </c>
      <c r="R94">
        <v>3.1080000000000001</v>
      </c>
      <c r="S94" s="23">
        <v>44109</v>
      </c>
      <c r="T94" s="43" t="s">
        <v>311</v>
      </c>
      <c r="U94" s="43" t="s">
        <v>286</v>
      </c>
      <c r="V94" s="43" t="s">
        <v>267</v>
      </c>
      <c r="W94" s="43" t="s">
        <v>1718</v>
      </c>
      <c r="X94" s="43" t="s">
        <v>1719</v>
      </c>
      <c r="Y94">
        <v>8772802835</v>
      </c>
      <c r="Z94" s="43" t="s">
        <v>270</v>
      </c>
      <c r="AA94" s="43" t="s">
        <v>271</v>
      </c>
      <c r="AB94">
        <v>20</v>
      </c>
      <c r="AC94">
        <v>0</v>
      </c>
      <c r="AD94">
        <v>97</v>
      </c>
      <c r="AE94" s="43" t="s">
        <v>445</v>
      </c>
      <c r="AF94">
        <v>4</v>
      </c>
      <c r="AG94" s="43" t="s">
        <v>275</v>
      </c>
      <c r="AJ94" s="23"/>
      <c r="AK94" s="43" t="s">
        <v>259</v>
      </c>
      <c r="AL94" s="43" t="s">
        <v>259</v>
      </c>
      <c r="AM94" s="23"/>
      <c r="AN94" s="23"/>
      <c r="AO94" s="23"/>
      <c r="AP94" s="23"/>
      <c r="AQ94" s="23"/>
      <c r="BB94" s="43"/>
      <c r="BC94" s="43" t="s">
        <v>259</v>
      </c>
      <c r="BD94" s="43" t="s">
        <v>259</v>
      </c>
      <c r="BE94" s="43" t="s">
        <v>259</v>
      </c>
      <c r="BF94" s="43" t="s">
        <v>259</v>
      </c>
      <c r="BG94" s="43" t="s">
        <v>259</v>
      </c>
      <c r="BH94" t="s">
        <v>259</v>
      </c>
      <c r="BI94" s="43" t="s">
        <v>259</v>
      </c>
      <c r="BJ94">
        <v>0</v>
      </c>
      <c r="BK94" s="23">
        <v>44109</v>
      </c>
      <c r="BL94" s="23">
        <v>44356</v>
      </c>
      <c r="BM94">
        <v>8505</v>
      </c>
      <c r="BN94">
        <v>8505</v>
      </c>
      <c r="BO94">
        <v>8505</v>
      </c>
      <c r="BP94">
        <v>25515</v>
      </c>
      <c r="BQ94">
        <v>3300</v>
      </c>
      <c r="BR94">
        <v>400</v>
      </c>
      <c r="BS94">
        <v>400</v>
      </c>
      <c r="BT94">
        <v>4100</v>
      </c>
      <c r="BU94">
        <v>2100</v>
      </c>
      <c r="BV94">
        <v>2100</v>
      </c>
      <c r="BW94">
        <v>2100</v>
      </c>
      <c r="BX94">
        <v>6300</v>
      </c>
      <c r="BY94">
        <v>1200</v>
      </c>
      <c r="BZ94">
        <v>1200</v>
      </c>
      <c r="CA94">
        <v>1200</v>
      </c>
      <c r="CB94">
        <v>3600</v>
      </c>
      <c r="CC94">
        <v>0</v>
      </c>
      <c r="CD94">
        <v>0</v>
      </c>
      <c r="CE94">
        <v>0</v>
      </c>
      <c r="CF94">
        <v>0</v>
      </c>
      <c r="CG94">
        <v>39515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1250</v>
      </c>
      <c r="CU94">
        <v>1250</v>
      </c>
      <c r="CV94">
        <v>1250</v>
      </c>
      <c r="CW94">
        <v>3750</v>
      </c>
      <c r="CX94">
        <v>0</v>
      </c>
      <c r="CY94">
        <v>0</v>
      </c>
      <c r="CZ94">
        <v>0</v>
      </c>
      <c r="DA94">
        <v>0</v>
      </c>
      <c r="DB94">
        <v>1000</v>
      </c>
      <c r="DC94">
        <v>1000</v>
      </c>
      <c r="DD94">
        <v>1000</v>
      </c>
      <c r="DE94">
        <v>3000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6750</v>
      </c>
      <c r="EE94">
        <v>0</v>
      </c>
      <c r="EF94">
        <v>0</v>
      </c>
      <c r="EG94">
        <v>0</v>
      </c>
      <c r="EH94">
        <v>0</v>
      </c>
      <c r="EI94">
        <v>1154</v>
      </c>
      <c r="EJ94">
        <v>1154</v>
      </c>
      <c r="EK94">
        <v>1155</v>
      </c>
      <c r="EL94">
        <v>3500</v>
      </c>
      <c r="EM94">
        <v>37.065000000000005</v>
      </c>
      <c r="EN94">
        <v>660</v>
      </c>
      <c r="EO94">
        <v>660</v>
      </c>
      <c r="EP94">
        <v>660</v>
      </c>
      <c r="EQ94">
        <v>2000</v>
      </c>
      <c r="ER94">
        <v>21.18</v>
      </c>
      <c r="ES94">
        <v>0</v>
      </c>
      <c r="ET94">
        <v>0</v>
      </c>
      <c r="EU94">
        <v>0</v>
      </c>
      <c r="EV94">
        <v>0</v>
      </c>
      <c r="EW94">
        <v>0</v>
      </c>
      <c r="FA94">
        <v>0</v>
      </c>
      <c r="FE94">
        <v>0</v>
      </c>
      <c r="FI94">
        <v>0</v>
      </c>
      <c r="FJ94">
        <v>5441.7550000000001</v>
      </c>
      <c r="FK94">
        <v>32765</v>
      </c>
      <c r="FL94">
        <v>28531.854350277765</v>
      </c>
      <c r="FM94">
        <v>27323.244999999999</v>
      </c>
    </row>
    <row r="95" spans="1:169" x14ac:dyDescent="0.35">
      <c r="A95">
        <v>197686</v>
      </c>
      <c r="B95" s="43" t="s">
        <v>2296</v>
      </c>
      <c r="C95" s="43" t="s">
        <v>2297</v>
      </c>
      <c r="D95" s="43" t="s">
        <v>2298</v>
      </c>
      <c r="E95" s="43" t="s">
        <v>2299</v>
      </c>
      <c r="F95">
        <v>1</v>
      </c>
      <c r="H95" s="23"/>
      <c r="I95">
        <v>43804</v>
      </c>
      <c r="J95" s="43" t="s">
        <v>4242</v>
      </c>
      <c r="K95" s="43" t="s">
        <v>1715</v>
      </c>
      <c r="L95" s="43" t="s">
        <v>259</v>
      </c>
      <c r="M95" s="43" t="s">
        <v>2300</v>
      </c>
      <c r="N95" s="43" t="s">
        <v>2301</v>
      </c>
      <c r="O95" s="43" t="s">
        <v>2302</v>
      </c>
      <c r="P95" s="43" t="s">
        <v>705</v>
      </c>
      <c r="Q95" s="43" t="s">
        <v>2303</v>
      </c>
      <c r="R95">
        <v>3.0556000000000001</v>
      </c>
      <c r="S95" s="23">
        <v>44109</v>
      </c>
      <c r="T95" s="43" t="s">
        <v>265</v>
      </c>
      <c r="U95" s="43" t="s">
        <v>266</v>
      </c>
      <c r="V95" s="43" t="s">
        <v>267</v>
      </c>
      <c r="W95" s="43" t="s">
        <v>1718</v>
      </c>
      <c r="X95" s="43" t="s">
        <v>1719</v>
      </c>
      <c r="Y95">
        <v>8772802835</v>
      </c>
      <c r="Z95" s="43" t="s">
        <v>270</v>
      </c>
      <c r="AA95" s="43" t="s">
        <v>271</v>
      </c>
      <c r="AB95">
        <v>0</v>
      </c>
      <c r="AC95">
        <v>930</v>
      </c>
      <c r="AD95">
        <v>95</v>
      </c>
      <c r="AE95" s="43" t="s">
        <v>324</v>
      </c>
      <c r="AF95">
        <v>8</v>
      </c>
      <c r="AG95" s="43" t="s">
        <v>275</v>
      </c>
      <c r="AJ95" s="23"/>
      <c r="AK95" s="43" t="s">
        <v>259</v>
      </c>
      <c r="AL95" s="43" t="s">
        <v>259</v>
      </c>
      <c r="AM95" s="23"/>
      <c r="AN95" s="23"/>
      <c r="AO95" s="23"/>
      <c r="AP95" s="23"/>
      <c r="AQ95" s="23"/>
      <c r="BB95" s="43"/>
      <c r="BC95" s="43" t="s">
        <v>259</v>
      </c>
      <c r="BD95" s="43" t="s">
        <v>259</v>
      </c>
      <c r="BE95" s="43" t="s">
        <v>259</v>
      </c>
      <c r="BF95" s="43" t="s">
        <v>259</v>
      </c>
      <c r="BG95" s="43" t="s">
        <v>259</v>
      </c>
      <c r="BH95" t="s">
        <v>259</v>
      </c>
      <c r="BI95" s="43" t="s">
        <v>259</v>
      </c>
      <c r="BJ95">
        <v>0</v>
      </c>
      <c r="BK95" s="23">
        <v>44109</v>
      </c>
      <c r="BL95" s="23">
        <v>44356</v>
      </c>
      <c r="BM95">
        <v>8505</v>
      </c>
      <c r="BN95">
        <v>8505</v>
      </c>
      <c r="BO95">
        <v>8505</v>
      </c>
      <c r="BP95">
        <v>25515</v>
      </c>
      <c r="BQ95">
        <v>3300</v>
      </c>
      <c r="BR95">
        <v>400</v>
      </c>
      <c r="BS95">
        <v>400</v>
      </c>
      <c r="BT95">
        <v>4100</v>
      </c>
      <c r="BU95">
        <v>2100</v>
      </c>
      <c r="BV95">
        <v>2100</v>
      </c>
      <c r="BW95">
        <v>2100</v>
      </c>
      <c r="BX95">
        <v>6300</v>
      </c>
      <c r="BY95">
        <v>1200</v>
      </c>
      <c r="BZ95">
        <v>1200</v>
      </c>
      <c r="CA95">
        <v>1200</v>
      </c>
      <c r="CB95">
        <v>3600</v>
      </c>
      <c r="CC95">
        <v>0</v>
      </c>
      <c r="CD95">
        <v>0</v>
      </c>
      <c r="CE95">
        <v>0</v>
      </c>
      <c r="CF95">
        <v>0</v>
      </c>
      <c r="CG95">
        <v>39515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1154</v>
      </c>
      <c r="EJ95">
        <v>1154</v>
      </c>
      <c r="EK95">
        <v>1155</v>
      </c>
      <c r="EL95">
        <v>3500</v>
      </c>
      <c r="EM95">
        <v>37.065000000000005</v>
      </c>
      <c r="EN95">
        <v>660</v>
      </c>
      <c r="EO95">
        <v>660</v>
      </c>
      <c r="EP95">
        <v>660</v>
      </c>
      <c r="EQ95">
        <v>2000</v>
      </c>
      <c r="ER95">
        <v>21.18</v>
      </c>
      <c r="ES95">
        <v>0</v>
      </c>
      <c r="ET95">
        <v>0</v>
      </c>
      <c r="EU95">
        <v>0</v>
      </c>
      <c r="EV95">
        <v>0</v>
      </c>
      <c r="EW95">
        <v>0</v>
      </c>
      <c r="FA95">
        <v>0</v>
      </c>
      <c r="FE95">
        <v>0</v>
      </c>
      <c r="FI95">
        <v>0</v>
      </c>
      <c r="FJ95">
        <v>5441.7550000000001</v>
      </c>
      <c r="FK95">
        <v>39515</v>
      </c>
      <c r="FL95">
        <v>35580.43210392214</v>
      </c>
      <c r="FM95">
        <v>34073.245000000003</v>
      </c>
    </row>
    <row r="96" spans="1:169" x14ac:dyDescent="0.35">
      <c r="A96">
        <v>196242</v>
      </c>
      <c r="B96" s="43" t="s">
        <v>2304</v>
      </c>
      <c r="C96" s="43" t="s">
        <v>2305</v>
      </c>
      <c r="D96" s="43" t="s">
        <v>2306</v>
      </c>
      <c r="E96" s="43" t="s">
        <v>2307</v>
      </c>
      <c r="F96">
        <v>1</v>
      </c>
      <c r="G96">
        <v>43783</v>
      </c>
      <c r="H96" s="23">
        <v>43783</v>
      </c>
      <c r="I96">
        <v>43783</v>
      </c>
      <c r="J96" s="43" t="s">
        <v>3672</v>
      </c>
      <c r="K96" s="43" t="s">
        <v>1715</v>
      </c>
      <c r="L96" s="43" t="s">
        <v>259</v>
      </c>
      <c r="M96" s="43" t="s">
        <v>2308</v>
      </c>
      <c r="N96" s="43" t="s">
        <v>2309</v>
      </c>
      <c r="O96" s="43" t="s">
        <v>2310</v>
      </c>
      <c r="P96" s="43" t="s">
        <v>553</v>
      </c>
      <c r="Q96" s="43" t="s">
        <v>2311</v>
      </c>
      <c r="R96">
        <v>2.7082999999999999</v>
      </c>
      <c r="S96" s="23">
        <v>44109</v>
      </c>
      <c r="T96" s="43" t="s">
        <v>265</v>
      </c>
      <c r="U96" s="43" t="s">
        <v>266</v>
      </c>
      <c r="V96" s="43" t="s">
        <v>267</v>
      </c>
      <c r="W96" s="43" t="s">
        <v>1718</v>
      </c>
      <c r="X96" s="43" t="s">
        <v>1719</v>
      </c>
      <c r="Y96">
        <v>8772802835</v>
      </c>
      <c r="Z96" s="43" t="s">
        <v>270</v>
      </c>
      <c r="AA96" s="43" t="s">
        <v>271</v>
      </c>
      <c r="AB96">
        <v>0</v>
      </c>
      <c r="AC96">
        <v>0</v>
      </c>
      <c r="AD96">
        <v>0</v>
      </c>
      <c r="AE96" s="43" t="s">
        <v>274</v>
      </c>
      <c r="AF96">
        <v>9</v>
      </c>
      <c r="AG96" s="43" t="s">
        <v>275</v>
      </c>
      <c r="AJ96" s="23"/>
      <c r="AK96" s="43" t="s">
        <v>259</v>
      </c>
      <c r="AL96" s="43" t="s">
        <v>259</v>
      </c>
      <c r="AM96" s="23"/>
      <c r="AN96" s="23"/>
      <c r="AO96" s="23">
        <v>43779</v>
      </c>
      <c r="AP96" s="23"/>
      <c r="AQ96" s="23"/>
      <c r="BB96" s="43"/>
      <c r="BC96" s="43" t="s">
        <v>259</v>
      </c>
      <c r="BD96" s="43" t="s">
        <v>259</v>
      </c>
      <c r="BE96" s="43" t="s">
        <v>259</v>
      </c>
      <c r="BF96" s="43" t="s">
        <v>259</v>
      </c>
      <c r="BG96" s="43" t="s">
        <v>259</v>
      </c>
      <c r="BH96" t="s">
        <v>259</v>
      </c>
      <c r="BI96" s="43" t="s">
        <v>259</v>
      </c>
      <c r="BJ96">
        <v>4.3478260869565188E-2</v>
      </c>
      <c r="BK96" s="23">
        <v>44109</v>
      </c>
      <c r="BL96" s="23">
        <v>44356</v>
      </c>
      <c r="BM96">
        <v>8505</v>
      </c>
      <c r="BN96">
        <v>8505</v>
      </c>
      <c r="BO96">
        <v>8505</v>
      </c>
      <c r="BP96">
        <v>25515</v>
      </c>
      <c r="BQ96">
        <v>3300</v>
      </c>
      <c r="BR96">
        <v>400</v>
      </c>
      <c r="BS96">
        <v>400</v>
      </c>
      <c r="BT96">
        <v>4100</v>
      </c>
      <c r="BU96">
        <v>2100</v>
      </c>
      <c r="BV96">
        <v>2100</v>
      </c>
      <c r="BW96">
        <v>2100</v>
      </c>
      <c r="BX96">
        <v>6300</v>
      </c>
      <c r="BY96">
        <v>1200</v>
      </c>
      <c r="BZ96">
        <v>1200</v>
      </c>
      <c r="CA96">
        <v>1200</v>
      </c>
      <c r="CB96">
        <v>3600</v>
      </c>
      <c r="CC96">
        <v>0</v>
      </c>
      <c r="CD96">
        <v>0</v>
      </c>
      <c r="CE96">
        <v>0</v>
      </c>
      <c r="CF96">
        <v>0</v>
      </c>
      <c r="CG96">
        <v>39515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1154</v>
      </c>
      <c r="EJ96">
        <v>1154</v>
      </c>
      <c r="EK96">
        <v>1155</v>
      </c>
      <c r="EL96">
        <v>3500</v>
      </c>
      <c r="EM96">
        <v>37.065000000000005</v>
      </c>
      <c r="EN96">
        <v>660</v>
      </c>
      <c r="EO96">
        <v>660</v>
      </c>
      <c r="EP96">
        <v>660</v>
      </c>
      <c r="EQ96">
        <v>2000</v>
      </c>
      <c r="ER96">
        <v>21.18</v>
      </c>
      <c r="ES96">
        <v>0</v>
      </c>
      <c r="ET96">
        <v>0</v>
      </c>
      <c r="EU96">
        <v>0</v>
      </c>
      <c r="EV96">
        <v>0</v>
      </c>
      <c r="EW96">
        <v>0</v>
      </c>
      <c r="FA96">
        <v>0</v>
      </c>
      <c r="FE96">
        <v>0</v>
      </c>
      <c r="FI96">
        <v>0</v>
      </c>
      <c r="FJ96">
        <v>5441.7550000000001</v>
      </c>
      <c r="FK96">
        <v>39515</v>
      </c>
      <c r="FL96">
        <v>35580.43210392214</v>
      </c>
      <c r="FM96">
        <v>34073.245000000003</v>
      </c>
    </row>
    <row r="97" spans="1:169" x14ac:dyDescent="0.35">
      <c r="A97">
        <v>196800</v>
      </c>
      <c r="B97" s="43" t="s">
        <v>2312</v>
      </c>
      <c r="C97" s="43" t="s">
        <v>2313</v>
      </c>
      <c r="D97" s="43" t="s">
        <v>2314</v>
      </c>
      <c r="E97" s="43" t="s">
        <v>2315</v>
      </c>
      <c r="F97">
        <v>1</v>
      </c>
      <c r="G97">
        <v>43783</v>
      </c>
      <c r="H97" s="23">
        <v>43794</v>
      </c>
      <c r="I97">
        <v>43794</v>
      </c>
      <c r="J97" s="43" t="s">
        <v>3421</v>
      </c>
      <c r="K97" s="43" t="s">
        <v>1715</v>
      </c>
      <c r="L97" s="43" t="s">
        <v>3204</v>
      </c>
      <c r="M97" s="43" t="s">
        <v>2316</v>
      </c>
      <c r="N97" s="43" t="s">
        <v>2317</v>
      </c>
      <c r="O97" s="43" t="s">
        <v>2318</v>
      </c>
      <c r="P97" s="43" t="s">
        <v>412</v>
      </c>
      <c r="Q97" s="43" t="s">
        <v>2319</v>
      </c>
      <c r="R97">
        <v>3.98</v>
      </c>
      <c r="S97" s="23">
        <v>44109</v>
      </c>
      <c r="T97" s="43" t="s">
        <v>311</v>
      </c>
      <c r="U97" s="43" t="s">
        <v>266</v>
      </c>
      <c r="V97" s="43" t="s">
        <v>267</v>
      </c>
      <c r="W97" s="43" t="s">
        <v>1718</v>
      </c>
      <c r="X97" s="43" t="s">
        <v>1719</v>
      </c>
      <c r="Y97">
        <v>8772802835</v>
      </c>
      <c r="Z97" s="43" t="s">
        <v>270</v>
      </c>
      <c r="AA97" s="43" t="s">
        <v>271</v>
      </c>
      <c r="AB97">
        <v>0</v>
      </c>
      <c r="AC97">
        <v>1420</v>
      </c>
      <c r="AD97">
        <v>134</v>
      </c>
      <c r="AE97" s="43" t="s">
        <v>301</v>
      </c>
      <c r="AF97">
        <v>1</v>
      </c>
      <c r="AG97" s="43" t="s">
        <v>275</v>
      </c>
      <c r="AH97">
        <v>19353</v>
      </c>
      <c r="AI97">
        <v>19353</v>
      </c>
      <c r="AJ97" s="23">
        <v>43776</v>
      </c>
      <c r="AK97" s="43" t="s">
        <v>3208</v>
      </c>
      <c r="AL97" s="43" t="s">
        <v>3209</v>
      </c>
      <c r="AM97" s="23">
        <v>43794</v>
      </c>
      <c r="AN97" s="23">
        <v>43794</v>
      </c>
      <c r="AO97" s="23">
        <v>43786</v>
      </c>
      <c r="AP97" s="23"/>
      <c r="AQ97" s="23"/>
      <c r="BB97" s="43"/>
      <c r="BC97" s="43" t="s">
        <v>2018</v>
      </c>
      <c r="BD97" s="43" t="s">
        <v>2018</v>
      </c>
      <c r="BE97" s="43" t="s">
        <v>2018</v>
      </c>
      <c r="BF97" s="43" t="s">
        <v>2018</v>
      </c>
      <c r="BG97" s="43" t="s">
        <v>2018</v>
      </c>
      <c r="BH97" t="s">
        <v>2018</v>
      </c>
      <c r="BI97" s="43" t="s">
        <v>2018</v>
      </c>
      <c r="BJ97">
        <v>0.1875</v>
      </c>
      <c r="BK97" s="23">
        <v>44109</v>
      </c>
      <c r="BL97" s="23">
        <v>44356</v>
      </c>
      <c r="BM97">
        <v>8505</v>
      </c>
      <c r="BN97">
        <v>8505</v>
      </c>
      <c r="BO97">
        <v>8505</v>
      </c>
      <c r="BP97">
        <v>25515</v>
      </c>
      <c r="BQ97">
        <v>3300</v>
      </c>
      <c r="BR97">
        <v>400</v>
      </c>
      <c r="BS97">
        <v>400</v>
      </c>
      <c r="BT97">
        <v>4100</v>
      </c>
      <c r="BU97">
        <v>2100</v>
      </c>
      <c r="BV97">
        <v>2100</v>
      </c>
      <c r="BW97">
        <v>2100</v>
      </c>
      <c r="BX97">
        <v>6300</v>
      </c>
      <c r="BY97">
        <v>1200</v>
      </c>
      <c r="BZ97">
        <v>1200</v>
      </c>
      <c r="CA97">
        <v>1200</v>
      </c>
      <c r="CB97">
        <v>3600</v>
      </c>
      <c r="CC97">
        <v>0</v>
      </c>
      <c r="CD97">
        <v>0</v>
      </c>
      <c r="CE97">
        <v>0</v>
      </c>
      <c r="CF97">
        <v>0</v>
      </c>
      <c r="CG97">
        <v>39515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1700</v>
      </c>
      <c r="CU97">
        <v>1700</v>
      </c>
      <c r="CV97">
        <v>1700</v>
      </c>
      <c r="CW97">
        <v>5100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5100</v>
      </c>
      <c r="EE97">
        <v>0</v>
      </c>
      <c r="EF97">
        <v>0</v>
      </c>
      <c r="EG97">
        <v>0</v>
      </c>
      <c r="EH97">
        <v>0</v>
      </c>
      <c r="EI97">
        <v>1154</v>
      </c>
      <c r="EJ97">
        <v>1154</v>
      </c>
      <c r="EK97">
        <v>1155</v>
      </c>
      <c r="EL97">
        <v>3500</v>
      </c>
      <c r="EM97">
        <v>37.065000000000005</v>
      </c>
      <c r="EN97">
        <v>660</v>
      </c>
      <c r="EO97">
        <v>660</v>
      </c>
      <c r="EP97">
        <v>660</v>
      </c>
      <c r="EQ97">
        <v>2000</v>
      </c>
      <c r="ER97">
        <v>21.18</v>
      </c>
      <c r="ES97">
        <v>9675</v>
      </c>
      <c r="ET97">
        <v>9675</v>
      </c>
      <c r="EU97">
        <v>9675</v>
      </c>
      <c r="EV97">
        <v>30255</v>
      </c>
      <c r="EW97">
        <v>1281.6018000000001</v>
      </c>
      <c r="FA97">
        <v>0</v>
      </c>
      <c r="FE97">
        <v>0</v>
      </c>
      <c r="FI97">
        <v>0</v>
      </c>
      <c r="FJ97">
        <v>34415.153200000001</v>
      </c>
      <c r="FK97">
        <v>34415</v>
      </c>
      <c r="FL97">
        <v>-0.15997660916487608</v>
      </c>
      <c r="FM97">
        <v>-0.15320000000065193</v>
      </c>
    </row>
    <row r="98" spans="1:169" x14ac:dyDescent="0.35">
      <c r="A98">
        <v>197630</v>
      </c>
      <c r="B98" s="43" t="s">
        <v>2320</v>
      </c>
      <c r="C98" s="43" t="s">
        <v>1193</v>
      </c>
      <c r="D98" s="43" t="s">
        <v>2321</v>
      </c>
      <c r="E98" s="43" t="s">
        <v>2322</v>
      </c>
      <c r="F98">
        <v>1</v>
      </c>
      <c r="G98">
        <v>43781</v>
      </c>
      <c r="H98" s="23">
        <v>43781</v>
      </c>
      <c r="I98">
        <v>43781</v>
      </c>
      <c r="J98" s="43" t="s">
        <v>3421</v>
      </c>
      <c r="K98" s="43" t="s">
        <v>1715</v>
      </c>
      <c r="L98" s="43" t="s">
        <v>3204</v>
      </c>
      <c r="M98" s="43" t="s">
        <v>2323</v>
      </c>
      <c r="N98" s="43" t="s">
        <v>3673</v>
      </c>
      <c r="O98" s="43" t="s">
        <v>634</v>
      </c>
      <c r="P98" s="43" t="s">
        <v>297</v>
      </c>
      <c r="Q98" s="43" t="s">
        <v>2324</v>
      </c>
      <c r="S98" s="23">
        <v>44109</v>
      </c>
      <c r="T98" s="43" t="s">
        <v>311</v>
      </c>
      <c r="U98" s="43" t="s">
        <v>266</v>
      </c>
      <c r="V98" s="43" t="s">
        <v>267</v>
      </c>
      <c r="W98" s="43" t="s">
        <v>1718</v>
      </c>
      <c r="X98" s="43" t="s">
        <v>1719</v>
      </c>
      <c r="Y98">
        <v>8772802835</v>
      </c>
      <c r="Z98" s="43" t="s">
        <v>270</v>
      </c>
      <c r="AA98" s="43" t="s">
        <v>271</v>
      </c>
      <c r="AB98">
        <v>0</v>
      </c>
      <c r="AC98">
        <v>1050</v>
      </c>
      <c r="AD98">
        <v>109</v>
      </c>
      <c r="AE98" s="43" t="s">
        <v>289</v>
      </c>
      <c r="AF98">
        <v>2</v>
      </c>
      <c r="AG98" s="43" t="s">
        <v>275</v>
      </c>
      <c r="AH98">
        <v>0</v>
      </c>
      <c r="AI98">
        <v>0</v>
      </c>
      <c r="AJ98" s="23">
        <v>43776</v>
      </c>
      <c r="AK98" s="43" t="s">
        <v>3208</v>
      </c>
      <c r="AL98" s="43" t="s">
        <v>3209</v>
      </c>
      <c r="AM98" s="23">
        <v>43781</v>
      </c>
      <c r="AN98" s="23">
        <v>43781</v>
      </c>
      <c r="AO98" s="23">
        <v>43781</v>
      </c>
      <c r="AP98" s="23"/>
      <c r="AQ98" s="23"/>
      <c r="BB98" s="43" t="s">
        <v>2018</v>
      </c>
      <c r="BC98" s="43" t="s">
        <v>2018</v>
      </c>
      <c r="BD98" s="43" t="s">
        <v>2018</v>
      </c>
      <c r="BE98" s="43" t="s">
        <v>2018</v>
      </c>
      <c r="BF98" s="43" t="s">
        <v>2018</v>
      </c>
      <c r="BG98" s="43" t="s">
        <v>2018</v>
      </c>
      <c r="BH98" t="s">
        <v>2018</v>
      </c>
      <c r="BI98" s="43" t="s">
        <v>2018</v>
      </c>
      <c r="BJ98">
        <v>0.19999999999999996</v>
      </c>
      <c r="BK98" s="23">
        <v>44109</v>
      </c>
      <c r="BL98" s="23">
        <v>44356</v>
      </c>
      <c r="BM98">
        <v>8505</v>
      </c>
      <c r="BN98">
        <v>8505</v>
      </c>
      <c r="BO98">
        <v>8505</v>
      </c>
      <c r="BP98">
        <v>25515</v>
      </c>
      <c r="BQ98">
        <v>3300</v>
      </c>
      <c r="BR98">
        <v>400</v>
      </c>
      <c r="BS98">
        <v>400</v>
      </c>
      <c r="BT98">
        <v>4100</v>
      </c>
      <c r="BU98">
        <v>2100</v>
      </c>
      <c r="BV98">
        <v>2100</v>
      </c>
      <c r="BW98">
        <v>2100</v>
      </c>
      <c r="BX98">
        <v>6300</v>
      </c>
      <c r="BY98">
        <v>1200</v>
      </c>
      <c r="BZ98">
        <v>1200</v>
      </c>
      <c r="CA98">
        <v>1200</v>
      </c>
      <c r="CB98">
        <v>3600</v>
      </c>
      <c r="CC98">
        <v>0</v>
      </c>
      <c r="CD98">
        <v>0</v>
      </c>
      <c r="CE98">
        <v>0</v>
      </c>
      <c r="CF98">
        <v>0</v>
      </c>
      <c r="CG98">
        <v>39515</v>
      </c>
      <c r="CH98">
        <v>0</v>
      </c>
      <c r="CI98">
        <v>0</v>
      </c>
      <c r="CJ98">
        <v>0</v>
      </c>
      <c r="CK98">
        <v>0</v>
      </c>
      <c r="CL98">
        <v>2065</v>
      </c>
      <c r="CM98">
        <v>2065</v>
      </c>
      <c r="CN98">
        <v>2065</v>
      </c>
      <c r="CO98">
        <v>6195</v>
      </c>
      <c r="CP98">
        <v>500</v>
      </c>
      <c r="CQ98">
        <v>500</v>
      </c>
      <c r="CR98">
        <v>500</v>
      </c>
      <c r="CS98">
        <v>1500</v>
      </c>
      <c r="CT98">
        <v>1500</v>
      </c>
      <c r="CU98">
        <v>1500</v>
      </c>
      <c r="CV98">
        <v>1500</v>
      </c>
      <c r="CW98">
        <v>4500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12195</v>
      </c>
      <c r="EE98">
        <v>0</v>
      </c>
      <c r="EF98">
        <v>0</v>
      </c>
      <c r="EG98">
        <v>0</v>
      </c>
      <c r="EH98">
        <v>0</v>
      </c>
      <c r="EI98">
        <v>1154</v>
      </c>
      <c r="EJ98">
        <v>1154</v>
      </c>
      <c r="EK98">
        <v>1155</v>
      </c>
      <c r="EL98">
        <v>3500</v>
      </c>
      <c r="EM98">
        <v>37.065000000000005</v>
      </c>
      <c r="EN98">
        <v>660</v>
      </c>
      <c r="EO98">
        <v>660</v>
      </c>
      <c r="EP98">
        <v>660</v>
      </c>
      <c r="EQ98">
        <v>2000</v>
      </c>
      <c r="ER98">
        <v>21.18</v>
      </c>
      <c r="ES98">
        <v>7306</v>
      </c>
      <c r="ET98">
        <v>7306</v>
      </c>
      <c r="EU98">
        <v>7306</v>
      </c>
      <c r="EV98">
        <v>22846</v>
      </c>
      <c r="EW98">
        <v>967.75656000000004</v>
      </c>
      <c r="FA98">
        <v>0</v>
      </c>
      <c r="FE98">
        <v>0</v>
      </c>
      <c r="FI98">
        <v>0</v>
      </c>
      <c r="FJ98">
        <v>27319.998439999999</v>
      </c>
      <c r="FK98">
        <v>27320</v>
      </c>
      <c r="FL98">
        <v>1.6290046370335952E-3</v>
      </c>
      <c r="FM98">
        <v>1.5600000006088521E-3</v>
      </c>
    </row>
    <row r="99" spans="1:169" x14ac:dyDescent="0.35">
      <c r="A99">
        <v>194366</v>
      </c>
      <c r="B99" s="43" t="s">
        <v>2325</v>
      </c>
      <c r="C99" s="43" t="s">
        <v>2326</v>
      </c>
      <c r="D99" s="43" t="s">
        <v>2327</v>
      </c>
      <c r="E99" s="43" t="s">
        <v>2328</v>
      </c>
      <c r="F99">
        <v>1</v>
      </c>
      <c r="H99" s="23"/>
      <c r="I99">
        <v>43804</v>
      </c>
      <c r="J99" s="43" t="s">
        <v>4242</v>
      </c>
      <c r="K99" s="43" t="s">
        <v>1715</v>
      </c>
      <c r="L99" s="43" t="s">
        <v>259</v>
      </c>
      <c r="M99" s="43" t="s">
        <v>2329</v>
      </c>
      <c r="N99" s="43" t="s">
        <v>2330</v>
      </c>
      <c r="O99" s="43" t="s">
        <v>2331</v>
      </c>
      <c r="P99" s="43" t="s">
        <v>1172</v>
      </c>
      <c r="Q99" s="43" t="s">
        <v>2332</v>
      </c>
      <c r="R99">
        <v>3.6093000000000002</v>
      </c>
      <c r="S99" s="23">
        <v>44109</v>
      </c>
      <c r="T99" s="43" t="s">
        <v>265</v>
      </c>
      <c r="U99" s="43" t="s">
        <v>266</v>
      </c>
      <c r="V99" s="43" t="s">
        <v>267</v>
      </c>
      <c r="W99" s="43" t="s">
        <v>1718</v>
      </c>
      <c r="X99" s="43" t="s">
        <v>1719</v>
      </c>
      <c r="Y99">
        <v>8772802835</v>
      </c>
      <c r="Z99" s="43" t="s">
        <v>270</v>
      </c>
      <c r="AA99" s="43" t="s">
        <v>271</v>
      </c>
      <c r="AB99">
        <v>28</v>
      </c>
      <c r="AC99">
        <v>0</v>
      </c>
      <c r="AD99">
        <v>120</v>
      </c>
      <c r="AE99" s="43" t="s">
        <v>301</v>
      </c>
      <c r="AF99">
        <v>1</v>
      </c>
      <c r="AG99" s="43" t="s">
        <v>275</v>
      </c>
      <c r="AJ99" s="23"/>
      <c r="AK99" s="43" t="s">
        <v>259</v>
      </c>
      <c r="AL99" s="43" t="s">
        <v>259</v>
      </c>
      <c r="AM99" s="23"/>
      <c r="AN99" s="23"/>
      <c r="AO99" s="23"/>
      <c r="AP99" s="23"/>
      <c r="AQ99" s="23"/>
      <c r="BB99" s="43"/>
      <c r="BC99" s="43" t="s">
        <v>259</v>
      </c>
      <c r="BD99" s="43" t="s">
        <v>259</v>
      </c>
      <c r="BE99" s="43" t="s">
        <v>259</v>
      </c>
      <c r="BF99" s="43" t="s">
        <v>259</v>
      </c>
      <c r="BG99" s="43" t="s">
        <v>259</v>
      </c>
      <c r="BH99" t="s">
        <v>259</v>
      </c>
      <c r="BI99" s="43" t="s">
        <v>259</v>
      </c>
      <c r="BJ99">
        <v>0</v>
      </c>
      <c r="BK99" s="23">
        <v>44109</v>
      </c>
      <c r="BL99" s="23">
        <v>44356</v>
      </c>
      <c r="BM99">
        <v>8505</v>
      </c>
      <c r="BN99">
        <v>8505</v>
      </c>
      <c r="BO99">
        <v>8505</v>
      </c>
      <c r="BP99">
        <v>25515</v>
      </c>
      <c r="BQ99">
        <v>3300</v>
      </c>
      <c r="BR99">
        <v>400</v>
      </c>
      <c r="BS99">
        <v>400</v>
      </c>
      <c r="BT99">
        <v>4100</v>
      </c>
      <c r="BU99">
        <v>2100</v>
      </c>
      <c r="BV99">
        <v>2100</v>
      </c>
      <c r="BW99">
        <v>2100</v>
      </c>
      <c r="BX99">
        <v>6300</v>
      </c>
      <c r="BY99">
        <v>1200</v>
      </c>
      <c r="BZ99">
        <v>1200</v>
      </c>
      <c r="CA99">
        <v>1200</v>
      </c>
      <c r="CB99">
        <v>3600</v>
      </c>
      <c r="CC99">
        <v>0</v>
      </c>
      <c r="CD99">
        <v>0</v>
      </c>
      <c r="CE99">
        <v>0</v>
      </c>
      <c r="CF99">
        <v>0</v>
      </c>
      <c r="CG99">
        <v>39515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1700</v>
      </c>
      <c r="CU99">
        <v>1700</v>
      </c>
      <c r="CV99">
        <v>1700</v>
      </c>
      <c r="CW99">
        <v>5100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5100</v>
      </c>
      <c r="EE99">
        <v>0</v>
      </c>
      <c r="EF99">
        <v>0</v>
      </c>
      <c r="EG99">
        <v>0</v>
      </c>
      <c r="EH99">
        <v>0</v>
      </c>
      <c r="EI99">
        <v>1154</v>
      </c>
      <c r="EJ99">
        <v>1154</v>
      </c>
      <c r="EK99">
        <v>1155</v>
      </c>
      <c r="EL99">
        <v>3500</v>
      </c>
      <c r="EM99">
        <v>37.065000000000005</v>
      </c>
      <c r="EN99">
        <v>660</v>
      </c>
      <c r="EO99">
        <v>660</v>
      </c>
      <c r="EP99">
        <v>660</v>
      </c>
      <c r="EQ99">
        <v>2000</v>
      </c>
      <c r="ER99">
        <v>21.18</v>
      </c>
      <c r="ES99">
        <v>0</v>
      </c>
      <c r="ET99">
        <v>0</v>
      </c>
      <c r="EU99">
        <v>0</v>
      </c>
      <c r="EV99">
        <v>0</v>
      </c>
      <c r="EW99">
        <v>0</v>
      </c>
      <c r="FA99">
        <v>0</v>
      </c>
      <c r="FE99">
        <v>0</v>
      </c>
      <c r="FI99">
        <v>0</v>
      </c>
      <c r="FJ99">
        <v>5441.7550000000001</v>
      </c>
      <c r="FK99">
        <v>34415</v>
      </c>
      <c r="FL99">
        <v>30254.840023390832</v>
      </c>
      <c r="FM99">
        <v>28973.244999999999</v>
      </c>
    </row>
    <row r="100" spans="1:169" x14ac:dyDescent="0.35">
      <c r="A100">
        <v>194134</v>
      </c>
      <c r="B100" s="43" t="s">
        <v>2325</v>
      </c>
      <c r="C100" s="43" t="s">
        <v>2333</v>
      </c>
      <c r="D100" s="43" t="s">
        <v>2334</v>
      </c>
      <c r="E100" s="43" t="s">
        <v>2335</v>
      </c>
      <c r="F100">
        <v>1</v>
      </c>
      <c r="H100" s="23"/>
      <c r="I100">
        <v>43804</v>
      </c>
      <c r="J100" s="43" t="s">
        <v>4242</v>
      </c>
      <c r="K100" s="43" t="s">
        <v>1715</v>
      </c>
      <c r="L100" s="43" t="s">
        <v>259</v>
      </c>
      <c r="M100" s="43" t="s">
        <v>3337</v>
      </c>
      <c r="N100" s="43" t="s">
        <v>2336</v>
      </c>
      <c r="O100" s="43" t="s">
        <v>2337</v>
      </c>
      <c r="P100" s="43" t="s">
        <v>911</v>
      </c>
      <c r="Q100" s="43" t="s">
        <v>2338</v>
      </c>
      <c r="R100">
        <v>3</v>
      </c>
      <c r="S100" s="23">
        <v>44109</v>
      </c>
      <c r="T100" s="43" t="s">
        <v>285</v>
      </c>
      <c r="U100" s="43" t="s">
        <v>266</v>
      </c>
      <c r="V100" s="43" t="s">
        <v>267</v>
      </c>
      <c r="W100" s="43" t="s">
        <v>1718</v>
      </c>
      <c r="X100" s="43" t="s">
        <v>1719</v>
      </c>
      <c r="Y100">
        <v>8772802835</v>
      </c>
      <c r="Z100" s="43" t="s">
        <v>270</v>
      </c>
      <c r="AA100" s="43" t="s">
        <v>271</v>
      </c>
      <c r="AB100">
        <v>0</v>
      </c>
      <c r="AC100">
        <v>0</v>
      </c>
      <c r="AD100">
        <v>0</v>
      </c>
      <c r="AE100" s="43" t="s">
        <v>324</v>
      </c>
      <c r="AF100">
        <v>8</v>
      </c>
      <c r="AG100" s="43" t="s">
        <v>275</v>
      </c>
      <c r="AJ100" s="23"/>
      <c r="AK100" s="43" t="s">
        <v>259</v>
      </c>
      <c r="AL100" s="43" t="s">
        <v>259</v>
      </c>
      <c r="AM100" s="23"/>
      <c r="AN100" s="23"/>
      <c r="AO100" s="23"/>
      <c r="AP100" s="23"/>
      <c r="AQ100" s="23"/>
      <c r="BB100" s="43"/>
      <c r="BC100" s="43" t="s">
        <v>259</v>
      </c>
      <c r="BD100" s="43" t="s">
        <v>259</v>
      </c>
      <c r="BE100" s="43" t="s">
        <v>259</v>
      </c>
      <c r="BF100" s="43" t="s">
        <v>259</v>
      </c>
      <c r="BG100" s="43" t="s">
        <v>259</v>
      </c>
      <c r="BH100" t="s">
        <v>259</v>
      </c>
      <c r="BI100" s="43" t="s">
        <v>259</v>
      </c>
      <c r="BJ100">
        <v>0</v>
      </c>
      <c r="BK100" s="23">
        <v>44109</v>
      </c>
      <c r="BL100" s="23">
        <v>44356</v>
      </c>
      <c r="BM100">
        <v>8505</v>
      </c>
      <c r="BN100">
        <v>8505</v>
      </c>
      <c r="BO100">
        <v>8505</v>
      </c>
      <c r="BP100">
        <v>25515</v>
      </c>
      <c r="BQ100">
        <v>3300</v>
      </c>
      <c r="BR100">
        <v>400</v>
      </c>
      <c r="BS100">
        <v>400</v>
      </c>
      <c r="BT100">
        <v>4100</v>
      </c>
      <c r="BU100">
        <v>2100</v>
      </c>
      <c r="BV100">
        <v>2100</v>
      </c>
      <c r="BW100">
        <v>2100</v>
      </c>
      <c r="BX100">
        <v>6300</v>
      </c>
      <c r="BY100">
        <v>1200</v>
      </c>
      <c r="BZ100">
        <v>1200</v>
      </c>
      <c r="CA100">
        <v>1200</v>
      </c>
      <c r="CB100">
        <v>3600</v>
      </c>
      <c r="CC100">
        <v>0</v>
      </c>
      <c r="CD100">
        <v>0</v>
      </c>
      <c r="CE100">
        <v>0</v>
      </c>
      <c r="CF100">
        <v>0</v>
      </c>
      <c r="CG100">
        <v>39515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1154</v>
      </c>
      <c r="EJ100">
        <v>1154</v>
      </c>
      <c r="EK100">
        <v>1155</v>
      </c>
      <c r="EL100">
        <v>3500</v>
      </c>
      <c r="EM100">
        <v>37.065000000000005</v>
      </c>
      <c r="EN100">
        <v>660</v>
      </c>
      <c r="EO100">
        <v>660</v>
      </c>
      <c r="EP100">
        <v>660</v>
      </c>
      <c r="EQ100">
        <v>2000</v>
      </c>
      <c r="ER100">
        <v>21.18</v>
      </c>
      <c r="ES100">
        <v>0</v>
      </c>
      <c r="ET100">
        <v>0</v>
      </c>
      <c r="EU100">
        <v>0</v>
      </c>
      <c r="EV100">
        <v>0</v>
      </c>
      <c r="EW100">
        <v>0</v>
      </c>
      <c r="FA100">
        <v>0</v>
      </c>
      <c r="FE100">
        <v>0</v>
      </c>
      <c r="FI100">
        <v>0</v>
      </c>
      <c r="FJ100">
        <v>5441.7550000000001</v>
      </c>
      <c r="FK100">
        <v>39515</v>
      </c>
      <c r="FL100">
        <v>35580.43210392214</v>
      </c>
      <c r="FM100">
        <v>34073.245000000003</v>
      </c>
    </row>
    <row r="101" spans="1:169" x14ac:dyDescent="0.35">
      <c r="A101">
        <v>195130</v>
      </c>
      <c r="B101" s="43" t="s">
        <v>2339</v>
      </c>
      <c r="C101" s="43" t="s">
        <v>2340</v>
      </c>
      <c r="D101" s="43" t="s">
        <v>2341</v>
      </c>
      <c r="E101" s="43" t="s">
        <v>2342</v>
      </c>
      <c r="F101">
        <v>1</v>
      </c>
      <c r="H101" s="23"/>
      <c r="I101">
        <v>43781</v>
      </c>
      <c r="J101" s="43" t="s">
        <v>3305</v>
      </c>
      <c r="K101" s="43" t="s">
        <v>1715</v>
      </c>
      <c r="L101" s="43" t="s">
        <v>3204</v>
      </c>
      <c r="M101" s="43" t="s">
        <v>2343</v>
      </c>
      <c r="N101" s="43" t="s">
        <v>2344</v>
      </c>
      <c r="O101" s="43" t="s">
        <v>2345</v>
      </c>
      <c r="P101" s="43" t="s">
        <v>677</v>
      </c>
      <c r="Q101" s="43" t="s">
        <v>2346</v>
      </c>
      <c r="R101">
        <v>3.7970000000000002</v>
      </c>
      <c r="S101" s="23">
        <v>44109</v>
      </c>
      <c r="T101" s="43" t="s">
        <v>265</v>
      </c>
      <c r="U101" s="43" t="s">
        <v>266</v>
      </c>
      <c r="V101" s="43" t="s">
        <v>267</v>
      </c>
      <c r="W101" s="43" t="s">
        <v>1718</v>
      </c>
      <c r="X101" s="43" t="s">
        <v>1719</v>
      </c>
      <c r="Y101">
        <v>8772802835</v>
      </c>
      <c r="Z101" s="43" t="s">
        <v>270</v>
      </c>
      <c r="AA101" s="43" t="s">
        <v>271</v>
      </c>
      <c r="AB101">
        <v>22</v>
      </c>
      <c r="AC101">
        <v>0</v>
      </c>
      <c r="AD101">
        <v>114</v>
      </c>
      <c r="AE101" s="43" t="s">
        <v>289</v>
      </c>
      <c r="AF101">
        <v>2</v>
      </c>
      <c r="AG101" s="43" t="s">
        <v>275</v>
      </c>
      <c r="AH101">
        <v>0</v>
      </c>
      <c r="AI101">
        <v>0</v>
      </c>
      <c r="AJ101" s="23">
        <v>43774</v>
      </c>
      <c r="AK101" s="43" t="s">
        <v>3208</v>
      </c>
      <c r="AL101" s="43" t="s">
        <v>3209</v>
      </c>
      <c r="AM101" s="23"/>
      <c r="AN101" s="23"/>
      <c r="AO101" s="23">
        <v>43775</v>
      </c>
      <c r="AP101" s="23"/>
      <c r="AQ101" s="23"/>
      <c r="BB101" s="43"/>
      <c r="BC101" s="43" t="s">
        <v>2018</v>
      </c>
      <c r="BD101" s="43" t="s">
        <v>2018</v>
      </c>
      <c r="BE101" s="43" t="s">
        <v>2018</v>
      </c>
      <c r="BF101" s="43" t="s">
        <v>2018</v>
      </c>
      <c r="BG101" s="43" t="s">
        <v>2018</v>
      </c>
      <c r="BH101" t="s">
        <v>2018</v>
      </c>
      <c r="BI101" s="43" t="s">
        <v>2018</v>
      </c>
      <c r="BJ101">
        <v>6.25E-2</v>
      </c>
      <c r="BK101" s="23">
        <v>44109</v>
      </c>
      <c r="BL101" s="23">
        <v>44356</v>
      </c>
      <c r="BM101">
        <v>8505</v>
      </c>
      <c r="BN101">
        <v>8505</v>
      </c>
      <c r="BO101">
        <v>8505</v>
      </c>
      <c r="BP101">
        <v>25515</v>
      </c>
      <c r="BQ101">
        <v>3300</v>
      </c>
      <c r="BR101">
        <v>400</v>
      </c>
      <c r="BS101">
        <v>400</v>
      </c>
      <c r="BT101">
        <v>4100</v>
      </c>
      <c r="BU101">
        <v>2100</v>
      </c>
      <c r="BV101">
        <v>2100</v>
      </c>
      <c r="BW101">
        <v>2100</v>
      </c>
      <c r="BX101">
        <v>6300</v>
      </c>
      <c r="BY101">
        <v>1200</v>
      </c>
      <c r="BZ101">
        <v>1200</v>
      </c>
      <c r="CA101">
        <v>1200</v>
      </c>
      <c r="CB101">
        <v>3600</v>
      </c>
      <c r="CC101">
        <v>0</v>
      </c>
      <c r="CD101">
        <v>0</v>
      </c>
      <c r="CE101">
        <v>0</v>
      </c>
      <c r="CF101">
        <v>0</v>
      </c>
      <c r="CG101">
        <v>39515</v>
      </c>
      <c r="CH101">
        <v>0</v>
      </c>
      <c r="CI101">
        <v>0</v>
      </c>
      <c r="CJ101">
        <v>0</v>
      </c>
      <c r="CK101">
        <v>0</v>
      </c>
      <c r="CL101">
        <v>2065</v>
      </c>
      <c r="CM101">
        <v>2065</v>
      </c>
      <c r="CN101">
        <v>2065</v>
      </c>
      <c r="CO101">
        <v>6195</v>
      </c>
      <c r="CP101">
        <v>500</v>
      </c>
      <c r="CQ101">
        <v>500</v>
      </c>
      <c r="CR101">
        <v>500</v>
      </c>
      <c r="CS101">
        <v>1500</v>
      </c>
      <c r="CT101">
        <v>1500</v>
      </c>
      <c r="CU101">
        <v>1500</v>
      </c>
      <c r="CV101">
        <v>1500</v>
      </c>
      <c r="CW101">
        <v>4500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12195</v>
      </c>
      <c r="EE101">
        <v>0</v>
      </c>
      <c r="EF101">
        <v>0</v>
      </c>
      <c r="EG101">
        <v>0</v>
      </c>
      <c r="EH101">
        <v>0</v>
      </c>
      <c r="EI101">
        <v>1154</v>
      </c>
      <c r="EJ101">
        <v>1154</v>
      </c>
      <c r="EK101">
        <v>1155</v>
      </c>
      <c r="EL101">
        <v>3500</v>
      </c>
      <c r="EM101">
        <v>37.065000000000005</v>
      </c>
      <c r="EN101">
        <v>660</v>
      </c>
      <c r="EO101">
        <v>660</v>
      </c>
      <c r="EP101">
        <v>660</v>
      </c>
      <c r="EQ101">
        <v>2000</v>
      </c>
      <c r="ER101">
        <v>21.18</v>
      </c>
      <c r="ES101">
        <v>0</v>
      </c>
      <c r="ET101">
        <v>0</v>
      </c>
      <c r="EU101">
        <v>0</v>
      </c>
      <c r="EV101">
        <v>0</v>
      </c>
      <c r="EW101">
        <v>0</v>
      </c>
      <c r="FA101">
        <v>0</v>
      </c>
      <c r="FE101">
        <v>0</v>
      </c>
      <c r="FI101">
        <v>0</v>
      </c>
      <c r="FJ101">
        <v>5441.7550000000001</v>
      </c>
      <c r="FK101">
        <v>27320</v>
      </c>
      <c r="FL101">
        <v>22846.001629004633</v>
      </c>
      <c r="FM101">
        <v>21878.244999999999</v>
      </c>
    </row>
    <row r="102" spans="1:169" x14ac:dyDescent="0.35">
      <c r="A102">
        <v>198617</v>
      </c>
      <c r="B102" s="43" t="s">
        <v>2347</v>
      </c>
      <c r="C102" s="43" t="s">
        <v>2348</v>
      </c>
      <c r="D102" s="43" t="s">
        <v>2349</v>
      </c>
      <c r="E102" s="43" t="s">
        <v>2350</v>
      </c>
      <c r="F102">
        <v>1</v>
      </c>
      <c r="H102" s="23"/>
      <c r="I102">
        <v>43804</v>
      </c>
      <c r="J102" s="43" t="s">
        <v>4242</v>
      </c>
      <c r="K102" s="43" t="s">
        <v>1715</v>
      </c>
      <c r="L102" s="43" t="s">
        <v>259</v>
      </c>
      <c r="M102" s="43" t="s">
        <v>2351</v>
      </c>
      <c r="N102" s="43" t="s">
        <v>2352</v>
      </c>
      <c r="O102" s="43" t="s">
        <v>2353</v>
      </c>
      <c r="P102" s="43" t="s">
        <v>297</v>
      </c>
      <c r="Q102" s="43" t="s">
        <v>2354</v>
      </c>
      <c r="R102">
        <v>3.1269999999999998</v>
      </c>
      <c r="S102" s="23">
        <v>44109</v>
      </c>
      <c r="T102" s="43" t="s">
        <v>311</v>
      </c>
      <c r="U102" s="43" t="s">
        <v>266</v>
      </c>
      <c r="V102" s="43" t="s">
        <v>267</v>
      </c>
      <c r="W102" s="43" t="s">
        <v>1718</v>
      </c>
      <c r="X102" s="43" t="s">
        <v>1719</v>
      </c>
      <c r="Y102">
        <v>8772802835</v>
      </c>
      <c r="Z102" s="43" t="s">
        <v>270</v>
      </c>
      <c r="AA102" s="43" t="s">
        <v>271</v>
      </c>
      <c r="AB102">
        <v>0</v>
      </c>
      <c r="AC102">
        <v>0</v>
      </c>
      <c r="AD102">
        <v>0</v>
      </c>
      <c r="AE102" s="43" t="s">
        <v>376</v>
      </c>
      <c r="AF102">
        <v>7</v>
      </c>
      <c r="AG102" s="43" t="s">
        <v>275</v>
      </c>
      <c r="AJ102" s="23"/>
      <c r="AK102" s="43" t="s">
        <v>259</v>
      </c>
      <c r="AL102" s="43" t="s">
        <v>259</v>
      </c>
      <c r="AM102" s="23"/>
      <c r="AN102" s="23"/>
      <c r="AO102" s="23"/>
      <c r="AP102" s="23"/>
      <c r="AQ102" s="23"/>
      <c r="BB102" s="43"/>
      <c r="BC102" s="43" t="s">
        <v>259</v>
      </c>
      <c r="BD102" s="43" t="s">
        <v>259</v>
      </c>
      <c r="BE102" s="43" t="s">
        <v>259</v>
      </c>
      <c r="BF102" s="43" t="s">
        <v>259</v>
      </c>
      <c r="BG102" s="43" t="s">
        <v>259</v>
      </c>
      <c r="BH102" t="s">
        <v>259</v>
      </c>
      <c r="BI102" s="43" t="s">
        <v>259</v>
      </c>
      <c r="BJ102">
        <v>0</v>
      </c>
      <c r="BK102" s="23">
        <v>44109</v>
      </c>
      <c r="BL102" s="23">
        <v>44356</v>
      </c>
      <c r="BM102">
        <v>8505</v>
      </c>
      <c r="BN102">
        <v>8505</v>
      </c>
      <c r="BO102">
        <v>8505</v>
      </c>
      <c r="BP102">
        <v>25515</v>
      </c>
      <c r="BQ102">
        <v>3300</v>
      </c>
      <c r="BR102">
        <v>400</v>
      </c>
      <c r="BS102">
        <v>400</v>
      </c>
      <c r="BT102">
        <v>4100</v>
      </c>
      <c r="BU102">
        <v>2100</v>
      </c>
      <c r="BV102">
        <v>2100</v>
      </c>
      <c r="BW102">
        <v>2100</v>
      </c>
      <c r="BX102">
        <v>6300</v>
      </c>
      <c r="BY102">
        <v>1200</v>
      </c>
      <c r="BZ102">
        <v>1200</v>
      </c>
      <c r="CA102">
        <v>1200</v>
      </c>
      <c r="CB102">
        <v>3600</v>
      </c>
      <c r="CC102">
        <v>0</v>
      </c>
      <c r="CD102">
        <v>0</v>
      </c>
      <c r="CE102">
        <v>0</v>
      </c>
      <c r="CF102">
        <v>0</v>
      </c>
      <c r="CG102">
        <v>39515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1154</v>
      </c>
      <c r="EJ102">
        <v>1154</v>
      </c>
      <c r="EK102">
        <v>1155</v>
      </c>
      <c r="EL102">
        <v>3500</v>
      </c>
      <c r="EM102">
        <v>37.065000000000005</v>
      </c>
      <c r="EN102">
        <v>660</v>
      </c>
      <c r="EO102">
        <v>660</v>
      </c>
      <c r="EP102">
        <v>660</v>
      </c>
      <c r="EQ102">
        <v>2000</v>
      </c>
      <c r="ER102">
        <v>21.18</v>
      </c>
      <c r="ES102">
        <v>0</v>
      </c>
      <c r="ET102">
        <v>0</v>
      </c>
      <c r="EU102">
        <v>0</v>
      </c>
      <c r="EV102">
        <v>0</v>
      </c>
      <c r="EW102">
        <v>0</v>
      </c>
      <c r="FA102">
        <v>0</v>
      </c>
      <c r="FE102">
        <v>0</v>
      </c>
      <c r="FI102">
        <v>0</v>
      </c>
      <c r="FJ102">
        <v>5441.7550000000001</v>
      </c>
      <c r="FK102">
        <v>39515</v>
      </c>
      <c r="FL102">
        <v>35580.43210392214</v>
      </c>
      <c r="FM102">
        <v>34073.245000000003</v>
      </c>
    </row>
    <row r="103" spans="1:169" x14ac:dyDescent="0.35">
      <c r="A103">
        <v>198736</v>
      </c>
      <c r="B103" s="43" t="s">
        <v>3988</v>
      </c>
      <c r="C103" s="43" t="s">
        <v>995</v>
      </c>
      <c r="D103" s="43" t="s">
        <v>3989</v>
      </c>
      <c r="E103" s="43" t="s">
        <v>3990</v>
      </c>
      <c r="F103">
        <v>1</v>
      </c>
      <c r="H103" s="23"/>
      <c r="I103">
        <v>43802</v>
      </c>
      <c r="J103" s="43" t="s">
        <v>3304</v>
      </c>
      <c r="K103" s="43" t="s">
        <v>1715</v>
      </c>
      <c r="L103" s="43" t="s">
        <v>3204</v>
      </c>
      <c r="M103" s="43" t="s">
        <v>3991</v>
      </c>
      <c r="N103" s="43" t="s">
        <v>3992</v>
      </c>
      <c r="O103" s="43" t="s">
        <v>3993</v>
      </c>
      <c r="P103" s="43" t="s">
        <v>1370</v>
      </c>
      <c r="Q103" s="43" t="s">
        <v>3994</v>
      </c>
      <c r="S103" s="23">
        <v>44109</v>
      </c>
      <c r="T103" s="43" t="s">
        <v>265</v>
      </c>
      <c r="U103" s="43" t="s">
        <v>266</v>
      </c>
      <c r="V103" s="43" t="s">
        <v>267</v>
      </c>
      <c r="W103" s="43" t="s">
        <v>1718</v>
      </c>
      <c r="X103" s="43" t="s">
        <v>1719</v>
      </c>
      <c r="Y103">
        <v>8772802835</v>
      </c>
      <c r="Z103" s="43" t="s">
        <v>270</v>
      </c>
      <c r="AA103" s="43" t="s">
        <v>271</v>
      </c>
      <c r="AB103">
        <v>0</v>
      </c>
      <c r="AC103">
        <v>1050</v>
      </c>
      <c r="AD103">
        <v>99</v>
      </c>
      <c r="AE103" s="43" t="s">
        <v>376</v>
      </c>
      <c r="AF103">
        <v>7</v>
      </c>
      <c r="AG103" s="43" t="s">
        <v>3345</v>
      </c>
      <c r="AH103">
        <v>19723</v>
      </c>
      <c r="AI103">
        <v>19723</v>
      </c>
      <c r="AJ103" s="23">
        <v>43774</v>
      </c>
      <c r="AK103" s="43" t="s">
        <v>3208</v>
      </c>
      <c r="AL103" s="43" t="s">
        <v>3209</v>
      </c>
      <c r="AM103" s="23"/>
      <c r="AN103" s="23"/>
      <c r="AO103" s="23"/>
      <c r="AP103" s="23"/>
      <c r="AQ103" s="23"/>
      <c r="BB103" s="43"/>
      <c r="BC103" s="43" t="s">
        <v>2018</v>
      </c>
      <c r="BD103" s="43" t="s">
        <v>2018</v>
      </c>
      <c r="BE103" s="43" t="s">
        <v>2018</v>
      </c>
      <c r="BF103" s="43" t="s">
        <v>2018</v>
      </c>
      <c r="BG103" s="43" t="s">
        <v>2018</v>
      </c>
      <c r="BH103" t="s">
        <v>2018</v>
      </c>
      <c r="BI103" s="43" t="s">
        <v>2018</v>
      </c>
      <c r="BJ103">
        <v>0</v>
      </c>
      <c r="BK103" s="23">
        <v>44109</v>
      </c>
      <c r="BL103" s="23">
        <v>44356</v>
      </c>
      <c r="BM103">
        <v>8505</v>
      </c>
      <c r="BN103">
        <v>8505</v>
      </c>
      <c r="BO103">
        <v>8505</v>
      </c>
      <c r="BP103">
        <v>25515</v>
      </c>
      <c r="BQ103">
        <v>3300</v>
      </c>
      <c r="BR103">
        <v>400</v>
      </c>
      <c r="BS103">
        <v>400</v>
      </c>
      <c r="BT103">
        <v>4100</v>
      </c>
      <c r="BU103">
        <v>2100</v>
      </c>
      <c r="BV103">
        <v>2100</v>
      </c>
      <c r="BW103">
        <v>2100</v>
      </c>
      <c r="BX103">
        <v>6300</v>
      </c>
      <c r="BY103">
        <v>1200</v>
      </c>
      <c r="BZ103">
        <v>1200</v>
      </c>
      <c r="CA103">
        <v>1200</v>
      </c>
      <c r="CB103">
        <v>3600</v>
      </c>
      <c r="CC103">
        <v>0</v>
      </c>
      <c r="CD103">
        <v>0</v>
      </c>
      <c r="CE103">
        <v>0</v>
      </c>
      <c r="CF103">
        <v>0</v>
      </c>
      <c r="CG103">
        <v>39515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1154</v>
      </c>
      <c r="EJ103">
        <v>1154</v>
      </c>
      <c r="EK103">
        <v>1155</v>
      </c>
      <c r="EL103">
        <v>3500</v>
      </c>
      <c r="EM103">
        <v>37.065000000000005</v>
      </c>
      <c r="EN103">
        <v>660</v>
      </c>
      <c r="EO103">
        <v>660</v>
      </c>
      <c r="EP103">
        <v>660</v>
      </c>
      <c r="EQ103">
        <v>2000</v>
      </c>
      <c r="ER103">
        <v>21.18</v>
      </c>
      <c r="ES103">
        <v>0</v>
      </c>
      <c r="ET103">
        <v>0</v>
      </c>
      <c r="EU103">
        <v>0</v>
      </c>
      <c r="EV103">
        <v>0</v>
      </c>
      <c r="EW103">
        <v>0</v>
      </c>
      <c r="FA103">
        <v>0</v>
      </c>
      <c r="FE103">
        <v>0</v>
      </c>
      <c r="FI103">
        <v>0</v>
      </c>
      <c r="FJ103">
        <v>5441.7550000000001</v>
      </c>
      <c r="FK103">
        <v>39515</v>
      </c>
      <c r="FL103">
        <v>35580.43210392214</v>
      </c>
      <c r="FM103">
        <v>34073.245000000003</v>
      </c>
    </row>
    <row r="104" spans="1:169" x14ac:dyDescent="0.35">
      <c r="A104">
        <v>198127</v>
      </c>
      <c r="B104" s="43" t="s">
        <v>2355</v>
      </c>
      <c r="C104" s="43" t="s">
        <v>1987</v>
      </c>
      <c r="D104" s="43" t="s">
        <v>2356</v>
      </c>
      <c r="E104" s="43" t="s">
        <v>2357</v>
      </c>
      <c r="F104">
        <v>1</v>
      </c>
      <c r="H104" s="23"/>
      <c r="I104">
        <v>43804</v>
      </c>
      <c r="J104" s="43" t="s">
        <v>4242</v>
      </c>
      <c r="K104" s="43" t="s">
        <v>1715</v>
      </c>
      <c r="L104" s="43" t="s">
        <v>259</v>
      </c>
      <c r="M104" s="43" t="s">
        <v>2358</v>
      </c>
      <c r="N104" s="43" t="s">
        <v>2359</v>
      </c>
      <c r="O104" s="43" t="s">
        <v>1454</v>
      </c>
      <c r="P104" s="43" t="s">
        <v>1091</v>
      </c>
      <c r="Q104" s="43" t="s">
        <v>2360</v>
      </c>
      <c r="R104">
        <v>3.8439999999999999</v>
      </c>
      <c r="S104" s="23">
        <v>44109</v>
      </c>
      <c r="T104" s="43" t="s">
        <v>265</v>
      </c>
      <c r="U104" s="43" t="s">
        <v>266</v>
      </c>
      <c r="V104" s="43" t="s">
        <v>267</v>
      </c>
      <c r="W104" s="43" t="s">
        <v>1718</v>
      </c>
      <c r="X104" s="43" t="s">
        <v>1719</v>
      </c>
      <c r="Y104">
        <v>8772802835</v>
      </c>
      <c r="Z104" s="43" t="s">
        <v>270</v>
      </c>
      <c r="AA104" s="43" t="s">
        <v>271</v>
      </c>
      <c r="AB104">
        <v>0</v>
      </c>
      <c r="AC104">
        <v>0</v>
      </c>
      <c r="AD104">
        <v>0</v>
      </c>
      <c r="AE104" s="43" t="s">
        <v>289</v>
      </c>
      <c r="AF104">
        <v>2</v>
      </c>
      <c r="AG104" s="43" t="s">
        <v>275</v>
      </c>
      <c r="AJ104" s="23"/>
      <c r="AK104" s="43" t="s">
        <v>259</v>
      </c>
      <c r="AL104" s="43" t="s">
        <v>259</v>
      </c>
      <c r="AM104" s="23"/>
      <c r="AN104" s="23"/>
      <c r="AO104" s="23"/>
      <c r="AP104" s="23"/>
      <c r="AQ104" s="23"/>
      <c r="BB104" s="43"/>
      <c r="BC104" s="43" t="s">
        <v>259</v>
      </c>
      <c r="BD104" s="43" t="s">
        <v>259</v>
      </c>
      <c r="BE104" s="43" t="s">
        <v>259</v>
      </c>
      <c r="BF104" s="43" t="s">
        <v>259</v>
      </c>
      <c r="BG104" s="43" t="s">
        <v>259</v>
      </c>
      <c r="BH104" t="s">
        <v>259</v>
      </c>
      <c r="BI104" s="43" t="s">
        <v>259</v>
      </c>
      <c r="BJ104">
        <v>0</v>
      </c>
      <c r="BK104" s="23">
        <v>44109</v>
      </c>
      <c r="BL104" s="23">
        <v>44356</v>
      </c>
      <c r="BM104">
        <v>8505</v>
      </c>
      <c r="BN104">
        <v>8505</v>
      </c>
      <c r="BO104">
        <v>8505</v>
      </c>
      <c r="BP104">
        <v>25515</v>
      </c>
      <c r="BQ104">
        <v>3300</v>
      </c>
      <c r="BR104">
        <v>400</v>
      </c>
      <c r="BS104">
        <v>400</v>
      </c>
      <c r="BT104">
        <v>4100</v>
      </c>
      <c r="BU104">
        <v>2100</v>
      </c>
      <c r="BV104">
        <v>2100</v>
      </c>
      <c r="BW104">
        <v>2100</v>
      </c>
      <c r="BX104">
        <v>6300</v>
      </c>
      <c r="BY104">
        <v>1200</v>
      </c>
      <c r="BZ104">
        <v>1200</v>
      </c>
      <c r="CA104">
        <v>1200</v>
      </c>
      <c r="CB104">
        <v>3600</v>
      </c>
      <c r="CC104">
        <v>0</v>
      </c>
      <c r="CD104">
        <v>0</v>
      </c>
      <c r="CE104">
        <v>0</v>
      </c>
      <c r="CF104">
        <v>0</v>
      </c>
      <c r="CG104">
        <v>39515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1500</v>
      </c>
      <c r="CU104">
        <v>1500</v>
      </c>
      <c r="CV104">
        <v>1500</v>
      </c>
      <c r="CW104">
        <v>4500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4500</v>
      </c>
      <c r="EE104">
        <v>0</v>
      </c>
      <c r="EF104">
        <v>0</v>
      </c>
      <c r="EG104">
        <v>0</v>
      </c>
      <c r="EH104">
        <v>0</v>
      </c>
      <c r="EI104">
        <v>1154</v>
      </c>
      <c r="EJ104">
        <v>1154</v>
      </c>
      <c r="EK104">
        <v>1155</v>
      </c>
      <c r="EL104">
        <v>3500</v>
      </c>
      <c r="EM104">
        <v>37.065000000000005</v>
      </c>
      <c r="EN104">
        <v>660</v>
      </c>
      <c r="EO104">
        <v>660</v>
      </c>
      <c r="EP104">
        <v>660</v>
      </c>
      <c r="EQ104">
        <v>2000</v>
      </c>
      <c r="ER104">
        <v>21.18</v>
      </c>
      <c r="ES104">
        <v>0</v>
      </c>
      <c r="ET104">
        <v>0</v>
      </c>
      <c r="EU104">
        <v>0</v>
      </c>
      <c r="EV104">
        <v>0</v>
      </c>
      <c r="EW104">
        <v>0</v>
      </c>
      <c r="FA104">
        <v>0</v>
      </c>
      <c r="FE104">
        <v>0</v>
      </c>
      <c r="FI104">
        <v>0</v>
      </c>
      <c r="FJ104">
        <v>5441.7550000000001</v>
      </c>
      <c r="FK104">
        <v>35015</v>
      </c>
      <c r="FL104">
        <v>30881.380268159221</v>
      </c>
      <c r="FM104">
        <v>29573.244999999999</v>
      </c>
    </row>
    <row r="105" spans="1:169" x14ac:dyDescent="0.35">
      <c r="A105">
        <v>196031</v>
      </c>
      <c r="B105" s="43" t="s">
        <v>2361</v>
      </c>
      <c r="C105" s="43" t="s">
        <v>1184</v>
      </c>
      <c r="D105" s="43" t="s">
        <v>2362</v>
      </c>
      <c r="E105" s="43" t="s">
        <v>2363</v>
      </c>
      <c r="F105">
        <v>1</v>
      </c>
      <c r="H105" s="23"/>
      <c r="I105">
        <v>43804</v>
      </c>
      <c r="J105" s="43" t="s">
        <v>4242</v>
      </c>
      <c r="K105" s="43" t="s">
        <v>1715</v>
      </c>
      <c r="L105" s="43" t="s">
        <v>259</v>
      </c>
      <c r="M105" s="43" t="s">
        <v>2364</v>
      </c>
      <c r="N105" s="43" t="s">
        <v>2365</v>
      </c>
      <c r="O105" s="43" t="s">
        <v>2366</v>
      </c>
      <c r="P105" s="43" t="s">
        <v>1172</v>
      </c>
      <c r="Q105" s="43" t="s">
        <v>2367</v>
      </c>
      <c r="R105">
        <v>2.1395</v>
      </c>
      <c r="S105" s="23">
        <v>44109</v>
      </c>
      <c r="T105" s="43" t="s">
        <v>311</v>
      </c>
      <c r="U105" s="43" t="s">
        <v>266</v>
      </c>
      <c r="V105" s="43" t="s">
        <v>267</v>
      </c>
      <c r="W105" s="43" t="s">
        <v>1718</v>
      </c>
      <c r="X105" s="43" t="s">
        <v>1719</v>
      </c>
      <c r="Y105">
        <v>8772802835</v>
      </c>
      <c r="Z105" s="43" t="s">
        <v>270</v>
      </c>
      <c r="AA105" s="43" t="s">
        <v>271</v>
      </c>
      <c r="AB105">
        <v>19</v>
      </c>
      <c r="AC105">
        <v>0</v>
      </c>
      <c r="AD105">
        <v>77</v>
      </c>
      <c r="AE105" s="43" t="s">
        <v>344</v>
      </c>
      <c r="AF105">
        <v>10</v>
      </c>
      <c r="AG105" s="43" t="s">
        <v>275</v>
      </c>
      <c r="AJ105" s="23"/>
      <c r="AK105" s="43" t="s">
        <v>259</v>
      </c>
      <c r="AL105" s="43" t="s">
        <v>259</v>
      </c>
      <c r="AM105" s="23"/>
      <c r="AN105" s="23"/>
      <c r="AO105" s="23"/>
      <c r="AP105" s="23"/>
      <c r="AQ105" s="23"/>
      <c r="BB105" s="43"/>
      <c r="BC105" s="43" t="s">
        <v>259</v>
      </c>
      <c r="BD105" s="43" t="s">
        <v>259</v>
      </c>
      <c r="BE105" s="43" t="s">
        <v>259</v>
      </c>
      <c r="BF105" s="43" t="s">
        <v>259</v>
      </c>
      <c r="BG105" s="43" t="s">
        <v>259</v>
      </c>
      <c r="BH105" t="s">
        <v>259</v>
      </c>
      <c r="BI105" s="43" t="s">
        <v>259</v>
      </c>
      <c r="BJ105">
        <v>0</v>
      </c>
      <c r="BK105" s="23">
        <v>44109</v>
      </c>
      <c r="BL105" s="23">
        <v>44356</v>
      </c>
      <c r="BM105">
        <v>8505</v>
      </c>
      <c r="BN105">
        <v>8505</v>
      </c>
      <c r="BO105">
        <v>8505</v>
      </c>
      <c r="BP105">
        <v>25515</v>
      </c>
      <c r="BQ105">
        <v>3300</v>
      </c>
      <c r="BR105">
        <v>400</v>
      </c>
      <c r="BS105">
        <v>400</v>
      </c>
      <c r="BT105">
        <v>4100</v>
      </c>
      <c r="BU105">
        <v>2100</v>
      </c>
      <c r="BV105">
        <v>2100</v>
      </c>
      <c r="BW105">
        <v>2100</v>
      </c>
      <c r="BX105">
        <v>6300</v>
      </c>
      <c r="BY105">
        <v>1200</v>
      </c>
      <c r="BZ105">
        <v>1200</v>
      </c>
      <c r="CA105">
        <v>1200</v>
      </c>
      <c r="CB105">
        <v>3600</v>
      </c>
      <c r="CC105">
        <v>0</v>
      </c>
      <c r="CD105">
        <v>0</v>
      </c>
      <c r="CE105">
        <v>0</v>
      </c>
      <c r="CF105">
        <v>0</v>
      </c>
      <c r="CG105">
        <v>39515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1154</v>
      </c>
      <c r="EJ105">
        <v>1154</v>
      </c>
      <c r="EK105">
        <v>1155</v>
      </c>
      <c r="EL105">
        <v>3500</v>
      </c>
      <c r="EM105">
        <v>37.065000000000005</v>
      </c>
      <c r="EN105">
        <v>660</v>
      </c>
      <c r="EO105">
        <v>660</v>
      </c>
      <c r="EP105">
        <v>660</v>
      </c>
      <c r="EQ105">
        <v>2000</v>
      </c>
      <c r="ER105">
        <v>21.18</v>
      </c>
      <c r="ES105">
        <v>0</v>
      </c>
      <c r="ET105">
        <v>0</v>
      </c>
      <c r="EU105">
        <v>0</v>
      </c>
      <c r="EV105">
        <v>0</v>
      </c>
      <c r="EW105">
        <v>0</v>
      </c>
      <c r="FA105">
        <v>0</v>
      </c>
      <c r="FE105">
        <v>0</v>
      </c>
      <c r="FI105">
        <v>0</v>
      </c>
      <c r="FJ105">
        <v>5441.7550000000001</v>
      </c>
      <c r="FK105">
        <v>39515</v>
      </c>
      <c r="FL105">
        <v>35580.43210392214</v>
      </c>
      <c r="FM105">
        <v>34073.245000000003</v>
      </c>
    </row>
    <row r="106" spans="1:169" x14ac:dyDescent="0.35">
      <c r="A106">
        <v>193590</v>
      </c>
      <c r="B106" s="43" t="s">
        <v>2368</v>
      </c>
      <c r="C106" s="43" t="s">
        <v>1970</v>
      </c>
      <c r="D106" s="43" t="s">
        <v>2369</v>
      </c>
      <c r="E106" s="43" t="s">
        <v>2370</v>
      </c>
      <c r="F106">
        <v>1</v>
      </c>
      <c r="H106" s="23"/>
      <c r="I106">
        <v>43783</v>
      </c>
      <c r="J106" s="43" t="s">
        <v>3304</v>
      </c>
      <c r="K106" s="43" t="s">
        <v>1715</v>
      </c>
      <c r="L106" s="43" t="s">
        <v>3204</v>
      </c>
      <c r="M106" s="43" t="s">
        <v>2371</v>
      </c>
      <c r="N106" s="43" t="s">
        <v>2372</v>
      </c>
      <c r="O106" s="43" t="s">
        <v>1454</v>
      </c>
      <c r="P106" s="43" t="s">
        <v>1091</v>
      </c>
      <c r="Q106" s="43" t="s">
        <v>2373</v>
      </c>
      <c r="R106">
        <v>3.41</v>
      </c>
      <c r="S106" s="23">
        <v>44109</v>
      </c>
      <c r="T106" s="43" t="s">
        <v>265</v>
      </c>
      <c r="U106" s="43" t="s">
        <v>266</v>
      </c>
      <c r="V106" s="43" t="s">
        <v>267</v>
      </c>
      <c r="W106" s="43" t="s">
        <v>1718</v>
      </c>
      <c r="X106" s="43" t="s">
        <v>1719</v>
      </c>
      <c r="Y106">
        <v>8772802835</v>
      </c>
      <c r="Z106" s="43" t="s">
        <v>270</v>
      </c>
      <c r="AA106" s="43" t="s">
        <v>271</v>
      </c>
      <c r="AB106">
        <v>26</v>
      </c>
      <c r="AC106">
        <v>0</v>
      </c>
      <c r="AD106">
        <v>114</v>
      </c>
      <c r="AE106" s="43" t="s">
        <v>364</v>
      </c>
      <c r="AF106">
        <v>3</v>
      </c>
      <c r="AG106" s="43" t="s">
        <v>275</v>
      </c>
      <c r="AH106">
        <v>90688</v>
      </c>
      <c r="AI106">
        <v>90688</v>
      </c>
      <c r="AJ106" s="23">
        <v>43774</v>
      </c>
      <c r="AK106" s="43" t="s">
        <v>3208</v>
      </c>
      <c r="AL106" s="43" t="s">
        <v>3209</v>
      </c>
      <c r="AM106" s="23"/>
      <c r="AN106" s="23"/>
      <c r="AO106" s="23"/>
      <c r="AP106" s="23"/>
      <c r="AQ106" s="23"/>
      <c r="BB106" s="43"/>
      <c r="BC106" s="43" t="s">
        <v>2018</v>
      </c>
      <c r="BD106" s="43" t="s">
        <v>2018</v>
      </c>
      <c r="BE106" s="43" t="s">
        <v>2018</v>
      </c>
      <c r="BF106" s="43" t="s">
        <v>2018</v>
      </c>
      <c r="BG106" s="43" t="s">
        <v>2018</v>
      </c>
      <c r="BH106" t="s">
        <v>2018</v>
      </c>
      <c r="BI106" s="43" t="s">
        <v>2018</v>
      </c>
      <c r="BJ106">
        <v>0</v>
      </c>
      <c r="BK106" s="23">
        <v>44109</v>
      </c>
      <c r="BL106" s="23">
        <v>44356</v>
      </c>
      <c r="BM106">
        <v>8505</v>
      </c>
      <c r="BN106">
        <v>8505</v>
      </c>
      <c r="BO106">
        <v>8505</v>
      </c>
      <c r="BP106">
        <v>25515</v>
      </c>
      <c r="BQ106">
        <v>3300</v>
      </c>
      <c r="BR106">
        <v>400</v>
      </c>
      <c r="BS106">
        <v>400</v>
      </c>
      <c r="BT106">
        <v>4100</v>
      </c>
      <c r="BU106">
        <v>2100</v>
      </c>
      <c r="BV106">
        <v>2100</v>
      </c>
      <c r="BW106">
        <v>2100</v>
      </c>
      <c r="BX106">
        <v>6300</v>
      </c>
      <c r="BY106">
        <v>1200</v>
      </c>
      <c r="BZ106">
        <v>1200</v>
      </c>
      <c r="CA106">
        <v>1200</v>
      </c>
      <c r="CB106">
        <v>3600</v>
      </c>
      <c r="CC106">
        <v>0</v>
      </c>
      <c r="CD106">
        <v>0</v>
      </c>
      <c r="CE106">
        <v>0</v>
      </c>
      <c r="CF106">
        <v>0</v>
      </c>
      <c r="CG106">
        <v>39515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1300</v>
      </c>
      <c r="CU106">
        <v>1300</v>
      </c>
      <c r="CV106">
        <v>1300</v>
      </c>
      <c r="CW106">
        <v>3900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3900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1814</v>
      </c>
      <c r="EO106">
        <v>1814</v>
      </c>
      <c r="EP106">
        <v>1814</v>
      </c>
      <c r="EQ106">
        <v>5500</v>
      </c>
      <c r="ER106">
        <v>58.245000000000005</v>
      </c>
      <c r="ES106">
        <v>0</v>
      </c>
      <c r="ET106">
        <v>0</v>
      </c>
      <c r="EU106">
        <v>0</v>
      </c>
      <c r="EV106">
        <v>0</v>
      </c>
      <c r="EW106">
        <v>0</v>
      </c>
      <c r="FA106">
        <v>0</v>
      </c>
      <c r="FE106">
        <v>0</v>
      </c>
      <c r="FI106">
        <v>0</v>
      </c>
      <c r="FJ106">
        <v>5441.7550000000001</v>
      </c>
      <c r="FK106">
        <v>35615</v>
      </c>
      <c r="FL106">
        <v>31507.920512927612</v>
      </c>
      <c r="FM106">
        <v>30173.244999999999</v>
      </c>
    </row>
    <row r="107" spans="1:169" x14ac:dyDescent="0.35">
      <c r="A107">
        <v>194205</v>
      </c>
      <c r="B107" s="43" t="s">
        <v>2374</v>
      </c>
      <c r="C107" s="43" t="s">
        <v>2375</v>
      </c>
      <c r="D107" s="43" t="s">
        <v>2376</v>
      </c>
      <c r="E107" s="43" t="s">
        <v>2377</v>
      </c>
      <c r="F107">
        <v>1</v>
      </c>
      <c r="H107" s="23"/>
      <c r="I107">
        <v>43775</v>
      </c>
      <c r="J107" s="43" t="s">
        <v>3304</v>
      </c>
      <c r="K107" s="43" t="s">
        <v>1715</v>
      </c>
      <c r="L107" s="43" t="s">
        <v>3204</v>
      </c>
      <c r="M107" s="43" t="s">
        <v>2378</v>
      </c>
      <c r="N107" s="43" t="s">
        <v>2379</v>
      </c>
      <c r="O107" s="43" t="s">
        <v>2380</v>
      </c>
      <c r="P107" s="43" t="s">
        <v>553</v>
      </c>
      <c r="Q107" s="43" t="s">
        <v>2381</v>
      </c>
      <c r="R107">
        <v>3.75</v>
      </c>
      <c r="S107" s="23">
        <v>44109</v>
      </c>
      <c r="T107" s="43" t="s">
        <v>311</v>
      </c>
      <c r="U107" s="43" t="s">
        <v>266</v>
      </c>
      <c r="V107" s="43" t="s">
        <v>267</v>
      </c>
      <c r="W107" s="43" t="s">
        <v>1718</v>
      </c>
      <c r="X107" s="43" t="s">
        <v>1719</v>
      </c>
      <c r="Y107">
        <v>8772802835</v>
      </c>
      <c r="Z107" s="43" t="s">
        <v>270</v>
      </c>
      <c r="AA107" s="43" t="s">
        <v>271</v>
      </c>
      <c r="AB107">
        <v>33</v>
      </c>
      <c r="AC107">
        <v>0</v>
      </c>
      <c r="AD107">
        <v>135</v>
      </c>
      <c r="AE107" s="43" t="s">
        <v>301</v>
      </c>
      <c r="AF107">
        <v>1</v>
      </c>
      <c r="AG107" s="43" t="s">
        <v>275</v>
      </c>
      <c r="AH107">
        <v>0</v>
      </c>
      <c r="AI107">
        <v>0</v>
      </c>
      <c r="AJ107" s="23">
        <v>43774</v>
      </c>
      <c r="AK107" s="43" t="s">
        <v>3208</v>
      </c>
      <c r="AL107" s="43" t="s">
        <v>3209</v>
      </c>
      <c r="AM107" s="23"/>
      <c r="AN107" s="23"/>
      <c r="AO107" s="23"/>
      <c r="AP107" s="23"/>
      <c r="AQ107" s="23"/>
      <c r="BB107" s="43"/>
      <c r="BC107" s="43" t="s">
        <v>2018</v>
      </c>
      <c r="BD107" s="43" t="s">
        <v>2018</v>
      </c>
      <c r="BE107" s="43" t="s">
        <v>2018</v>
      </c>
      <c r="BF107" s="43" t="s">
        <v>2018</v>
      </c>
      <c r="BG107" s="43" t="s">
        <v>2018</v>
      </c>
      <c r="BH107" t="s">
        <v>2018</v>
      </c>
      <c r="BI107" s="43" t="s">
        <v>2018</v>
      </c>
      <c r="BJ107">
        <v>0</v>
      </c>
      <c r="BK107" s="23">
        <v>44109</v>
      </c>
      <c r="BL107" s="23">
        <v>44356</v>
      </c>
      <c r="BM107">
        <v>8505</v>
      </c>
      <c r="BN107">
        <v>8505</v>
      </c>
      <c r="BO107">
        <v>8505</v>
      </c>
      <c r="BP107">
        <v>25515</v>
      </c>
      <c r="BQ107">
        <v>3300</v>
      </c>
      <c r="BR107">
        <v>400</v>
      </c>
      <c r="BS107">
        <v>400</v>
      </c>
      <c r="BT107">
        <v>4100</v>
      </c>
      <c r="BU107">
        <v>2100</v>
      </c>
      <c r="BV107">
        <v>2100</v>
      </c>
      <c r="BW107">
        <v>2100</v>
      </c>
      <c r="BX107">
        <v>6300</v>
      </c>
      <c r="BY107">
        <v>1200</v>
      </c>
      <c r="BZ107">
        <v>1200</v>
      </c>
      <c r="CA107">
        <v>1200</v>
      </c>
      <c r="CB107">
        <v>3600</v>
      </c>
      <c r="CC107">
        <v>0</v>
      </c>
      <c r="CD107">
        <v>0</v>
      </c>
      <c r="CE107">
        <v>0</v>
      </c>
      <c r="CF107">
        <v>0</v>
      </c>
      <c r="CG107">
        <v>39515</v>
      </c>
      <c r="CH107">
        <v>0</v>
      </c>
      <c r="CI107">
        <v>0</v>
      </c>
      <c r="CJ107">
        <v>0</v>
      </c>
      <c r="CK107">
        <v>0</v>
      </c>
      <c r="CL107">
        <v>2065</v>
      </c>
      <c r="CM107">
        <v>2065</v>
      </c>
      <c r="CN107">
        <v>2065</v>
      </c>
      <c r="CO107">
        <v>6195</v>
      </c>
      <c r="CP107">
        <v>500</v>
      </c>
      <c r="CQ107">
        <v>500</v>
      </c>
      <c r="CR107">
        <v>500</v>
      </c>
      <c r="CS107">
        <v>1500</v>
      </c>
      <c r="CT107">
        <v>1700</v>
      </c>
      <c r="CU107">
        <v>1700</v>
      </c>
      <c r="CV107">
        <v>1700</v>
      </c>
      <c r="CW107">
        <v>5100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12795</v>
      </c>
      <c r="EE107">
        <v>0</v>
      </c>
      <c r="EF107">
        <v>0</v>
      </c>
      <c r="EG107">
        <v>0</v>
      </c>
      <c r="EH107">
        <v>0</v>
      </c>
      <c r="EI107">
        <v>1154</v>
      </c>
      <c r="EJ107">
        <v>1154</v>
      </c>
      <c r="EK107">
        <v>1155</v>
      </c>
      <c r="EL107">
        <v>3500</v>
      </c>
      <c r="EM107">
        <v>37.065000000000005</v>
      </c>
      <c r="EN107">
        <v>660</v>
      </c>
      <c r="EO107">
        <v>660</v>
      </c>
      <c r="EP107">
        <v>660</v>
      </c>
      <c r="EQ107">
        <v>2000</v>
      </c>
      <c r="ER107">
        <v>21.18</v>
      </c>
      <c r="ES107">
        <v>0</v>
      </c>
      <c r="ET107">
        <v>0</v>
      </c>
      <c r="EU107">
        <v>0</v>
      </c>
      <c r="EV107">
        <v>0</v>
      </c>
      <c r="EW107">
        <v>0</v>
      </c>
      <c r="FA107">
        <v>0</v>
      </c>
      <c r="FE107">
        <v>0</v>
      </c>
      <c r="FI107">
        <v>0</v>
      </c>
      <c r="FJ107">
        <v>5441.7550000000001</v>
      </c>
      <c r="FK107">
        <v>26720</v>
      </c>
      <c r="FL107">
        <v>22219.461384236245</v>
      </c>
      <c r="FM107">
        <v>21278.244999999999</v>
      </c>
    </row>
    <row r="108" spans="1:169" x14ac:dyDescent="0.35">
      <c r="A108">
        <v>198032</v>
      </c>
      <c r="B108" s="43" t="s">
        <v>2382</v>
      </c>
      <c r="C108" s="43" t="s">
        <v>2383</v>
      </c>
      <c r="D108" s="43" t="s">
        <v>2384</v>
      </c>
      <c r="E108" s="43" t="s">
        <v>2385</v>
      </c>
      <c r="F108">
        <v>1</v>
      </c>
      <c r="H108" s="23"/>
      <c r="I108">
        <v>43782</v>
      </c>
      <c r="J108" s="43" t="s">
        <v>3305</v>
      </c>
      <c r="K108" s="43" t="s">
        <v>1715</v>
      </c>
      <c r="L108" s="43" t="s">
        <v>3204</v>
      </c>
      <c r="M108" s="43" t="s">
        <v>2386</v>
      </c>
      <c r="N108" s="43" t="s">
        <v>2387</v>
      </c>
      <c r="O108" s="43" t="s">
        <v>704</v>
      </c>
      <c r="P108" s="43" t="s">
        <v>372</v>
      </c>
      <c r="Q108" s="43" t="s">
        <v>2388</v>
      </c>
      <c r="R108">
        <v>3.1</v>
      </c>
      <c r="S108" s="23">
        <v>44109</v>
      </c>
      <c r="T108" s="43" t="s">
        <v>285</v>
      </c>
      <c r="U108" s="43" t="s">
        <v>286</v>
      </c>
      <c r="V108" s="43" t="s">
        <v>267</v>
      </c>
      <c r="W108" s="43" t="s">
        <v>1718</v>
      </c>
      <c r="X108" s="43" t="s">
        <v>1719</v>
      </c>
      <c r="Y108">
        <v>8772802835</v>
      </c>
      <c r="Z108" s="43" t="s">
        <v>270</v>
      </c>
      <c r="AA108" s="43" t="s">
        <v>271</v>
      </c>
      <c r="AB108">
        <v>0</v>
      </c>
      <c r="AC108">
        <v>0</v>
      </c>
      <c r="AD108">
        <v>0</v>
      </c>
      <c r="AE108" s="43" t="s">
        <v>344</v>
      </c>
      <c r="AF108">
        <v>10</v>
      </c>
      <c r="AG108" s="43" t="s">
        <v>275</v>
      </c>
      <c r="AH108">
        <v>1732</v>
      </c>
      <c r="AI108">
        <v>1732</v>
      </c>
      <c r="AJ108" s="23">
        <v>43774</v>
      </c>
      <c r="AK108" s="43" t="s">
        <v>3208</v>
      </c>
      <c r="AL108" s="43" t="s">
        <v>3209</v>
      </c>
      <c r="AM108" s="23"/>
      <c r="AN108" s="23"/>
      <c r="AO108" s="23"/>
      <c r="AP108" s="23"/>
      <c r="AQ108" s="23"/>
      <c r="BB108" s="43"/>
      <c r="BC108" s="43" t="s">
        <v>2018</v>
      </c>
      <c r="BD108" s="43" t="s">
        <v>2018</v>
      </c>
      <c r="BE108" s="43" t="s">
        <v>2018</v>
      </c>
      <c r="BF108" s="43" t="s">
        <v>2018</v>
      </c>
      <c r="BG108" s="43" t="s">
        <v>2018</v>
      </c>
      <c r="BH108" t="s">
        <v>2018</v>
      </c>
      <c r="BI108" s="43" t="s">
        <v>2018</v>
      </c>
      <c r="BJ108">
        <v>0</v>
      </c>
      <c r="BK108" s="23">
        <v>44109</v>
      </c>
      <c r="BL108" s="23">
        <v>44356</v>
      </c>
      <c r="BM108">
        <v>8505</v>
      </c>
      <c r="BN108">
        <v>8505</v>
      </c>
      <c r="BO108">
        <v>8505</v>
      </c>
      <c r="BP108">
        <v>25515</v>
      </c>
      <c r="BQ108">
        <v>3300</v>
      </c>
      <c r="BR108">
        <v>400</v>
      </c>
      <c r="BS108">
        <v>400</v>
      </c>
      <c r="BT108">
        <v>4100</v>
      </c>
      <c r="BU108">
        <v>2100</v>
      </c>
      <c r="BV108">
        <v>2100</v>
      </c>
      <c r="BW108">
        <v>2100</v>
      </c>
      <c r="BX108">
        <v>6300</v>
      </c>
      <c r="BY108">
        <v>1200</v>
      </c>
      <c r="BZ108">
        <v>1200</v>
      </c>
      <c r="CA108">
        <v>1200</v>
      </c>
      <c r="CB108">
        <v>3600</v>
      </c>
      <c r="CC108">
        <v>0</v>
      </c>
      <c r="CD108">
        <v>0</v>
      </c>
      <c r="CE108">
        <v>0</v>
      </c>
      <c r="CF108">
        <v>0</v>
      </c>
      <c r="CG108">
        <v>39515</v>
      </c>
      <c r="CH108">
        <v>0</v>
      </c>
      <c r="CI108">
        <v>0</v>
      </c>
      <c r="CJ108">
        <v>0</v>
      </c>
      <c r="CK108">
        <v>0</v>
      </c>
      <c r="CL108">
        <v>1482</v>
      </c>
      <c r="CM108">
        <v>1482</v>
      </c>
      <c r="CN108">
        <v>1481</v>
      </c>
      <c r="CO108">
        <v>4445</v>
      </c>
      <c r="CP108">
        <v>500</v>
      </c>
      <c r="CQ108">
        <v>500</v>
      </c>
      <c r="CR108">
        <v>500</v>
      </c>
      <c r="CS108">
        <v>1500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1000</v>
      </c>
      <c r="DC108">
        <v>1000</v>
      </c>
      <c r="DD108">
        <v>1000</v>
      </c>
      <c r="DE108">
        <v>3000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8945</v>
      </c>
      <c r="EE108">
        <v>0</v>
      </c>
      <c r="EF108">
        <v>0</v>
      </c>
      <c r="EG108">
        <v>0</v>
      </c>
      <c r="EH108">
        <v>0</v>
      </c>
      <c r="EI108">
        <v>1154</v>
      </c>
      <c r="EJ108">
        <v>1154</v>
      </c>
      <c r="EK108">
        <v>1155</v>
      </c>
      <c r="EL108">
        <v>3500</v>
      </c>
      <c r="EM108">
        <v>37.065000000000005</v>
      </c>
      <c r="EN108">
        <v>660</v>
      </c>
      <c r="EO108">
        <v>660</v>
      </c>
      <c r="EP108">
        <v>660</v>
      </c>
      <c r="EQ108">
        <v>2000</v>
      </c>
      <c r="ER108">
        <v>21.18</v>
      </c>
      <c r="ES108">
        <v>0</v>
      </c>
      <c r="ET108">
        <v>0</v>
      </c>
      <c r="EU108">
        <v>0</v>
      </c>
      <c r="EV108">
        <v>0</v>
      </c>
      <c r="EW108">
        <v>0</v>
      </c>
      <c r="FA108">
        <v>0</v>
      </c>
      <c r="FE108">
        <v>0</v>
      </c>
      <c r="FI108">
        <v>0</v>
      </c>
      <c r="FJ108">
        <v>5441.7550000000001</v>
      </c>
      <c r="FK108">
        <v>30570</v>
      </c>
      <c r="FL108">
        <v>26239.761288166741</v>
      </c>
      <c r="FM108">
        <v>25128.244999999999</v>
      </c>
    </row>
    <row r="109" spans="1:169" x14ac:dyDescent="0.35">
      <c r="A109">
        <v>199425</v>
      </c>
      <c r="B109" s="43" t="s">
        <v>3995</v>
      </c>
      <c r="C109" s="43" t="s">
        <v>2520</v>
      </c>
      <c r="D109" s="43" t="s">
        <v>3996</v>
      </c>
      <c r="E109" s="43" t="s">
        <v>3997</v>
      </c>
      <c r="F109">
        <v>1</v>
      </c>
      <c r="H109" s="23"/>
      <c r="I109">
        <v>43804</v>
      </c>
      <c r="J109" s="43" t="s">
        <v>4242</v>
      </c>
      <c r="K109" s="43" t="s">
        <v>1715</v>
      </c>
      <c r="L109" s="43" t="s">
        <v>259</v>
      </c>
      <c r="M109" s="43" t="s">
        <v>3998</v>
      </c>
      <c r="N109" s="43" t="s">
        <v>3999</v>
      </c>
      <c r="O109" s="43" t="s">
        <v>4000</v>
      </c>
      <c r="P109" s="43" t="s">
        <v>542</v>
      </c>
      <c r="Q109" s="43" t="s">
        <v>4001</v>
      </c>
      <c r="S109" s="23">
        <v>44109</v>
      </c>
      <c r="T109" s="43" t="s">
        <v>311</v>
      </c>
      <c r="U109" s="43" t="s">
        <v>266</v>
      </c>
      <c r="V109" s="43" t="s">
        <v>267</v>
      </c>
      <c r="W109" s="43" t="s">
        <v>1718</v>
      </c>
      <c r="X109" s="43" t="s">
        <v>1719</v>
      </c>
      <c r="Y109">
        <v>8772802835</v>
      </c>
      <c r="Z109" s="43" t="s">
        <v>270</v>
      </c>
      <c r="AA109" s="43" t="s">
        <v>271</v>
      </c>
      <c r="AB109">
        <v>25</v>
      </c>
      <c r="AC109">
        <v>0</v>
      </c>
      <c r="AD109">
        <v>119</v>
      </c>
      <c r="AE109" s="43" t="s">
        <v>301</v>
      </c>
      <c r="AF109">
        <v>1</v>
      </c>
      <c r="AG109" s="43" t="s">
        <v>3345</v>
      </c>
      <c r="AJ109" s="23"/>
      <c r="AK109" s="43" t="s">
        <v>259</v>
      </c>
      <c r="AL109" s="43" t="s">
        <v>259</v>
      </c>
      <c r="AM109" s="23"/>
      <c r="AN109" s="23"/>
      <c r="AO109" s="23"/>
      <c r="AP109" s="23"/>
      <c r="AQ109" s="23"/>
      <c r="BB109" s="43"/>
      <c r="BC109" s="43" t="s">
        <v>259</v>
      </c>
      <c r="BD109" s="43" t="s">
        <v>259</v>
      </c>
      <c r="BE109" s="43" t="s">
        <v>259</v>
      </c>
      <c r="BF109" s="43" t="s">
        <v>259</v>
      </c>
      <c r="BG109" s="43" t="s">
        <v>259</v>
      </c>
      <c r="BH109" t="s">
        <v>259</v>
      </c>
      <c r="BI109" s="43" t="s">
        <v>259</v>
      </c>
      <c r="BJ109">
        <v>0</v>
      </c>
      <c r="BK109" s="23">
        <v>44109</v>
      </c>
      <c r="BL109" s="23">
        <v>44356</v>
      </c>
      <c r="BM109">
        <v>8505</v>
      </c>
      <c r="BN109">
        <v>8505</v>
      </c>
      <c r="BO109">
        <v>8505</v>
      </c>
      <c r="BP109">
        <v>25515</v>
      </c>
      <c r="BQ109">
        <v>3300</v>
      </c>
      <c r="BR109">
        <v>400</v>
      </c>
      <c r="BS109">
        <v>400</v>
      </c>
      <c r="BT109">
        <v>4100</v>
      </c>
      <c r="BU109">
        <v>2100</v>
      </c>
      <c r="BV109">
        <v>2100</v>
      </c>
      <c r="BW109">
        <v>2100</v>
      </c>
      <c r="BX109">
        <v>6300</v>
      </c>
      <c r="BY109">
        <v>1200</v>
      </c>
      <c r="BZ109">
        <v>1200</v>
      </c>
      <c r="CA109">
        <v>1200</v>
      </c>
      <c r="CB109">
        <v>3600</v>
      </c>
      <c r="CC109">
        <v>0</v>
      </c>
      <c r="CD109">
        <v>0</v>
      </c>
      <c r="CE109">
        <v>0</v>
      </c>
      <c r="CF109">
        <v>0</v>
      </c>
      <c r="CG109">
        <v>39515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1700</v>
      </c>
      <c r="CU109">
        <v>1700</v>
      </c>
      <c r="CV109">
        <v>1700</v>
      </c>
      <c r="CW109">
        <v>5100</v>
      </c>
      <c r="CX109">
        <v>3000</v>
      </c>
      <c r="CY109">
        <v>3000</v>
      </c>
      <c r="CZ109">
        <v>3000</v>
      </c>
      <c r="DA109">
        <v>9000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14100</v>
      </c>
      <c r="EE109">
        <v>0</v>
      </c>
      <c r="EF109">
        <v>0</v>
      </c>
      <c r="EG109">
        <v>0</v>
      </c>
      <c r="EH109">
        <v>0</v>
      </c>
      <c r="EI109">
        <v>1154</v>
      </c>
      <c r="EJ109">
        <v>1154</v>
      </c>
      <c r="EK109">
        <v>1155</v>
      </c>
      <c r="EL109">
        <v>3500</v>
      </c>
      <c r="EM109">
        <v>37.065000000000005</v>
      </c>
      <c r="EN109">
        <v>660</v>
      </c>
      <c r="EO109">
        <v>660</v>
      </c>
      <c r="EP109">
        <v>660</v>
      </c>
      <c r="EQ109">
        <v>2000</v>
      </c>
      <c r="ER109">
        <v>21.18</v>
      </c>
      <c r="ES109">
        <v>0</v>
      </c>
      <c r="ET109">
        <v>0</v>
      </c>
      <c r="EU109">
        <v>0</v>
      </c>
      <c r="EV109">
        <v>0</v>
      </c>
      <c r="EW109">
        <v>0</v>
      </c>
      <c r="FA109">
        <v>0</v>
      </c>
      <c r="FE109">
        <v>0</v>
      </c>
      <c r="FI109">
        <v>0</v>
      </c>
      <c r="FJ109">
        <v>5441.7550000000001</v>
      </c>
      <c r="FK109">
        <v>25415</v>
      </c>
      <c r="FL109">
        <v>20856.736351864998</v>
      </c>
      <c r="FM109">
        <v>19973.244999999999</v>
      </c>
    </row>
    <row r="110" spans="1:169" x14ac:dyDescent="0.35">
      <c r="A110">
        <v>197847</v>
      </c>
      <c r="B110" s="43" t="s">
        <v>2389</v>
      </c>
      <c r="C110" s="43" t="s">
        <v>426</v>
      </c>
      <c r="D110" s="43" t="s">
        <v>2390</v>
      </c>
      <c r="E110" s="43" t="s">
        <v>2391</v>
      </c>
      <c r="F110">
        <v>1</v>
      </c>
      <c r="H110" s="23"/>
      <c r="I110">
        <v>43804</v>
      </c>
      <c r="J110" s="43" t="s">
        <v>4242</v>
      </c>
      <c r="K110" s="43" t="s">
        <v>1715</v>
      </c>
      <c r="L110" s="43" t="s">
        <v>259</v>
      </c>
      <c r="M110" s="43" t="s">
        <v>2392</v>
      </c>
      <c r="N110" s="43" t="s">
        <v>2393</v>
      </c>
      <c r="O110" s="43" t="s">
        <v>537</v>
      </c>
      <c r="P110" s="43" t="s">
        <v>813</v>
      </c>
      <c r="Q110" s="43" t="s">
        <v>2394</v>
      </c>
      <c r="R110">
        <v>3.891</v>
      </c>
      <c r="S110" s="23">
        <v>44109</v>
      </c>
      <c r="T110" s="43" t="s">
        <v>265</v>
      </c>
      <c r="U110" s="43" t="s">
        <v>266</v>
      </c>
      <c r="V110" s="43" t="s">
        <v>267</v>
      </c>
      <c r="W110" s="43" t="s">
        <v>1718</v>
      </c>
      <c r="X110" s="43" t="s">
        <v>1719</v>
      </c>
      <c r="Y110">
        <v>8772802835</v>
      </c>
      <c r="Z110" s="43" t="s">
        <v>270</v>
      </c>
      <c r="AA110" s="43" t="s">
        <v>271</v>
      </c>
      <c r="AB110">
        <v>0</v>
      </c>
      <c r="AC110">
        <v>0</v>
      </c>
      <c r="AD110">
        <v>0</v>
      </c>
      <c r="AE110" s="43" t="s">
        <v>445</v>
      </c>
      <c r="AF110">
        <v>4</v>
      </c>
      <c r="AG110" s="43" t="s">
        <v>275</v>
      </c>
      <c r="AJ110" s="23"/>
      <c r="AK110" s="43" t="s">
        <v>259</v>
      </c>
      <c r="AL110" s="43" t="s">
        <v>259</v>
      </c>
      <c r="AM110" s="23"/>
      <c r="AN110" s="23"/>
      <c r="AO110" s="23"/>
      <c r="AP110" s="23"/>
      <c r="AQ110" s="23"/>
      <c r="BB110" s="43"/>
      <c r="BC110" s="43" t="s">
        <v>259</v>
      </c>
      <c r="BD110" s="43" t="s">
        <v>259</v>
      </c>
      <c r="BE110" s="43" t="s">
        <v>259</v>
      </c>
      <c r="BF110" s="43" t="s">
        <v>259</v>
      </c>
      <c r="BG110" s="43" t="s">
        <v>259</v>
      </c>
      <c r="BH110" t="s">
        <v>259</v>
      </c>
      <c r="BI110" s="43" t="s">
        <v>259</v>
      </c>
      <c r="BJ110">
        <v>0</v>
      </c>
      <c r="BK110" s="23">
        <v>44109</v>
      </c>
      <c r="BL110" s="23">
        <v>44356</v>
      </c>
      <c r="BM110">
        <v>8505</v>
      </c>
      <c r="BN110">
        <v>8505</v>
      </c>
      <c r="BO110">
        <v>8505</v>
      </c>
      <c r="BP110">
        <v>25515</v>
      </c>
      <c r="BQ110">
        <v>3300</v>
      </c>
      <c r="BR110">
        <v>400</v>
      </c>
      <c r="BS110">
        <v>400</v>
      </c>
      <c r="BT110">
        <v>4100</v>
      </c>
      <c r="BU110">
        <v>2100</v>
      </c>
      <c r="BV110">
        <v>2100</v>
      </c>
      <c r="BW110">
        <v>2100</v>
      </c>
      <c r="BX110">
        <v>6300</v>
      </c>
      <c r="BY110">
        <v>1200</v>
      </c>
      <c r="BZ110">
        <v>1200</v>
      </c>
      <c r="CA110">
        <v>1200</v>
      </c>
      <c r="CB110">
        <v>3600</v>
      </c>
      <c r="CC110">
        <v>0</v>
      </c>
      <c r="CD110">
        <v>0</v>
      </c>
      <c r="CE110">
        <v>0</v>
      </c>
      <c r="CF110">
        <v>0</v>
      </c>
      <c r="CG110">
        <v>39515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1250</v>
      </c>
      <c r="CU110">
        <v>1250</v>
      </c>
      <c r="CV110">
        <v>1250</v>
      </c>
      <c r="CW110">
        <v>3750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3750</v>
      </c>
      <c r="EE110">
        <v>0</v>
      </c>
      <c r="EF110">
        <v>0</v>
      </c>
      <c r="EG110">
        <v>0</v>
      </c>
      <c r="EH110">
        <v>0</v>
      </c>
      <c r="EI110">
        <v>1154</v>
      </c>
      <c r="EJ110">
        <v>1154</v>
      </c>
      <c r="EK110">
        <v>1155</v>
      </c>
      <c r="EL110">
        <v>3500</v>
      </c>
      <c r="EM110">
        <v>37.065000000000005</v>
      </c>
      <c r="EN110">
        <v>660</v>
      </c>
      <c r="EO110">
        <v>660</v>
      </c>
      <c r="EP110">
        <v>660</v>
      </c>
      <c r="EQ110">
        <v>2000</v>
      </c>
      <c r="ER110">
        <v>21.18</v>
      </c>
      <c r="ES110">
        <v>0</v>
      </c>
      <c r="ET110">
        <v>0</v>
      </c>
      <c r="EU110">
        <v>0</v>
      </c>
      <c r="EV110">
        <v>0</v>
      </c>
      <c r="EW110">
        <v>0</v>
      </c>
      <c r="FA110">
        <v>0</v>
      </c>
      <c r="FE110">
        <v>0</v>
      </c>
      <c r="FI110">
        <v>0</v>
      </c>
      <c r="FJ110">
        <v>5441.7550000000001</v>
      </c>
      <c r="FK110">
        <v>35765</v>
      </c>
      <c r="FL110">
        <v>31664.555574119709</v>
      </c>
      <c r="FM110">
        <v>30323.244999999999</v>
      </c>
    </row>
    <row r="111" spans="1:169" x14ac:dyDescent="0.35">
      <c r="A111">
        <v>199000</v>
      </c>
      <c r="B111" s="43" t="s">
        <v>3674</v>
      </c>
      <c r="C111" s="43" t="s">
        <v>3675</v>
      </c>
      <c r="D111" s="43" t="s">
        <v>3676</v>
      </c>
      <c r="E111" s="43" t="s">
        <v>3677</v>
      </c>
      <c r="F111">
        <v>1</v>
      </c>
      <c r="H111" s="23"/>
      <c r="I111">
        <v>43804</v>
      </c>
      <c r="J111" s="43" t="s">
        <v>4242</v>
      </c>
      <c r="K111" s="43" t="s">
        <v>1715</v>
      </c>
      <c r="L111" s="43" t="s">
        <v>259</v>
      </c>
      <c r="M111" s="43" t="s">
        <v>3678</v>
      </c>
      <c r="N111" s="43" t="s">
        <v>3679</v>
      </c>
      <c r="O111" s="43" t="s">
        <v>3680</v>
      </c>
      <c r="P111" s="43" t="s">
        <v>297</v>
      </c>
      <c r="Q111" s="43" t="s">
        <v>2401</v>
      </c>
      <c r="S111" s="23">
        <v>44109</v>
      </c>
      <c r="T111" s="43" t="s">
        <v>311</v>
      </c>
      <c r="U111" s="43" t="s">
        <v>266</v>
      </c>
      <c r="V111" s="43" t="s">
        <v>267</v>
      </c>
      <c r="W111" s="43" t="s">
        <v>1718</v>
      </c>
      <c r="X111" s="43" t="s">
        <v>1719</v>
      </c>
      <c r="Y111">
        <v>8772802835</v>
      </c>
      <c r="Z111" s="43" t="s">
        <v>270</v>
      </c>
      <c r="AA111" s="43" t="s">
        <v>271</v>
      </c>
      <c r="AB111">
        <v>0</v>
      </c>
      <c r="AC111">
        <v>0</v>
      </c>
      <c r="AD111">
        <v>0</v>
      </c>
      <c r="AE111" s="43" t="s">
        <v>376</v>
      </c>
      <c r="AF111">
        <v>7</v>
      </c>
      <c r="AG111" s="43" t="s">
        <v>3345</v>
      </c>
      <c r="AJ111" s="23"/>
      <c r="AK111" s="43" t="s">
        <v>259</v>
      </c>
      <c r="AL111" s="43" t="s">
        <v>259</v>
      </c>
      <c r="AM111" s="23"/>
      <c r="AN111" s="23"/>
      <c r="AO111" s="23"/>
      <c r="AP111" s="23"/>
      <c r="AQ111" s="23"/>
      <c r="BB111" s="43"/>
      <c r="BC111" s="43" t="s">
        <v>259</v>
      </c>
      <c r="BD111" s="43" t="s">
        <v>259</v>
      </c>
      <c r="BE111" s="43" t="s">
        <v>259</v>
      </c>
      <c r="BF111" s="43" t="s">
        <v>259</v>
      </c>
      <c r="BG111" s="43" t="s">
        <v>259</v>
      </c>
      <c r="BH111" t="s">
        <v>259</v>
      </c>
      <c r="BI111" s="43" t="s">
        <v>259</v>
      </c>
      <c r="BJ111">
        <v>0</v>
      </c>
      <c r="BK111" s="23">
        <v>44109</v>
      </c>
      <c r="BL111" s="23">
        <v>44356</v>
      </c>
      <c r="BM111">
        <v>8505</v>
      </c>
      <c r="BN111">
        <v>8505</v>
      </c>
      <c r="BO111">
        <v>8505</v>
      </c>
      <c r="BP111">
        <v>25515</v>
      </c>
      <c r="BQ111">
        <v>3300</v>
      </c>
      <c r="BR111">
        <v>400</v>
      </c>
      <c r="BS111">
        <v>400</v>
      </c>
      <c r="BT111">
        <v>4100</v>
      </c>
      <c r="BU111">
        <v>2100</v>
      </c>
      <c r="BV111">
        <v>2100</v>
      </c>
      <c r="BW111">
        <v>2100</v>
      </c>
      <c r="BX111">
        <v>6300</v>
      </c>
      <c r="BY111">
        <v>1200</v>
      </c>
      <c r="BZ111">
        <v>1200</v>
      </c>
      <c r="CA111">
        <v>1200</v>
      </c>
      <c r="CB111">
        <v>3600</v>
      </c>
      <c r="CC111">
        <v>0</v>
      </c>
      <c r="CD111">
        <v>0</v>
      </c>
      <c r="CE111">
        <v>0</v>
      </c>
      <c r="CF111">
        <v>0</v>
      </c>
      <c r="CG111">
        <v>39515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M111">
        <v>0</v>
      </c>
      <c r="EN111">
        <v>660</v>
      </c>
      <c r="EO111">
        <v>660</v>
      </c>
      <c r="EP111">
        <v>660</v>
      </c>
      <c r="EQ111">
        <v>2000</v>
      </c>
      <c r="ER111">
        <v>21.18</v>
      </c>
      <c r="ES111">
        <v>0</v>
      </c>
      <c r="ET111">
        <v>0</v>
      </c>
      <c r="EU111">
        <v>0</v>
      </c>
      <c r="EW111">
        <v>0</v>
      </c>
      <c r="FA111">
        <v>0</v>
      </c>
      <c r="FE111">
        <v>0</v>
      </c>
      <c r="FI111">
        <v>0</v>
      </c>
      <c r="FJ111">
        <v>1978.82</v>
      </c>
      <c r="FK111">
        <v>39515</v>
      </c>
      <c r="FL111">
        <v>39196.54567478384</v>
      </c>
      <c r="FM111">
        <v>37536.18</v>
      </c>
    </row>
    <row r="112" spans="1:169" x14ac:dyDescent="0.35">
      <c r="A112">
        <v>191895</v>
      </c>
      <c r="B112" s="43" t="s">
        <v>4002</v>
      </c>
      <c r="C112" s="43" t="s">
        <v>1955</v>
      </c>
      <c r="D112" s="43" t="s">
        <v>4003</v>
      </c>
      <c r="E112" s="43" t="s">
        <v>4004</v>
      </c>
      <c r="F112">
        <v>1</v>
      </c>
      <c r="H112" s="23"/>
      <c r="I112">
        <v>43803</v>
      </c>
      <c r="J112" s="43" t="s">
        <v>3304</v>
      </c>
      <c r="K112" s="43" t="s">
        <v>1715</v>
      </c>
      <c r="L112" s="43" t="s">
        <v>3204</v>
      </c>
      <c r="M112" s="43" t="s">
        <v>4005</v>
      </c>
      <c r="N112" s="43" t="s">
        <v>4006</v>
      </c>
      <c r="O112" s="43" t="s">
        <v>2643</v>
      </c>
      <c r="P112" s="43" t="s">
        <v>309</v>
      </c>
      <c r="Q112" s="43" t="s">
        <v>4007</v>
      </c>
      <c r="S112" s="23">
        <v>44109</v>
      </c>
      <c r="T112" s="43" t="s">
        <v>285</v>
      </c>
      <c r="U112" s="43" t="s">
        <v>266</v>
      </c>
      <c r="V112" s="43" t="s">
        <v>267</v>
      </c>
      <c r="W112" s="43" t="s">
        <v>1718</v>
      </c>
      <c r="X112" s="43" t="s">
        <v>1719</v>
      </c>
      <c r="Y112">
        <v>8772802835</v>
      </c>
      <c r="Z112" s="43" t="s">
        <v>270</v>
      </c>
      <c r="AA112" s="43" t="s">
        <v>271</v>
      </c>
      <c r="AB112">
        <v>0</v>
      </c>
      <c r="AC112">
        <v>1340</v>
      </c>
      <c r="AD112">
        <v>131</v>
      </c>
      <c r="AE112" s="43" t="s">
        <v>301</v>
      </c>
      <c r="AF112">
        <v>1</v>
      </c>
      <c r="AG112" s="43" t="s">
        <v>3345</v>
      </c>
      <c r="AH112">
        <v>19571</v>
      </c>
      <c r="AI112">
        <v>19571</v>
      </c>
      <c r="AJ112" s="23">
        <v>43790</v>
      </c>
      <c r="AK112" s="43" t="s">
        <v>3208</v>
      </c>
      <c r="AL112" s="43" t="s">
        <v>3209</v>
      </c>
      <c r="AM112" s="23"/>
      <c r="AN112" s="23"/>
      <c r="AO112" s="23">
        <v>43795</v>
      </c>
      <c r="AP112" s="23"/>
      <c r="AQ112" s="23"/>
      <c r="BB112" s="43"/>
      <c r="BC112" s="43" t="s">
        <v>2018</v>
      </c>
      <c r="BD112" s="43" t="s">
        <v>2018</v>
      </c>
      <c r="BE112" s="43" t="s">
        <v>2018</v>
      </c>
      <c r="BF112" s="43" t="s">
        <v>2018</v>
      </c>
      <c r="BG112" s="43" t="s">
        <v>2018</v>
      </c>
      <c r="BH112" t="s">
        <v>2018</v>
      </c>
      <c r="BI112" s="43" t="s">
        <v>2018</v>
      </c>
      <c r="BJ112">
        <v>6.25E-2</v>
      </c>
      <c r="BK112" s="23">
        <v>44109</v>
      </c>
      <c r="BL112" s="23">
        <v>44356</v>
      </c>
      <c r="BM112">
        <v>8505</v>
      </c>
      <c r="BN112">
        <v>8505</v>
      </c>
      <c r="BO112">
        <v>8505</v>
      </c>
      <c r="BP112">
        <v>25515</v>
      </c>
      <c r="BQ112">
        <v>3300</v>
      </c>
      <c r="BR112">
        <v>400</v>
      </c>
      <c r="BS112">
        <v>400</v>
      </c>
      <c r="BT112">
        <v>4100</v>
      </c>
      <c r="BU112">
        <v>2100</v>
      </c>
      <c r="BV112">
        <v>2100</v>
      </c>
      <c r="BW112">
        <v>2100</v>
      </c>
      <c r="BX112">
        <v>6300</v>
      </c>
      <c r="BY112">
        <v>1200</v>
      </c>
      <c r="BZ112">
        <v>1200</v>
      </c>
      <c r="CA112">
        <v>1200</v>
      </c>
      <c r="CB112">
        <v>3600</v>
      </c>
      <c r="CC112">
        <v>0</v>
      </c>
      <c r="CD112">
        <v>0</v>
      </c>
      <c r="CE112">
        <v>0</v>
      </c>
      <c r="CF112">
        <v>0</v>
      </c>
      <c r="CG112">
        <v>39515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1700</v>
      </c>
      <c r="CU112">
        <v>1700</v>
      </c>
      <c r="CV112">
        <v>1700</v>
      </c>
      <c r="CW112">
        <v>5100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5100</v>
      </c>
      <c r="EE112">
        <v>0</v>
      </c>
      <c r="EF112">
        <v>0</v>
      </c>
      <c r="EG112">
        <v>0</v>
      </c>
      <c r="EH112">
        <v>0</v>
      </c>
      <c r="EI112">
        <v>1154</v>
      </c>
      <c r="EJ112">
        <v>1154</v>
      </c>
      <c r="EK112">
        <v>1155</v>
      </c>
      <c r="EL112">
        <v>3500</v>
      </c>
      <c r="EM112">
        <v>37.065000000000005</v>
      </c>
      <c r="EN112">
        <v>660</v>
      </c>
      <c r="EO112">
        <v>660</v>
      </c>
      <c r="EP112">
        <v>660</v>
      </c>
      <c r="EQ112">
        <v>2000</v>
      </c>
      <c r="ER112">
        <v>21.18</v>
      </c>
      <c r="ES112">
        <v>0</v>
      </c>
      <c r="ET112">
        <v>0</v>
      </c>
      <c r="EU112">
        <v>0</v>
      </c>
      <c r="EV112">
        <v>0</v>
      </c>
      <c r="EW112">
        <v>0</v>
      </c>
      <c r="FA112">
        <v>0</v>
      </c>
      <c r="FE112">
        <v>0</v>
      </c>
      <c r="FI112">
        <v>0</v>
      </c>
      <c r="FJ112">
        <v>5441.7550000000001</v>
      </c>
      <c r="FK112">
        <v>34415</v>
      </c>
      <c r="FL112">
        <v>30254.840023390832</v>
      </c>
      <c r="FM112">
        <v>28973.244999999999</v>
      </c>
    </row>
    <row r="113" spans="1:169" x14ac:dyDescent="0.35">
      <c r="A113">
        <v>199137</v>
      </c>
      <c r="B113" s="43" t="s">
        <v>4008</v>
      </c>
      <c r="C113" s="43" t="s">
        <v>4009</v>
      </c>
      <c r="D113" s="43" t="s">
        <v>4010</v>
      </c>
      <c r="E113" s="43" t="s">
        <v>4011</v>
      </c>
      <c r="F113">
        <v>1</v>
      </c>
      <c r="H113" s="23"/>
      <c r="I113">
        <v>43804</v>
      </c>
      <c r="J113" s="43" t="s">
        <v>4242</v>
      </c>
      <c r="K113" s="43" t="s">
        <v>1715</v>
      </c>
      <c r="L113" s="43" t="s">
        <v>259</v>
      </c>
      <c r="M113" s="43" t="s">
        <v>4012</v>
      </c>
      <c r="N113" s="43" t="s">
        <v>4013</v>
      </c>
      <c r="O113" s="43" t="s">
        <v>3850</v>
      </c>
      <c r="P113" s="43" t="s">
        <v>372</v>
      </c>
      <c r="Q113" s="43" t="s">
        <v>4014</v>
      </c>
      <c r="S113" s="23">
        <v>44109</v>
      </c>
      <c r="T113" s="43" t="s">
        <v>311</v>
      </c>
      <c r="U113" s="43" t="s">
        <v>266</v>
      </c>
      <c r="V113" s="43" t="s">
        <v>267</v>
      </c>
      <c r="W113" s="43" t="s">
        <v>1718</v>
      </c>
      <c r="X113" s="43" t="s">
        <v>1719</v>
      </c>
      <c r="Y113">
        <v>8772802835</v>
      </c>
      <c r="Z113" s="43" t="s">
        <v>270</v>
      </c>
      <c r="AA113" s="43" t="s">
        <v>271</v>
      </c>
      <c r="AB113">
        <v>0</v>
      </c>
      <c r="AC113">
        <v>0</v>
      </c>
      <c r="AD113">
        <v>0</v>
      </c>
      <c r="AE113" s="43" t="s">
        <v>445</v>
      </c>
      <c r="AF113">
        <v>4</v>
      </c>
      <c r="AG113" s="43" t="s">
        <v>3345</v>
      </c>
      <c r="AJ113" s="23"/>
      <c r="AK113" s="43" t="s">
        <v>259</v>
      </c>
      <c r="AL113" s="43" t="s">
        <v>259</v>
      </c>
      <c r="AM113" s="23"/>
      <c r="AN113" s="23"/>
      <c r="AO113" s="23"/>
      <c r="AP113" s="23"/>
      <c r="AQ113" s="23"/>
      <c r="BB113" s="43"/>
      <c r="BC113" s="43" t="s">
        <v>259</v>
      </c>
      <c r="BD113" s="43" t="s">
        <v>259</v>
      </c>
      <c r="BE113" s="43" t="s">
        <v>259</v>
      </c>
      <c r="BF113" s="43" t="s">
        <v>259</v>
      </c>
      <c r="BG113" s="43" t="s">
        <v>259</v>
      </c>
      <c r="BH113" t="s">
        <v>259</v>
      </c>
      <c r="BI113" s="43" t="s">
        <v>259</v>
      </c>
      <c r="BJ113">
        <v>0</v>
      </c>
      <c r="BK113" s="23">
        <v>44109</v>
      </c>
      <c r="BL113" s="23">
        <v>44356</v>
      </c>
      <c r="BM113">
        <v>8505</v>
      </c>
      <c r="BN113">
        <v>8505</v>
      </c>
      <c r="BO113">
        <v>8505</v>
      </c>
      <c r="BP113">
        <v>25515</v>
      </c>
      <c r="BQ113">
        <v>3300</v>
      </c>
      <c r="BR113">
        <v>400</v>
      </c>
      <c r="BS113">
        <v>400</v>
      </c>
      <c r="BT113">
        <v>4100</v>
      </c>
      <c r="BU113">
        <v>2100</v>
      </c>
      <c r="BV113">
        <v>2100</v>
      </c>
      <c r="BW113">
        <v>2100</v>
      </c>
      <c r="BX113">
        <v>6300</v>
      </c>
      <c r="BY113">
        <v>1200</v>
      </c>
      <c r="BZ113">
        <v>1200</v>
      </c>
      <c r="CA113">
        <v>1200</v>
      </c>
      <c r="CB113">
        <v>3600</v>
      </c>
      <c r="CC113">
        <v>0</v>
      </c>
      <c r="CD113">
        <v>0</v>
      </c>
      <c r="CE113">
        <v>0</v>
      </c>
      <c r="CF113">
        <v>0</v>
      </c>
      <c r="CG113">
        <v>39515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1250</v>
      </c>
      <c r="CU113">
        <v>1250</v>
      </c>
      <c r="CV113">
        <v>1250</v>
      </c>
      <c r="CW113">
        <v>3750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3750</v>
      </c>
      <c r="EE113">
        <v>0</v>
      </c>
      <c r="EF113">
        <v>0</v>
      </c>
      <c r="EG113">
        <v>0</v>
      </c>
      <c r="EH113">
        <v>0</v>
      </c>
      <c r="EI113">
        <v>1154</v>
      </c>
      <c r="EJ113">
        <v>1154</v>
      </c>
      <c r="EK113">
        <v>1155</v>
      </c>
      <c r="EL113">
        <v>3500</v>
      </c>
      <c r="EM113">
        <v>37.065000000000005</v>
      </c>
      <c r="EN113">
        <v>660</v>
      </c>
      <c r="EO113">
        <v>660</v>
      </c>
      <c r="EP113">
        <v>660</v>
      </c>
      <c r="EQ113">
        <v>2000</v>
      </c>
      <c r="ER113">
        <v>21.18</v>
      </c>
      <c r="ES113">
        <v>0</v>
      </c>
      <c r="ET113">
        <v>0</v>
      </c>
      <c r="EU113">
        <v>0</v>
      </c>
      <c r="EV113">
        <v>0</v>
      </c>
      <c r="EW113">
        <v>0</v>
      </c>
      <c r="FA113">
        <v>0</v>
      </c>
      <c r="FE113">
        <v>0</v>
      </c>
      <c r="FI113">
        <v>0</v>
      </c>
      <c r="FJ113">
        <v>5441.7550000000001</v>
      </c>
      <c r="FK113">
        <v>35765</v>
      </c>
      <c r="FL113">
        <v>31664.555574119709</v>
      </c>
      <c r="FM113">
        <v>30323.244999999999</v>
      </c>
    </row>
    <row r="114" spans="1:169" x14ac:dyDescent="0.35">
      <c r="A114">
        <v>194296</v>
      </c>
      <c r="B114" s="43" t="s">
        <v>2395</v>
      </c>
      <c r="C114" s="43" t="s">
        <v>2396</v>
      </c>
      <c r="D114" s="43" t="s">
        <v>2397</v>
      </c>
      <c r="E114" s="43" t="s">
        <v>2398</v>
      </c>
      <c r="F114">
        <v>1</v>
      </c>
      <c r="H114" s="23"/>
      <c r="I114">
        <v>43782</v>
      </c>
      <c r="J114" s="43" t="s">
        <v>3304</v>
      </c>
      <c r="K114" s="43" t="s">
        <v>1715</v>
      </c>
      <c r="L114" s="43" t="s">
        <v>344</v>
      </c>
      <c r="M114" s="43" t="s">
        <v>2399</v>
      </c>
      <c r="N114" s="43" t="s">
        <v>2400</v>
      </c>
      <c r="O114" s="43" t="s">
        <v>777</v>
      </c>
      <c r="P114" s="43" t="s">
        <v>297</v>
      </c>
      <c r="Q114" s="43" t="s">
        <v>2401</v>
      </c>
      <c r="R114">
        <v>3.5</v>
      </c>
      <c r="S114" s="23">
        <v>44109</v>
      </c>
      <c r="T114" s="43" t="s">
        <v>311</v>
      </c>
      <c r="U114" s="43" t="s">
        <v>266</v>
      </c>
      <c r="V114" s="43" t="s">
        <v>267</v>
      </c>
      <c r="W114" s="43" t="s">
        <v>1718</v>
      </c>
      <c r="X114" s="43" t="s">
        <v>1719</v>
      </c>
      <c r="Y114">
        <v>8772802835</v>
      </c>
      <c r="Z114" s="43" t="s">
        <v>270</v>
      </c>
      <c r="AA114" s="43" t="s">
        <v>271</v>
      </c>
      <c r="AB114">
        <v>0</v>
      </c>
      <c r="AC114">
        <v>0</v>
      </c>
      <c r="AD114">
        <v>0</v>
      </c>
      <c r="AE114" s="43" t="s">
        <v>416</v>
      </c>
      <c r="AF114">
        <v>5</v>
      </c>
      <c r="AG114" s="43" t="s">
        <v>275</v>
      </c>
      <c r="AH114">
        <v>0</v>
      </c>
      <c r="AI114">
        <v>0</v>
      </c>
      <c r="AJ114" s="23">
        <v>43790</v>
      </c>
      <c r="AK114" s="43" t="s">
        <v>3208</v>
      </c>
      <c r="AL114" s="43" t="s">
        <v>3209</v>
      </c>
      <c r="AM114" s="23"/>
      <c r="AN114" s="23"/>
      <c r="AO114" s="23"/>
      <c r="AP114" s="23"/>
      <c r="AQ114" s="23"/>
      <c r="BB114" s="43"/>
      <c r="BC114" s="43" t="s">
        <v>2018</v>
      </c>
      <c r="BD114" s="43" t="s">
        <v>2018</v>
      </c>
      <c r="BE114" s="43" t="s">
        <v>2018</v>
      </c>
      <c r="BF114" s="43" t="s">
        <v>2018</v>
      </c>
      <c r="BG114" s="43" t="s">
        <v>2018</v>
      </c>
      <c r="BH114" t="s">
        <v>2018</v>
      </c>
      <c r="BI114" s="43" t="s">
        <v>2018</v>
      </c>
      <c r="BJ114">
        <v>0</v>
      </c>
      <c r="BK114" s="23">
        <v>44109</v>
      </c>
      <c r="BL114" s="23">
        <v>44356</v>
      </c>
      <c r="BM114">
        <v>8505</v>
      </c>
      <c r="BN114">
        <v>8505</v>
      </c>
      <c r="BO114">
        <v>8505</v>
      </c>
      <c r="BP114">
        <v>25515</v>
      </c>
      <c r="BQ114">
        <v>3300</v>
      </c>
      <c r="BR114">
        <v>400</v>
      </c>
      <c r="BS114">
        <v>400</v>
      </c>
      <c r="BT114">
        <v>4100</v>
      </c>
      <c r="BU114">
        <v>2100</v>
      </c>
      <c r="BV114">
        <v>2100</v>
      </c>
      <c r="BW114">
        <v>2100</v>
      </c>
      <c r="BX114">
        <v>6300</v>
      </c>
      <c r="BY114">
        <v>1200</v>
      </c>
      <c r="BZ114">
        <v>1200</v>
      </c>
      <c r="CA114">
        <v>1200</v>
      </c>
      <c r="CB114">
        <v>3600</v>
      </c>
      <c r="CC114">
        <v>0</v>
      </c>
      <c r="CD114">
        <v>0</v>
      </c>
      <c r="CE114">
        <v>0</v>
      </c>
      <c r="CF114">
        <v>0</v>
      </c>
      <c r="CG114">
        <v>39515</v>
      </c>
      <c r="CH114">
        <v>0</v>
      </c>
      <c r="CI114">
        <v>0</v>
      </c>
      <c r="CJ114">
        <v>0</v>
      </c>
      <c r="CK114">
        <v>0</v>
      </c>
      <c r="CL114">
        <v>2065</v>
      </c>
      <c r="CM114">
        <v>2065</v>
      </c>
      <c r="CN114">
        <v>2065</v>
      </c>
      <c r="CO114">
        <v>6195</v>
      </c>
      <c r="CP114">
        <v>500</v>
      </c>
      <c r="CQ114">
        <v>500</v>
      </c>
      <c r="CR114">
        <v>500</v>
      </c>
      <c r="CS114">
        <v>1500</v>
      </c>
      <c r="CT114">
        <v>1000</v>
      </c>
      <c r="CU114">
        <v>1000</v>
      </c>
      <c r="CV114">
        <v>1000</v>
      </c>
      <c r="CW114">
        <v>3000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10695</v>
      </c>
      <c r="EE114">
        <v>0</v>
      </c>
      <c r="EF114">
        <v>0</v>
      </c>
      <c r="EG114">
        <v>0</v>
      </c>
      <c r="EH114">
        <v>0</v>
      </c>
      <c r="EI114">
        <v>1154</v>
      </c>
      <c r="EJ114">
        <v>1154</v>
      </c>
      <c r="EK114">
        <v>1155</v>
      </c>
      <c r="EL114">
        <v>3500</v>
      </c>
      <c r="EM114">
        <v>37.065000000000005</v>
      </c>
      <c r="EN114">
        <v>660</v>
      </c>
      <c r="EO114">
        <v>660</v>
      </c>
      <c r="EP114">
        <v>660</v>
      </c>
      <c r="EQ114">
        <v>2000</v>
      </c>
      <c r="ER114">
        <v>21.18</v>
      </c>
      <c r="ES114">
        <v>0</v>
      </c>
      <c r="ET114">
        <v>0</v>
      </c>
      <c r="EU114">
        <v>0</v>
      </c>
      <c r="EV114">
        <v>0</v>
      </c>
      <c r="EW114">
        <v>0</v>
      </c>
      <c r="FA114">
        <v>0</v>
      </c>
      <c r="FE114">
        <v>0</v>
      </c>
      <c r="FI114">
        <v>0</v>
      </c>
      <c r="FJ114">
        <v>5441.7550000000001</v>
      </c>
      <c r="FK114">
        <v>28820</v>
      </c>
      <c r="FL114">
        <v>24412.352240925607</v>
      </c>
      <c r="FM114">
        <v>23378.244999999999</v>
      </c>
    </row>
    <row r="115" spans="1:169" x14ac:dyDescent="0.35">
      <c r="A115">
        <v>199354</v>
      </c>
      <c r="B115" s="43" t="s">
        <v>4015</v>
      </c>
      <c r="C115" s="43" t="s">
        <v>4016</v>
      </c>
      <c r="D115" s="43" t="s">
        <v>4017</v>
      </c>
      <c r="E115" s="43" t="s">
        <v>4018</v>
      </c>
      <c r="F115">
        <v>1</v>
      </c>
      <c r="H115" s="23"/>
      <c r="I115">
        <v>43804</v>
      </c>
      <c r="J115" s="43" t="s">
        <v>4242</v>
      </c>
      <c r="K115" s="43" t="s">
        <v>1715</v>
      </c>
      <c r="L115" s="43" t="s">
        <v>259</v>
      </c>
      <c r="M115" s="43" t="s">
        <v>4019</v>
      </c>
      <c r="N115" s="43" t="s">
        <v>4020</v>
      </c>
      <c r="O115" s="43" t="s">
        <v>4021</v>
      </c>
      <c r="P115" s="43" t="s">
        <v>705</v>
      </c>
      <c r="Q115" s="43" t="s">
        <v>4022</v>
      </c>
      <c r="S115" s="23">
        <v>44109</v>
      </c>
      <c r="T115" s="43" t="s">
        <v>311</v>
      </c>
      <c r="U115" s="43" t="s">
        <v>266</v>
      </c>
      <c r="V115" s="43" t="s">
        <v>267</v>
      </c>
      <c r="W115" s="43" t="s">
        <v>1718</v>
      </c>
      <c r="X115" s="43" t="s">
        <v>1719</v>
      </c>
      <c r="Y115">
        <v>8772802835</v>
      </c>
      <c r="Z115" s="43" t="s">
        <v>270</v>
      </c>
      <c r="AA115" s="43" t="s">
        <v>271</v>
      </c>
      <c r="AB115">
        <v>0</v>
      </c>
      <c r="AC115">
        <v>950</v>
      </c>
      <c r="AD115">
        <v>95</v>
      </c>
      <c r="AE115" s="43" t="s">
        <v>324</v>
      </c>
      <c r="AF115">
        <v>8</v>
      </c>
      <c r="AG115" s="43" t="s">
        <v>3345</v>
      </c>
      <c r="AJ115" s="23"/>
      <c r="AK115" s="43" t="s">
        <v>259</v>
      </c>
      <c r="AL115" s="43" t="s">
        <v>259</v>
      </c>
      <c r="AM115" s="23"/>
      <c r="AN115" s="23"/>
      <c r="AO115" s="23"/>
      <c r="AP115" s="23"/>
      <c r="AQ115" s="23"/>
      <c r="BB115" s="43"/>
      <c r="BC115" s="43" t="s">
        <v>259</v>
      </c>
      <c r="BD115" s="43" t="s">
        <v>259</v>
      </c>
      <c r="BE115" s="43" t="s">
        <v>259</v>
      </c>
      <c r="BF115" s="43" t="s">
        <v>259</v>
      </c>
      <c r="BG115" s="43" t="s">
        <v>259</v>
      </c>
      <c r="BH115" t="s">
        <v>259</v>
      </c>
      <c r="BI115" s="43" t="s">
        <v>259</v>
      </c>
      <c r="BJ115">
        <v>0</v>
      </c>
      <c r="BK115" s="23">
        <v>44109</v>
      </c>
      <c r="BL115" s="23">
        <v>44356</v>
      </c>
      <c r="BM115">
        <v>8505</v>
      </c>
      <c r="BN115">
        <v>8505</v>
      </c>
      <c r="BO115">
        <v>8505</v>
      </c>
      <c r="BP115">
        <v>25515</v>
      </c>
      <c r="BQ115">
        <v>3300</v>
      </c>
      <c r="BR115">
        <v>400</v>
      </c>
      <c r="BS115">
        <v>400</v>
      </c>
      <c r="BT115">
        <v>4100</v>
      </c>
      <c r="BU115">
        <v>2100</v>
      </c>
      <c r="BV115">
        <v>2100</v>
      </c>
      <c r="BW115">
        <v>2100</v>
      </c>
      <c r="BX115">
        <v>6300</v>
      </c>
      <c r="BY115">
        <v>1200</v>
      </c>
      <c r="BZ115">
        <v>1200</v>
      </c>
      <c r="CA115">
        <v>1200</v>
      </c>
      <c r="CB115">
        <v>3600</v>
      </c>
      <c r="CC115">
        <v>0</v>
      </c>
      <c r="CD115">
        <v>0</v>
      </c>
      <c r="CE115">
        <v>0</v>
      </c>
      <c r="CF115">
        <v>0</v>
      </c>
      <c r="CG115">
        <v>39515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1154</v>
      </c>
      <c r="EJ115">
        <v>1154</v>
      </c>
      <c r="EK115">
        <v>1155</v>
      </c>
      <c r="EL115">
        <v>3500</v>
      </c>
      <c r="EM115">
        <v>37.065000000000005</v>
      </c>
      <c r="EN115">
        <v>660</v>
      </c>
      <c r="EO115">
        <v>660</v>
      </c>
      <c r="EP115">
        <v>660</v>
      </c>
      <c r="EQ115">
        <v>2000</v>
      </c>
      <c r="ER115">
        <v>21.18</v>
      </c>
      <c r="ES115">
        <v>0</v>
      </c>
      <c r="ET115">
        <v>0</v>
      </c>
      <c r="EU115">
        <v>0</v>
      </c>
      <c r="EV115">
        <v>0</v>
      </c>
      <c r="EW115">
        <v>0</v>
      </c>
      <c r="FA115">
        <v>0</v>
      </c>
      <c r="FE115">
        <v>0</v>
      </c>
      <c r="FI115">
        <v>0</v>
      </c>
      <c r="FJ115">
        <v>5441.7550000000001</v>
      </c>
      <c r="FK115">
        <v>39515</v>
      </c>
      <c r="FL115">
        <v>35580.43210392214</v>
      </c>
      <c r="FM115">
        <v>34073.245000000003</v>
      </c>
    </row>
    <row r="116" spans="1:169" x14ac:dyDescent="0.35">
      <c r="A116">
        <v>192404</v>
      </c>
      <c r="B116" s="43" t="s">
        <v>2402</v>
      </c>
      <c r="C116" s="43" t="s">
        <v>699</v>
      </c>
      <c r="D116" s="43" t="s">
        <v>2403</v>
      </c>
      <c r="E116" s="43" t="s">
        <v>2404</v>
      </c>
      <c r="F116">
        <v>1</v>
      </c>
      <c r="H116" s="23"/>
      <c r="I116">
        <v>43804</v>
      </c>
      <c r="J116" s="43" t="s">
        <v>4242</v>
      </c>
      <c r="K116" s="43" t="s">
        <v>1715</v>
      </c>
      <c r="L116" s="43" t="s">
        <v>259</v>
      </c>
      <c r="M116" s="43" t="s">
        <v>2405</v>
      </c>
      <c r="N116" s="43" t="s">
        <v>2406</v>
      </c>
      <c r="O116" s="43" t="s">
        <v>2407</v>
      </c>
      <c r="P116" s="43" t="s">
        <v>553</v>
      </c>
      <c r="Q116" s="43" t="s">
        <v>2408</v>
      </c>
      <c r="S116" s="23">
        <v>44109</v>
      </c>
      <c r="T116" s="43" t="s">
        <v>285</v>
      </c>
      <c r="U116" s="43" t="s">
        <v>266</v>
      </c>
      <c r="V116" s="43" t="s">
        <v>267</v>
      </c>
      <c r="W116" s="43" t="s">
        <v>1718</v>
      </c>
      <c r="X116" s="43" t="s">
        <v>1719</v>
      </c>
      <c r="Y116">
        <v>8772802835</v>
      </c>
      <c r="Z116" s="43" t="s">
        <v>270</v>
      </c>
      <c r="AA116" s="43" t="s">
        <v>271</v>
      </c>
      <c r="AB116">
        <v>0</v>
      </c>
      <c r="AC116">
        <v>0</v>
      </c>
      <c r="AD116">
        <v>0</v>
      </c>
      <c r="AE116" s="43" t="s">
        <v>301</v>
      </c>
      <c r="AF116">
        <v>1</v>
      </c>
      <c r="AG116" s="43" t="s">
        <v>446</v>
      </c>
      <c r="AJ116" s="23"/>
      <c r="AK116" s="43" t="s">
        <v>259</v>
      </c>
      <c r="AL116" s="43" t="s">
        <v>259</v>
      </c>
      <c r="AM116" s="23"/>
      <c r="AN116" s="23"/>
      <c r="AO116" s="23"/>
      <c r="AP116" s="23"/>
      <c r="AQ116" s="23"/>
      <c r="BB116" s="43"/>
      <c r="BC116" s="43" t="s">
        <v>259</v>
      </c>
      <c r="BD116" s="43" t="s">
        <v>259</v>
      </c>
      <c r="BE116" s="43" t="s">
        <v>259</v>
      </c>
      <c r="BF116" s="43" t="s">
        <v>259</v>
      </c>
      <c r="BG116" s="43" t="s">
        <v>259</v>
      </c>
      <c r="BH116" t="s">
        <v>259</v>
      </c>
      <c r="BI116" s="43" t="s">
        <v>259</v>
      </c>
      <c r="BJ116">
        <v>0</v>
      </c>
      <c r="BK116" s="23">
        <v>44109</v>
      </c>
      <c r="BL116" s="23">
        <v>44356</v>
      </c>
      <c r="BM116">
        <v>8505</v>
      </c>
      <c r="BN116">
        <v>8505</v>
      </c>
      <c r="BO116">
        <v>8505</v>
      </c>
      <c r="BP116">
        <v>25515</v>
      </c>
      <c r="BQ116">
        <v>3300</v>
      </c>
      <c r="BR116">
        <v>400</v>
      </c>
      <c r="BS116">
        <v>400</v>
      </c>
      <c r="BT116">
        <v>4100</v>
      </c>
      <c r="BU116">
        <v>2100</v>
      </c>
      <c r="BV116">
        <v>2100</v>
      </c>
      <c r="BW116">
        <v>2100</v>
      </c>
      <c r="BX116">
        <v>6300</v>
      </c>
      <c r="BY116">
        <v>1200</v>
      </c>
      <c r="BZ116">
        <v>1200</v>
      </c>
      <c r="CA116">
        <v>1200</v>
      </c>
      <c r="CB116">
        <v>3600</v>
      </c>
      <c r="CC116">
        <v>0</v>
      </c>
      <c r="CD116">
        <v>0</v>
      </c>
      <c r="CE116">
        <v>0</v>
      </c>
      <c r="CF116">
        <v>0</v>
      </c>
      <c r="CG116">
        <v>39515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1700</v>
      </c>
      <c r="CU116">
        <v>1700</v>
      </c>
      <c r="CV116">
        <v>1700</v>
      </c>
      <c r="CW116">
        <v>5100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5100</v>
      </c>
      <c r="EE116">
        <v>0</v>
      </c>
      <c r="EF116">
        <v>0</v>
      </c>
      <c r="EG116">
        <v>0</v>
      </c>
      <c r="EH116">
        <v>0</v>
      </c>
      <c r="EI116">
        <v>1154</v>
      </c>
      <c r="EJ116">
        <v>1154</v>
      </c>
      <c r="EK116">
        <v>1155</v>
      </c>
      <c r="EL116">
        <v>3500</v>
      </c>
      <c r="EM116">
        <v>37.065000000000005</v>
      </c>
      <c r="EN116">
        <v>660</v>
      </c>
      <c r="EO116">
        <v>660</v>
      </c>
      <c r="EP116">
        <v>660</v>
      </c>
      <c r="EQ116">
        <v>2000</v>
      </c>
      <c r="ER116">
        <v>21.18</v>
      </c>
      <c r="ES116">
        <v>0</v>
      </c>
      <c r="ET116">
        <v>0</v>
      </c>
      <c r="EU116">
        <v>0</v>
      </c>
      <c r="EV116">
        <v>0</v>
      </c>
      <c r="EW116">
        <v>0</v>
      </c>
      <c r="FA116">
        <v>0</v>
      </c>
      <c r="FE116">
        <v>0</v>
      </c>
      <c r="FI116">
        <v>0</v>
      </c>
      <c r="FJ116">
        <v>5441.7550000000001</v>
      </c>
      <c r="FK116">
        <v>34415</v>
      </c>
      <c r="FL116">
        <v>30254.840023390832</v>
      </c>
      <c r="FM116">
        <v>28973.244999999999</v>
      </c>
    </row>
    <row r="117" spans="1:169" x14ac:dyDescent="0.35">
      <c r="A117">
        <v>198946</v>
      </c>
      <c r="B117" s="43" t="s">
        <v>4023</v>
      </c>
      <c r="C117" s="43" t="s">
        <v>763</v>
      </c>
      <c r="D117" s="43" t="s">
        <v>4024</v>
      </c>
      <c r="E117" s="43" t="s">
        <v>4025</v>
      </c>
      <c r="F117">
        <v>1</v>
      </c>
      <c r="H117" s="23"/>
      <c r="I117">
        <v>43804</v>
      </c>
      <c r="J117" s="43" t="s">
        <v>4240</v>
      </c>
      <c r="K117" s="43" t="s">
        <v>1715</v>
      </c>
      <c r="L117" s="43" t="s">
        <v>3204</v>
      </c>
      <c r="M117" s="43" t="s">
        <v>4026</v>
      </c>
      <c r="N117" s="43" t="s">
        <v>4027</v>
      </c>
      <c r="O117" s="43" t="s">
        <v>3850</v>
      </c>
      <c r="P117" s="43" t="s">
        <v>372</v>
      </c>
      <c r="Q117" s="43" t="s">
        <v>4028</v>
      </c>
      <c r="S117" s="23">
        <v>44109</v>
      </c>
      <c r="T117" s="43" t="s">
        <v>311</v>
      </c>
      <c r="U117" s="43" t="s">
        <v>266</v>
      </c>
      <c r="V117" s="43" t="s">
        <v>267</v>
      </c>
      <c r="W117" s="43" t="s">
        <v>1718</v>
      </c>
      <c r="X117" s="43" t="s">
        <v>1719</v>
      </c>
      <c r="Y117">
        <v>8772802835</v>
      </c>
      <c r="Z117" s="43" t="s">
        <v>270</v>
      </c>
      <c r="AA117" s="43" t="s">
        <v>271</v>
      </c>
      <c r="AB117">
        <v>0</v>
      </c>
      <c r="AC117">
        <v>1050</v>
      </c>
      <c r="AD117">
        <v>113</v>
      </c>
      <c r="AE117" s="43" t="s">
        <v>301</v>
      </c>
      <c r="AF117">
        <v>1</v>
      </c>
      <c r="AG117" s="43" t="s">
        <v>3345</v>
      </c>
      <c r="AH117">
        <v>36506</v>
      </c>
      <c r="AI117">
        <v>36506</v>
      </c>
      <c r="AJ117" s="23">
        <v>43804</v>
      </c>
      <c r="AK117" s="43" t="s">
        <v>3208</v>
      </c>
      <c r="AL117" s="43" t="s">
        <v>3209</v>
      </c>
      <c r="AM117" s="23"/>
      <c r="AN117" s="23"/>
      <c r="AO117" s="23"/>
      <c r="AP117" s="23"/>
      <c r="AQ117" s="23"/>
      <c r="BB117" s="43"/>
      <c r="BC117" s="43" t="s">
        <v>2018</v>
      </c>
      <c r="BD117" s="43" t="s">
        <v>2018</v>
      </c>
      <c r="BE117" s="43" t="s">
        <v>2018</v>
      </c>
      <c r="BF117" s="43" t="s">
        <v>2018</v>
      </c>
      <c r="BG117" s="43" t="s">
        <v>2018</v>
      </c>
      <c r="BH117" t="s">
        <v>2018</v>
      </c>
      <c r="BI117" s="43" t="s">
        <v>2018</v>
      </c>
      <c r="BJ117">
        <v>0</v>
      </c>
      <c r="BK117" s="23">
        <v>44109</v>
      </c>
      <c r="BL117" s="23">
        <v>44356</v>
      </c>
      <c r="BM117">
        <v>8505</v>
      </c>
      <c r="BN117">
        <v>8505</v>
      </c>
      <c r="BO117">
        <v>8505</v>
      </c>
      <c r="BP117">
        <v>25515</v>
      </c>
      <c r="BQ117">
        <v>3300</v>
      </c>
      <c r="BR117">
        <v>400</v>
      </c>
      <c r="BS117">
        <v>400</v>
      </c>
      <c r="BT117">
        <v>4100</v>
      </c>
      <c r="BU117">
        <v>2100</v>
      </c>
      <c r="BV117">
        <v>2100</v>
      </c>
      <c r="BW117">
        <v>2100</v>
      </c>
      <c r="BX117">
        <v>6300</v>
      </c>
      <c r="BY117">
        <v>1200</v>
      </c>
      <c r="BZ117">
        <v>1200</v>
      </c>
      <c r="CA117">
        <v>1200</v>
      </c>
      <c r="CB117">
        <v>3600</v>
      </c>
      <c r="CC117">
        <v>0</v>
      </c>
      <c r="CD117">
        <v>0</v>
      </c>
      <c r="CE117">
        <v>0</v>
      </c>
      <c r="CF117">
        <v>0</v>
      </c>
      <c r="CG117">
        <v>39515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1700</v>
      </c>
      <c r="CU117">
        <v>1700</v>
      </c>
      <c r="CV117">
        <v>1700</v>
      </c>
      <c r="CW117">
        <v>5100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5100</v>
      </c>
      <c r="EE117">
        <v>0</v>
      </c>
      <c r="EF117">
        <v>0</v>
      </c>
      <c r="EG117">
        <v>0</v>
      </c>
      <c r="EH117">
        <v>0</v>
      </c>
      <c r="EI117">
        <v>1154</v>
      </c>
      <c r="EJ117">
        <v>1154</v>
      </c>
      <c r="EK117">
        <v>1155</v>
      </c>
      <c r="EL117">
        <v>3500</v>
      </c>
      <c r="EM117">
        <v>37.065000000000005</v>
      </c>
      <c r="EN117">
        <v>660</v>
      </c>
      <c r="EO117">
        <v>660</v>
      </c>
      <c r="EP117">
        <v>660</v>
      </c>
      <c r="EQ117">
        <v>2000</v>
      </c>
      <c r="ER117">
        <v>21.18</v>
      </c>
      <c r="ES117">
        <v>0</v>
      </c>
      <c r="ET117">
        <v>0</v>
      </c>
      <c r="EU117">
        <v>0</v>
      </c>
      <c r="EV117">
        <v>0</v>
      </c>
      <c r="EW117">
        <v>0</v>
      </c>
      <c r="FA117">
        <v>0</v>
      </c>
      <c r="FE117">
        <v>0</v>
      </c>
      <c r="FI117">
        <v>0</v>
      </c>
      <c r="FJ117">
        <v>5441.7550000000001</v>
      </c>
      <c r="FK117">
        <v>34415</v>
      </c>
      <c r="FL117">
        <v>30254.840023390832</v>
      </c>
      <c r="FM117">
        <v>28973.244999999999</v>
      </c>
    </row>
    <row r="118" spans="1:169" x14ac:dyDescent="0.35">
      <c r="A118">
        <v>195618</v>
      </c>
      <c r="B118" s="43" t="s">
        <v>2409</v>
      </c>
      <c r="C118" s="43" t="s">
        <v>2410</v>
      </c>
      <c r="D118" s="43" t="s">
        <v>2411</v>
      </c>
      <c r="E118" s="43" t="s">
        <v>2412</v>
      </c>
      <c r="F118">
        <v>1</v>
      </c>
      <c r="G118">
        <v>43775</v>
      </c>
      <c r="H118" s="23">
        <v>43775</v>
      </c>
      <c r="I118">
        <v>43775</v>
      </c>
      <c r="J118" s="43" t="s">
        <v>3639</v>
      </c>
      <c r="K118" s="43" t="s">
        <v>1715</v>
      </c>
      <c r="L118" s="43" t="s">
        <v>3204</v>
      </c>
      <c r="M118" s="43" t="s">
        <v>2413</v>
      </c>
      <c r="N118" s="43" t="s">
        <v>2414</v>
      </c>
      <c r="O118" s="43" t="s">
        <v>2415</v>
      </c>
      <c r="P118" s="43" t="s">
        <v>705</v>
      </c>
      <c r="Q118" s="43" t="s">
        <v>2416</v>
      </c>
      <c r="R118">
        <v>3.3330000000000002</v>
      </c>
      <c r="S118" s="23">
        <v>44109</v>
      </c>
      <c r="T118" s="43" t="s">
        <v>265</v>
      </c>
      <c r="U118" s="43" t="s">
        <v>266</v>
      </c>
      <c r="V118" s="43" t="s">
        <v>267</v>
      </c>
      <c r="W118" s="43" t="s">
        <v>1718</v>
      </c>
      <c r="X118" s="43" t="s">
        <v>1719</v>
      </c>
      <c r="Y118">
        <v>8772802835</v>
      </c>
      <c r="Z118" s="43" t="s">
        <v>270</v>
      </c>
      <c r="AA118" s="43" t="s">
        <v>271</v>
      </c>
      <c r="AB118">
        <v>0</v>
      </c>
      <c r="AC118">
        <v>1110</v>
      </c>
      <c r="AD118">
        <v>108</v>
      </c>
      <c r="AE118" s="43" t="s">
        <v>364</v>
      </c>
      <c r="AF118">
        <v>3</v>
      </c>
      <c r="AG118" s="43" t="s">
        <v>275</v>
      </c>
      <c r="AH118">
        <v>100</v>
      </c>
      <c r="AI118">
        <v>100</v>
      </c>
      <c r="AJ118" s="23">
        <v>43774</v>
      </c>
      <c r="AK118" s="43" t="s">
        <v>1715</v>
      </c>
      <c r="AL118" s="43" t="s">
        <v>259</v>
      </c>
      <c r="AM118" s="23"/>
      <c r="AN118" s="23"/>
      <c r="AO118" s="23"/>
      <c r="AP118" s="23"/>
      <c r="AQ118" s="23"/>
      <c r="BB118" s="43"/>
      <c r="BC118" s="43" t="s">
        <v>259</v>
      </c>
      <c r="BD118" s="43" t="s">
        <v>259</v>
      </c>
      <c r="BE118" s="43" t="s">
        <v>259</v>
      </c>
      <c r="BF118" s="43" t="s">
        <v>2018</v>
      </c>
      <c r="BG118" s="43" t="s">
        <v>2018</v>
      </c>
      <c r="BH118" t="s">
        <v>2018</v>
      </c>
      <c r="BI118" s="43" t="s">
        <v>259</v>
      </c>
      <c r="BJ118">
        <v>0</v>
      </c>
      <c r="BK118" s="23">
        <v>44109</v>
      </c>
      <c r="BL118" s="23">
        <v>44356</v>
      </c>
      <c r="BM118">
        <v>8505</v>
      </c>
      <c r="BN118">
        <v>8505</v>
      </c>
      <c r="BO118">
        <v>8505</v>
      </c>
      <c r="BP118">
        <v>25515</v>
      </c>
      <c r="BQ118">
        <v>3300</v>
      </c>
      <c r="BR118">
        <v>400</v>
      </c>
      <c r="BS118">
        <v>400</v>
      </c>
      <c r="BT118">
        <v>4100</v>
      </c>
      <c r="BU118">
        <v>2100</v>
      </c>
      <c r="BV118">
        <v>2100</v>
      </c>
      <c r="BW118">
        <v>2100</v>
      </c>
      <c r="BX118">
        <v>6300</v>
      </c>
      <c r="BY118">
        <v>1200</v>
      </c>
      <c r="BZ118">
        <v>1200</v>
      </c>
      <c r="CA118">
        <v>1200</v>
      </c>
      <c r="CB118">
        <v>3600</v>
      </c>
      <c r="CC118">
        <v>0</v>
      </c>
      <c r="CD118">
        <v>0</v>
      </c>
      <c r="CE118">
        <v>0</v>
      </c>
      <c r="CF118">
        <v>0</v>
      </c>
      <c r="CG118">
        <v>39515</v>
      </c>
      <c r="CH118">
        <v>0</v>
      </c>
      <c r="CI118">
        <v>0</v>
      </c>
      <c r="CJ118">
        <v>0</v>
      </c>
      <c r="CK118">
        <v>0</v>
      </c>
      <c r="CL118">
        <v>2049</v>
      </c>
      <c r="CM118">
        <v>2048</v>
      </c>
      <c r="CN118">
        <v>2048</v>
      </c>
      <c r="CO118">
        <v>6145</v>
      </c>
      <c r="CP118">
        <v>500</v>
      </c>
      <c r="CQ118">
        <v>500</v>
      </c>
      <c r="CR118">
        <v>500</v>
      </c>
      <c r="CS118">
        <v>1500</v>
      </c>
      <c r="CT118">
        <v>1300</v>
      </c>
      <c r="CU118">
        <v>1300</v>
      </c>
      <c r="CV118">
        <v>1300</v>
      </c>
      <c r="CW118">
        <v>3900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11545</v>
      </c>
      <c r="EE118">
        <v>0</v>
      </c>
      <c r="EF118">
        <v>0</v>
      </c>
      <c r="EG118">
        <v>0</v>
      </c>
      <c r="EH118">
        <v>0</v>
      </c>
      <c r="EI118">
        <v>1154</v>
      </c>
      <c r="EJ118">
        <v>1154</v>
      </c>
      <c r="EK118">
        <v>1155</v>
      </c>
      <c r="EL118">
        <v>3500</v>
      </c>
      <c r="EM118">
        <v>37.065000000000005</v>
      </c>
      <c r="EN118">
        <v>660</v>
      </c>
      <c r="EO118">
        <v>660</v>
      </c>
      <c r="EP118">
        <v>660</v>
      </c>
      <c r="EQ118">
        <v>2000</v>
      </c>
      <c r="ER118">
        <v>21.18</v>
      </c>
      <c r="ES118">
        <v>0</v>
      </c>
      <c r="ET118">
        <v>0</v>
      </c>
      <c r="EU118">
        <v>0</v>
      </c>
      <c r="EV118">
        <v>0</v>
      </c>
      <c r="EW118">
        <v>0</v>
      </c>
      <c r="FA118">
        <v>0</v>
      </c>
      <c r="FE118">
        <v>0</v>
      </c>
      <c r="FI118">
        <v>0</v>
      </c>
      <c r="FJ118">
        <v>5441.7550000000001</v>
      </c>
      <c r="FK118">
        <v>27970</v>
      </c>
      <c r="FL118">
        <v>23524.753560837056</v>
      </c>
      <c r="FM118">
        <v>22528.244999999999</v>
      </c>
    </row>
    <row r="119" spans="1:169" x14ac:dyDescent="0.35">
      <c r="A119">
        <v>192828</v>
      </c>
      <c r="B119" s="43" t="s">
        <v>2417</v>
      </c>
      <c r="C119" s="43" t="s">
        <v>2418</v>
      </c>
      <c r="D119" s="43" t="s">
        <v>2419</v>
      </c>
      <c r="E119" s="43" t="s">
        <v>2420</v>
      </c>
      <c r="F119">
        <v>1</v>
      </c>
      <c r="H119" s="23"/>
      <c r="I119">
        <v>43804</v>
      </c>
      <c r="J119" s="43" t="s">
        <v>4242</v>
      </c>
      <c r="K119" s="43" t="s">
        <v>1715</v>
      </c>
      <c r="L119" s="43" t="s">
        <v>259</v>
      </c>
      <c r="M119" s="43" t="s">
        <v>2421</v>
      </c>
      <c r="N119" s="43" t="s">
        <v>2422</v>
      </c>
      <c r="O119" s="43" t="s">
        <v>2423</v>
      </c>
      <c r="P119" s="43" t="s">
        <v>372</v>
      </c>
      <c r="Q119" s="43" t="s">
        <v>2424</v>
      </c>
      <c r="R119">
        <v>3.5131999999999999</v>
      </c>
      <c r="S119" s="23">
        <v>44109</v>
      </c>
      <c r="T119" s="43" t="s">
        <v>265</v>
      </c>
      <c r="U119" s="43" t="s">
        <v>266</v>
      </c>
      <c r="V119" s="43" t="s">
        <v>267</v>
      </c>
      <c r="W119" s="43" t="s">
        <v>1718</v>
      </c>
      <c r="X119" s="43" t="s">
        <v>1719</v>
      </c>
      <c r="Y119">
        <v>8772802835</v>
      </c>
      <c r="Z119" s="43" t="s">
        <v>270</v>
      </c>
      <c r="AA119" s="43" t="s">
        <v>271</v>
      </c>
      <c r="AB119">
        <v>0</v>
      </c>
      <c r="AC119">
        <v>1100</v>
      </c>
      <c r="AD119">
        <v>111</v>
      </c>
      <c r="AE119" s="43" t="s">
        <v>445</v>
      </c>
      <c r="AF119">
        <v>4</v>
      </c>
      <c r="AG119" s="43" t="s">
        <v>275</v>
      </c>
      <c r="AJ119" s="23"/>
      <c r="AK119" s="43" t="s">
        <v>259</v>
      </c>
      <c r="AL119" s="43" t="s">
        <v>259</v>
      </c>
      <c r="AM119" s="23"/>
      <c r="AN119" s="23"/>
      <c r="AO119" s="23"/>
      <c r="AP119" s="23"/>
      <c r="AQ119" s="23"/>
      <c r="BB119" s="43"/>
      <c r="BC119" s="43" t="s">
        <v>259</v>
      </c>
      <c r="BD119" s="43" t="s">
        <v>259</v>
      </c>
      <c r="BE119" s="43" t="s">
        <v>259</v>
      </c>
      <c r="BF119" s="43" t="s">
        <v>259</v>
      </c>
      <c r="BG119" s="43" t="s">
        <v>259</v>
      </c>
      <c r="BH119" t="s">
        <v>259</v>
      </c>
      <c r="BI119" s="43" t="s">
        <v>259</v>
      </c>
      <c r="BJ119">
        <v>0</v>
      </c>
      <c r="BK119" s="23">
        <v>44109</v>
      </c>
      <c r="BL119" s="23">
        <v>44356</v>
      </c>
      <c r="BM119">
        <v>8505</v>
      </c>
      <c r="BN119">
        <v>8505</v>
      </c>
      <c r="BO119">
        <v>8505</v>
      </c>
      <c r="BP119">
        <v>25515</v>
      </c>
      <c r="BQ119">
        <v>3300</v>
      </c>
      <c r="BR119">
        <v>400</v>
      </c>
      <c r="BS119">
        <v>400</v>
      </c>
      <c r="BT119">
        <v>4100</v>
      </c>
      <c r="BU119">
        <v>2100</v>
      </c>
      <c r="BV119">
        <v>2100</v>
      </c>
      <c r="BW119">
        <v>2100</v>
      </c>
      <c r="BX119">
        <v>6300</v>
      </c>
      <c r="BY119">
        <v>1200</v>
      </c>
      <c r="BZ119">
        <v>1200</v>
      </c>
      <c r="CA119">
        <v>1200</v>
      </c>
      <c r="CB119">
        <v>3600</v>
      </c>
      <c r="CC119">
        <v>0</v>
      </c>
      <c r="CD119">
        <v>0</v>
      </c>
      <c r="CE119">
        <v>0</v>
      </c>
      <c r="CF119">
        <v>0</v>
      </c>
      <c r="CG119">
        <v>39515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1250</v>
      </c>
      <c r="CU119">
        <v>1250</v>
      </c>
      <c r="CV119">
        <v>1250</v>
      </c>
      <c r="CW119">
        <v>3750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3750</v>
      </c>
      <c r="EE119">
        <v>0</v>
      </c>
      <c r="EF119">
        <v>0</v>
      </c>
      <c r="EG119">
        <v>0</v>
      </c>
      <c r="EH119">
        <v>0</v>
      </c>
      <c r="EI119">
        <v>1154</v>
      </c>
      <c r="EJ119">
        <v>1154</v>
      </c>
      <c r="EK119">
        <v>1155</v>
      </c>
      <c r="EL119">
        <v>3500</v>
      </c>
      <c r="EM119">
        <v>37.065000000000005</v>
      </c>
      <c r="EN119">
        <v>660</v>
      </c>
      <c r="EO119">
        <v>660</v>
      </c>
      <c r="EP119">
        <v>660</v>
      </c>
      <c r="EQ119">
        <v>2000</v>
      </c>
      <c r="ER119">
        <v>21.18</v>
      </c>
      <c r="ES119">
        <v>0</v>
      </c>
      <c r="ET119">
        <v>0</v>
      </c>
      <c r="EU119">
        <v>0</v>
      </c>
      <c r="EV119">
        <v>0</v>
      </c>
      <c r="EW119">
        <v>0</v>
      </c>
      <c r="FA119">
        <v>0</v>
      </c>
      <c r="FE119">
        <v>0</v>
      </c>
      <c r="FI119">
        <v>0</v>
      </c>
      <c r="FJ119">
        <v>5441.7550000000001</v>
      </c>
      <c r="FK119">
        <v>35765</v>
      </c>
      <c r="FL119">
        <v>31664.555574119709</v>
      </c>
      <c r="FM119">
        <v>30323.244999999999</v>
      </c>
    </row>
    <row r="120" spans="1:169" x14ac:dyDescent="0.35">
      <c r="A120">
        <v>198900</v>
      </c>
      <c r="B120" s="43" t="s">
        <v>4029</v>
      </c>
      <c r="C120" s="43" t="s">
        <v>4030</v>
      </c>
      <c r="D120" s="43" t="s">
        <v>4031</v>
      </c>
      <c r="E120" s="43" t="s">
        <v>4032</v>
      </c>
      <c r="F120">
        <v>1</v>
      </c>
      <c r="H120" s="23"/>
      <c r="I120">
        <v>43804</v>
      </c>
      <c r="J120" s="43" t="s">
        <v>4240</v>
      </c>
      <c r="K120" s="43" t="s">
        <v>1715</v>
      </c>
      <c r="L120" s="43" t="s">
        <v>3204</v>
      </c>
      <c r="M120" s="43" t="s">
        <v>4033</v>
      </c>
      <c r="N120" s="43" t="s">
        <v>4034</v>
      </c>
      <c r="O120" s="43" t="s">
        <v>4035</v>
      </c>
      <c r="P120" s="43" t="s">
        <v>542</v>
      </c>
      <c r="Q120" s="43" t="s">
        <v>3465</v>
      </c>
      <c r="S120" s="23">
        <v>44109</v>
      </c>
      <c r="T120" s="43" t="s">
        <v>544</v>
      </c>
      <c r="U120" s="43" t="s">
        <v>266</v>
      </c>
      <c r="V120" s="43" t="s">
        <v>267</v>
      </c>
      <c r="W120" s="43" t="s">
        <v>1718</v>
      </c>
      <c r="X120" s="43" t="s">
        <v>1719</v>
      </c>
      <c r="Y120">
        <v>8772802835</v>
      </c>
      <c r="Z120" s="43" t="s">
        <v>270</v>
      </c>
      <c r="AA120" s="43" t="s">
        <v>271</v>
      </c>
      <c r="AB120">
        <v>19</v>
      </c>
      <c r="AC120">
        <v>0</v>
      </c>
      <c r="AD120">
        <v>101</v>
      </c>
      <c r="AE120" s="43" t="s">
        <v>445</v>
      </c>
      <c r="AF120">
        <v>4</v>
      </c>
      <c r="AG120" s="43" t="s">
        <v>3345</v>
      </c>
      <c r="AH120">
        <v>7726</v>
      </c>
      <c r="AI120">
        <v>7726</v>
      </c>
      <c r="AJ120" s="23">
        <v>43774</v>
      </c>
      <c r="AK120" s="43" t="s">
        <v>3208</v>
      </c>
      <c r="AL120" s="43" t="s">
        <v>3209</v>
      </c>
      <c r="AM120" s="23"/>
      <c r="AN120" s="23"/>
      <c r="AO120" s="23"/>
      <c r="AP120" s="23"/>
      <c r="AQ120" s="23"/>
      <c r="BB120" s="43"/>
      <c r="BC120" s="43" t="s">
        <v>2018</v>
      </c>
      <c r="BD120" s="43" t="s">
        <v>2018</v>
      </c>
      <c r="BE120" s="43" t="s">
        <v>2018</v>
      </c>
      <c r="BF120" s="43" t="s">
        <v>2018</v>
      </c>
      <c r="BG120" s="43" t="s">
        <v>2018</v>
      </c>
      <c r="BH120" t="s">
        <v>2018</v>
      </c>
      <c r="BI120" s="43" t="s">
        <v>2018</v>
      </c>
      <c r="BJ120">
        <v>0</v>
      </c>
      <c r="BK120" s="23">
        <v>44109</v>
      </c>
      <c r="BL120" s="23">
        <v>44356</v>
      </c>
      <c r="BM120">
        <v>8505</v>
      </c>
      <c r="BN120">
        <v>8505</v>
      </c>
      <c r="BO120">
        <v>8505</v>
      </c>
      <c r="BP120">
        <v>25515</v>
      </c>
      <c r="BQ120">
        <v>3300</v>
      </c>
      <c r="BR120">
        <v>400</v>
      </c>
      <c r="BS120">
        <v>400</v>
      </c>
      <c r="BT120">
        <v>4100</v>
      </c>
      <c r="BU120">
        <v>2100</v>
      </c>
      <c r="BV120">
        <v>2100</v>
      </c>
      <c r="BW120">
        <v>2100</v>
      </c>
      <c r="BX120">
        <v>6300</v>
      </c>
      <c r="BY120">
        <v>1200</v>
      </c>
      <c r="BZ120">
        <v>1200</v>
      </c>
      <c r="CA120">
        <v>1200</v>
      </c>
      <c r="CB120">
        <v>3600</v>
      </c>
      <c r="CC120">
        <v>0</v>
      </c>
      <c r="CD120">
        <v>0</v>
      </c>
      <c r="CE120">
        <v>0</v>
      </c>
      <c r="CF120">
        <v>0</v>
      </c>
      <c r="CG120">
        <v>39515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1250</v>
      </c>
      <c r="CU120">
        <v>1250</v>
      </c>
      <c r="CV120">
        <v>1250</v>
      </c>
      <c r="CW120">
        <v>3750</v>
      </c>
      <c r="CX120">
        <v>3000</v>
      </c>
      <c r="CY120">
        <v>3000</v>
      </c>
      <c r="CZ120">
        <v>3000</v>
      </c>
      <c r="DA120">
        <v>9000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12750</v>
      </c>
      <c r="EE120">
        <v>0</v>
      </c>
      <c r="EF120">
        <v>0</v>
      </c>
      <c r="EG120">
        <v>0</v>
      </c>
      <c r="EH120">
        <v>0</v>
      </c>
      <c r="EI120">
        <v>1154</v>
      </c>
      <c r="EJ120">
        <v>1154</v>
      </c>
      <c r="EK120">
        <v>1155</v>
      </c>
      <c r="EL120">
        <v>3500</v>
      </c>
      <c r="EM120">
        <v>37.065000000000005</v>
      </c>
      <c r="EN120">
        <v>660</v>
      </c>
      <c r="EO120">
        <v>660</v>
      </c>
      <c r="EP120">
        <v>660</v>
      </c>
      <c r="EQ120">
        <v>2000</v>
      </c>
      <c r="ER120">
        <v>21.18</v>
      </c>
      <c r="ES120">
        <v>0</v>
      </c>
      <c r="ET120">
        <v>0</v>
      </c>
      <c r="EU120">
        <v>0</v>
      </c>
      <c r="EV120">
        <v>0</v>
      </c>
      <c r="EW120">
        <v>0</v>
      </c>
      <c r="FA120">
        <v>0</v>
      </c>
      <c r="FE120">
        <v>0</v>
      </c>
      <c r="FI120">
        <v>0</v>
      </c>
      <c r="FJ120">
        <v>5441.7550000000001</v>
      </c>
      <c r="FK120">
        <v>26765</v>
      </c>
      <c r="FL120">
        <v>22266.451902593875</v>
      </c>
      <c r="FM120">
        <v>21323.244999999999</v>
      </c>
    </row>
    <row r="121" spans="1:169" x14ac:dyDescent="0.35">
      <c r="A121">
        <v>195150</v>
      </c>
      <c r="B121" s="43" t="s">
        <v>1566</v>
      </c>
      <c r="C121" s="43" t="s">
        <v>2425</v>
      </c>
      <c r="D121" s="43" t="s">
        <v>2426</v>
      </c>
      <c r="E121" s="43" t="s">
        <v>2427</v>
      </c>
      <c r="F121">
        <v>1</v>
      </c>
      <c r="H121" s="23"/>
      <c r="I121">
        <v>43804</v>
      </c>
      <c r="J121" s="43" t="s">
        <v>4242</v>
      </c>
      <c r="K121" s="43" t="s">
        <v>1715</v>
      </c>
      <c r="L121" s="43" t="s">
        <v>259</v>
      </c>
      <c r="M121" s="43" t="s">
        <v>2428</v>
      </c>
      <c r="N121" s="43" t="s">
        <v>2429</v>
      </c>
      <c r="O121" s="43" t="s">
        <v>2430</v>
      </c>
      <c r="P121" s="43" t="s">
        <v>822</v>
      </c>
      <c r="Q121" s="43" t="s">
        <v>2431</v>
      </c>
      <c r="S121" s="23">
        <v>44109</v>
      </c>
      <c r="T121" s="43" t="s">
        <v>265</v>
      </c>
      <c r="U121" s="43" t="s">
        <v>266</v>
      </c>
      <c r="V121" s="43" t="s">
        <v>267</v>
      </c>
      <c r="W121" s="43" t="s">
        <v>1718</v>
      </c>
      <c r="X121" s="43" t="s">
        <v>1719</v>
      </c>
      <c r="Y121">
        <v>8772802835</v>
      </c>
      <c r="Z121" s="43" t="s">
        <v>270</v>
      </c>
      <c r="AA121" s="43" t="s">
        <v>271</v>
      </c>
      <c r="AB121">
        <v>0</v>
      </c>
      <c r="AC121">
        <v>0</v>
      </c>
      <c r="AD121">
        <v>0</v>
      </c>
      <c r="AE121" s="43" t="s">
        <v>445</v>
      </c>
      <c r="AF121">
        <v>4</v>
      </c>
      <c r="AG121" s="43" t="s">
        <v>446</v>
      </c>
      <c r="AJ121" s="23"/>
      <c r="AK121" s="43" t="s">
        <v>259</v>
      </c>
      <c r="AL121" s="43" t="s">
        <v>259</v>
      </c>
      <c r="AM121" s="23"/>
      <c r="AN121" s="23"/>
      <c r="AO121" s="23"/>
      <c r="AP121" s="23"/>
      <c r="AQ121" s="23"/>
      <c r="BB121" s="43"/>
      <c r="BC121" s="43" t="s">
        <v>259</v>
      </c>
      <c r="BD121" s="43" t="s">
        <v>259</v>
      </c>
      <c r="BE121" s="43" t="s">
        <v>259</v>
      </c>
      <c r="BF121" s="43" t="s">
        <v>259</v>
      </c>
      <c r="BG121" s="43" t="s">
        <v>259</v>
      </c>
      <c r="BH121" t="s">
        <v>259</v>
      </c>
      <c r="BI121" s="43" t="s">
        <v>259</v>
      </c>
      <c r="BJ121">
        <v>0</v>
      </c>
      <c r="BK121" s="23">
        <v>44109</v>
      </c>
      <c r="BL121" s="23">
        <v>44356</v>
      </c>
      <c r="BM121">
        <v>8505</v>
      </c>
      <c r="BN121">
        <v>8505</v>
      </c>
      <c r="BO121">
        <v>8505</v>
      </c>
      <c r="BP121">
        <v>25515</v>
      </c>
      <c r="BQ121">
        <v>3300</v>
      </c>
      <c r="BR121">
        <v>400</v>
      </c>
      <c r="BS121">
        <v>400</v>
      </c>
      <c r="BT121">
        <v>4100</v>
      </c>
      <c r="BU121">
        <v>2100</v>
      </c>
      <c r="BV121">
        <v>2100</v>
      </c>
      <c r="BW121">
        <v>2100</v>
      </c>
      <c r="BX121">
        <v>6300</v>
      </c>
      <c r="BY121">
        <v>1200</v>
      </c>
      <c r="BZ121">
        <v>1200</v>
      </c>
      <c r="CA121">
        <v>1200</v>
      </c>
      <c r="CB121">
        <v>3600</v>
      </c>
      <c r="CC121">
        <v>0</v>
      </c>
      <c r="CD121">
        <v>0</v>
      </c>
      <c r="CE121">
        <v>0</v>
      </c>
      <c r="CF121">
        <v>0</v>
      </c>
      <c r="CG121">
        <v>39515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1250</v>
      </c>
      <c r="CU121">
        <v>1250</v>
      </c>
      <c r="CV121">
        <v>1250</v>
      </c>
      <c r="CW121">
        <v>3750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3750</v>
      </c>
      <c r="EE121">
        <v>0</v>
      </c>
      <c r="EF121">
        <v>0</v>
      </c>
      <c r="EG121">
        <v>0</v>
      </c>
      <c r="EH121">
        <v>0</v>
      </c>
      <c r="EI121">
        <v>1154</v>
      </c>
      <c r="EJ121">
        <v>1154</v>
      </c>
      <c r="EK121">
        <v>1155</v>
      </c>
      <c r="EL121">
        <v>3500</v>
      </c>
      <c r="EM121">
        <v>37.065000000000005</v>
      </c>
      <c r="EN121">
        <v>660</v>
      </c>
      <c r="EO121">
        <v>660</v>
      </c>
      <c r="EP121">
        <v>660</v>
      </c>
      <c r="EQ121">
        <v>2000</v>
      </c>
      <c r="ER121">
        <v>21.18</v>
      </c>
      <c r="ES121">
        <v>0</v>
      </c>
      <c r="ET121">
        <v>0</v>
      </c>
      <c r="EU121">
        <v>0</v>
      </c>
      <c r="EV121">
        <v>0</v>
      </c>
      <c r="EW121">
        <v>0</v>
      </c>
      <c r="FA121">
        <v>0</v>
      </c>
      <c r="FE121">
        <v>0</v>
      </c>
      <c r="FI121">
        <v>0</v>
      </c>
      <c r="FJ121">
        <v>5441.7550000000001</v>
      </c>
      <c r="FK121">
        <v>35765</v>
      </c>
      <c r="FL121">
        <v>31664.555574119709</v>
      </c>
      <c r="FM121">
        <v>30323.244999999999</v>
      </c>
    </row>
    <row r="122" spans="1:169" x14ac:dyDescent="0.35">
      <c r="A122">
        <v>198137</v>
      </c>
      <c r="B122" s="43" t="s">
        <v>2432</v>
      </c>
      <c r="C122" s="43" t="s">
        <v>590</v>
      </c>
      <c r="D122" s="43" t="s">
        <v>2433</v>
      </c>
      <c r="E122" s="43" t="s">
        <v>2434</v>
      </c>
      <c r="F122">
        <v>1</v>
      </c>
      <c r="G122">
        <v>43776</v>
      </c>
      <c r="H122" s="23">
        <v>43776</v>
      </c>
      <c r="I122">
        <v>43776</v>
      </c>
      <c r="J122" s="43" t="s">
        <v>3311</v>
      </c>
      <c r="K122" s="43" t="s">
        <v>1715</v>
      </c>
      <c r="L122" s="43" t="s">
        <v>3204</v>
      </c>
      <c r="M122" s="43" t="s">
        <v>2435</v>
      </c>
      <c r="N122" s="43" t="s">
        <v>2436</v>
      </c>
      <c r="O122" s="43" t="s">
        <v>2437</v>
      </c>
      <c r="P122" s="43" t="s">
        <v>454</v>
      </c>
      <c r="Q122" s="43" t="s">
        <v>2438</v>
      </c>
      <c r="S122" s="23">
        <v>44109</v>
      </c>
      <c r="T122" s="43" t="s">
        <v>311</v>
      </c>
      <c r="U122" s="43" t="s">
        <v>266</v>
      </c>
      <c r="V122" s="43" t="s">
        <v>267</v>
      </c>
      <c r="W122" s="43" t="s">
        <v>1718</v>
      </c>
      <c r="X122" s="43" t="s">
        <v>1719</v>
      </c>
      <c r="Y122">
        <v>8772802835</v>
      </c>
      <c r="Z122" s="43" t="s">
        <v>270</v>
      </c>
      <c r="AA122" s="43" t="s">
        <v>271</v>
      </c>
      <c r="AB122">
        <v>16</v>
      </c>
      <c r="AC122">
        <v>0</v>
      </c>
      <c r="AD122">
        <v>81</v>
      </c>
      <c r="AE122" s="43" t="s">
        <v>274</v>
      </c>
      <c r="AF122">
        <v>9</v>
      </c>
      <c r="AG122" s="43" t="s">
        <v>275</v>
      </c>
      <c r="AH122">
        <v>0</v>
      </c>
      <c r="AI122">
        <v>0</v>
      </c>
      <c r="AJ122" s="23">
        <v>43774</v>
      </c>
      <c r="AK122" s="43" t="s">
        <v>3208</v>
      </c>
      <c r="AL122" s="43" t="s">
        <v>3209</v>
      </c>
      <c r="AM122" s="23"/>
      <c r="AN122" s="23"/>
      <c r="AO122" s="23">
        <v>43776</v>
      </c>
      <c r="AP122" s="23"/>
      <c r="AQ122" s="23"/>
      <c r="BB122" s="43"/>
      <c r="BC122" s="43" t="s">
        <v>2018</v>
      </c>
      <c r="BD122" s="43" t="s">
        <v>2018</v>
      </c>
      <c r="BE122" s="43" t="s">
        <v>2018</v>
      </c>
      <c r="BF122" s="43" t="s">
        <v>2018</v>
      </c>
      <c r="BG122" s="43" t="s">
        <v>2018</v>
      </c>
      <c r="BH122" t="s">
        <v>2018</v>
      </c>
      <c r="BI122" s="43" t="s">
        <v>2018</v>
      </c>
      <c r="BJ122">
        <v>6.25E-2</v>
      </c>
      <c r="BK122" s="23">
        <v>44109</v>
      </c>
      <c r="BL122" s="23">
        <v>44356</v>
      </c>
      <c r="BM122">
        <v>8505</v>
      </c>
      <c r="BN122">
        <v>8505</v>
      </c>
      <c r="BO122">
        <v>8505</v>
      </c>
      <c r="BP122">
        <v>25515</v>
      </c>
      <c r="BQ122">
        <v>3300</v>
      </c>
      <c r="BR122">
        <v>400</v>
      </c>
      <c r="BS122">
        <v>400</v>
      </c>
      <c r="BT122">
        <v>4100</v>
      </c>
      <c r="BU122">
        <v>2100</v>
      </c>
      <c r="BV122">
        <v>2100</v>
      </c>
      <c r="BW122">
        <v>2100</v>
      </c>
      <c r="BX122">
        <v>6300</v>
      </c>
      <c r="BY122">
        <v>1200</v>
      </c>
      <c r="BZ122">
        <v>1200</v>
      </c>
      <c r="CA122">
        <v>1200</v>
      </c>
      <c r="CB122">
        <v>3600</v>
      </c>
      <c r="CC122">
        <v>0</v>
      </c>
      <c r="CD122">
        <v>0</v>
      </c>
      <c r="CE122">
        <v>0</v>
      </c>
      <c r="CF122">
        <v>0</v>
      </c>
      <c r="CG122">
        <v>39515</v>
      </c>
      <c r="CH122">
        <v>0</v>
      </c>
      <c r="CI122">
        <v>0</v>
      </c>
      <c r="CJ122">
        <v>0</v>
      </c>
      <c r="CK122">
        <v>0</v>
      </c>
      <c r="CL122">
        <v>2065</v>
      </c>
      <c r="CM122">
        <v>2065</v>
      </c>
      <c r="CN122">
        <v>2065</v>
      </c>
      <c r="CO122">
        <v>6195</v>
      </c>
      <c r="CP122">
        <v>500</v>
      </c>
      <c r="CQ122">
        <v>500</v>
      </c>
      <c r="CR122">
        <v>500</v>
      </c>
      <c r="CS122">
        <v>1500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7695</v>
      </c>
      <c r="EE122">
        <v>0</v>
      </c>
      <c r="EF122">
        <v>0</v>
      </c>
      <c r="EG122">
        <v>0</v>
      </c>
      <c r="EH122">
        <v>0</v>
      </c>
      <c r="EI122">
        <v>1154</v>
      </c>
      <c r="EJ122">
        <v>1154</v>
      </c>
      <c r="EK122">
        <v>1155</v>
      </c>
      <c r="EL122">
        <v>3500</v>
      </c>
      <c r="EM122">
        <v>37.065000000000005</v>
      </c>
      <c r="EN122">
        <v>660</v>
      </c>
      <c r="EO122">
        <v>660</v>
      </c>
      <c r="EP122">
        <v>660</v>
      </c>
      <c r="EQ122">
        <v>2000</v>
      </c>
      <c r="ER122">
        <v>21.18</v>
      </c>
      <c r="ES122">
        <v>8809</v>
      </c>
      <c r="ET122">
        <v>8809</v>
      </c>
      <c r="EU122">
        <v>8809</v>
      </c>
      <c r="EV122">
        <v>27545</v>
      </c>
      <c r="EW122">
        <v>1166.8062</v>
      </c>
      <c r="FA122">
        <v>0</v>
      </c>
      <c r="FE122">
        <v>0</v>
      </c>
      <c r="FI122">
        <v>0</v>
      </c>
      <c r="FJ122">
        <v>31819.948800000002</v>
      </c>
      <c r="FK122">
        <v>31820</v>
      </c>
      <c r="FL122">
        <v>5.3464767551545132E-2</v>
      </c>
      <c r="FM122">
        <v>5.1199999998061685E-2</v>
      </c>
    </row>
    <row r="123" spans="1:169" x14ac:dyDescent="0.35">
      <c r="A123">
        <v>198376</v>
      </c>
      <c r="B123" s="43" t="s">
        <v>2439</v>
      </c>
      <c r="C123" s="43" t="s">
        <v>2440</v>
      </c>
      <c r="D123" s="43" t="s">
        <v>2441</v>
      </c>
      <c r="E123" s="43" t="s">
        <v>2442</v>
      </c>
      <c r="F123">
        <v>1</v>
      </c>
      <c r="H123" s="23"/>
      <c r="I123">
        <v>43804</v>
      </c>
      <c r="J123" s="43" t="s">
        <v>4241</v>
      </c>
      <c r="K123" s="43" t="s">
        <v>1715</v>
      </c>
      <c r="L123" s="43" t="s">
        <v>259</v>
      </c>
      <c r="M123" s="43" t="s">
        <v>2443</v>
      </c>
      <c r="N123" s="43" t="s">
        <v>2444</v>
      </c>
      <c r="O123" s="43" t="s">
        <v>1054</v>
      </c>
      <c r="P123" s="43" t="s">
        <v>297</v>
      </c>
      <c r="Q123" s="43" t="s">
        <v>1055</v>
      </c>
      <c r="R123">
        <v>3.8</v>
      </c>
      <c r="S123" s="23">
        <v>44109</v>
      </c>
      <c r="T123" s="43" t="s">
        <v>311</v>
      </c>
      <c r="U123" s="43" t="s">
        <v>286</v>
      </c>
      <c r="V123" s="43" t="s">
        <v>267</v>
      </c>
      <c r="W123" s="43" t="s">
        <v>1718</v>
      </c>
      <c r="X123" s="43" t="s">
        <v>1719</v>
      </c>
      <c r="Y123">
        <v>8772802835</v>
      </c>
      <c r="Z123" s="43" t="s">
        <v>270</v>
      </c>
      <c r="AA123" s="43" t="s">
        <v>271</v>
      </c>
      <c r="AB123">
        <v>0</v>
      </c>
      <c r="AC123">
        <v>0</v>
      </c>
      <c r="AD123">
        <v>0</v>
      </c>
      <c r="AE123" s="43" t="s">
        <v>354</v>
      </c>
      <c r="AF123">
        <v>6</v>
      </c>
      <c r="AG123" s="43" t="s">
        <v>275</v>
      </c>
      <c r="AJ123" s="23"/>
      <c r="AK123" s="43" t="s">
        <v>259</v>
      </c>
      <c r="AL123" s="43" t="s">
        <v>259</v>
      </c>
      <c r="AM123" s="23"/>
      <c r="AN123" s="23"/>
      <c r="AO123" s="23"/>
      <c r="AP123" s="23"/>
      <c r="AQ123" s="23"/>
      <c r="BB123" s="43"/>
      <c r="BC123" s="43" t="s">
        <v>259</v>
      </c>
      <c r="BD123" s="43" t="s">
        <v>259</v>
      </c>
      <c r="BE123" s="43" t="s">
        <v>259</v>
      </c>
      <c r="BF123" s="43" t="s">
        <v>259</v>
      </c>
      <c r="BG123" s="43" t="s">
        <v>259</v>
      </c>
      <c r="BH123" t="s">
        <v>259</v>
      </c>
      <c r="BI123" s="43" t="s">
        <v>259</v>
      </c>
      <c r="BJ123">
        <v>0</v>
      </c>
      <c r="BK123" s="23">
        <v>44109</v>
      </c>
      <c r="BL123" s="23">
        <v>44356</v>
      </c>
      <c r="BM123">
        <v>8505</v>
      </c>
      <c r="BN123">
        <v>8505</v>
      </c>
      <c r="BO123">
        <v>8505</v>
      </c>
      <c r="BP123">
        <v>25515</v>
      </c>
      <c r="BQ123">
        <v>3300</v>
      </c>
      <c r="BR123">
        <v>400</v>
      </c>
      <c r="BS123">
        <v>400</v>
      </c>
      <c r="BT123">
        <v>4100</v>
      </c>
      <c r="BU123">
        <v>2100</v>
      </c>
      <c r="BV123">
        <v>2100</v>
      </c>
      <c r="BW123">
        <v>2100</v>
      </c>
      <c r="BX123">
        <v>6300</v>
      </c>
      <c r="BY123">
        <v>1200</v>
      </c>
      <c r="BZ123">
        <v>1200</v>
      </c>
      <c r="CA123">
        <v>1200</v>
      </c>
      <c r="CB123">
        <v>3600</v>
      </c>
      <c r="CC123">
        <v>0</v>
      </c>
      <c r="CD123">
        <v>0</v>
      </c>
      <c r="CE123">
        <v>0</v>
      </c>
      <c r="CF123">
        <v>0</v>
      </c>
      <c r="CG123">
        <v>39515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750</v>
      </c>
      <c r="CU123">
        <v>750</v>
      </c>
      <c r="CV123">
        <v>750</v>
      </c>
      <c r="CW123">
        <v>2250</v>
      </c>
      <c r="CX123">
        <v>0</v>
      </c>
      <c r="CY123">
        <v>0</v>
      </c>
      <c r="CZ123">
        <v>0</v>
      </c>
      <c r="DA123">
        <v>0</v>
      </c>
      <c r="DB123">
        <v>1000</v>
      </c>
      <c r="DC123">
        <v>1000</v>
      </c>
      <c r="DD123">
        <v>1000</v>
      </c>
      <c r="DE123">
        <v>3000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5250</v>
      </c>
      <c r="EE123">
        <v>0</v>
      </c>
      <c r="EF123">
        <v>0</v>
      </c>
      <c r="EG123">
        <v>0</v>
      </c>
      <c r="EH123">
        <v>0</v>
      </c>
      <c r="EI123">
        <v>1154</v>
      </c>
      <c r="EJ123">
        <v>1154</v>
      </c>
      <c r="EK123">
        <v>1155</v>
      </c>
      <c r="EL123">
        <v>3500</v>
      </c>
      <c r="EM123">
        <v>37.065000000000005</v>
      </c>
      <c r="EN123">
        <v>660</v>
      </c>
      <c r="EO123">
        <v>660</v>
      </c>
      <c r="EP123">
        <v>660</v>
      </c>
      <c r="EQ123">
        <v>2000</v>
      </c>
      <c r="ER123">
        <v>21.18</v>
      </c>
      <c r="ES123">
        <v>0</v>
      </c>
      <c r="ET123">
        <v>0</v>
      </c>
      <c r="EU123">
        <v>0</v>
      </c>
      <c r="EV123">
        <v>0</v>
      </c>
      <c r="EW123">
        <v>0</v>
      </c>
      <c r="FA123">
        <v>0</v>
      </c>
      <c r="FE123">
        <v>0</v>
      </c>
      <c r="FI123">
        <v>0</v>
      </c>
      <c r="FJ123">
        <v>5441.7550000000001</v>
      </c>
      <c r="FK123">
        <v>34265</v>
      </c>
      <c r="FL123">
        <v>30098.204962198735</v>
      </c>
      <c r="FM123">
        <v>28823.244999999999</v>
      </c>
    </row>
    <row r="124" spans="1:169" x14ac:dyDescent="0.35">
      <c r="A124">
        <v>198684</v>
      </c>
      <c r="B124" s="43" t="s">
        <v>3681</v>
      </c>
      <c r="C124" s="43" t="s">
        <v>3682</v>
      </c>
      <c r="D124" s="43" t="s">
        <v>3683</v>
      </c>
      <c r="E124" s="43" t="s">
        <v>3684</v>
      </c>
      <c r="F124">
        <v>1</v>
      </c>
      <c r="H124" s="23"/>
      <c r="I124">
        <v>43804</v>
      </c>
      <c r="J124" s="43" t="s">
        <v>4242</v>
      </c>
      <c r="K124" s="43" t="s">
        <v>1715</v>
      </c>
      <c r="L124" s="43" t="s">
        <v>259</v>
      </c>
      <c r="M124" s="43" t="s">
        <v>3685</v>
      </c>
      <c r="N124" s="43" t="s">
        <v>3686</v>
      </c>
      <c r="O124" s="43" t="s">
        <v>3377</v>
      </c>
      <c r="P124" s="43" t="s">
        <v>542</v>
      </c>
      <c r="Q124" s="43" t="s">
        <v>2889</v>
      </c>
      <c r="S124" s="23">
        <v>44109</v>
      </c>
      <c r="T124" s="43" t="s">
        <v>544</v>
      </c>
      <c r="U124" s="43" t="s">
        <v>266</v>
      </c>
      <c r="V124" s="43" t="s">
        <v>267</v>
      </c>
      <c r="W124" s="43" t="s">
        <v>1718</v>
      </c>
      <c r="X124" s="43" t="s">
        <v>1719</v>
      </c>
      <c r="Y124">
        <v>8772802835</v>
      </c>
      <c r="Z124" s="43" t="s">
        <v>270</v>
      </c>
      <c r="AA124" s="43" t="s">
        <v>271</v>
      </c>
      <c r="AB124">
        <v>17</v>
      </c>
      <c r="AC124">
        <v>0</v>
      </c>
      <c r="AD124">
        <v>0</v>
      </c>
      <c r="AE124" s="43" t="s">
        <v>376</v>
      </c>
      <c r="AF124">
        <v>7</v>
      </c>
      <c r="AG124" s="43" t="s">
        <v>3345</v>
      </c>
      <c r="AJ124" s="23"/>
      <c r="AK124" s="43" t="s">
        <v>259</v>
      </c>
      <c r="AL124" s="43" t="s">
        <v>259</v>
      </c>
      <c r="AM124" s="23"/>
      <c r="AN124" s="23"/>
      <c r="AO124" s="23"/>
      <c r="AP124" s="23"/>
      <c r="AQ124" s="23"/>
      <c r="BB124" s="43"/>
      <c r="BC124" s="43" t="s">
        <v>259</v>
      </c>
      <c r="BD124" s="43" t="s">
        <v>259</v>
      </c>
      <c r="BE124" s="43" t="s">
        <v>259</v>
      </c>
      <c r="BF124" s="43" t="s">
        <v>259</v>
      </c>
      <c r="BG124" s="43" t="s">
        <v>259</v>
      </c>
      <c r="BH124" t="s">
        <v>259</v>
      </c>
      <c r="BI124" s="43" t="s">
        <v>259</v>
      </c>
      <c r="BJ124">
        <v>0</v>
      </c>
      <c r="BK124" s="23">
        <v>44109</v>
      </c>
      <c r="BL124" s="23">
        <v>44356</v>
      </c>
      <c r="BM124">
        <v>8505</v>
      </c>
      <c r="BN124">
        <v>8505</v>
      </c>
      <c r="BO124">
        <v>8505</v>
      </c>
      <c r="BP124">
        <v>25515</v>
      </c>
      <c r="BQ124">
        <v>3300</v>
      </c>
      <c r="BR124">
        <v>400</v>
      </c>
      <c r="BS124">
        <v>400</v>
      </c>
      <c r="BT124">
        <v>4100</v>
      </c>
      <c r="BU124">
        <v>2100</v>
      </c>
      <c r="BV124">
        <v>2100</v>
      </c>
      <c r="BW124">
        <v>2100</v>
      </c>
      <c r="BX124">
        <v>6300</v>
      </c>
      <c r="BY124">
        <v>1200</v>
      </c>
      <c r="BZ124">
        <v>1200</v>
      </c>
      <c r="CA124">
        <v>1200</v>
      </c>
      <c r="CB124">
        <v>3600</v>
      </c>
      <c r="CC124">
        <v>0</v>
      </c>
      <c r="CD124">
        <v>0</v>
      </c>
      <c r="CE124">
        <v>0</v>
      </c>
      <c r="CF124">
        <v>0</v>
      </c>
      <c r="CG124">
        <v>39515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3000</v>
      </c>
      <c r="CY124">
        <v>3000</v>
      </c>
      <c r="CZ124">
        <v>3000</v>
      </c>
      <c r="DA124">
        <v>9000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9000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M124">
        <v>0</v>
      </c>
      <c r="EN124">
        <v>660</v>
      </c>
      <c r="EO124">
        <v>660</v>
      </c>
      <c r="EP124">
        <v>660</v>
      </c>
      <c r="EQ124">
        <v>2000</v>
      </c>
      <c r="ER124">
        <v>21.18</v>
      </c>
      <c r="ES124">
        <v>0</v>
      </c>
      <c r="ET124">
        <v>0</v>
      </c>
      <c r="EU124">
        <v>0</v>
      </c>
      <c r="EW124">
        <v>0</v>
      </c>
      <c r="FA124">
        <v>0</v>
      </c>
      <c r="FE124">
        <v>0</v>
      </c>
      <c r="FI124">
        <v>0</v>
      </c>
      <c r="FJ124">
        <v>1978.82</v>
      </c>
      <c r="FK124">
        <v>30515</v>
      </c>
      <c r="FL124">
        <v>29798.442003258009</v>
      </c>
      <c r="FM124">
        <v>28536.18</v>
      </c>
    </row>
    <row r="125" spans="1:169" x14ac:dyDescent="0.35">
      <c r="A125">
        <v>191622</v>
      </c>
      <c r="B125" s="43" t="s">
        <v>4036</v>
      </c>
      <c r="C125" s="43" t="s">
        <v>2505</v>
      </c>
      <c r="D125" s="43" t="s">
        <v>4037</v>
      </c>
      <c r="E125" s="43" t="s">
        <v>4038</v>
      </c>
      <c r="F125">
        <v>1</v>
      </c>
      <c r="H125" s="23"/>
      <c r="I125">
        <v>43804</v>
      </c>
      <c r="J125" s="43" t="s">
        <v>4242</v>
      </c>
      <c r="K125" s="43" t="s">
        <v>1715</v>
      </c>
      <c r="L125" s="43" t="s">
        <v>259</v>
      </c>
      <c r="M125" s="43" t="s">
        <v>4039</v>
      </c>
      <c r="N125" s="43" t="s">
        <v>4040</v>
      </c>
      <c r="O125" s="43" t="s">
        <v>4041</v>
      </c>
      <c r="P125" s="43" t="s">
        <v>297</v>
      </c>
      <c r="Q125" s="43" t="s">
        <v>4042</v>
      </c>
      <c r="S125" s="23">
        <v>44109</v>
      </c>
      <c r="T125" s="43" t="s">
        <v>311</v>
      </c>
      <c r="U125" s="43" t="s">
        <v>266</v>
      </c>
      <c r="V125" s="43" t="s">
        <v>267</v>
      </c>
      <c r="W125" s="43" t="s">
        <v>1718</v>
      </c>
      <c r="X125" s="43" t="s">
        <v>1719</v>
      </c>
      <c r="Y125">
        <v>8772802835</v>
      </c>
      <c r="Z125" s="43" t="s">
        <v>270</v>
      </c>
      <c r="AA125" s="43" t="s">
        <v>271</v>
      </c>
      <c r="AB125">
        <v>0</v>
      </c>
      <c r="AC125">
        <v>1060</v>
      </c>
      <c r="AD125">
        <v>111</v>
      </c>
      <c r="AE125" s="43" t="s">
        <v>301</v>
      </c>
      <c r="AF125">
        <v>1</v>
      </c>
      <c r="AG125" s="43" t="s">
        <v>3345</v>
      </c>
      <c r="AJ125" s="23"/>
      <c r="AK125" s="43" t="s">
        <v>259</v>
      </c>
      <c r="AL125" s="43" t="s">
        <v>259</v>
      </c>
      <c r="AM125" s="23"/>
      <c r="AN125" s="23"/>
      <c r="AO125" s="23"/>
      <c r="AP125" s="23"/>
      <c r="AQ125" s="23"/>
      <c r="BB125" s="43"/>
      <c r="BC125" s="43" t="s">
        <v>259</v>
      </c>
      <c r="BD125" s="43" t="s">
        <v>259</v>
      </c>
      <c r="BE125" s="43" t="s">
        <v>259</v>
      </c>
      <c r="BF125" s="43" t="s">
        <v>259</v>
      </c>
      <c r="BG125" s="43" t="s">
        <v>259</v>
      </c>
      <c r="BH125" t="s">
        <v>259</v>
      </c>
      <c r="BI125" s="43" t="s">
        <v>259</v>
      </c>
      <c r="BJ125">
        <v>0</v>
      </c>
      <c r="BK125" s="23">
        <v>44109</v>
      </c>
      <c r="BL125" s="23">
        <v>44356</v>
      </c>
      <c r="BM125">
        <v>8505</v>
      </c>
      <c r="BN125">
        <v>8505</v>
      </c>
      <c r="BO125">
        <v>8505</v>
      </c>
      <c r="BP125">
        <v>25515</v>
      </c>
      <c r="BQ125">
        <v>3300</v>
      </c>
      <c r="BR125">
        <v>400</v>
      </c>
      <c r="BS125">
        <v>400</v>
      </c>
      <c r="BT125">
        <v>4100</v>
      </c>
      <c r="BU125">
        <v>2100</v>
      </c>
      <c r="BV125">
        <v>2100</v>
      </c>
      <c r="BW125">
        <v>2100</v>
      </c>
      <c r="BX125">
        <v>6300</v>
      </c>
      <c r="BY125">
        <v>1200</v>
      </c>
      <c r="BZ125">
        <v>1200</v>
      </c>
      <c r="CA125">
        <v>1200</v>
      </c>
      <c r="CB125">
        <v>3600</v>
      </c>
      <c r="CC125">
        <v>0</v>
      </c>
      <c r="CD125">
        <v>0</v>
      </c>
      <c r="CE125">
        <v>0</v>
      </c>
      <c r="CF125">
        <v>0</v>
      </c>
      <c r="CG125">
        <v>39515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1700</v>
      </c>
      <c r="CU125">
        <v>1700</v>
      </c>
      <c r="CV125">
        <v>1700</v>
      </c>
      <c r="CW125">
        <v>5100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5100</v>
      </c>
      <c r="EE125">
        <v>0</v>
      </c>
      <c r="EF125">
        <v>0</v>
      </c>
      <c r="EG125">
        <v>0</v>
      </c>
      <c r="EH125">
        <v>0</v>
      </c>
      <c r="EI125">
        <v>1154</v>
      </c>
      <c r="EJ125">
        <v>1154</v>
      </c>
      <c r="EK125">
        <v>1155</v>
      </c>
      <c r="EL125">
        <v>3500</v>
      </c>
      <c r="EM125">
        <v>37.065000000000005</v>
      </c>
      <c r="EN125">
        <v>660</v>
      </c>
      <c r="EO125">
        <v>660</v>
      </c>
      <c r="EP125">
        <v>660</v>
      </c>
      <c r="EQ125">
        <v>2000</v>
      </c>
      <c r="ER125">
        <v>21.18</v>
      </c>
      <c r="ES125">
        <v>0</v>
      </c>
      <c r="ET125">
        <v>0</v>
      </c>
      <c r="EU125">
        <v>0</v>
      </c>
      <c r="EV125">
        <v>0</v>
      </c>
      <c r="EW125">
        <v>0</v>
      </c>
      <c r="FA125">
        <v>0</v>
      </c>
      <c r="FE125">
        <v>0</v>
      </c>
      <c r="FI125">
        <v>0</v>
      </c>
      <c r="FJ125">
        <v>5441.7550000000001</v>
      </c>
      <c r="FK125">
        <v>34415</v>
      </c>
      <c r="FL125">
        <v>30254.840023390832</v>
      </c>
      <c r="FM125">
        <v>28973.244999999999</v>
      </c>
    </row>
    <row r="126" spans="1:169" x14ac:dyDescent="0.35">
      <c r="A126">
        <v>197048</v>
      </c>
      <c r="B126" s="43" t="s">
        <v>2445</v>
      </c>
      <c r="C126" s="43" t="s">
        <v>915</v>
      </c>
      <c r="D126" s="43" t="s">
        <v>2446</v>
      </c>
      <c r="E126" s="43" t="s">
        <v>2447</v>
      </c>
      <c r="F126">
        <v>1</v>
      </c>
      <c r="H126" s="23"/>
      <c r="I126">
        <v>43804</v>
      </c>
      <c r="J126" s="43" t="s">
        <v>4242</v>
      </c>
      <c r="K126" s="43" t="s">
        <v>1715</v>
      </c>
      <c r="L126" s="43" t="s">
        <v>259</v>
      </c>
      <c r="M126" s="43" t="s">
        <v>2448</v>
      </c>
      <c r="N126" s="43" t="s">
        <v>2449</v>
      </c>
      <c r="O126" s="43" t="s">
        <v>2450</v>
      </c>
      <c r="P126" s="43" t="s">
        <v>1018</v>
      </c>
      <c r="Q126" s="43" t="s">
        <v>2451</v>
      </c>
      <c r="R126">
        <v>4</v>
      </c>
      <c r="S126" s="23">
        <v>44109</v>
      </c>
      <c r="T126" s="43" t="s">
        <v>285</v>
      </c>
      <c r="U126" s="43" t="s">
        <v>266</v>
      </c>
      <c r="V126" s="43" t="s">
        <v>267</v>
      </c>
      <c r="W126" s="43" t="s">
        <v>1718</v>
      </c>
      <c r="X126" s="43" t="s">
        <v>1719</v>
      </c>
      <c r="Y126">
        <v>8772802835</v>
      </c>
      <c r="Z126" s="43" t="s">
        <v>270</v>
      </c>
      <c r="AA126" s="43" t="s">
        <v>271</v>
      </c>
      <c r="AB126">
        <v>0</v>
      </c>
      <c r="AC126">
        <v>1090</v>
      </c>
      <c r="AD126">
        <v>120</v>
      </c>
      <c r="AE126" s="43" t="s">
        <v>301</v>
      </c>
      <c r="AF126">
        <v>1</v>
      </c>
      <c r="AG126" s="43" t="s">
        <v>275</v>
      </c>
      <c r="AJ126" s="23"/>
      <c r="AK126" s="43" t="s">
        <v>259</v>
      </c>
      <c r="AL126" s="43" t="s">
        <v>259</v>
      </c>
      <c r="AM126" s="23"/>
      <c r="AN126" s="23"/>
      <c r="AO126" s="23"/>
      <c r="AP126" s="23"/>
      <c r="AQ126" s="23"/>
      <c r="BB126" s="43"/>
      <c r="BC126" s="43" t="s">
        <v>259</v>
      </c>
      <c r="BD126" s="43" t="s">
        <v>259</v>
      </c>
      <c r="BE126" s="43" t="s">
        <v>259</v>
      </c>
      <c r="BF126" s="43" t="s">
        <v>259</v>
      </c>
      <c r="BG126" s="43" t="s">
        <v>259</v>
      </c>
      <c r="BH126" t="s">
        <v>259</v>
      </c>
      <c r="BI126" s="43" t="s">
        <v>259</v>
      </c>
      <c r="BJ126">
        <v>0</v>
      </c>
      <c r="BK126" s="23">
        <v>44109</v>
      </c>
      <c r="BL126" s="23">
        <v>44356</v>
      </c>
      <c r="BM126">
        <v>8505</v>
      </c>
      <c r="BN126">
        <v>8505</v>
      </c>
      <c r="BO126">
        <v>8505</v>
      </c>
      <c r="BP126">
        <v>25515</v>
      </c>
      <c r="BQ126">
        <v>3300</v>
      </c>
      <c r="BR126">
        <v>400</v>
      </c>
      <c r="BS126">
        <v>400</v>
      </c>
      <c r="BT126">
        <v>4100</v>
      </c>
      <c r="BU126">
        <v>2100</v>
      </c>
      <c r="BV126">
        <v>2100</v>
      </c>
      <c r="BW126">
        <v>2100</v>
      </c>
      <c r="BX126">
        <v>6300</v>
      </c>
      <c r="BY126">
        <v>1200</v>
      </c>
      <c r="BZ126">
        <v>1200</v>
      </c>
      <c r="CA126">
        <v>1200</v>
      </c>
      <c r="CB126">
        <v>3600</v>
      </c>
      <c r="CC126">
        <v>0</v>
      </c>
      <c r="CD126">
        <v>0</v>
      </c>
      <c r="CE126">
        <v>0</v>
      </c>
      <c r="CF126">
        <v>0</v>
      </c>
      <c r="CG126">
        <v>39515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1700</v>
      </c>
      <c r="CU126">
        <v>1700</v>
      </c>
      <c r="CV126">
        <v>1700</v>
      </c>
      <c r="CW126">
        <v>5100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5100</v>
      </c>
      <c r="EE126">
        <v>0</v>
      </c>
      <c r="EF126">
        <v>0</v>
      </c>
      <c r="EG126">
        <v>0</v>
      </c>
      <c r="EH126">
        <v>0</v>
      </c>
      <c r="EI126">
        <v>1154</v>
      </c>
      <c r="EJ126">
        <v>1154</v>
      </c>
      <c r="EK126">
        <v>1155</v>
      </c>
      <c r="EL126">
        <v>3500</v>
      </c>
      <c r="EM126">
        <v>37.065000000000005</v>
      </c>
      <c r="EN126">
        <v>660</v>
      </c>
      <c r="EO126">
        <v>660</v>
      </c>
      <c r="EP126">
        <v>660</v>
      </c>
      <c r="EQ126">
        <v>2000</v>
      </c>
      <c r="ER126">
        <v>21.18</v>
      </c>
      <c r="ES126">
        <v>0</v>
      </c>
      <c r="ET126">
        <v>0</v>
      </c>
      <c r="EU126">
        <v>0</v>
      </c>
      <c r="EV126">
        <v>0</v>
      </c>
      <c r="EW126">
        <v>0</v>
      </c>
      <c r="FA126">
        <v>0</v>
      </c>
      <c r="FE126">
        <v>0</v>
      </c>
      <c r="FI126">
        <v>0</v>
      </c>
      <c r="FJ126">
        <v>5441.7550000000001</v>
      </c>
      <c r="FK126">
        <v>34415</v>
      </c>
      <c r="FL126">
        <v>30254.840023390832</v>
      </c>
      <c r="FM126">
        <v>28973.244999999999</v>
      </c>
    </row>
    <row r="127" spans="1:169" x14ac:dyDescent="0.35">
      <c r="A127">
        <v>194426</v>
      </c>
      <c r="B127" s="43" t="s">
        <v>2452</v>
      </c>
      <c r="C127" s="43" t="s">
        <v>2453</v>
      </c>
      <c r="D127" s="43" t="s">
        <v>2454</v>
      </c>
      <c r="E127" s="43" t="s">
        <v>2455</v>
      </c>
      <c r="F127">
        <v>1</v>
      </c>
      <c r="H127" s="23"/>
      <c r="I127">
        <v>43804</v>
      </c>
      <c r="J127" s="43" t="s">
        <v>4242</v>
      </c>
      <c r="K127" s="43" t="s">
        <v>1715</v>
      </c>
      <c r="L127" s="43" t="s">
        <v>259</v>
      </c>
      <c r="M127" s="43" t="s">
        <v>2456</v>
      </c>
      <c r="N127" s="43" t="s">
        <v>2457</v>
      </c>
      <c r="O127" s="43" t="s">
        <v>2458</v>
      </c>
      <c r="P127" s="43" t="s">
        <v>759</v>
      </c>
      <c r="Q127" s="43" t="s">
        <v>2459</v>
      </c>
      <c r="R127">
        <v>4</v>
      </c>
      <c r="S127" s="23">
        <v>44109</v>
      </c>
      <c r="T127" s="43" t="s">
        <v>265</v>
      </c>
      <c r="U127" s="43" t="s">
        <v>266</v>
      </c>
      <c r="V127" s="43" t="s">
        <v>267</v>
      </c>
      <c r="W127" s="43" t="s">
        <v>1718</v>
      </c>
      <c r="X127" s="43" t="s">
        <v>1719</v>
      </c>
      <c r="Y127">
        <v>8772802835</v>
      </c>
      <c r="Z127" s="43" t="s">
        <v>270</v>
      </c>
      <c r="AA127" s="43" t="s">
        <v>271</v>
      </c>
      <c r="AB127">
        <v>0</v>
      </c>
      <c r="AC127">
        <v>1270</v>
      </c>
      <c r="AD127">
        <v>127</v>
      </c>
      <c r="AE127" s="43" t="s">
        <v>301</v>
      </c>
      <c r="AF127">
        <v>1</v>
      </c>
      <c r="AG127" s="43" t="s">
        <v>275</v>
      </c>
      <c r="AJ127" s="23"/>
      <c r="AK127" s="43" t="s">
        <v>259</v>
      </c>
      <c r="AL127" s="43" t="s">
        <v>259</v>
      </c>
      <c r="AM127" s="23"/>
      <c r="AN127" s="23"/>
      <c r="AO127" s="23"/>
      <c r="AP127" s="23"/>
      <c r="AQ127" s="23"/>
      <c r="BB127" s="43"/>
      <c r="BC127" s="43" t="s">
        <v>259</v>
      </c>
      <c r="BD127" s="43" t="s">
        <v>259</v>
      </c>
      <c r="BE127" s="43" t="s">
        <v>259</v>
      </c>
      <c r="BF127" s="43" t="s">
        <v>259</v>
      </c>
      <c r="BG127" s="43" t="s">
        <v>259</v>
      </c>
      <c r="BH127" t="s">
        <v>259</v>
      </c>
      <c r="BI127" s="43" t="s">
        <v>259</v>
      </c>
      <c r="BJ127">
        <v>0</v>
      </c>
      <c r="BK127" s="23">
        <v>44109</v>
      </c>
      <c r="BL127" s="23">
        <v>44356</v>
      </c>
      <c r="BM127">
        <v>8505</v>
      </c>
      <c r="BN127">
        <v>8505</v>
      </c>
      <c r="BO127">
        <v>8505</v>
      </c>
      <c r="BP127">
        <v>25515</v>
      </c>
      <c r="BQ127">
        <v>3300</v>
      </c>
      <c r="BR127">
        <v>400</v>
      </c>
      <c r="BS127">
        <v>400</v>
      </c>
      <c r="BT127">
        <v>4100</v>
      </c>
      <c r="BU127">
        <v>2100</v>
      </c>
      <c r="BV127">
        <v>2100</v>
      </c>
      <c r="BW127">
        <v>2100</v>
      </c>
      <c r="BX127">
        <v>6300</v>
      </c>
      <c r="BY127">
        <v>1200</v>
      </c>
      <c r="BZ127">
        <v>1200</v>
      </c>
      <c r="CA127">
        <v>1200</v>
      </c>
      <c r="CB127">
        <v>3600</v>
      </c>
      <c r="CC127">
        <v>0</v>
      </c>
      <c r="CD127">
        <v>0</v>
      </c>
      <c r="CE127">
        <v>0</v>
      </c>
      <c r="CF127">
        <v>0</v>
      </c>
      <c r="CG127">
        <v>39515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1700</v>
      </c>
      <c r="CU127">
        <v>1700</v>
      </c>
      <c r="CV127">
        <v>1700</v>
      </c>
      <c r="CW127">
        <v>5100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5100</v>
      </c>
      <c r="EE127">
        <v>0</v>
      </c>
      <c r="EF127">
        <v>0</v>
      </c>
      <c r="EG127">
        <v>0</v>
      </c>
      <c r="EH127">
        <v>0</v>
      </c>
      <c r="EI127">
        <v>1154</v>
      </c>
      <c r="EJ127">
        <v>1154</v>
      </c>
      <c r="EK127">
        <v>1155</v>
      </c>
      <c r="EL127">
        <v>3500</v>
      </c>
      <c r="EM127">
        <v>37.065000000000005</v>
      </c>
      <c r="EN127">
        <v>660</v>
      </c>
      <c r="EO127">
        <v>660</v>
      </c>
      <c r="EP127">
        <v>660</v>
      </c>
      <c r="EQ127">
        <v>2000</v>
      </c>
      <c r="ER127">
        <v>21.18</v>
      </c>
      <c r="ES127">
        <v>0</v>
      </c>
      <c r="ET127">
        <v>0</v>
      </c>
      <c r="EU127">
        <v>0</v>
      </c>
      <c r="EV127">
        <v>0</v>
      </c>
      <c r="EW127">
        <v>0</v>
      </c>
      <c r="FA127">
        <v>0</v>
      </c>
      <c r="FE127">
        <v>0</v>
      </c>
      <c r="FI127">
        <v>0</v>
      </c>
      <c r="FJ127">
        <v>5441.7550000000001</v>
      </c>
      <c r="FK127">
        <v>34415</v>
      </c>
      <c r="FL127">
        <v>30254.840023390832</v>
      </c>
      <c r="FM127">
        <v>28973.244999999999</v>
      </c>
    </row>
    <row r="128" spans="1:169" x14ac:dyDescent="0.35">
      <c r="A128">
        <v>192389</v>
      </c>
      <c r="B128" s="43" t="s">
        <v>2460</v>
      </c>
      <c r="C128" s="43" t="s">
        <v>2461</v>
      </c>
      <c r="D128" s="43" t="s">
        <v>2462</v>
      </c>
      <c r="E128" s="43" t="s">
        <v>2463</v>
      </c>
      <c r="F128">
        <v>1</v>
      </c>
      <c r="G128">
        <v>43776</v>
      </c>
      <c r="H128" s="23">
        <v>43776</v>
      </c>
      <c r="I128">
        <v>43781</v>
      </c>
      <c r="J128" s="43" t="s">
        <v>3580</v>
      </c>
      <c r="K128" s="43" t="s">
        <v>1715</v>
      </c>
      <c r="L128" s="43" t="s">
        <v>3204</v>
      </c>
      <c r="M128" s="43" t="s">
        <v>2464</v>
      </c>
      <c r="N128" s="43" t="s">
        <v>2465</v>
      </c>
      <c r="O128" s="43" t="s">
        <v>1394</v>
      </c>
      <c r="P128" s="43" t="s">
        <v>705</v>
      </c>
      <c r="Q128" s="43" t="s">
        <v>2466</v>
      </c>
      <c r="R128">
        <v>2.6</v>
      </c>
      <c r="S128" s="23">
        <v>44109</v>
      </c>
      <c r="T128" s="43" t="s">
        <v>285</v>
      </c>
      <c r="U128" s="43" t="s">
        <v>266</v>
      </c>
      <c r="V128" s="43" t="s">
        <v>267</v>
      </c>
      <c r="W128" s="43" t="s">
        <v>1718</v>
      </c>
      <c r="X128" s="43" t="s">
        <v>1719</v>
      </c>
      <c r="Y128">
        <v>8772802835</v>
      </c>
      <c r="Z128" s="43" t="s">
        <v>270</v>
      </c>
      <c r="AA128" s="43" t="s">
        <v>271</v>
      </c>
      <c r="AB128">
        <v>0</v>
      </c>
      <c r="AC128">
        <v>1110</v>
      </c>
      <c r="AD128">
        <v>95</v>
      </c>
      <c r="AE128" s="43" t="s">
        <v>376</v>
      </c>
      <c r="AF128">
        <v>7</v>
      </c>
      <c r="AG128" s="43" t="s">
        <v>275</v>
      </c>
      <c r="AH128">
        <v>0</v>
      </c>
      <c r="AI128">
        <v>0</v>
      </c>
      <c r="AJ128" s="23">
        <v>43774</v>
      </c>
      <c r="AK128" s="43" t="s">
        <v>3208</v>
      </c>
      <c r="AL128" s="43" t="s">
        <v>3209</v>
      </c>
      <c r="AM128" s="23"/>
      <c r="AN128" s="23"/>
      <c r="AO128" s="23">
        <v>43777</v>
      </c>
      <c r="AP128" s="23"/>
      <c r="AQ128" s="23"/>
      <c r="BB128" s="43"/>
      <c r="BC128" s="43" t="s">
        <v>2018</v>
      </c>
      <c r="BD128" s="43" t="s">
        <v>2018</v>
      </c>
      <c r="BE128" s="43" t="s">
        <v>2018</v>
      </c>
      <c r="BF128" s="43" t="s">
        <v>2018</v>
      </c>
      <c r="BG128" s="43" t="s">
        <v>2018</v>
      </c>
      <c r="BH128" t="s">
        <v>2018</v>
      </c>
      <c r="BI128" s="43" t="s">
        <v>2018</v>
      </c>
      <c r="BJ128">
        <v>6.25E-2</v>
      </c>
      <c r="BK128" s="23">
        <v>44109</v>
      </c>
      <c r="BL128" s="23">
        <v>44356</v>
      </c>
      <c r="BM128">
        <v>8505</v>
      </c>
      <c r="BN128">
        <v>8505</v>
      </c>
      <c r="BO128">
        <v>8505</v>
      </c>
      <c r="BP128">
        <v>25515</v>
      </c>
      <c r="BQ128">
        <v>3300</v>
      </c>
      <c r="BR128">
        <v>400</v>
      </c>
      <c r="BS128">
        <v>400</v>
      </c>
      <c r="BT128">
        <v>4100</v>
      </c>
      <c r="BU128">
        <v>2100</v>
      </c>
      <c r="BV128">
        <v>2100</v>
      </c>
      <c r="BW128">
        <v>2100</v>
      </c>
      <c r="BX128">
        <v>6300</v>
      </c>
      <c r="BY128">
        <v>1200</v>
      </c>
      <c r="BZ128">
        <v>1200</v>
      </c>
      <c r="CA128">
        <v>1200</v>
      </c>
      <c r="CB128">
        <v>3600</v>
      </c>
      <c r="CC128">
        <v>0</v>
      </c>
      <c r="CD128">
        <v>0</v>
      </c>
      <c r="CE128">
        <v>0</v>
      </c>
      <c r="CF128">
        <v>0</v>
      </c>
      <c r="CG128">
        <v>39515</v>
      </c>
      <c r="CH128">
        <v>0</v>
      </c>
      <c r="CI128">
        <v>0</v>
      </c>
      <c r="CJ128">
        <v>0</v>
      </c>
      <c r="CK128">
        <v>0</v>
      </c>
      <c r="CL128">
        <v>2065</v>
      </c>
      <c r="CM128">
        <v>2065</v>
      </c>
      <c r="CN128">
        <v>2065</v>
      </c>
      <c r="CO128">
        <v>6195</v>
      </c>
      <c r="CP128">
        <v>500</v>
      </c>
      <c r="CQ128">
        <v>500</v>
      </c>
      <c r="CR128">
        <v>500</v>
      </c>
      <c r="CS128">
        <v>1500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7695</v>
      </c>
      <c r="EE128">
        <v>0</v>
      </c>
      <c r="EF128">
        <v>0</v>
      </c>
      <c r="EG128">
        <v>0</v>
      </c>
      <c r="EH128">
        <v>0</v>
      </c>
      <c r="EI128">
        <v>1154</v>
      </c>
      <c r="EJ128">
        <v>1154</v>
      </c>
      <c r="EK128">
        <v>1155</v>
      </c>
      <c r="EL128">
        <v>3500</v>
      </c>
      <c r="EM128">
        <v>37.065000000000005</v>
      </c>
      <c r="EN128">
        <v>660</v>
      </c>
      <c r="EO128">
        <v>660</v>
      </c>
      <c r="EP128">
        <v>660</v>
      </c>
      <c r="EQ128">
        <v>2000</v>
      </c>
      <c r="ER128">
        <v>21.18</v>
      </c>
      <c r="ES128">
        <v>5469</v>
      </c>
      <c r="ET128">
        <v>5469</v>
      </c>
      <c r="EU128">
        <v>5469</v>
      </c>
      <c r="EV128">
        <v>17103</v>
      </c>
      <c r="EW128">
        <v>724.48308000000009</v>
      </c>
      <c r="FA128">
        <v>0</v>
      </c>
      <c r="FE128">
        <v>0</v>
      </c>
      <c r="FI128">
        <v>0</v>
      </c>
      <c r="FJ128">
        <v>21820.271919999999</v>
      </c>
      <c r="FK128">
        <v>31820</v>
      </c>
      <c r="FL128">
        <v>10442.053464767552</v>
      </c>
      <c r="FM128">
        <v>9999.728079999999</v>
      </c>
    </row>
    <row r="129" spans="1:169" x14ac:dyDescent="0.35">
      <c r="A129">
        <v>197681</v>
      </c>
      <c r="B129" s="43" t="s">
        <v>2467</v>
      </c>
      <c r="C129" s="43" t="s">
        <v>2468</v>
      </c>
      <c r="D129" s="43" t="s">
        <v>2469</v>
      </c>
      <c r="E129" s="43" t="s">
        <v>2470</v>
      </c>
      <c r="F129">
        <v>1</v>
      </c>
      <c r="G129">
        <v>43781</v>
      </c>
      <c r="H129" s="23">
        <v>43787</v>
      </c>
      <c r="I129">
        <v>43787</v>
      </c>
      <c r="J129" s="43" t="s">
        <v>4250</v>
      </c>
      <c r="K129" s="43" t="s">
        <v>1715</v>
      </c>
      <c r="L129" s="43" t="s">
        <v>3204</v>
      </c>
      <c r="M129" s="43" t="s">
        <v>2471</v>
      </c>
      <c r="N129" s="43" t="s">
        <v>2472</v>
      </c>
      <c r="O129" s="43" t="s">
        <v>2473</v>
      </c>
      <c r="P129" s="43" t="s">
        <v>309</v>
      </c>
      <c r="Q129" s="43" t="s">
        <v>2474</v>
      </c>
      <c r="S129" s="23">
        <v>44109</v>
      </c>
      <c r="T129" s="43" t="s">
        <v>311</v>
      </c>
      <c r="U129" s="43" t="s">
        <v>266</v>
      </c>
      <c r="V129" s="43" t="s">
        <v>267</v>
      </c>
      <c r="W129" s="43" t="s">
        <v>1718</v>
      </c>
      <c r="X129" s="43" t="s">
        <v>1719</v>
      </c>
      <c r="Y129">
        <v>8772802835</v>
      </c>
      <c r="Z129" s="43" t="s">
        <v>508</v>
      </c>
      <c r="AA129" s="43" t="s">
        <v>271</v>
      </c>
      <c r="AB129">
        <v>0</v>
      </c>
      <c r="AC129">
        <v>1020</v>
      </c>
      <c r="AD129">
        <v>107</v>
      </c>
      <c r="AE129" s="43" t="s">
        <v>445</v>
      </c>
      <c r="AF129">
        <v>4</v>
      </c>
      <c r="AG129" s="43" t="s">
        <v>275</v>
      </c>
      <c r="AH129">
        <v>33534</v>
      </c>
      <c r="AI129">
        <v>33534</v>
      </c>
      <c r="AJ129" s="23">
        <v>43776</v>
      </c>
      <c r="AK129" s="43" t="s">
        <v>3208</v>
      </c>
      <c r="AL129" s="43" t="s">
        <v>3209</v>
      </c>
      <c r="AM129" s="23">
        <v>43788</v>
      </c>
      <c r="AN129" s="23">
        <v>43788</v>
      </c>
      <c r="AO129" s="23">
        <v>43788</v>
      </c>
      <c r="AP129" s="23"/>
      <c r="AQ129" s="23"/>
      <c r="BB129" s="43"/>
      <c r="BC129" s="43" t="s">
        <v>2018</v>
      </c>
      <c r="BD129" s="43" t="s">
        <v>2018</v>
      </c>
      <c r="BE129" s="43" t="s">
        <v>2018</v>
      </c>
      <c r="BF129" s="43" t="s">
        <v>2018</v>
      </c>
      <c r="BG129" s="43" t="s">
        <v>2018</v>
      </c>
      <c r="BH129" t="s">
        <v>2018</v>
      </c>
      <c r="BI129" s="43" t="s">
        <v>2018</v>
      </c>
      <c r="BJ129">
        <v>0.1875</v>
      </c>
      <c r="BK129" s="23">
        <v>44109</v>
      </c>
      <c r="BL129" s="23">
        <v>44356</v>
      </c>
      <c r="BM129">
        <v>8505</v>
      </c>
      <c r="BN129">
        <v>8505</v>
      </c>
      <c r="BO129">
        <v>8505</v>
      </c>
      <c r="BP129">
        <v>25515</v>
      </c>
      <c r="BQ129">
        <v>3300</v>
      </c>
      <c r="BR129">
        <v>400</v>
      </c>
      <c r="BS129">
        <v>400</v>
      </c>
      <c r="BT129">
        <v>4100</v>
      </c>
      <c r="BU129">
        <v>2100</v>
      </c>
      <c r="BV129">
        <v>2100</v>
      </c>
      <c r="BW129">
        <v>2100</v>
      </c>
      <c r="BX129">
        <v>6300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35915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1250</v>
      </c>
      <c r="CU129">
        <v>1250</v>
      </c>
      <c r="CV129">
        <v>1250</v>
      </c>
      <c r="CW129">
        <v>3750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3750</v>
      </c>
      <c r="EE129">
        <v>0</v>
      </c>
      <c r="EF129">
        <v>0</v>
      </c>
      <c r="EG129">
        <v>0</v>
      </c>
      <c r="EH129">
        <v>0</v>
      </c>
      <c r="EI129">
        <v>1154</v>
      </c>
      <c r="EJ129">
        <v>1154</v>
      </c>
      <c r="EK129">
        <v>1155</v>
      </c>
      <c r="EL129">
        <v>3500</v>
      </c>
      <c r="EM129">
        <v>37.065000000000005</v>
      </c>
      <c r="EN129">
        <v>660</v>
      </c>
      <c r="EO129">
        <v>660</v>
      </c>
      <c r="EP129">
        <v>660</v>
      </c>
      <c r="EQ129">
        <v>2000</v>
      </c>
      <c r="ER129">
        <v>21.18</v>
      </c>
      <c r="ES129">
        <v>8924</v>
      </c>
      <c r="ET129">
        <v>8924</v>
      </c>
      <c r="EU129">
        <v>8924</v>
      </c>
      <c r="EV129">
        <v>27905</v>
      </c>
      <c r="EW129">
        <v>1182.0558000000001</v>
      </c>
      <c r="FA129">
        <v>0</v>
      </c>
      <c r="FE129">
        <v>0</v>
      </c>
      <c r="FI129">
        <v>0</v>
      </c>
      <c r="FJ129">
        <v>32164.699199999999</v>
      </c>
      <c r="FK129">
        <v>32165</v>
      </c>
      <c r="FL129">
        <v>0.31410550937814896</v>
      </c>
      <c r="FM129">
        <v>0.30080000000089058</v>
      </c>
    </row>
    <row r="130" spans="1:169" x14ac:dyDescent="0.35">
      <c r="A130">
        <v>198155</v>
      </c>
      <c r="B130" s="43" t="s">
        <v>3338</v>
      </c>
      <c r="C130" s="43" t="s">
        <v>3339</v>
      </c>
      <c r="D130" s="43" t="s">
        <v>3340</v>
      </c>
      <c r="E130" s="43" t="s">
        <v>3341</v>
      </c>
      <c r="F130">
        <v>1</v>
      </c>
      <c r="H130" s="23"/>
      <c r="I130">
        <v>43802</v>
      </c>
      <c r="J130" s="43" t="s">
        <v>3304</v>
      </c>
      <c r="K130" s="43" t="s">
        <v>1715</v>
      </c>
      <c r="L130" s="43" t="s">
        <v>3204</v>
      </c>
      <c r="M130" s="43" t="s">
        <v>3342</v>
      </c>
      <c r="N130" s="43" t="s">
        <v>3343</v>
      </c>
      <c r="O130" s="43" t="s">
        <v>2620</v>
      </c>
      <c r="P130" s="43" t="s">
        <v>705</v>
      </c>
      <c r="Q130" s="43" t="s">
        <v>3344</v>
      </c>
      <c r="S130" s="23">
        <v>44109</v>
      </c>
      <c r="T130" s="43" t="s">
        <v>311</v>
      </c>
      <c r="U130" s="43" t="s">
        <v>286</v>
      </c>
      <c r="V130" s="43" t="s">
        <v>267</v>
      </c>
      <c r="W130" s="43" t="s">
        <v>1718</v>
      </c>
      <c r="X130" s="43" t="s">
        <v>1719</v>
      </c>
      <c r="Y130">
        <v>8772802835</v>
      </c>
      <c r="Z130" s="43" t="s">
        <v>270</v>
      </c>
      <c r="AA130" s="43" t="s">
        <v>271</v>
      </c>
      <c r="AB130">
        <v>0</v>
      </c>
      <c r="AC130">
        <v>960</v>
      </c>
      <c r="AD130">
        <v>113</v>
      </c>
      <c r="AE130" s="43" t="s">
        <v>301</v>
      </c>
      <c r="AF130">
        <v>1</v>
      </c>
      <c r="AG130" s="43" t="s">
        <v>3345</v>
      </c>
      <c r="AH130">
        <v>0</v>
      </c>
      <c r="AI130">
        <v>0</v>
      </c>
      <c r="AJ130" s="23">
        <v>43790</v>
      </c>
      <c r="AK130" s="43" t="s">
        <v>3208</v>
      </c>
      <c r="AL130" s="43" t="s">
        <v>3209</v>
      </c>
      <c r="AM130" s="23"/>
      <c r="AN130" s="23"/>
      <c r="AO130" s="23"/>
      <c r="AP130" s="23"/>
      <c r="AQ130" s="23"/>
      <c r="BB130" s="43"/>
      <c r="BC130" s="43" t="s">
        <v>2018</v>
      </c>
      <c r="BD130" s="43" t="s">
        <v>2018</v>
      </c>
      <c r="BE130" s="43" t="s">
        <v>2018</v>
      </c>
      <c r="BF130" s="43" t="s">
        <v>2018</v>
      </c>
      <c r="BG130" s="43" t="s">
        <v>2018</v>
      </c>
      <c r="BH130" t="s">
        <v>2018</v>
      </c>
      <c r="BI130" s="43" t="s">
        <v>2018</v>
      </c>
      <c r="BJ130">
        <v>0</v>
      </c>
      <c r="BK130" s="23">
        <v>44109</v>
      </c>
      <c r="BL130" s="23">
        <v>44356</v>
      </c>
      <c r="BM130">
        <v>8505</v>
      </c>
      <c r="BN130">
        <v>8505</v>
      </c>
      <c r="BO130">
        <v>8505</v>
      </c>
      <c r="BP130">
        <v>25515</v>
      </c>
      <c r="BQ130">
        <v>3300</v>
      </c>
      <c r="BR130">
        <v>400</v>
      </c>
      <c r="BS130">
        <v>400</v>
      </c>
      <c r="BT130">
        <v>4100</v>
      </c>
      <c r="BU130">
        <v>2100</v>
      </c>
      <c r="BV130">
        <v>2100</v>
      </c>
      <c r="BW130">
        <v>2100</v>
      </c>
      <c r="BX130">
        <v>6300</v>
      </c>
      <c r="BY130">
        <v>1200</v>
      </c>
      <c r="BZ130">
        <v>1200</v>
      </c>
      <c r="CA130">
        <v>1200</v>
      </c>
      <c r="CB130">
        <v>3600</v>
      </c>
      <c r="CC130">
        <v>0</v>
      </c>
      <c r="CD130">
        <v>0</v>
      </c>
      <c r="CE130">
        <v>0</v>
      </c>
      <c r="CF130">
        <v>0</v>
      </c>
      <c r="CG130">
        <v>39515</v>
      </c>
      <c r="CH130">
        <v>0</v>
      </c>
      <c r="CI130">
        <v>0</v>
      </c>
      <c r="CJ130">
        <v>0</v>
      </c>
      <c r="CK130">
        <v>0</v>
      </c>
      <c r="CL130">
        <v>2065</v>
      </c>
      <c r="CM130">
        <v>2065</v>
      </c>
      <c r="CN130">
        <v>2065</v>
      </c>
      <c r="CO130">
        <v>6195</v>
      </c>
      <c r="CP130">
        <v>500</v>
      </c>
      <c r="CQ130">
        <v>500</v>
      </c>
      <c r="CR130">
        <v>500</v>
      </c>
      <c r="CS130">
        <v>1500</v>
      </c>
      <c r="CT130">
        <v>1700</v>
      </c>
      <c r="CU130">
        <v>1700</v>
      </c>
      <c r="CV130">
        <v>1700</v>
      </c>
      <c r="CW130">
        <v>5100</v>
      </c>
      <c r="CX130">
        <v>0</v>
      </c>
      <c r="CY130">
        <v>0</v>
      </c>
      <c r="CZ130">
        <v>0</v>
      </c>
      <c r="DA130">
        <v>0</v>
      </c>
      <c r="DB130">
        <v>1000</v>
      </c>
      <c r="DC130">
        <v>1000</v>
      </c>
      <c r="DD130">
        <v>1000</v>
      </c>
      <c r="DE130">
        <v>3000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15795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660</v>
      </c>
      <c r="EO130">
        <v>660</v>
      </c>
      <c r="EP130">
        <v>660</v>
      </c>
      <c r="EQ130">
        <v>2000</v>
      </c>
      <c r="ER130">
        <v>21.18</v>
      </c>
      <c r="ES130">
        <v>0</v>
      </c>
      <c r="ET130">
        <v>0</v>
      </c>
      <c r="EU130">
        <v>0</v>
      </c>
      <c r="EW130">
        <v>0</v>
      </c>
      <c r="FA130">
        <v>0</v>
      </c>
      <c r="FE130">
        <v>0</v>
      </c>
      <c r="FI130">
        <v>0</v>
      </c>
      <c r="FJ130">
        <v>1978.82</v>
      </c>
      <c r="FK130">
        <v>23720</v>
      </c>
      <c r="FL130">
        <v>22702.873731256004</v>
      </c>
      <c r="FM130">
        <v>21741.18</v>
      </c>
    </row>
    <row r="131" spans="1:169" x14ac:dyDescent="0.35">
      <c r="A131">
        <v>192291</v>
      </c>
      <c r="B131" s="43" t="s">
        <v>2475</v>
      </c>
      <c r="C131" s="43" t="s">
        <v>1244</v>
      </c>
      <c r="D131" s="43" t="s">
        <v>2476</v>
      </c>
      <c r="E131" s="43" t="s">
        <v>2477</v>
      </c>
      <c r="F131">
        <v>1</v>
      </c>
      <c r="H131" s="23"/>
      <c r="I131">
        <v>43804</v>
      </c>
      <c r="J131" s="43" t="s">
        <v>4242</v>
      </c>
      <c r="K131" s="43" t="s">
        <v>1715</v>
      </c>
      <c r="L131" s="43" t="s">
        <v>259</v>
      </c>
      <c r="M131" s="43" t="s">
        <v>2478</v>
      </c>
      <c r="N131" s="43" t="s">
        <v>2479</v>
      </c>
      <c r="O131" s="43" t="s">
        <v>2480</v>
      </c>
      <c r="P131" s="43" t="s">
        <v>687</v>
      </c>
      <c r="Q131" s="43" t="s">
        <v>2481</v>
      </c>
      <c r="S131" s="23">
        <v>44109</v>
      </c>
      <c r="T131" s="43" t="s">
        <v>265</v>
      </c>
      <c r="U131" s="43" t="s">
        <v>266</v>
      </c>
      <c r="V131" s="43" t="s">
        <v>267</v>
      </c>
      <c r="W131" s="43" t="s">
        <v>1718</v>
      </c>
      <c r="X131" s="43" t="s">
        <v>1719</v>
      </c>
      <c r="Y131">
        <v>8772802835</v>
      </c>
      <c r="Z131" s="43" t="s">
        <v>270</v>
      </c>
      <c r="AA131" s="43" t="s">
        <v>271</v>
      </c>
      <c r="AB131">
        <v>0</v>
      </c>
      <c r="AC131">
        <v>0</v>
      </c>
      <c r="AD131">
        <v>0</v>
      </c>
      <c r="AE131" s="43" t="s">
        <v>301</v>
      </c>
      <c r="AF131">
        <v>1</v>
      </c>
      <c r="AG131" s="43" t="s">
        <v>275</v>
      </c>
      <c r="AJ131" s="23"/>
      <c r="AK131" s="43" t="s">
        <v>259</v>
      </c>
      <c r="AL131" s="43" t="s">
        <v>259</v>
      </c>
      <c r="AM131" s="23"/>
      <c r="AN131" s="23"/>
      <c r="AO131" s="23"/>
      <c r="AP131" s="23"/>
      <c r="AQ131" s="23"/>
      <c r="BB131" s="43"/>
      <c r="BC131" s="43" t="s">
        <v>259</v>
      </c>
      <c r="BD131" s="43" t="s">
        <v>259</v>
      </c>
      <c r="BE131" s="43" t="s">
        <v>259</v>
      </c>
      <c r="BF131" s="43" t="s">
        <v>259</v>
      </c>
      <c r="BG131" s="43" t="s">
        <v>259</v>
      </c>
      <c r="BH131" t="s">
        <v>259</v>
      </c>
      <c r="BI131" s="43" t="s">
        <v>259</v>
      </c>
      <c r="BJ131">
        <v>0</v>
      </c>
      <c r="BK131" s="23">
        <v>44109</v>
      </c>
      <c r="BL131" s="23">
        <v>44356</v>
      </c>
      <c r="BM131">
        <v>8505</v>
      </c>
      <c r="BN131">
        <v>8505</v>
      </c>
      <c r="BO131">
        <v>8505</v>
      </c>
      <c r="BP131">
        <v>25515</v>
      </c>
      <c r="BQ131">
        <v>3300</v>
      </c>
      <c r="BR131">
        <v>400</v>
      </c>
      <c r="BS131">
        <v>400</v>
      </c>
      <c r="BT131">
        <v>4100</v>
      </c>
      <c r="BU131">
        <v>2100</v>
      </c>
      <c r="BV131">
        <v>2100</v>
      </c>
      <c r="BW131">
        <v>2100</v>
      </c>
      <c r="BX131">
        <v>6300</v>
      </c>
      <c r="BY131">
        <v>1200</v>
      </c>
      <c r="BZ131">
        <v>1200</v>
      </c>
      <c r="CA131">
        <v>1200</v>
      </c>
      <c r="CB131">
        <v>3600</v>
      </c>
      <c r="CC131">
        <v>0</v>
      </c>
      <c r="CD131">
        <v>0</v>
      </c>
      <c r="CE131">
        <v>0</v>
      </c>
      <c r="CF131">
        <v>0</v>
      </c>
      <c r="CG131">
        <v>39515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1700</v>
      </c>
      <c r="CU131">
        <v>1700</v>
      </c>
      <c r="CV131">
        <v>1700</v>
      </c>
      <c r="CW131">
        <v>5100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5100</v>
      </c>
      <c r="EE131">
        <v>0</v>
      </c>
      <c r="EF131">
        <v>0</v>
      </c>
      <c r="EG131">
        <v>0</v>
      </c>
      <c r="EH131">
        <v>0</v>
      </c>
      <c r="EI131">
        <v>1154</v>
      </c>
      <c r="EJ131">
        <v>1154</v>
      </c>
      <c r="EK131">
        <v>1155</v>
      </c>
      <c r="EL131">
        <v>3500</v>
      </c>
      <c r="EM131">
        <v>37.065000000000005</v>
      </c>
      <c r="EN131">
        <v>660</v>
      </c>
      <c r="EO131">
        <v>660</v>
      </c>
      <c r="EP131">
        <v>660</v>
      </c>
      <c r="EQ131">
        <v>2000</v>
      </c>
      <c r="ER131">
        <v>21.18</v>
      </c>
      <c r="ES131">
        <v>0</v>
      </c>
      <c r="ET131">
        <v>0</v>
      </c>
      <c r="EU131">
        <v>0</v>
      </c>
      <c r="EV131">
        <v>0</v>
      </c>
      <c r="EW131">
        <v>0</v>
      </c>
      <c r="FA131">
        <v>0</v>
      </c>
      <c r="FE131">
        <v>0</v>
      </c>
      <c r="FI131">
        <v>0</v>
      </c>
      <c r="FJ131">
        <v>5441.7550000000001</v>
      </c>
      <c r="FK131">
        <v>34415</v>
      </c>
      <c r="FL131">
        <v>30254.840023390832</v>
      </c>
      <c r="FM131">
        <v>28973.244999999999</v>
      </c>
    </row>
    <row r="132" spans="1:169" x14ac:dyDescent="0.35">
      <c r="A132">
        <v>198861</v>
      </c>
      <c r="B132" s="43" t="s">
        <v>3346</v>
      </c>
      <c r="C132" s="43" t="s">
        <v>3347</v>
      </c>
      <c r="D132" s="43" t="s">
        <v>3348</v>
      </c>
      <c r="E132" s="43" t="s">
        <v>3349</v>
      </c>
      <c r="F132">
        <v>1</v>
      </c>
      <c r="H132" s="23"/>
      <c r="I132">
        <v>43802</v>
      </c>
      <c r="J132" s="43" t="s">
        <v>3304</v>
      </c>
      <c r="K132" s="43" t="s">
        <v>3350</v>
      </c>
      <c r="L132" s="43" t="s">
        <v>3204</v>
      </c>
      <c r="M132" s="43" t="s">
        <v>3351</v>
      </c>
      <c r="N132" s="43" t="s">
        <v>3352</v>
      </c>
      <c r="O132" s="43" t="s">
        <v>3353</v>
      </c>
      <c r="P132" s="43" t="s">
        <v>705</v>
      </c>
      <c r="Q132" s="43" t="s">
        <v>3354</v>
      </c>
      <c r="S132" s="23">
        <v>44109</v>
      </c>
      <c r="T132" s="43" t="s">
        <v>311</v>
      </c>
      <c r="U132" s="43" t="s">
        <v>266</v>
      </c>
      <c r="V132" s="43" t="s">
        <v>267</v>
      </c>
      <c r="W132" s="43" t="s">
        <v>1718</v>
      </c>
      <c r="X132" s="43" t="s">
        <v>1719</v>
      </c>
      <c r="Y132">
        <v>8772802835</v>
      </c>
      <c r="Z132" s="43" t="s">
        <v>270</v>
      </c>
      <c r="AA132" s="43" t="s">
        <v>271</v>
      </c>
      <c r="AB132">
        <v>0</v>
      </c>
      <c r="AC132">
        <v>1060</v>
      </c>
      <c r="AD132">
        <v>115</v>
      </c>
      <c r="AE132" s="43" t="s">
        <v>364</v>
      </c>
      <c r="AF132">
        <v>3</v>
      </c>
      <c r="AG132" s="43" t="s">
        <v>3345</v>
      </c>
      <c r="AH132">
        <v>0</v>
      </c>
      <c r="AI132">
        <v>0</v>
      </c>
      <c r="AJ132" s="23">
        <v>43783</v>
      </c>
      <c r="AK132" s="43" t="s">
        <v>3208</v>
      </c>
      <c r="AL132" s="43" t="s">
        <v>3209</v>
      </c>
      <c r="AM132" s="23"/>
      <c r="AN132" s="23"/>
      <c r="AO132" s="23"/>
      <c r="AP132" s="23"/>
      <c r="AQ132" s="23"/>
      <c r="BB132" s="43"/>
      <c r="BC132" s="43" t="s">
        <v>2018</v>
      </c>
      <c r="BD132" s="43" t="s">
        <v>2018</v>
      </c>
      <c r="BE132" s="43" t="s">
        <v>2018</v>
      </c>
      <c r="BF132" s="43" t="s">
        <v>2018</v>
      </c>
      <c r="BG132" s="43" t="s">
        <v>2018</v>
      </c>
      <c r="BH132" t="s">
        <v>2018</v>
      </c>
      <c r="BI132" s="43" t="s">
        <v>2018</v>
      </c>
      <c r="BJ132">
        <v>0</v>
      </c>
      <c r="BK132" s="23">
        <v>44109</v>
      </c>
      <c r="BL132" s="23">
        <v>44356</v>
      </c>
      <c r="BM132">
        <v>8505</v>
      </c>
      <c r="BN132">
        <v>8505</v>
      </c>
      <c r="BO132">
        <v>8505</v>
      </c>
      <c r="BP132">
        <v>25515</v>
      </c>
      <c r="BQ132">
        <v>3300</v>
      </c>
      <c r="BR132">
        <v>400</v>
      </c>
      <c r="BS132">
        <v>400</v>
      </c>
      <c r="BT132">
        <v>4100</v>
      </c>
      <c r="BU132">
        <v>2100</v>
      </c>
      <c r="BV132">
        <v>2100</v>
      </c>
      <c r="BW132">
        <v>2100</v>
      </c>
      <c r="BX132">
        <v>6300</v>
      </c>
      <c r="BY132">
        <v>1200</v>
      </c>
      <c r="BZ132">
        <v>1200</v>
      </c>
      <c r="CA132">
        <v>1200</v>
      </c>
      <c r="CB132">
        <v>3600</v>
      </c>
      <c r="CC132">
        <v>0</v>
      </c>
      <c r="CD132">
        <v>0</v>
      </c>
      <c r="CE132">
        <v>0</v>
      </c>
      <c r="CF132">
        <v>0</v>
      </c>
      <c r="CG132">
        <v>39515</v>
      </c>
      <c r="CH132">
        <v>0</v>
      </c>
      <c r="CI132">
        <v>0</v>
      </c>
      <c r="CJ132">
        <v>0</v>
      </c>
      <c r="CK132">
        <v>0</v>
      </c>
      <c r="CL132">
        <v>2065</v>
      </c>
      <c r="CM132">
        <v>2065</v>
      </c>
      <c r="CN132">
        <v>2065</v>
      </c>
      <c r="CO132">
        <v>6195</v>
      </c>
      <c r="CP132">
        <v>500</v>
      </c>
      <c r="CQ132">
        <v>500</v>
      </c>
      <c r="CR132">
        <v>500</v>
      </c>
      <c r="CS132">
        <v>1500</v>
      </c>
      <c r="CT132">
        <v>1300</v>
      </c>
      <c r="CU132">
        <v>1300</v>
      </c>
      <c r="CV132">
        <v>1300</v>
      </c>
      <c r="CW132">
        <v>3900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11595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M132">
        <v>0</v>
      </c>
      <c r="EN132">
        <v>660</v>
      </c>
      <c r="EO132">
        <v>660</v>
      </c>
      <c r="EP132">
        <v>660</v>
      </c>
      <c r="EQ132">
        <v>2000</v>
      </c>
      <c r="ER132">
        <v>21.18</v>
      </c>
      <c r="ES132">
        <v>0</v>
      </c>
      <c r="ET132">
        <v>0</v>
      </c>
      <c r="EU132">
        <v>0</v>
      </c>
      <c r="EW132">
        <v>0</v>
      </c>
      <c r="FA132">
        <v>0</v>
      </c>
      <c r="FE132">
        <v>0</v>
      </c>
      <c r="FI132">
        <v>0</v>
      </c>
      <c r="FJ132">
        <v>1978.82</v>
      </c>
      <c r="FK132">
        <v>27920</v>
      </c>
      <c r="FL132">
        <v>27088.655444634725</v>
      </c>
      <c r="FM132">
        <v>25941.18</v>
      </c>
    </row>
    <row r="133" spans="1:169" x14ac:dyDescent="0.35">
      <c r="A133">
        <v>197794</v>
      </c>
      <c r="B133" s="43" t="s">
        <v>2482</v>
      </c>
      <c r="C133" s="43" t="s">
        <v>2483</v>
      </c>
      <c r="D133" s="43" t="s">
        <v>2484</v>
      </c>
      <c r="E133" s="43" t="s">
        <v>2485</v>
      </c>
      <c r="F133">
        <v>1</v>
      </c>
      <c r="H133" s="23"/>
      <c r="I133">
        <v>43804</v>
      </c>
      <c r="J133" s="43" t="s">
        <v>4242</v>
      </c>
      <c r="K133" s="43" t="s">
        <v>1715</v>
      </c>
      <c r="L133" s="43" t="s">
        <v>259</v>
      </c>
      <c r="M133" s="43" t="s">
        <v>2486</v>
      </c>
      <c r="N133" s="43" t="s">
        <v>2487</v>
      </c>
      <c r="O133" s="43" t="s">
        <v>2488</v>
      </c>
      <c r="P133" s="43" t="s">
        <v>1514</v>
      </c>
      <c r="Q133" s="43" t="s">
        <v>2489</v>
      </c>
      <c r="S133" s="23">
        <v>44109</v>
      </c>
      <c r="T133" s="43" t="s">
        <v>265</v>
      </c>
      <c r="U133" s="43" t="s">
        <v>266</v>
      </c>
      <c r="V133" s="43" t="s">
        <v>267</v>
      </c>
      <c r="W133" s="43" t="s">
        <v>1718</v>
      </c>
      <c r="X133" s="43" t="s">
        <v>1719</v>
      </c>
      <c r="Y133">
        <v>8772802835</v>
      </c>
      <c r="Z133" s="43" t="s">
        <v>270</v>
      </c>
      <c r="AA133" s="43" t="s">
        <v>271</v>
      </c>
      <c r="AB133">
        <v>26</v>
      </c>
      <c r="AC133">
        <v>0</v>
      </c>
      <c r="AD133">
        <v>117</v>
      </c>
      <c r="AE133" s="43" t="s">
        <v>364</v>
      </c>
      <c r="AF133">
        <v>3</v>
      </c>
      <c r="AG133" s="43" t="s">
        <v>275</v>
      </c>
      <c r="AJ133" s="23"/>
      <c r="AK133" s="43" t="s">
        <v>259</v>
      </c>
      <c r="AL133" s="43" t="s">
        <v>259</v>
      </c>
      <c r="AM133" s="23"/>
      <c r="AN133" s="23"/>
      <c r="AO133" s="23"/>
      <c r="AP133" s="23"/>
      <c r="AQ133" s="23"/>
      <c r="BB133" s="43"/>
      <c r="BC133" s="43" t="s">
        <v>259</v>
      </c>
      <c r="BD133" s="43" t="s">
        <v>259</v>
      </c>
      <c r="BE133" s="43" t="s">
        <v>259</v>
      </c>
      <c r="BF133" s="43" t="s">
        <v>259</v>
      </c>
      <c r="BG133" s="43" t="s">
        <v>259</v>
      </c>
      <c r="BH133" t="s">
        <v>259</v>
      </c>
      <c r="BI133" s="43" t="s">
        <v>259</v>
      </c>
      <c r="BJ133">
        <v>0</v>
      </c>
      <c r="BK133" s="23">
        <v>44109</v>
      </c>
      <c r="BL133" s="23">
        <v>44356</v>
      </c>
      <c r="BM133">
        <v>8505</v>
      </c>
      <c r="BN133">
        <v>8505</v>
      </c>
      <c r="BO133">
        <v>8505</v>
      </c>
      <c r="BP133">
        <v>25515</v>
      </c>
      <c r="BQ133">
        <v>3300</v>
      </c>
      <c r="BR133">
        <v>400</v>
      </c>
      <c r="BS133">
        <v>400</v>
      </c>
      <c r="BT133">
        <v>4100</v>
      </c>
      <c r="BU133">
        <v>2100</v>
      </c>
      <c r="BV133">
        <v>2100</v>
      </c>
      <c r="BW133">
        <v>2100</v>
      </c>
      <c r="BX133">
        <v>6300</v>
      </c>
      <c r="BY133">
        <v>1200</v>
      </c>
      <c r="BZ133">
        <v>1200</v>
      </c>
      <c r="CA133">
        <v>1200</v>
      </c>
      <c r="CB133">
        <v>3600</v>
      </c>
      <c r="CC133">
        <v>0</v>
      </c>
      <c r="CD133">
        <v>0</v>
      </c>
      <c r="CE133">
        <v>0</v>
      </c>
      <c r="CF133">
        <v>0</v>
      </c>
      <c r="CG133">
        <v>39515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1300</v>
      </c>
      <c r="CU133">
        <v>1300</v>
      </c>
      <c r="CV133">
        <v>1300</v>
      </c>
      <c r="CW133">
        <v>3900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3900</v>
      </c>
      <c r="EE133">
        <v>0</v>
      </c>
      <c r="EF133">
        <v>0</v>
      </c>
      <c r="EG133">
        <v>0</v>
      </c>
      <c r="EH133">
        <v>0</v>
      </c>
      <c r="EI133">
        <v>1154</v>
      </c>
      <c r="EJ133">
        <v>1154</v>
      </c>
      <c r="EK133">
        <v>1155</v>
      </c>
      <c r="EL133">
        <v>3500</v>
      </c>
      <c r="EM133">
        <v>37.065000000000005</v>
      </c>
      <c r="EN133">
        <v>660</v>
      </c>
      <c r="EO133">
        <v>660</v>
      </c>
      <c r="EP133">
        <v>660</v>
      </c>
      <c r="EQ133">
        <v>2000</v>
      </c>
      <c r="ER133">
        <v>21.18</v>
      </c>
      <c r="ES133">
        <v>0</v>
      </c>
      <c r="ET133">
        <v>0</v>
      </c>
      <c r="EU133">
        <v>0</v>
      </c>
      <c r="EV133">
        <v>0</v>
      </c>
      <c r="EW133">
        <v>0</v>
      </c>
      <c r="FA133">
        <v>0</v>
      </c>
      <c r="FE133">
        <v>0</v>
      </c>
      <c r="FI133">
        <v>0</v>
      </c>
      <c r="FJ133">
        <v>5441.7550000000001</v>
      </c>
      <c r="FK133">
        <v>35615</v>
      </c>
      <c r="FL133">
        <v>31507.920512927612</v>
      </c>
      <c r="FM133">
        <v>30173.244999999999</v>
      </c>
    </row>
    <row r="134" spans="1:169" x14ac:dyDescent="0.35">
      <c r="A134">
        <v>198108</v>
      </c>
      <c r="B134" s="43" t="s">
        <v>2490</v>
      </c>
      <c r="C134" s="43" t="s">
        <v>2491</v>
      </c>
      <c r="D134" s="43" t="s">
        <v>2492</v>
      </c>
      <c r="E134" s="43" t="s">
        <v>2493</v>
      </c>
      <c r="F134">
        <v>1</v>
      </c>
      <c r="H134" s="23"/>
      <c r="I134">
        <v>43804</v>
      </c>
      <c r="J134" s="43" t="s">
        <v>4241</v>
      </c>
      <c r="K134" s="43" t="s">
        <v>1715</v>
      </c>
      <c r="L134" s="43" t="s">
        <v>259</v>
      </c>
      <c r="M134" s="43" t="s">
        <v>2494</v>
      </c>
      <c r="N134" s="43" t="s">
        <v>2495</v>
      </c>
      <c r="O134" s="43" t="s">
        <v>2496</v>
      </c>
      <c r="P134" s="43" t="s">
        <v>297</v>
      </c>
      <c r="Q134" s="43" t="s">
        <v>2497</v>
      </c>
      <c r="S134" s="23">
        <v>44109</v>
      </c>
      <c r="T134" s="43" t="s">
        <v>311</v>
      </c>
      <c r="U134" s="43" t="s">
        <v>286</v>
      </c>
      <c r="V134" s="43" t="s">
        <v>267</v>
      </c>
      <c r="W134" s="43" t="s">
        <v>1718</v>
      </c>
      <c r="X134" s="43" t="s">
        <v>1719</v>
      </c>
      <c r="Y134">
        <v>8772802835</v>
      </c>
      <c r="Z134" s="43" t="s">
        <v>270</v>
      </c>
      <c r="AA134" s="43" t="s">
        <v>271</v>
      </c>
      <c r="AB134">
        <v>0</v>
      </c>
      <c r="AC134">
        <v>0</v>
      </c>
      <c r="AD134">
        <v>0</v>
      </c>
      <c r="AE134" s="43" t="s">
        <v>376</v>
      </c>
      <c r="AF134">
        <v>7</v>
      </c>
      <c r="AG134" s="43" t="s">
        <v>275</v>
      </c>
      <c r="AJ134" s="23"/>
      <c r="AK134" s="43" t="s">
        <v>259</v>
      </c>
      <c r="AL134" s="43" t="s">
        <v>259</v>
      </c>
      <c r="AM134" s="23"/>
      <c r="AN134" s="23"/>
      <c r="AO134" s="23"/>
      <c r="AP134" s="23"/>
      <c r="AQ134" s="23"/>
      <c r="BB134" s="43"/>
      <c r="BC134" s="43" t="s">
        <v>259</v>
      </c>
      <c r="BD134" s="43" t="s">
        <v>259</v>
      </c>
      <c r="BE134" s="43" t="s">
        <v>259</v>
      </c>
      <c r="BF134" s="43" t="s">
        <v>259</v>
      </c>
      <c r="BG134" s="43" t="s">
        <v>259</v>
      </c>
      <c r="BH134" t="s">
        <v>259</v>
      </c>
      <c r="BI134" s="43" t="s">
        <v>259</v>
      </c>
      <c r="BJ134">
        <v>0</v>
      </c>
      <c r="BK134" s="23">
        <v>44109</v>
      </c>
      <c r="BL134" s="23">
        <v>44356</v>
      </c>
      <c r="BM134">
        <v>8505</v>
      </c>
      <c r="BN134">
        <v>8505</v>
      </c>
      <c r="BO134">
        <v>8505</v>
      </c>
      <c r="BP134">
        <v>25515</v>
      </c>
      <c r="BQ134">
        <v>3300</v>
      </c>
      <c r="BR134">
        <v>400</v>
      </c>
      <c r="BS134">
        <v>400</v>
      </c>
      <c r="BT134">
        <v>4100</v>
      </c>
      <c r="BU134">
        <v>2100</v>
      </c>
      <c r="BV134">
        <v>2100</v>
      </c>
      <c r="BW134">
        <v>2100</v>
      </c>
      <c r="BX134">
        <v>6300</v>
      </c>
      <c r="BY134">
        <v>1200</v>
      </c>
      <c r="BZ134">
        <v>1200</v>
      </c>
      <c r="CA134">
        <v>1200</v>
      </c>
      <c r="CB134">
        <v>3600</v>
      </c>
      <c r="CC134">
        <v>0</v>
      </c>
      <c r="CD134">
        <v>0</v>
      </c>
      <c r="CE134">
        <v>0</v>
      </c>
      <c r="CF134">
        <v>0</v>
      </c>
      <c r="CG134">
        <v>39515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1000</v>
      </c>
      <c r="DC134">
        <v>1000</v>
      </c>
      <c r="DD134">
        <v>1000</v>
      </c>
      <c r="DE134">
        <v>3000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3000</v>
      </c>
      <c r="EE134">
        <v>0</v>
      </c>
      <c r="EF134">
        <v>0</v>
      </c>
      <c r="EG134">
        <v>0</v>
      </c>
      <c r="EH134">
        <v>0</v>
      </c>
      <c r="EI134">
        <v>1154</v>
      </c>
      <c r="EJ134">
        <v>1154</v>
      </c>
      <c r="EK134">
        <v>1155</v>
      </c>
      <c r="EL134">
        <v>3500</v>
      </c>
      <c r="EM134">
        <v>37.065000000000005</v>
      </c>
      <c r="EN134">
        <v>660</v>
      </c>
      <c r="EO134">
        <v>660</v>
      </c>
      <c r="EP134">
        <v>660</v>
      </c>
      <c r="EQ134">
        <v>2000</v>
      </c>
      <c r="ER134">
        <v>21.18</v>
      </c>
      <c r="ES134">
        <v>0</v>
      </c>
      <c r="ET134">
        <v>0</v>
      </c>
      <c r="EU134">
        <v>0</v>
      </c>
      <c r="EV134">
        <v>0</v>
      </c>
      <c r="EW134">
        <v>0</v>
      </c>
      <c r="FA134">
        <v>0</v>
      </c>
      <c r="FE134">
        <v>0</v>
      </c>
      <c r="FI134">
        <v>0</v>
      </c>
      <c r="FJ134">
        <v>5441.7550000000001</v>
      </c>
      <c r="FK134">
        <v>36515</v>
      </c>
      <c r="FL134">
        <v>32447.730880080198</v>
      </c>
      <c r="FM134">
        <v>31073.245000000003</v>
      </c>
    </row>
    <row r="135" spans="1:169" x14ac:dyDescent="0.35">
      <c r="A135">
        <v>192488</v>
      </c>
      <c r="B135" s="43" t="s">
        <v>2498</v>
      </c>
      <c r="C135" s="43" t="s">
        <v>789</v>
      </c>
      <c r="D135" s="43" t="s">
        <v>2499</v>
      </c>
      <c r="E135" s="43" t="s">
        <v>2500</v>
      </c>
      <c r="F135">
        <v>1</v>
      </c>
      <c r="H135" s="23"/>
      <c r="I135">
        <v>43804</v>
      </c>
      <c r="J135" s="43" t="s">
        <v>4242</v>
      </c>
      <c r="K135" s="43" t="s">
        <v>1715</v>
      </c>
      <c r="L135" s="43" t="s">
        <v>259</v>
      </c>
      <c r="M135" s="43" t="s">
        <v>2501</v>
      </c>
      <c r="N135" s="43" t="s">
        <v>2502</v>
      </c>
      <c r="O135" s="43" t="s">
        <v>2503</v>
      </c>
      <c r="P135" s="43" t="s">
        <v>553</v>
      </c>
      <c r="Q135" s="43" t="s">
        <v>2408</v>
      </c>
      <c r="S135" s="23">
        <v>44109</v>
      </c>
      <c r="T135" s="43" t="s">
        <v>285</v>
      </c>
      <c r="U135" s="43" t="s">
        <v>266</v>
      </c>
      <c r="V135" s="43" t="s">
        <v>267</v>
      </c>
      <c r="W135" s="43" t="s">
        <v>1718</v>
      </c>
      <c r="X135" s="43" t="s">
        <v>1719</v>
      </c>
      <c r="Y135">
        <v>8772802835</v>
      </c>
      <c r="Z135" s="43" t="s">
        <v>270</v>
      </c>
      <c r="AA135" s="43" t="s">
        <v>271</v>
      </c>
      <c r="AB135">
        <v>0</v>
      </c>
      <c r="AC135">
        <v>0</v>
      </c>
      <c r="AD135">
        <v>0</v>
      </c>
      <c r="AE135" s="43" t="s">
        <v>376</v>
      </c>
      <c r="AF135">
        <v>7</v>
      </c>
      <c r="AG135" s="43" t="s">
        <v>446</v>
      </c>
      <c r="AJ135" s="23"/>
      <c r="AK135" s="43" t="s">
        <v>259</v>
      </c>
      <c r="AL135" s="43" t="s">
        <v>259</v>
      </c>
      <c r="AM135" s="23"/>
      <c r="AN135" s="23"/>
      <c r="AO135" s="23"/>
      <c r="AP135" s="23"/>
      <c r="AQ135" s="23"/>
      <c r="BB135" s="43"/>
      <c r="BC135" s="43" t="s">
        <v>259</v>
      </c>
      <c r="BD135" s="43" t="s">
        <v>259</v>
      </c>
      <c r="BE135" s="43" t="s">
        <v>259</v>
      </c>
      <c r="BF135" s="43" t="s">
        <v>259</v>
      </c>
      <c r="BG135" s="43" t="s">
        <v>259</v>
      </c>
      <c r="BH135" t="s">
        <v>259</v>
      </c>
      <c r="BI135" s="43" t="s">
        <v>259</v>
      </c>
      <c r="BJ135">
        <v>0</v>
      </c>
      <c r="BK135" s="23">
        <v>44109</v>
      </c>
      <c r="BL135" s="23">
        <v>44356</v>
      </c>
      <c r="BM135">
        <v>8505</v>
      </c>
      <c r="BN135">
        <v>8505</v>
      </c>
      <c r="BO135">
        <v>8505</v>
      </c>
      <c r="BP135">
        <v>25515</v>
      </c>
      <c r="BQ135">
        <v>3300</v>
      </c>
      <c r="BR135">
        <v>400</v>
      </c>
      <c r="BS135">
        <v>400</v>
      </c>
      <c r="BT135">
        <v>4100</v>
      </c>
      <c r="BU135">
        <v>2100</v>
      </c>
      <c r="BV135">
        <v>2100</v>
      </c>
      <c r="BW135">
        <v>2100</v>
      </c>
      <c r="BX135">
        <v>6300</v>
      </c>
      <c r="BY135">
        <v>1200</v>
      </c>
      <c r="BZ135">
        <v>1200</v>
      </c>
      <c r="CA135">
        <v>1200</v>
      </c>
      <c r="CB135">
        <v>3600</v>
      </c>
      <c r="CC135">
        <v>0</v>
      </c>
      <c r="CD135">
        <v>0</v>
      </c>
      <c r="CE135">
        <v>0</v>
      </c>
      <c r="CF135">
        <v>0</v>
      </c>
      <c r="CG135">
        <v>39515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1154</v>
      </c>
      <c r="EJ135">
        <v>1154</v>
      </c>
      <c r="EK135">
        <v>1155</v>
      </c>
      <c r="EL135">
        <v>3500</v>
      </c>
      <c r="EM135">
        <v>37.065000000000005</v>
      </c>
      <c r="EN135">
        <v>660</v>
      </c>
      <c r="EO135">
        <v>660</v>
      </c>
      <c r="EP135">
        <v>660</v>
      </c>
      <c r="EQ135">
        <v>2000</v>
      </c>
      <c r="ER135">
        <v>21.18</v>
      </c>
      <c r="ES135">
        <v>0</v>
      </c>
      <c r="ET135">
        <v>0</v>
      </c>
      <c r="EU135">
        <v>0</v>
      </c>
      <c r="EV135">
        <v>0</v>
      </c>
      <c r="EW135">
        <v>0</v>
      </c>
      <c r="FA135">
        <v>0</v>
      </c>
      <c r="FE135">
        <v>0</v>
      </c>
      <c r="FI135">
        <v>0</v>
      </c>
      <c r="FJ135">
        <v>5441.7550000000001</v>
      </c>
      <c r="FK135">
        <v>39515</v>
      </c>
      <c r="FL135">
        <v>35580.43210392214</v>
      </c>
      <c r="FM135">
        <v>34073.245000000003</v>
      </c>
    </row>
    <row r="136" spans="1:169" x14ac:dyDescent="0.35">
      <c r="A136">
        <v>199429</v>
      </c>
      <c r="B136" s="43" t="s">
        <v>4043</v>
      </c>
      <c r="C136" s="43" t="s">
        <v>2264</v>
      </c>
      <c r="D136" s="43" t="s">
        <v>4044</v>
      </c>
      <c r="E136" s="43" t="s">
        <v>4045</v>
      </c>
      <c r="F136">
        <v>1</v>
      </c>
      <c r="H136" s="23"/>
      <c r="I136">
        <v>43804</v>
      </c>
      <c r="J136" s="43" t="s">
        <v>4242</v>
      </c>
      <c r="K136" s="43" t="s">
        <v>1715</v>
      </c>
      <c r="L136" s="43" t="s">
        <v>259</v>
      </c>
      <c r="M136" s="43" t="s">
        <v>4046</v>
      </c>
      <c r="N136" s="43" t="s">
        <v>4047</v>
      </c>
      <c r="O136" s="43" t="s">
        <v>4048</v>
      </c>
      <c r="P136" s="43" t="s">
        <v>297</v>
      </c>
      <c r="Q136" s="43" t="s">
        <v>4049</v>
      </c>
      <c r="S136" s="23">
        <v>44109</v>
      </c>
      <c r="T136" s="43" t="s">
        <v>285</v>
      </c>
      <c r="U136" s="43" t="s">
        <v>266</v>
      </c>
      <c r="V136" s="43" t="s">
        <v>267</v>
      </c>
      <c r="W136" s="43" t="s">
        <v>1718</v>
      </c>
      <c r="X136" s="43" t="s">
        <v>1719</v>
      </c>
      <c r="Y136">
        <v>8772802835</v>
      </c>
      <c r="Z136" s="43" t="s">
        <v>270</v>
      </c>
      <c r="AA136" s="43" t="s">
        <v>271</v>
      </c>
      <c r="AB136">
        <v>0</v>
      </c>
      <c r="AC136">
        <v>0</v>
      </c>
      <c r="AD136">
        <v>0</v>
      </c>
      <c r="AE136" s="43" t="s">
        <v>364</v>
      </c>
      <c r="AF136">
        <v>3</v>
      </c>
      <c r="AG136" s="43" t="s">
        <v>3345</v>
      </c>
      <c r="AJ136" s="23"/>
      <c r="AK136" s="43" t="s">
        <v>259</v>
      </c>
      <c r="AL136" s="43" t="s">
        <v>259</v>
      </c>
      <c r="AM136" s="23"/>
      <c r="AN136" s="23"/>
      <c r="AO136" s="23"/>
      <c r="AP136" s="23"/>
      <c r="AQ136" s="23"/>
      <c r="BB136" s="43"/>
      <c r="BC136" s="43" t="s">
        <v>259</v>
      </c>
      <c r="BD136" s="43" t="s">
        <v>259</v>
      </c>
      <c r="BE136" s="43" t="s">
        <v>259</v>
      </c>
      <c r="BF136" s="43" t="s">
        <v>259</v>
      </c>
      <c r="BG136" s="43" t="s">
        <v>259</v>
      </c>
      <c r="BH136" t="s">
        <v>259</v>
      </c>
      <c r="BI136" s="43" t="s">
        <v>259</v>
      </c>
      <c r="BJ136">
        <v>0</v>
      </c>
      <c r="BK136" s="23">
        <v>44109</v>
      </c>
      <c r="BL136" s="23">
        <v>44356</v>
      </c>
      <c r="BM136">
        <v>8505</v>
      </c>
      <c r="BN136">
        <v>8505</v>
      </c>
      <c r="BO136">
        <v>8505</v>
      </c>
      <c r="BP136">
        <v>25515</v>
      </c>
      <c r="BQ136">
        <v>3300</v>
      </c>
      <c r="BR136">
        <v>400</v>
      </c>
      <c r="BS136">
        <v>400</v>
      </c>
      <c r="BT136">
        <v>4100</v>
      </c>
      <c r="BU136">
        <v>2100</v>
      </c>
      <c r="BV136">
        <v>2100</v>
      </c>
      <c r="BW136">
        <v>2100</v>
      </c>
      <c r="BX136">
        <v>6300</v>
      </c>
      <c r="BY136">
        <v>1200</v>
      </c>
      <c r="BZ136">
        <v>1200</v>
      </c>
      <c r="CA136">
        <v>1200</v>
      </c>
      <c r="CB136">
        <v>3600</v>
      </c>
      <c r="CC136">
        <v>0</v>
      </c>
      <c r="CD136">
        <v>0</v>
      </c>
      <c r="CE136">
        <v>0</v>
      </c>
      <c r="CF136">
        <v>0</v>
      </c>
      <c r="CG136">
        <v>39515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1300</v>
      </c>
      <c r="CU136">
        <v>1300</v>
      </c>
      <c r="CV136">
        <v>1300</v>
      </c>
      <c r="CW136">
        <v>3900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3900</v>
      </c>
      <c r="EE136">
        <v>0</v>
      </c>
      <c r="EF136">
        <v>0</v>
      </c>
      <c r="EG136">
        <v>0</v>
      </c>
      <c r="EH136">
        <v>0</v>
      </c>
      <c r="EI136">
        <v>1154</v>
      </c>
      <c r="EJ136">
        <v>1154</v>
      </c>
      <c r="EK136">
        <v>1155</v>
      </c>
      <c r="EL136">
        <v>3500</v>
      </c>
      <c r="EM136">
        <v>37.065000000000005</v>
      </c>
      <c r="EN136">
        <v>660</v>
      </c>
      <c r="EO136">
        <v>660</v>
      </c>
      <c r="EP136">
        <v>660</v>
      </c>
      <c r="EQ136">
        <v>2000</v>
      </c>
      <c r="ER136">
        <v>21.18</v>
      </c>
      <c r="ES136">
        <v>0</v>
      </c>
      <c r="ET136">
        <v>0</v>
      </c>
      <c r="EU136">
        <v>0</v>
      </c>
      <c r="EV136">
        <v>0</v>
      </c>
      <c r="EW136">
        <v>0</v>
      </c>
      <c r="FA136">
        <v>0</v>
      </c>
      <c r="FE136">
        <v>0</v>
      </c>
      <c r="FI136">
        <v>0</v>
      </c>
      <c r="FJ136">
        <v>5441.7550000000001</v>
      </c>
      <c r="FK136">
        <v>35615</v>
      </c>
      <c r="FL136">
        <v>31507.920512927612</v>
      </c>
      <c r="FM136">
        <v>30173.244999999999</v>
      </c>
    </row>
    <row r="137" spans="1:169" x14ac:dyDescent="0.35">
      <c r="A137">
        <v>197756</v>
      </c>
      <c r="B137" s="43" t="s">
        <v>3355</v>
      </c>
      <c r="C137" s="43" t="s">
        <v>3356</v>
      </c>
      <c r="D137" s="43" t="s">
        <v>3357</v>
      </c>
      <c r="E137" s="43" t="s">
        <v>3358</v>
      </c>
      <c r="F137">
        <v>1</v>
      </c>
      <c r="G137">
        <v>43790</v>
      </c>
      <c r="H137" s="23">
        <v>43795</v>
      </c>
      <c r="I137">
        <v>43795</v>
      </c>
      <c r="J137" s="43" t="s">
        <v>3421</v>
      </c>
      <c r="K137" s="43" t="s">
        <v>1715</v>
      </c>
      <c r="L137" s="43" t="s">
        <v>301</v>
      </c>
      <c r="M137" s="43" t="s">
        <v>3359</v>
      </c>
      <c r="N137" s="43" t="s">
        <v>3360</v>
      </c>
      <c r="O137" s="43" t="s">
        <v>3361</v>
      </c>
      <c r="P137" s="43" t="s">
        <v>813</v>
      </c>
      <c r="Q137" s="43" t="s">
        <v>3362</v>
      </c>
      <c r="S137" s="23">
        <v>44109</v>
      </c>
      <c r="T137" s="43" t="s">
        <v>311</v>
      </c>
      <c r="U137" s="43" t="s">
        <v>286</v>
      </c>
      <c r="V137" s="43" t="s">
        <v>267</v>
      </c>
      <c r="W137" s="43" t="s">
        <v>1718</v>
      </c>
      <c r="X137" s="43" t="s">
        <v>1719</v>
      </c>
      <c r="Y137">
        <v>8772802835</v>
      </c>
      <c r="Z137" s="43" t="s">
        <v>270</v>
      </c>
      <c r="AA137" s="43" t="s">
        <v>271</v>
      </c>
      <c r="AB137">
        <v>0</v>
      </c>
      <c r="AC137">
        <v>0</v>
      </c>
      <c r="AD137">
        <v>0</v>
      </c>
      <c r="AE137" s="43" t="s">
        <v>376</v>
      </c>
      <c r="AF137">
        <v>7</v>
      </c>
      <c r="AG137" s="43" t="s">
        <v>3345</v>
      </c>
      <c r="AH137">
        <v>0</v>
      </c>
      <c r="AI137">
        <v>0</v>
      </c>
      <c r="AJ137" s="23">
        <v>43774</v>
      </c>
      <c r="AK137" s="43" t="s">
        <v>1715</v>
      </c>
      <c r="AL137" s="43" t="s">
        <v>259</v>
      </c>
      <c r="AM137" s="23">
        <v>43795</v>
      </c>
      <c r="AN137" s="23">
        <v>43795</v>
      </c>
      <c r="AO137" s="23">
        <v>43791</v>
      </c>
      <c r="AP137" s="23"/>
      <c r="AQ137" s="23"/>
      <c r="BB137" s="43"/>
      <c r="BC137" s="43" t="s">
        <v>259</v>
      </c>
      <c r="BD137" s="43" t="s">
        <v>259</v>
      </c>
      <c r="BE137" s="43" t="s">
        <v>259</v>
      </c>
      <c r="BF137" s="43" t="s">
        <v>259</v>
      </c>
      <c r="BG137" s="43" t="s">
        <v>259</v>
      </c>
      <c r="BH137" t="s">
        <v>259</v>
      </c>
      <c r="BI137" s="43" t="s">
        <v>259</v>
      </c>
      <c r="BJ137">
        <v>0.13043478260869568</v>
      </c>
      <c r="BK137" s="23">
        <v>44109</v>
      </c>
      <c r="BL137" s="23">
        <v>44356</v>
      </c>
      <c r="BM137">
        <v>8505</v>
      </c>
      <c r="BN137">
        <v>8505</v>
      </c>
      <c r="BO137">
        <v>8505</v>
      </c>
      <c r="BP137">
        <v>25515</v>
      </c>
      <c r="BQ137">
        <v>3300</v>
      </c>
      <c r="BR137">
        <v>400</v>
      </c>
      <c r="BS137">
        <v>400</v>
      </c>
      <c r="BT137">
        <v>4100</v>
      </c>
      <c r="BU137">
        <v>2100</v>
      </c>
      <c r="BV137">
        <v>2100</v>
      </c>
      <c r="BW137">
        <v>2100</v>
      </c>
      <c r="BX137">
        <v>6300</v>
      </c>
      <c r="BY137">
        <v>900</v>
      </c>
      <c r="BZ137">
        <v>900</v>
      </c>
      <c r="CA137">
        <v>900</v>
      </c>
      <c r="CB137">
        <v>2700</v>
      </c>
      <c r="CC137">
        <v>0</v>
      </c>
      <c r="CD137">
        <v>0</v>
      </c>
      <c r="CE137">
        <v>0</v>
      </c>
      <c r="CF137">
        <v>0</v>
      </c>
      <c r="CG137">
        <v>38615</v>
      </c>
      <c r="CH137">
        <v>0</v>
      </c>
      <c r="CI137">
        <v>0</v>
      </c>
      <c r="CJ137">
        <v>0</v>
      </c>
      <c r="CK137">
        <v>0</v>
      </c>
      <c r="CL137">
        <v>2065</v>
      </c>
      <c r="CM137">
        <v>2065</v>
      </c>
      <c r="CN137">
        <v>2065</v>
      </c>
      <c r="CO137">
        <v>6195</v>
      </c>
      <c r="CP137">
        <v>500</v>
      </c>
      <c r="CQ137">
        <v>500</v>
      </c>
      <c r="CR137">
        <v>500</v>
      </c>
      <c r="CS137">
        <v>1500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1000</v>
      </c>
      <c r="DC137">
        <v>1000</v>
      </c>
      <c r="DD137">
        <v>1000</v>
      </c>
      <c r="DE137">
        <v>3000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10695</v>
      </c>
      <c r="EE137">
        <v>0</v>
      </c>
      <c r="EF137">
        <v>0</v>
      </c>
      <c r="EG137">
        <v>0</v>
      </c>
      <c r="EH137">
        <v>0</v>
      </c>
      <c r="EI137">
        <v>1154</v>
      </c>
      <c r="EJ137">
        <v>1154</v>
      </c>
      <c r="EK137">
        <v>1155</v>
      </c>
      <c r="EL137">
        <v>3500</v>
      </c>
      <c r="EM137">
        <v>37.065000000000005</v>
      </c>
      <c r="EN137">
        <v>1979</v>
      </c>
      <c r="EO137">
        <v>1979</v>
      </c>
      <c r="EP137">
        <v>1979</v>
      </c>
      <c r="EQ137">
        <v>6000</v>
      </c>
      <c r="ER137">
        <v>63.540000000000006</v>
      </c>
      <c r="ES137">
        <v>0</v>
      </c>
      <c r="ET137">
        <v>0</v>
      </c>
      <c r="EU137">
        <v>0</v>
      </c>
      <c r="EW137">
        <v>0</v>
      </c>
      <c r="EX137">
        <v>8107</v>
      </c>
      <c r="EY137">
        <v>5207</v>
      </c>
      <c r="EZ137">
        <v>5207</v>
      </c>
      <c r="FA137">
        <v>18521</v>
      </c>
      <c r="FE137">
        <v>0</v>
      </c>
      <c r="FI137">
        <v>0</v>
      </c>
      <c r="FJ137">
        <v>27920.395</v>
      </c>
      <c r="FK137">
        <v>27920</v>
      </c>
      <c r="FL137">
        <v>-0.41247232780631193</v>
      </c>
      <c r="FM137">
        <v>-0.39500000000043656</v>
      </c>
    </row>
    <row r="138" spans="1:169" x14ac:dyDescent="0.35">
      <c r="A138">
        <v>198323</v>
      </c>
      <c r="B138" s="43" t="s">
        <v>2504</v>
      </c>
      <c r="C138" s="43" t="s">
        <v>2505</v>
      </c>
      <c r="D138" s="43" t="s">
        <v>2506</v>
      </c>
      <c r="E138" s="43" t="s">
        <v>2507</v>
      </c>
      <c r="F138">
        <v>1</v>
      </c>
      <c r="H138" s="23"/>
      <c r="I138">
        <v>43804</v>
      </c>
      <c r="J138" s="43" t="s">
        <v>4245</v>
      </c>
      <c r="K138" s="43" t="s">
        <v>1715</v>
      </c>
      <c r="L138" s="43" t="s">
        <v>3204</v>
      </c>
      <c r="M138" s="43" t="s">
        <v>2508</v>
      </c>
      <c r="N138" s="43" t="s">
        <v>2509</v>
      </c>
      <c r="O138" s="43" t="s">
        <v>2510</v>
      </c>
      <c r="P138" s="43" t="s">
        <v>1514</v>
      </c>
      <c r="Q138" s="43" t="s">
        <v>2511</v>
      </c>
      <c r="S138" s="23">
        <v>44109</v>
      </c>
      <c r="T138" s="43" t="s">
        <v>311</v>
      </c>
      <c r="U138" s="43" t="s">
        <v>266</v>
      </c>
      <c r="V138" s="43" t="s">
        <v>267</v>
      </c>
      <c r="W138" s="43" t="s">
        <v>1718</v>
      </c>
      <c r="X138" s="43" t="s">
        <v>1719</v>
      </c>
      <c r="Y138">
        <v>8772802835</v>
      </c>
      <c r="Z138" s="43" t="s">
        <v>270</v>
      </c>
      <c r="AA138" s="43" t="s">
        <v>271</v>
      </c>
      <c r="AB138">
        <v>29</v>
      </c>
      <c r="AC138">
        <v>0</v>
      </c>
      <c r="AD138">
        <v>110</v>
      </c>
      <c r="AE138" s="43" t="s">
        <v>289</v>
      </c>
      <c r="AF138">
        <v>2</v>
      </c>
      <c r="AG138" s="43" t="s">
        <v>275</v>
      </c>
      <c r="AH138">
        <v>0</v>
      </c>
      <c r="AI138">
        <v>0</v>
      </c>
      <c r="AJ138" s="23">
        <v>43804</v>
      </c>
      <c r="AK138" s="43" t="s">
        <v>3208</v>
      </c>
      <c r="AL138" s="43" t="s">
        <v>3209</v>
      </c>
      <c r="AM138" s="23"/>
      <c r="AN138" s="23"/>
      <c r="AO138" s="23">
        <v>43769</v>
      </c>
      <c r="AP138" s="23"/>
      <c r="AQ138" s="23"/>
      <c r="BB138" s="43"/>
      <c r="BC138" s="43" t="s">
        <v>2018</v>
      </c>
      <c r="BD138" s="43" t="s">
        <v>2018</v>
      </c>
      <c r="BE138" s="43" t="s">
        <v>2018</v>
      </c>
      <c r="BF138" s="43" t="s">
        <v>2018</v>
      </c>
      <c r="BG138" s="43" t="s">
        <v>2018</v>
      </c>
      <c r="BH138" t="s">
        <v>2018</v>
      </c>
      <c r="BI138" s="43" t="s">
        <v>2018</v>
      </c>
      <c r="BJ138">
        <v>6.25E-2</v>
      </c>
      <c r="BK138" s="23">
        <v>44109</v>
      </c>
      <c r="BL138" s="23">
        <v>44356</v>
      </c>
      <c r="BM138">
        <v>8505</v>
      </c>
      <c r="BN138">
        <v>8505</v>
      </c>
      <c r="BO138">
        <v>8505</v>
      </c>
      <c r="BP138">
        <v>25515</v>
      </c>
      <c r="BQ138">
        <v>3300</v>
      </c>
      <c r="BR138">
        <v>400</v>
      </c>
      <c r="BS138">
        <v>400</v>
      </c>
      <c r="BT138">
        <v>4100</v>
      </c>
      <c r="BU138">
        <v>2100</v>
      </c>
      <c r="BV138">
        <v>2100</v>
      </c>
      <c r="BW138">
        <v>2100</v>
      </c>
      <c r="BX138">
        <v>6300</v>
      </c>
      <c r="BY138">
        <v>1200</v>
      </c>
      <c r="BZ138">
        <v>1200</v>
      </c>
      <c r="CA138">
        <v>1200</v>
      </c>
      <c r="CB138">
        <v>3600</v>
      </c>
      <c r="CC138">
        <v>0</v>
      </c>
      <c r="CD138">
        <v>0</v>
      </c>
      <c r="CE138">
        <v>0</v>
      </c>
      <c r="CF138">
        <v>0</v>
      </c>
      <c r="CG138">
        <v>39515</v>
      </c>
      <c r="CH138">
        <v>0</v>
      </c>
      <c r="CI138">
        <v>0</v>
      </c>
      <c r="CJ138">
        <v>0</v>
      </c>
      <c r="CK138">
        <v>0</v>
      </c>
      <c r="CL138">
        <v>2065</v>
      </c>
      <c r="CM138">
        <v>2065</v>
      </c>
      <c r="CN138">
        <v>2065</v>
      </c>
      <c r="CO138">
        <v>6195</v>
      </c>
      <c r="CP138">
        <v>500</v>
      </c>
      <c r="CQ138">
        <v>500</v>
      </c>
      <c r="CR138">
        <v>500</v>
      </c>
      <c r="CS138">
        <v>1500</v>
      </c>
      <c r="CT138">
        <v>1500</v>
      </c>
      <c r="CU138">
        <v>1500</v>
      </c>
      <c r="CV138">
        <v>1500</v>
      </c>
      <c r="CW138">
        <v>4500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12195</v>
      </c>
      <c r="EE138">
        <v>0</v>
      </c>
      <c r="EF138">
        <v>0</v>
      </c>
      <c r="EG138">
        <v>0</v>
      </c>
      <c r="EH138">
        <v>0</v>
      </c>
      <c r="EI138">
        <v>1154</v>
      </c>
      <c r="EJ138">
        <v>1154</v>
      </c>
      <c r="EK138">
        <v>1155</v>
      </c>
      <c r="EL138">
        <v>3500</v>
      </c>
      <c r="EM138">
        <v>37.065000000000005</v>
      </c>
      <c r="EN138">
        <v>660</v>
      </c>
      <c r="EO138">
        <v>660</v>
      </c>
      <c r="EP138">
        <v>660</v>
      </c>
      <c r="EQ138">
        <v>2000</v>
      </c>
      <c r="ER138">
        <v>21.18</v>
      </c>
      <c r="ES138">
        <v>0</v>
      </c>
      <c r="ET138">
        <v>0</v>
      </c>
      <c r="EU138">
        <v>0</v>
      </c>
      <c r="EV138">
        <v>0</v>
      </c>
      <c r="EW138">
        <v>0</v>
      </c>
      <c r="FA138">
        <v>0</v>
      </c>
      <c r="FE138">
        <v>0</v>
      </c>
      <c r="FI138">
        <v>0</v>
      </c>
      <c r="FJ138">
        <v>5441.7550000000001</v>
      </c>
      <c r="FK138">
        <v>27320</v>
      </c>
      <c r="FL138">
        <v>22846.001629004633</v>
      </c>
      <c r="FM138">
        <v>21878.244999999999</v>
      </c>
    </row>
    <row r="139" spans="1:169" x14ac:dyDescent="0.35">
      <c r="A139">
        <v>195966</v>
      </c>
      <c r="B139" s="43" t="s">
        <v>2512</v>
      </c>
      <c r="C139" s="43" t="s">
        <v>2513</v>
      </c>
      <c r="D139" s="43" t="s">
        <v>2514</v>
      </c>
      <c r="E139" s="43" t="s">
        <v>2515</v>
      </c>
      <c r="F139">
        <v>1</v>
      </c>
      <c r="H139" s="23"/>
      <c r="I139">
        <v>43804</v>
      </c>
      <c r="J139" s="43" t="s">
        <v>4242</v>
      </c>
      <c r="K139" s="43" t="s">
        <v>1715</v>
      </c>
      <c r="L139" s="43" t="s">
        <v>259</v>
      </c>
      <c r="M139" s="43" t="s">
        <v>2516</v>
      </c>
      <c r="N139" s="43" t="s">
        <v>2517</v>
      </c>
      <c r="O139" s="43" t="s">
        <v>1477</v>
      </c>
      <c r="P139" s="43" t="s">
        <v>542</v>
      </c>
      <c r="Q139" s="43" t="s">
        <v>2518</v>
      </c>
      <c r="S139" s="23">
        <v>44109</v>
      </c>
      <c r="T139" s="43" t="s">
        <v>544</v>
      </c>
      <c r="U139" s="43" t="s">
        <v>286</v>
      </c>
      <c r="V139" s="43" t="s">
        <v>267</v>
      </c>
      <c r="W139" s="43" t="s">
        <v>1718</v>
      </c>
      <c r="X139" s="43" t="s">
        <v>1719</v>
      </c>
      <c r="Y139">
        <v>8772802835</v>
      </c>
      <c r="Z139" s="43" t="s">
        <v>270</v>
      </c>
      <c r="AA139" s="43" t="s">
        <v>271</v>
      </c>
      <c r="AB139">
        <v>24</v>
      </c>
      <c r="AC139">
        <v>0</v>
      </c>
      <c r="AD139">
        <v>0</v>
      </c>
      <c r="AE139" s="43" t="s">
        <v>376</v>
      </c>
      <c r="AF139">
        <v>7</v>
      </c>
      <c r="AG139" s="43" t="s">
        <v>275</v>
      </c>
      <c r="AJ139" s="23"/>
      <c r="AK139" s="43" t="s">
        <v>259</v>
      </c>
      <c r="AL139" s="43" t="s">
        <v>259</v>
      </c>
      <c r="AM139" s="23"/>
      <c r="AN139" s="23"/>
      <c r="AO139" s="23"/>
      <c r="AP139" s="23"/>
      <c r="AQ139" s="23"/>
      <c r="BB139" s="43"/>
      <c r="BC139" s="43" t="s">
        <v>259</v>
      </c>
      <c r="BD139" s="43" t="s">
        <v>259</v>
      </c>
      <c r="BE139" s="43" t="s">
        <v>259</v>
      </c>
      <c r="BF139" s="43" t="s">
        <v>259</v>
      </c>
      <c r="BG139" s="43" t="s">
        <v>259</v>
      </c>
      <c r="BH139" t="s">
        <v>259</v>
      </c>
      <c r="BI139" s="43" t="s">
        <v>259</v>
      </c>
      <c r="BJ139">
        <v>0</v>
      </c>
      <c r="BK139" s="23">
        <v>44109</v>
      </c>
      <c r="BL139" s="23">
        <v>44356</v>
      </c>
      <c r="BM139">
        <v>8505</v>
      </c>
      <c r="BN139">
        <v>8505</v>
      </c>
      <c r="BO139">
        <v>8505</v>
      </c>
      <c r="BP139">
        <v>25515</v>
      </c>
      <c r="BQ139">
        <v>3300</v>
      </c>
      <c r="BR139">
        <v>400</v>
      </c>
      <c r="BS139">
        <v>400</v>
      </c>
      <c r="BT139">
        <v>4100</v>
      </c>
      <c r="BU139">
        <v>2100</v>
      </c>
      <c r="BV139">
        <v>2100</v>
      </c>
      <c r="BW139">
        <v>2100</v>
      </c>
      <c r="BX139">
        <v>6300</v>
      </c>
      <c r="BY139">
        <v>1200</v>
      </c>
      <c r="BZ139">
        <v>1200</v>
      </c>
      <c r="CA139">
        <v>1200</v>
      </c>
      <c r="CB139">
        <v>3600</v>
      </c>
      <c r="CC139">
        <v>0</v>
      </c>
      <c r="CD139">
        <v>0</v>
      </c>
      <c r="CE139">
        <v>0</v>
      </c>
      <c r="CF139">
        <v>0</v>
      </c>
      <c r="CG139">
        <v>39515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3000</v>
      </c>
      <c r="CY139">
        <v>3000</v>
      </c>
      <c r="CZ139">
        <v>3000</v>
      </c>
      <c r="DA139">
        <v>9000</v>
      </c>
      <c r="DB139">
        <v>1000</v>
      </c>
      <c r="DC139">
        <v>1000</v>
      </c>
      <c r="DD139">
        <v>1000</v>
      </c>
      <c r="DE139">
        <v>3000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12000</v>
      </c>
      <c r="EE139">
        <v>0</v>
      </c>
      <c r="EF139">
        <v>0</v>
      </c>
      <c r="EG139">
        <v>0</v>
      </c>
      <c r="EH139">
        <v>0</v>
      </c>
      <c r="EI139">
        <v>1154</v>
      </c>
      <c r="EJ139">
        <v>1154</v>
      </c>
      <c r="EK139">
        <v>1155</v>
      </c>
      <c r="EL139">
        <v>3500</v>
      </c>
      <c r="EM139">
        <v>37.065000000000005</v>
      </c>
      <c r="EN139">
        <v>660</v>
      </c>
      <c r="EO139">
        <v>660</v>
      </c>
      <c r="EP139">
        <v>660</v>
      </c>
      <c r="EQ139">
        <v>2000</v>
      </c>
      <c r="ER139">
        <v>21.18</v>
      </c>
      <c r="ES139">
        <v>0</v>
      </c>
      <c r="ET139">
        <v>0</v>
      </c>
      <c r="EU139">
        <v>0</v>
      </c>
      <c r="EV139">
        <v>0</v>
      </c>
      <c r="EW139">
        <v>0</v>
      </c>
      <c r="FA139">
        <v>0</v>
      </c>
      <c r="FE139">
        <v>0</v>
      </c>
      <c r="FI139">
        <v>0</v>
      </c>
      <c r="FJ139">
        <v>5441.7550000000001</v>
      </c>
      <c r="FK139">
        <v>27515</v>
      </c>
      <c r="FL139">
        <v>23049.627208554361</v>
      </c>
      <c r="FM139">
        <v>22073.244999999999</v>
      </c>
    </row>
    <row r="140" spans="1:169" x14ac:dyDescent="0.35">
      <c r="A140">
        <v>198230</v>
      </c>
      <c r="B140" s="43" t="s">
        <v>2519</v>
      </c>
      <c r="C140" s="43" t="s">
        <v>2520</v>
      </c>
      <c r="D140" s="43" t="s">
        <v>2521</v>
      </c>
      <c r="E140" s="43" t="s">
        <v>2522</v>
      </c>
      <c r="F140">
        <v>1</v>
      </c>
      <c r="H140" s="23"/>
      <c r="I140">
        <v>43790</v>
      </c>
      <c r="J140" s="43" t="s">
        <v>3304</v>
      </c>
      <c r="K140" s="43" t="s">
        <v>1715</v>
      </c>
      <c r="L140" s="43" t="s">
        <v>3204</v>
      </c>
      <c r="M140" s="43" t="s">
        <v>2523</v>
      </c>
      <c r="N140" s="43" t="s">
        <v>2524</v>
      </c>
      <c r="O140" s="43" t="s">
        <v>2525</v>
      </c>
      <c r="P140" s="43" t="s">
        <v>542</v>
      </c>
      <c r="Q140" s="43" t="s">
        <v>2526</v>
      </c>
      <c r="S140" s="23">
        <v>44109</v>
      </c>
      <c r="T140" s="43" t="s">
        <v>544</v>
      </c>
      <c r="U140" s="43" t="s">
        <v>266</v>
      </c>
      <c r="V140" s="43" t="s">
        <v>267</v>
      </c>
      <c r="W140" s="43" t="s">
        <v>1718</v>
      </c>
      <c r="X140" s="43" t="s">
        <v>1719</v>
      </c>
      <c r="Y140">
        <v>8772802835</v>
      </c>
      <c r="Z140" s="43" t="s">
        <v>270</v>
      </c>
      <c r="AA140" s="43" t="s">
        <v>271</v>
      </c>
      <c r="AB140">
        <v>17</v>
      </c>
      <c r="AC140">
        <v>0</v>
      </c>
      <c r="AD140">
        <v>103</v>
      </c>
      <c r="AE140" s="43" t="s">
        <v>364</v>
      </c>
      <c r="AF140">
        <v>3</v>
      </c>
      <c r="AG140" s="43" t="s">
        <v>446</v>
      </c>
      <c r="AH140">
        <v>3921</v>
      </c>
      <c r="AI140">
        <v>3921</v>
      </c>
      <c r="AJ140" s="23">
        <v>43783</v>
      </c>
      <c r="AK140" s="43" t="s">
        <v>1715</v>
      </c>
      <c r="AL140" s="43" t="s">
        <v>259</v>
      </c>
      <c r="AM140" s="23"/>
      <c r="AN140" s="23"/>
      <c r="AO140" s="23">
        <v>43773</v>
      </c>
      <c r="AP140" s="23"/>
      <c r="AQ140" s="23"/>
      <c r="BB140" s="43"/>
      <c r="BC140" s="43" t="s">
        <v>259</v>
      </c>
      <c r="BD140" s="43" t="s">
        <v>259</v>
      </c>
      <c r="BE140" s="43" t="s">
        <v>259</v>
      </c>
      <c r="BF140" s="43" t="s">
        <v>259</v>
      </c>
      <c r="BG140" s="43" t="s">
        <v>259</v>
      </c>
      <c r="BH140" t="s">
        <v>259</v>
      </c>
      <c r="BI140" s="43" t="s">
        <v>259</v>
      </c>
      <c r="BJ140">
        <v>4.3478260869565188E-2</v>
      </c>
      <c r="BK140" s="23">
        <v>44109</v>
      </c>
      <c r="BL140" s="23">
        <v>44356</v>
      </c>
      <c r="BM140">
        <v>8505</v>
      </c>
      <c r="BN140">
        <v>8505</v>
      </c>
      <c r="BO140">
        <v>8505</v>
      </c>
      <c r="BP140">
        <v>25515</v>
      </c>
      <c r="BQ140">
        <v>3300</v>
      </c>
      <c r="BR140">
        <v>400</v>
      </c>
      <c r="BS140">
        <v>400</v>
      </c>
      <c r="BT140">
        <v>4100</v>
      </c>
      <c r="BU140">
        <v>2100</v>
      </c>
      <c r="BV140">
        <v>2100</v>
      </c>
      <c r="BW140">
        <v>2100</v>
      </c>
      <c r="BX140">
        <v>6300</v>
      </c>
      <c r="BY140">
        <v>1200</v>
      </c>
      <c r="BZ140">
        <v>1200</v>
      </c>
      <c r="CA140">
        <v>1200</v>
      </c>
      <c r="CB140">
        <v>3600</v>
      </c>
      <c r="CC140">
        <v>0</v>
      </c>
      <c r="CD140">
        <v>0</v>
      </c>
      <c r="CE140">
        <v>0</v>
      </c>
      <c r="CF140">
        <v>0</v>
      </c>
      <c r="CG140">
        <v>39515</v>
      </c>
      <c r="CH140">
        <v>0</v>
      </c>
      <c r="CI140">
        <v>0</v>
      </c>
      <c r="CJ140">
        <v>0</v>
      </c>
      <c r="CK140">
        <v>0</v>
      </c>
      <c r="CL140">
        <v>749</v>
      </c>
      <c r="CM140">
        <v>748</v>
      </c>
      <c r="CN140">
        <v>748</v>
      </c>
      <c r="CO140">
        <v>2245</v>
      </c>
      <c r="CP140">
        <v>500</v>
      </c>
      <c r="CQ140">
        <v>500</v>
      </c>
      <c r="CR140">
        <v>500</v>
      </c>
      <c r="CS140">
        <v>1500</v>
      </c>
      <c r="CT140">
        <v>1300</v>
      </c>
      <c r="CU140">
        <v>1300</v>
      </c>
      <c r="CV140">
        <v>1300</v>
      </c>
      <c r="CW140">
        <v>3900</v>
      </c>
      <c r="CX140">
        <v>3000</v>
      </c>
      <c r="CY140">
        <v>3000</v>
      </c>
      <c r="CZ140">
        <v>3000</v>
      </c>
      <c r="DA140">
        <v>9000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16645</v>
      </c>
      <c r="EE140">
        <v>0</v>
      </c>
      <c r="EF140">
        <v>0</v>
      </c>
      <c r="EG140">
        <v>0</v>
      </c>
      <c r="EH140">
        <v>0</v>
      </c>
      <c r="EI140">
        <v>1154</v>
      </c>
      <c r="EJ140">
        <v>1154</v>
      </c>
      <c r="EK140">
        <v>1155</v>
      </c>
      <c r="EL140">
        <v>3500</v>
      </c>
      <c r="EM140">
        <v>37.065000000000005</v>
      </c>
      <c r="EN140">
        <v>660</v>
      </c>
      <c r="EO140">
        <v>660</v>
      </c>
      <c r="EP140">
        <v>660</v>
      </c>
      <c r="EQ140">
        <v>2000</v>
      </c>
      <c r="ER140">
        <v>21.18</v>
      </c>
      <c r="ES140">
        <v>0</v>
      </c>
      <c r="ET140">
        <v>0</v>
      </c>
      <c r="EU140">
        <v>0</v>
      </c>
      <c r="EV140">
        <v>0</v>
      </c>
      <c r="EW140">
        <v>0</v>
      </c>
      <c r="FA140">
        <v>0</v>
      </c>
      <c r="FE140">
        <v>0</v>
      </c>
      <c r="FI140">
        <v>0</v>
      </c>
      <c r="FJ140">
        <v>5441.7550000000001</v>
      </c>
      <c r="FK140">
        <v>22870</v>
      </c>
      <c r="FL140">
        <v>18199.161480305749</v>
      </c>
      <c r="FM140">
        <v>17428.244999999999</v>
      </c>
    </row>
    <row r="141" spans="1:169" x14ac:dyDescent="0.35">
      <c r="A141">
        <v>199370</v>
      </c>
      <c r="B141" s="43" t="s">
        <v>3687</v>
      </c>
      <c r="C141" s="43" t="s">
        <v>529</v>
      </c>
      <c r="D141" s="43" t="s">
        <v>3688</v>
      </c>
      <c r="E141" s="43" t="s">
        <v>3689</v>
      </c>
      <c r="F141">
        <v>1</v>
      </c>
      <c r="G141">
        <v>43802</v>
      </c>
      <c r="H141" s="23">
        <v>43802</v>
      </c>
      <c r="I141">
        <v>43802</v>
      </c>
      <c r="J141" s="43" t="s">
        <v>4251</v>
      </c>
      <c r="K141" s="43" t="s">
        <v>1715</v>
      </c>
      <c r="L141" s="43" t="s">
        <v>3204</v>
      </c>
      <c r="M141" s="43" t="s">
        <v>3690</v>
      </c>
      <c r="N141" s="43" t="s">
        <v>3691</v>
      </c>
      <c r="O141" s="43" t="s">
        <v>3692</v>
      </c>
      <c r="P141" s="43" t="s">
        <v>342</v>
      </c>
      <c r="Q141" s="43" t="s">
        <v>3693</v>
      </c>
      <c r="S141" s="23">
        <v>44109</v>
      </c>
      <c r="T141" s="43" t="s">
        <v>311</v>
      </c>
      <c r="U141" s="43" t="s">
        <v>266</v>
      </c>
      <c r="V141" s="43" t="s">
        <v>267</v>
      </c>
      <c r="W141" s="43" t="s">
        <v>1718</v>
      </c>
      <c r="X141" s="43" t="s">
        <v>1719</v>
      </c>
      <c r="Y141">
        <v>8772802835</v>
      </c>
      <c r="Z141" s="43" t="s">
        <v>270</v>
      </c>
      <c r="AA141" s="43" t="s">
        <v>271</v>
      </c>
      <c r="AB141">
        <v>0</v>
      </c>
      <c r="AC141">
        <v>1020</v>
      </c>
      <c r="AD141">
        <v>108</v>
      </c>
      <c r="AE141" s="43" t="s">
        <v>445</v>
      </c>
      <c r="AF141">
        <v>4</v>
      </c>
      <c r="AG141" s="43" t="s">
        <v>3345</v>
      </c>
      <c r="AH141">
        <v>2010</v>
      </c>
      <c r="AI141">
        <v>2010</v>
      </c>
      <c r="AJ141" s="23">
        <v>43804</v>
      </c>
      <c r="AK141" s="43" t="s">
        <v>1715</v>
      </c>
      <c r="AL141" s="43" t="s">
        <v>259</v>
      </c>
      <c r="AM141" s="23"/>
      <c r="AN141" s="23"/>
      <c r="AO141" s="23"/>
      <c r="AP141" s="23"/>
      <c r="AQ141" s="23"/>
      <c r="BB141" s="43"/>
      <c r="BC141" s="43" t="s">
        <v>259</v>
      </c>
      <c r="BD141" s="43" t="s">
        <v>259</v>
      </c>
      <c r="BE141" s="43" t="s">
        <v>259</v>
      </c>
      <c r="BF141" s="43" t="s">
        <v>259</v>
      </c>
      <c r="BG141" s="43" t="s">
        <v>259</v>
      </c>
      <c r="BH141" t="s">
        <v>259</v>
      </c>
      <c r="BI141" s="43" t="s">
        <v>259</v>
      </c>
      <c r="BJ141">
        <v>0</v>
      </c>
      <c r="BK141" s="23">
        <v>44109</v>
      </c>
      <c r="BL141" s="23">
        <v>44356</v>
      </c>
      <c r="BM141">
        <v>8505</v>
      </c>
      <c r="BN141">
        <v>8505</v>
      </c>
      <c r="BO141">
        <v>8505</v>
      </c>
      <c r="BP141">
        <v>25515</v>
      </c>
      <c r="BQ141">
        <v>3300</v>
      </c>
      <c r="BR141">
        <v>400</v>
      </c>
      <c r="BS141">
        <v>400</v>
      </c>
      <c r="BT141">
        <v>4100</v>
      </c>
      <c r="BU141">
        <v>2100</v>
      </c>
      <c r="BV141">
        <v>2100</v>
      </c>
      <c r="BW141">
        <v>2100</v>
      </c>
      <c r="BX141">
        <v>6300</v>
      </c>
      <c r="BY141">
        <v>1200</v>
      </c>
      <c r="BZ141">
        <v>1200</v>
      </c>
      <c r="CA141">
        <v>1200</v>
      </c>
      <c r="CB141">
        <v>3600</v>
      </c>
      <c r="CC141">
        <v>0</v>
      </c>
      <c r="CD141">
        <v>0</v>
      </c>
      <c r="CE141">
        <v>0</v>
      </c>
      <c r="CF141">
        <v>0</v>
      </c>
      <c r="CG141">
        <v>39515</v>
      </c>
      <c r="CH141">
        <v>0</v>
      </c>
      <c r="CI141">
        <v>0</v>
      </c>
      <c r="CJ141">
        <v>0</v>
      </c>
      <c r="CK141">
        <v>0</v>
      </c>
      <c r="CL141">
        <v>1382</v>
      </c>
      <c r="CM141">
        <v>1382</v>
      </c>
      <c r="CN141">
        <v>1381</v>
      </c>
      <c r="CO141">
        <v>4145</v>
      </c>
      <c r="CP141">
        <v>500</v>
      </c>
      <c r="CQ141">
        <v>500</v>
      </c>
      <c r="CR141">
        <v>500</v>
      </c>
      <c r="CS141">
        <v>1500</v>
      </c>
      <c r="CT141">
        <v>1250</v>
      </c>
      <c r="CU141">
        <v>1250</v>
      </c>
      <c r="CV141">
        <v>1250</v>
      </c>
      <c r="CW141">
        <v>3750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9395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M141">
        <v>0</v>
      </c>
      <c r="EN141">
        <v>660</v>
      </c>
      <c r="EO141">
        <v>660</v>
      </c>
      <c r="EP141">
        <v>660</v>
      </c>
      <c r="EQ141">
        <v>2000</v>
      </c>
      <c r="ER141">
        <v>21.18</v>
      </c>
      <c r="ES141">
        <v>0</v>
      </c>
      <c r="ET141">
        <v>0</v>
      </c>
      <c r="EU141">
        <v>0</v>
      </c>
      <c r="EW141">
        <v>0</v>
      </c>
      <c r="FA141">
        <v>0</v>
      </c>
      <c r="FE141">
        <v>0</v>
      </c>
      <c r="FI141">
        <v>0</v>
      </c>
      <c r="FJ141">
        <v>1978.82</v>
      </c>
      <c r="FK141">
        <v>30120</v>
      </c>
      <c r="FL141">
        <v>29385.969675452154</v>
      </c>
      <c r="FM141">
        <v>28141.18</v>
      </c>
    </row>
    <row r="142" spans="1:169" x14ac:dyDescent="0.35">
      <c r="A142">
        <v>197462</v>
      </c>
      <c r="B142" s="43" t="s">
        <v>2527</v>
      </c>
      <c r="C142" s="43" t="s">
        <v>1258</v>
      </c>
      <c r="D142" s="43" t="s">
        <v>2528</v>
      </c>
      <c r="E142" s="43" t="s">
        <v>2529</v>
      </c>
      <c r="F142">
        <v>1</v>
      </c>
      <c r="H142" s="23"/>
      <c r="I142">
        <v>43804</v>
      </c>
      <c r="J142" s="43" t="s">
        <v>4241</v>
      </c>
      <c r="K142" s="43" t="s">
        <v>1715</v>
      </c>
      <c r="L142" s="43" t="s">
        <v>259</v>
      </c>
      <c r="M142" s="43" t="s">
        <v>2530</v>
      </c>
      <c r="N142" s="43" t="s">
        <v>2531</v>
      </c>
      <c r="O142" s="43" t="s">
        <v>2532</v>
      </c>
      <c r="P142" s="43" t="s">
        <v>263</v>
      </c>
      <c r="Q142" s="43" t="s">
        <v>2533</v>
      </c>
      <c r="S142" s="23">
        <v>44109</v>
      </c>
      <c r="T142" s="43" t="s">
        <v>285</v>
      </c>
      <c r="U142" s="43" t="s">
        <v>286</v>
      </c>
      <c r="V142" s="43" t="s">
        <v>267</v>
      </c>
      <c r="W142" s="43" t="s">
        <v>1718</v>
      </c>
      <c r="X142" s="43" t="s">
        <v>1719</v>
      </c>
      <c r="Y142">
        <v>8772802835</v>
      </c>
      <c r="Z142" s="43" t="s">
        <v>270</v>
      </c>
      <c r="AA142" s="43" t="s">
        <v>271</v>
      </c>
      <c r="AB142">
        <v>19</v>
      </c>
      <c r="AC142">
        <v>0</v>
      </c>
      <c r="AD142">
        <v>85</v>
      </c>
      <c r="AE142" s="43" t="s">
        <v>344</v>
      </c>
      <c r="AF142">
        <v>10</v>
      </c>
      <c r="AG142" s="43" t="s">
        <v>275</v>
      </c>
      <c r="AJ142" s="23"/>
      <c r="AK142" s="43" t="s">
        <v>259</v>
      </c>
      <c r="AL142" s="43" t="s">
        <v>259</v>
      </c>
      <c r="AM142" s="23"/>
      <c r="AN142" s="23"/>
      <c r="AO142" s="23"/>
      <c r="AP142" s="23"/>
      <c r="AQ142" s="23"/>
      <c r="BB142" s="43"/>
      <c r="BC142" s="43" t="s">
        <v>259</v>
      </c>
      <c r="BD142" s="43" t="s">
        <v>259</v>
      </c>
      <c r="BE142" s="43" t="s">
        <v>259</v>
      </c>
      <c r="BF142" s="43" t="s">
        <v>259</v>
      </c>
      <c r="BG142" s="43" t="s">
        <v>259</v>
      </c>
      <c r="BH142" t="s">
        <v>259</v>
      </c>
      <c r="BI142" s="43" t="s">
        <v>259</v>
      </c>
      <c r="BJ142">
        <v>0</v>
      </c>
      <c r="BK142" s="23">
        <v>44109</v>
      </c>
      <c r="BL142" s="23">
        <v>44356</v>
      </c>
      <c r="BM142">
        <v>8505</v>
      </c>
      <c r="BN142">
        <v>8505</v>
      </c>
      <c r="BO142">
        <v>8505</v>
      </c>
      <c r="BP142">
        <v>25515</v>
      </c>
      <c r="BQ142">
        <v>3300</v>
      </c>
      <c r="BR142">
        <v>400</v>
      </c>
      <c r="BS142">
        <v>400</v>
      </c>
      <c r="BT142">
        <v>4100</v>
      </c>
      <c r="BU142">
        <v>2100</v>
      </c>
      <c r="BV142">
        <v>2100</v>
      </c>
      <c r="BW142">
        <v>2100</v>
      </c>
      <c r="BX142">
        <v>6300</v>
      </c>
      <c r="BY142">
        <v>1200</v>
      </c>
      <c r="BZ142">
        <v>1200</v>
      </c>
      <c r="CA142">
        <v>1200</v>
      </c>
      <c r="CB142">
        <v>3600</v>
      </c>
      <c r="CC142">
        <v>0</v>
      </c>
      <c r="CD142">
        <v>0</v>
      </c>
      <c r="CE142">
        <v>0</v>
      </c>
      <c r="CF142">
        <v>0</v>
      </c>
      <c r="CG142">
        <v>39515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1000</v>
      </c>
      <c r="DC142">
        <v>1000</v>
      </c>
      <c r="DD142">
        <v>1000</v>
      </c>
      <c r="DE142">
        <v>3000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3000</v>
      </c>
      <c r="EE142">
        <v>0</v>
      </c>
      <c r="EF142">
        <v>0</v>
      </c>
      <c r="EG142">
        <v>0</v>
      </c>
      <c r="EH142">
        <v>0</v>
      </c>
      <c r="EI142">
        <v>1154</v>
      </c>
      <c r="EJ142">
        <v>1154</v>
      </c>
      <c r="EK142">
        <v>1155</v>
      </c>
      <c r="EL142">
        <v>3500</v>
      </c>
      <c r="EM142">
        <v>37.065000000000005</v>
      </c>
      <c r="EN142">
        <v>660</v>
      </c>
      <c r="EO142">
        <v>660</v>
      </c>
      <c r="EP142">
        <v>660</v>
      </c>
      <c r="EQ142">
        <v>2000</v>
      </c>
      <c r="ER142">
        <v>21.18</v>
      </c>
      <c r="ES142">
        <v>0</v>
      </c>
      <c r="ET142">
        <v>0</v>
      </c>
      <c r="EU142">
        <v>0</v>
      </c>
      <c r="EV142">
        <v>0</v>
      </c>
      <c r="EW142">
        <v>0</v>
      </c>
      <c r="FA142">
        <v>0</v>
      </c>
      <c r="FE142">
        <v>0</v>
      </c>
      <c r="FI142">
        <v>0</v>
      </c>
      <c r="FJ142">
        <v>5441.7550000000001</v>
      </c>
      <c r="FK142">
        <v>36515</v>
      </c>
      <c r="FL142">
        <v>32447.730880080198</v>
      </c>
      <c r="FM142">
        <v>31073.245000000003</v>
      </c>
    </row>
    <row r="143" spans="1:169" x14ac:dyDescent="0.35">
      <c r="A143">
        <v>196007</v>
      </c>
      <c r="B143" s="43" t="s">
        <v>2534</v>
      </c>
      <c r="C143" s="43" t="s">
        <v>2535</v>
      </c>
      <c r="D143" s="43" t="s">
        <v>2536</v>
      </c>
      <c r="E143" s="43" t="s">
        <v>2537</v>
      </c>
      <c r="F143">
        <v>1</v>
      </c>
      <c r="H143" s="23"/>
      <c r="I143">
        <v>43804</v>
      </c>
      <c r="J143" s="43" t="s">
        <v>4240</v>
      </c>
      <c r="K143" s="43" t="s">
        <v>1715</v>
      </c>
      <c r="L143" s="43" t="s">
        <v>3204</v>
      </c>
      <c r="M143" s="43" t="s">
        <v>2538</v>
      </c>
      <c r="N143" s="43" t="s">
        <v>2539</v>
      </c>
      <c r="O143" s="43" t="s">
        <v>2540</v>
      </c>
      <c r="P143" s="43" t="s">
        <v>1018</v>
      </c>
      <c r="Q143" s="43" t="s">
        <v>2541</v>
      </c>
      <c r="S143" s="23">
        <v>44109</v>
      </c>
      <c r="T143" s="43" t="s">
        <v>265</v>
      </c>
      <c r="U143" s="43" t="s">
        <v>286</v>
      </c>
      <c r="V143" s="43" t="s">
        <v>267</v>
      </c>
      <c r="W143" s="43" t="s">
        <v>1718</v>
      </c>
      <c r="X143" s="43" t="s">
        <v>1719</v>
      </c>
      <c r="Y143">
        <v>8772802835</v>
      </c>
      <c r="Z143" s="43" t="s">
        <v>270</v>
      </c>
      <c r="AA143" s="43" t="s">
        <v>271</v>
      </c>
      <c r="AB143">
        <v>0</v>
      </c>
      <c r="AC143">
        <v>1190</v>
      </c>
      <c r="AD143">
        <v>124</v>
      </c>
      <c r="AE143" s="43" t="s">
        <v>301</v>
      </c>
      <c r="AF143">
        <v>1</v>
      </c>
      <c r="AG143" s="43" t="s">
        <v>446</v>
      </c>
      <c r="AH143">
        <v>2586</v>
      </c>
      <c r="AI143">
        <v>2586</v>
      </c>
      <c r="AJ143" s="23">
        <v>43790</v>
      </c>
      <c r="AK143" s="43" t="s">
        <v>3208</v>
      </c>
      <c r="AL143" s="43" t="s">
        <v>3209</v>
      </c>
      <c r="AM143" s="23"/>
      <c r="AN143" s="23"/>
      <c r="AO143" s="23"/>
      <c r="AP143" s="23"/>
      <c r="AQ143" s="23"/>
      <c r="BB143" s="43"/>
      <c r="BC143" s="43" t="s">
        <v>2018</v>
      </c>
      <c r="BD143" s="43" t="s">
        <v>2018</v>
      </c>
      <c r="BE143" s="43" t="s">
        <v>2018</v>
      </c>
      <c r="BF143" s="43" t="s">
        <v>2018</v>
      </c>
      <c r="BG143" s="43" t="s">
        <v>2018</v>
      </c>
      <c r="BH143" t="s">
        <v>2018</v>
      </c>
      <c r="BI143" s="43" t="s">
        <v>2018</v>
      </c>
      <c r="BJ143">
        <v>0</v>
      </c>
      <c r="BK143" s="23">
        <v>44109</v>
      </c>
      <c r="BL143" s="23">
        <v>44356</v>
      </c>
      <c r="BM143">
        <v>8505</v>
      </c>
      <c r="BN143">
        <v>8505</v>
      </c>
      <c r="BO143">
        <v>8505</v>
      </c>
      <c r="BP143">
        <v>25515</v>
      </c>
      <c r="BQ143">
        <v>3300</v>
      </c>
      <c r="BR143">
        <v>400</v>
      </c>
      <c r="BS143">
        <v>400</v>
      </c>
      <c r="BT143">
        <v>4100</v>
      </c>
      <c r="BU143">
        <v>2100</v>
      </c>
      <c r="BV143">
        <v>2100</v>
      </c>
      <c r="BW143">
        <v>2100</v>
      </c>
      <c r="BX143">
        <v>6300</v>
      </c>
      <c r="BY143">
        <v>1200</v>
      </c>
      <c r="BZ143">
        <v>1200</v>
      </c>
      <c r="CA143">
        <v>1200</v>
      </c>
      <c r="CB143">
        <v>3600</v>
      </c>
      <c r="CC143">
        <v>0</v>
      </c>
      <c r="CD143">
        <v>0</v>
      </c>
      <c r="CE143">
        <v>0</v>
      </c>
      <c r="CF143">
        <v>0</v>
      </c>
      <c r="CG143">
        <v>39515</v>
      </c>
      <c r="CH143">
        <v>0</v>
      </c>
      <c r="CI143">
        <v>0</v>
      </c>
      <c r="CJ143">
        <v>0</v>
      </c>
      <c r="CK143">
        <v>0</v>
      </c>
      <c r="CL143">
        <v>1215</v>
      </c>
      <c r="CM143">
        <v>1215</v>
      </c>
      <c r="CN143">
        <v>1215</v>
      </c>
      <c r="CO143">
        <v>3645</v>
      </c>
      <c r="CP143">
        <v>500</v>
      </c>
      <c r="CQ143">
        <v>500</v>
      </c>
      <c r="CR143">
        <v>500</v>
      </c>
      <c r="CS143">
        <v>1500</v>
      </c>
      <c r="CT143">
        <v>1700</v>
      </c>
      <c r="CU143">
        <v>1700</v>
      </c>
      <c r="CV143">
        <v>1700</v>
      </c>
      <c r="CW143">
        <v>5100</v>
      </c>
      <c r="CX143">
        <v>0</v>
      </c>
      <c r="CY143">
        <v>0</v>
      </c>
      <c r="CZ143">
        <v>0</v>
      </c>
      <c r="DA143">
        <v>0</v>
      </c>
      <c r="DB143">
        <v>1000</v>
      </c>
      <c r="DC143">
        <v>1000</v>
      </c>
      <c r="DD143">
        <v>1000</v>
      </c>
      <c r="DE143">
        <v>3000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13245</v>
      </c>
      <c r="EE143">
        <v>0</v>
      </c>
      <c r="EF143">
        <v>0</v>
      </c>
      <c r="EG143">
        <v>0</v>
      </c>
      <c r="EH143">
        <v>0</v>
      </c>
      <c r="EI143">
        <v>1154</v>
      </c>
      <c r="EJ143">
        <v>1154</v>
      </c>
      <c r="EK143">
        <v>1155</v>
      </c>
      <c r="EL143">
        <v>3500</v>
      </c>
      <c r="EM143">
        <v>37.065000000000005</v>
      </c>
      <c r="EN143">
        <v>660</v>
      </c>
      <c r="EO143">
        <v>660</v>
      </c>
      <c r="EP143">
        <v>660</v>
      </c>
      <c r="EQ143">
        <v>2000</v>
      </c>
      <c r="ER143">
        <v>21.18</v>
      </c>
      <c r="ES143">
        <v>0</v>
      </c>
      <c r="ET143">
        <v>0</v>
      </c>
      <c r="EU143">
        <v>0</v>
      </c>
      <c r="EV143">
        <v>0</v>
      </c>
      <c r="EW143">
        <v>0</v>
      </c>
      <c r="FA143">
        <v>0</v>
      </c>
      <c r="FE143">
        <v>0</v>
      </c>
      <c r="FI143">
        <v>0</v>
      </c>
      <c r="FJ143">
        <v>5441.7550000000001</v>
      </c>
      <c r="FK143">
        <v>26270</v>
      </c>
      <c r="FL143">
        <v>21749.556200659954</v>
      </c>
      <c r="FM143">
        <v>20828.244999999999</v>
      </c>
    </row>
    <row r="144" spans="1:169" x14ac:dyDescent="0.35">
      <c r="A144">
        <v>195435</v>
      </c>
      <c r="B144" s="43" t="s">
        <v>2542</v>
      </c>
      <c r="C144" s="43" t="s">
        <v>1348</v>
      </c>
      <c r="D144" s="43" t="s">
        <v>2543</v>
      </c>
      <c r="E144" s="43" t="s">
        <v>2544</v>
      </c>
      <c r="F144">
        <v>1</v>
      </c>
      <c r="H144" s="23"/>
      <c r="I144">
        <v>43782</v>
      </c>
      <c r="J144" s="43" t="s">
        <v>3304</v>
      </c>
      <c r="K144" s="43" t="s">
        <v>1715</v>
      </c>
      <c r="L144" s="43" t="s">
        <v>3204</v>
      </c>
      <c r="M144" s="43" t="s">
        <v>2545</v>
      </c>
      <c r="N144" s="43" t="s">
        <v>2546</v>
      </c>
      <c r="O144" s="43" t="s">
        <v>2547</v>
      </c>
      <c r="P144" s="43" t="s">
        <v>1046</v>
      </c>
      <c r="Q144" s="43" t="s">
        <v>2548</v>
      </c>
      <c r="S144" s="23">
        <v>44109</v>
      </c>
      <c r="T144" s="43" t="s">
        <v>311</v>
      </c>
      <c r="U144" s="43" t="s">
        <v>266</v>
      </c>
      <c r="V144" s="43" t="s">
        <v>267</v>
      </c>
      <c r="W144" s="43" t="s">
        <v>1718</v>
      </c>
      <c r="X144" s="43" t="s">
        <v>1719</v>
      </c>
      <c r="Y144">
        <v>8772802835</v>
      </c>
      <c r="Z144" s="43" t="s">
        <v>270</v>
      </c>
      <c r="AA144" s="43" t="s">
        <v>271</v>
      </c>
      <c r="AB144">
        <v>0</v>
      </c>
      <c r="AC144">
        <v>0</v>
      </c>
      <c r="AD144">
        <v>0</v>
      </c>
      <c r="AE144" s="43" t="s">
        <v>416</v>
      </c>
      <c r="AF144">
        <v>5</v>
      </c>
      <c r="AG144" s="43" t="s">
        <v>275</v>
      </c>
      <c r="AH144">
        <v>11473</v>
      </c>
      <c r="AI144">
        <v>11473</v>
      </c>
      <c r="AJ144" s="23">
        <v>43774</v>
      </c>
      <c r="AK144" s="43" t="s">
        <v>3208</v>
      </c>
      <c r="AL144" s="43" t="s">
        <v>3209</v>
      </c>
      <c r="AM144" s="23"/>
      <c r="AN144" s="23"/>
      <c r="AO144" s="23"/>
      <c r="AP144" s="23"/>
      <c r="AQ144" s="23"/>
      <c r="BB144" s="43"/>
      <c r="BC144" s="43" t="s">
        <v>2018</v>
      </c>
      <c r="BD144" s="43" t="s">
        <v>2018</v>
      </c>
      <c r="BE144" s="43" t="s">
        <v>2018</v>
      </c>
      <c r="BF144" s="43" t="s">
        <v>2018</v>
      </c>
      <c r="BG144" s="43" t="s">
        <v>2018</v>
      </c>
      <c r="BH144" t="s">
        <v>2018</v>
      </c>
      <c r="BI144" s="43" t="s">
        <v>2018</v>
      </c>
      <c r="BJ144">
        <v>0</v>
      </c>
      <c r="BK144" s="23">
        <v>44109</v>
      </c>
      <c r="BL144" s="23">
        <v>44356</v>
      </c>
      <c r="BM144">
        <v>8505</v>
      </c>
      <c r="BN144">
        <v>8505</v>
      </c>
      <c r="BO144">
        <v>8505</v>
      </c>
      <c r="BP144">
        <v>25515</v>
      </c>
      <c r="BQ144">
        <v>3300</v>
      </c>
      <c r="BR144">
        <v>400</v>
      </c>
      <c r="BS144">
        <v>400</v>
      </c>
      <c r="BT144">
        <v>4100</v>
      </c>
      <c r="BU144">
        <v>2100</v>
      </c>
      <c r="BV144">
        <v>2100</v>
      </c>
      <c r="BW144">
        <v>2100</v>
      </c>
      <c r="BX144">
        <v>6300</v>
      </c>
      <c r="BY144">
        <v>1200</v>
      </c>
      <c r="BZ144">
        <v>1200</v>
      </c>
      <c r="CA144">
        <v>1200</v>
      </c>
      <c r="CB144">
        <v>3600</v>
      </c>
      <c r="CC144">
        <v>0</v>
      </c>
      <c r="CD144">
        <v>0</v>
      </c>
      <c r="CE144">
        <v>0</v>
      </c>
      <c r="CF144">
        <v>0</v>
      </c>
      <c r="CG144">
        <v>39515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1000</v>
      </c>
      <c r="CU144">
        <v>1000</v>
      </c>
      <c r="CV144">
        <v>1000</v>
      </c>
      <c r="CW144">
        <v>3000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3000</v>
      </c>
      <c r="EE144">
        <v>0</v>
      </c>
      <c r="EF144">
        <v>0</v>
      </c>
      <c r="EG144">
        <v>0</v>
      </c>
      <c r="EH144">
        <v>0</v>
      </c>
      <c r="EI144">
        <v>1154</v>
      </c>
      <c r="EJ144">
        <v>1154</v>
      </c>
      <c r="EK144">
        <v>1155</v>
      </c>
      <c r="EL144">
        <v>3500</v>
      </c>
      <c r="EM144">
        <v>37.065000000000005</v>
      </c>
      <c r="EN144">
        <v>660</v>
      </c>
      <c r="EO144">
        <v>660</v>
      </c>
      <c r="EP144">
        <v>660</v>
      </c>
      <c r="EQ144">
        <v>2000</v>
      </c>
      <c r="ER144">
        <v>21.18</v>
      </c>
      <c r="ES144">
        <v>0</v>
      </c>
      <c r="ET144">
        <v>0</v>
      </c>
      <c r="EU144">
        <v>0</v>
      </c>
      <c r="EV144">
        <v>0</v>
      </c>
      <c r="EW144">
        <v>0</v>
      </c>
      <c r="FA144">
        <v>0</v>
      </c>
      <c r="FE144">
        <v>0</v>
      </c>
      <c r="FI144">
        <v>0</v>
      </c>
      <c r="FJ144">
        <v>5441.7550000000001</v>
      </c>
      <c r="FK144">
        <v>36515</v>
      </c>
      <c r="FL144">
        <v>32447.730880080198</v>
      </c>
      <c r="FM144">
        <v>31073.245000000003</v>
      </c>
    </row>
    <row r="145" spans="1:169" x14ac:dyDescent="0.35">
      <c r="A145">
        <v>197432</v>
      </c>
      <c r="B145" s="43" t="s">
        <v>3363</v>
      </c>
      <c r="C145" s="43" t="s">
        <v>3364</v>
      </c>
      <c r="D145" s="43" t="s">
        <v>3365</v>
      </c>
      <c r="E145" s="43" t="s">
        <v>3366</v>
      </c>
      <c r="F145">
        <v>1</v>
      </c>
      <c r="H145" s="23"/>
      <c r="I145">
        <v>43802</v>
      </c>
      <c r="J145" s="43" t="s">
        <v>3304</v>
      </c>
      <c r="K145" s="43" t="s">
        <v>1715</v>
      </c>
      <c r="L145" s="43" t="s">
        <v>259</v>
      </c>
      <c r="M145" s="43" t="s">
        <v>3367</v>
      </c>
      <c r="N145" s="43" t="s">
        <v>3368</v>
      </c>
      <c r="O145" s="43" t="s">
        <v>3369</v>
      </c>
      <c r="P145" s="43" t="s">
        <v>759</v>
      </c>
      <c r="Q145" s="43" t="s">
        <v>3370</v>
      </c>
      <c r="S145" s="23">
        <v>44109</v>
      </c>
      <c r="T145" s="43" t="s">
        <v>311</v>
      </c>
      <c r="U145" s="43" t="s">
        <v>286</v>
      </c>
      <c r="V145" s="43" t="s">
        <v>267</v>
      </c>
      <c r="W145" s="43" t="s">
        <v>1718</v>
      </c>
      <c r="X145" s="43" t="s">
        <v>1719</v>
      </c>
      <c r="Y145">
        <v>8772802835</v>
      </c>
      <c r="Z145" s="43" t="s">
        <v>270</v>
      </c>
      <c r="AA145" s="43" t="s">
        <v>271</v>
      </c>
      <c r="AB145">
        <v>26</v>
      </c>
      <c r="AC145">
        <v>1260</v>
      </c>
      <c r="AD145">
        <v>125</v>
      </c>
      <c r="AE145" s="43" t="s">
        <v>301</v>
      </c>
      <c r="AF145">
        <v>1</v>
      </c>
      <c r="AG145" s="43" t="s">
        <v>3345</v>
      </c>
      <c r="AJ145" s="23"/>
      <c r="AK145" s="43" t="s">
        <v>259</v>
      </c>
      <c r="AL145" s="43" t="s">
        <v>259</v>
      </c>
      <c r="AM145" s="23"/>
      <c r="AN145" s="23"/>
      <c r="AO145" s="23">
        <v>43782</v>
      </c>
      <c r="AP145" s="23"/>
      <c r="AQ145" s="23"/>
      <c r="BB145" s="43"/>
      <c r="BC145" s="43" t="s">
        <v>259</v>
      </c>
      <c r="BD145" s="43" t="s">
        <v>259</v>
      </c>
      <c r="BE145" s="43" t="s">
        <v>259</v>
      </c>
      <c r="BF145" s="43" t="s">
        <v>259</v>
      </c>
      <c r="BG145" s="43" t="s">
        <v>259</v>
      </c>
      <c r="BH145" t="s">
        <v>259</v>
      </c>
      <c r="BI145" s="43" t="s">
        <v>259</v>
      </c>
      <c r="BJ145">
        <v>4.3478260869565188E-2</v>
      </c>
      <c r="BK145" s="23">
        <v>44109</v>
      </c>
      <c r="BL145" s="23">
        <v>44356</v>
      </c>
      <c r="BM145">
        <v>8505</v>
      </c>
      <c r="BN145">
        <v>8505</v>
      </c>
      <c r="BO145">
        <v>8505</v>
      </c>
      <c r="BP145">
        <v>25515</v>
      </c>
      <c r="BQ145">
        <v>3300</v>
      </c>
      <c r="BR145">
        <v>400</v>
      </c>
      <c r="BS145">
        <v>400</v>
      </c>
      <c r="BT145">
        <v>4100</v>
      </c>
      <c r="BU145">
        <v>2100</v>
      </c>
      <c r="BV145">
        <v>2100</v>
      </c>
      <c r="BW145">
        <v>2100</v>
      </c>
      <c r="BX145">
        <v>6300</v>
      </c>
      <c r="BY145">
        <v>1200</v>
      </c>
      <c r="BZ145">
        <v>1200</v>
      </c>
      <c r="CA145">
        <v>1200</v>
      </c>
      <c r="CB145">
        <v>3600</v>
      </c>
      <c r="CC145">
        <v>0</v>
      </c>
      <c r="CD145">
        <v>0</v>
      </c>
      <c r="CE145">
        <v>0</v>
      </c>
      <c r="CF145">
        <v>0</v>
      </c>
      <c r="CG145">
        <v>39515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1700</v>
      </c>
      <c r="CU145">
        <v>1700</v>
      </c>
      <c r="CV145">
        <v>1700</v>
      </c>
      <c r="CW145">
        <v>5100</v>
      </c>
      <c r="CX145">
        <v>0</v>
      </c>
      <c r="CY145">
        <v>0</v>
      </c>
      <c r="CZ145">
        <v>0</v>
      </c>
      <c r="DA145">
        <v>0</v>
      </c>
      <c r="DB145">
        <v>1000</v>
      </c>
      <c r="DC145">
        <v>1000</v>
      </c>
      <c r="DD145">
        <v>1000</v>
      </c>
      <c r="DE145">
        <v>3000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8100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M145">
        <v>0</v>
      </c>
      <c r="EN145">
        <v>660</v>
      </c>
      <c r="EO145">
        <v>660</v>
      </c>
      <c r="EP145">
        <v>660</v>
      </c>
      <c r="EQ145">
        <v>2000</v>
      </c>
      <c r="ER145">
        <v>21.18</v>
      </c>
      <c r="ES145">
        <v>0</v>
      </c>
      <c r="ET145">
        <v>0</v>
      </c>
      <c r="EU145">
        <v>0</v>
      </c>
      <c r="EW145">
        <v>0</v>
      </c>
      <c r="FA145">
        <v>0</v>
      </c>
      <c r="FE145">
        <v>0</v>
      </c>
      <c r="FI145">
        <v>0</v>
      </c>
      <c r="FJ145">
        <v>1978.82</v>
      </c>
      <c r="FK145">
        <v>31415</v>
      </c>
      <c r="FL145">
        <v>30738.252370410592</v>
      </c>
      <c r="FM145">
        <v>29436.18</v>
      </c>
    </row>
    <row r="146" spans="1:169" x14ac:dyDescent="0.35">
      <c r="A146">
        <v>193913</v>
      </c>
      <c r="B146" s="43" t="s">
        <v>2549</v>
      </c>
      <c r="C146" s="43" t="s">
        <v>2418</v>
      </c>
      <c r="D146" s="43" t="s">
        <v>2550</v>
      </c>
      <c r="E146" s="43" t="s">
        <v>2551</v>
      </c>
      <c r="F146">
        <v>1</v>
      </c>
      <c r="G146">
        <v>43782</v>
      </c>
      <c r="H146" s="23">
        <v>43782</v>
      </c>
      <c r="I146">
        <v>43782</v>
      </c>
      <c r="J146" s="43" t="s">
        <v>3583</v>
      </c>
      <c r="K146" s="43" t="s">
        <v>3520</v>
      </c>
      <c r="L146" s="43" t="s">
        <v>3204</v>
      </c>
      <c r="M146" s="43" t="s">
        <v>2552</v>
      </c>
      <c r="N146" s="43" t="s">
        <v>2553</v>
      </c>
      <c r="O146" s="43" t="s">
        <v>1328</v>
      </c>
      <c r="P146" s="43" t="s">
        <v>1046</v>
      </c>
      <c r="Q146" s="43" t="s">
        <v>2554</v>
      </c>
      <c r="S146" s="23">
        <v>44109</v>
      </c>
      <c r="T146" s="43" t="s">
        <v>311</v>
      </c>
      <c r="U146" s="43" t="s">
        <v>266</v>
      </c>
      <c r="V146" s="43" t="s">
        <v>267</v>
      </c>
      <c r="W146" s="43" t="s">
        <v>1718</v>
      </c>
      <c r="X146" s="43" t="s">
        <v>1719</v>
      </c>
      <c r="Y146">
        <v>8772802835</v>
      </c>
      <c r="Z146" s="43" t="s">
        <v>270</v>
      </c>
      <c r="AA146" s="43" t="s">
        <v>271</v>
      </c>
      <c r="AB146">
        <v>0</v>
      </c>
      <c r="AC146">
        <v>0</v>
      </c>
      <c r="AD146">
        <v>0</v>
      </c>
      <c r="AE146" s="43" t="s">
        <v>445</v>
      </c>
      <c r="AF146">
        <v>4</v>
      </c>
      <c r="AG146" s="43" t="s">
        <v>275</v>
      </c>
      <c r="AH146">
        <v>2328</v>
      </c>
      <c r="AI146">
        <v>2328</v>
      </c>
      <c r="AJ146" s="23">
        <v>43774</v>
      </c>
      <c r="AK146" s="43" t="s">
        <v>1715</v>
      </c>
      <c r="AL146" s="43" t="s">
        <v>259</v>
      </c>
      <c r="AM146" s="23"/>
      <c r="AN146" s="23"/>
      <c r="AO146" s="23"/>
      <c r="AP146" s="23"/>
      <c r="AQ146" s="23"/>
      <c r="BB146" s="43"/>
      <c r="BC146" s="43" t="s">
        <v>259</v>
      </c>
      <c r="BD146" s="43" t="s">
        <v>259</v>
      </c>
      <c r="BE146" s="43" t="s">
        <v>259</v>
      </c>
      <c r="BF146" s="43" t="s">
        <v>2018</v>
      </c>
      <c r="BG146" s="43" t="s">
        <v>2018</v>
      </c>
      <c r="BH146">
        <v>43767</v>
      </c>
      <c r="BI146" s="43" t="s">
        <v>2018</v>
      </c>
      <c r="BJ146">
        <v>5.0000000000000044E-2</v>
      </c>
      <c r="BK146" s="23">
        <v>44109</v>
      </c>
      <c r="BL146" s="23">
        <v>44356</v>
      </c>
      <c r="BM146">
        <v>8505</v>
      </c>
      <c r="BN146">
        <v>8505</v>
      </c>
      <c r="BO146">
        <v>8505</v>
      </c>
      <c r="BP146">
        <v>25515</v>
      </c>
      <c r="BQ146">
        <v>3300</v>
      </c>
      <c r="BR146">
        <v>400</v>
      </c>
      <c r="BS146">
        <v>400</v>
      </c>
      <c r="BT146">
        <v>4100</v>
      </c>
      <c r="BU146">
        <v>2100</v>
      </c>
      <c r="BV146">
        <v>2100</v>
      </c>
      <c r="BW146">
        <v>2100</v>
      </c>
      <c r="BX146">
        <v>6300</v>
      </c>
      <c r="BY146">
        <v>1200</v>
      </c>
      <c r="BZ146">
        <v>1200</v>
      </c>
      <c r="CA146">
        <v>1200</v>
      </c>
      <c r="CB146">
        <v>3600</v>
      </c>
      <c r="CC146">
        <v>0</v>
      </c>
      <c r="CD146">
        <v>0</v>
      </c>
      <c r="CE146">
        <v>0</v>
      </c>
      <c r="CF146">
        <v>0</v>
      </c>
      <c r="CG146">
        <v>39515</v>
      </c>
      <c r="CH146">
        <v>0</v>
      </c>
      <c r="CI146">
        <v>0</v>
      </c>
      <c r="CJ146">
        <v>0</v>
      </c>
      <c r="CK146">
        <v>0</v>
      </c>
      <c r="CL146">
        <v>1282</v>
      </c>
      <c r="CM146">
        <v>1282</v>
      </c>
      <c r="CN146">
        <v>1281</v>
      </c>
      <c r="CO146">
        <v>3845</v>
      </c>
      <c r="CP146">
        <v>500</v>
      </c>
      <c r="CQ146">
        <v>500</v>
      </c>
      <c r="CR146">
        <v>500</v>
      </c>
      <c r="CS146">
        <v>1500</v>
      </c>
      <c r="CT146">
        <v>1250</v>
      </c>
      <c r="CU146">
        <v>1250</v>
      </c>
      <c r="CV146">
        <v>1250</v>
      </c>
      <c r="CW146">
        <v>3750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9095</v>
      </c>
      <c r="EE146">
        <v>0</v>
      </c>
      <c r="EF146">
        <v>0</v>
      </c>
      <c r="EG146">
        <v>0</v>
      </c>
      <c r="EH146">
        <v>0</v>
      </c>
      <c r="EI146">
        <v>1154</v>
      </c>
      <c r="EJ146">
        <v>1154</v>
      </c>
      <c r="EK146">
        <v>1155</v>
      </c>
      <c r="EL146">
        <v>3500</v>
      </c>
      <c r="EM146">
        <v>37.065000000000005</v>
      </c>
      <c r="EN146">
        <v>660</v>
      </c>
      <c r="EO146">
        <v>660</v>
      </c>
      <c r="EP146">
        <v>660</v>
      </c>
      <c r="EQ146">
        <v>2000</v>
      </c>
      <c r="ER146">
        <v>21.18</v>
      </c>
      <c r="ES146">
        <v>0</v>
      </c>
      <c r="ET146">
        <v>0</v>
      </c>
      <c r="EU146">
        <v>0</v>
      </c>
      <c r="EV146">
        <v>0</v>
      </c>
      <c r="EW146">
        <v>0</v>
      </c>
      <c r="FA146">
        <v>0</v>
      </c>
      <c r="FE146">
        <v>0</v>
      </c>
      <c r="FI146">
        <v>0</v>
      </c>
      <c r="FJ146">
        <v>5441.7550000000001</v>
      </c>
      <c r="FK146">
        <v>30420</v>
      </c>
      <c r="FL146">
        <v>26083.126226974644</v>
      </c>
      <c r="FM146">
        <v>24978.244999999999</v>
      </c>
    </row>
    <row r="147" spans="1:169" x14ac:dyDescent="0.35">
      <c r="A147">
        <v>198128</v>
      </c>
      <c r="B147" s="43" t="s">
        <v>2555</v>
      </c>
      <c r="C147" s="43" t="s">
        <v>2264</v>
      </c>
      <c r="D147" s="43" t="s">
        <v>2556</v>
      </c>
      <c r="E147" s="43" t="s">
        <v>2557</v>
      </c>
      <c r="F147">
        <v>1</v>
      </c>
      <c r="G147">
        <v>43790</v>
      </c>
      <c r="H147" s="23">
        <v>43790</v>
      </c>
      <c r="I147">
        <v>43790</v>
      </c>
      <c r="J147" s="43" t="s">
        <v>3335</v>
      </c>
      <c r="K147" s="43" t="s">
        <v>1715</v>
      </c>
      <c r="L147" s="43" t="s">
        <v>3204</v>
      </c>
      <c r="M147" s="43" t="s">
        <v>2558</v>
      </c>
      <c r="N147" s="43" t="s">
        <v>2559</v>
      </c>
      <c r="O147" s="43" t="s">
        <v>2560</v>
      </c>
      <c r="P147" s="43" t="s">
        <v>342</v>
      </c>
      <c r="Q147" s="43" t="s">
        <v>2561</v>
      </c>
      <c r="S147" s="23">
        <v>44109</v>
      </c>
      <c r="T147" s="43" t="s">
        <v>311</v>
      </c>
      <c r="U147" s="43" t="s">
        <v>266</v>
      </c>
      <c r="V147" s="43" t="s">
        <v>267</v>
      </c>
      <c r="W147" s="43" t="s">
        <v>1718</v>
      </c>
      <c r="X147" s="43" t="s">
        <v>1719</v>
      </c>
      <c r="Y147">
        <v>8772802835</v>
      </c>
      <c r="Z147" s="43" t="s">
        <v>270</v>
      </c>
      <c r="AA147" s="43" t="s">
        <v>271</v>
      </c>
      <c r="AB147">
        <v>0</v>
      </c>
      <c r="AC147">
        <v>0</v>
      </c>
      <c r="AD147">
        <v>0</v>
      </c>
      <c r="AE147" s="43" t="s">
        <v>376</v>
      </c>
      <c r="AF147">
        <v>7</v>
      </c>
      <c r="AG147" s="43" t="s">
        <v>275</v>
      </c>
      <c r="AH147">
        <v>36117</v>
      </c>
      <c r="AI147">
        <v>36117</v>
      </c>
      <c r="AJ147" s="23">
        <v>43774</v>
      </c>
      <c r="AK147" s="43" t="s">
        <v>3208</v>
      </c>
      <c r="AL147" s="43" t="s">
        <v>3209</v>
      </c>
      <c r="AM147" s="23"/>
      <c r="AN147" s="23"/>
      <c r="AO147" s="23"/>
      <c r="AP147" s="23"/>
      <c r="AQ147" s="23"/>
      <c r="BB147" s="43"/>
      <c r="BC147" s="43" t="s">
        <v>2018</v>
      </c>
      <c r="BD147" s="43" t="s">
        <v>2018</v>
      </c>
      <c r="BE147" s="43" t="s">
        <v>2018</v>
      </c>
      <c r="BF147" s="43" t="s">
        <v>2018</v>
      </c>
      <c r="BG147" s="43" t="s">
        <v>2018</v>
      </c>
      <c r="BH147" t="s">
        <v>2018</v>
      </c>
      <c r="BI147" s="43" t="s">
        <v>2018</v>
      </c>
      <c r="BJ147">
        <v>0</v>
      </c>
      <c r="BK147" s="23">
        <v>44109</v>
      </c>
      <c r="BL147" s="23">
        <v>44356</v>
      </c>
      <c r="BM147">
        <v>8505</v>
      </c>
      <c r="BN147">
        <v>8505</v>
      </c>
      <c r="BO147">
        <v>8505</v>
      </c>
      <c r="BP147">
        <v>25515</v>
      </c>
      <c r="BQ147">
        <v>3300</v>
      </c>
      <c r="BR147">
        <v>400</v>
      </c>
      <c r="BS147">
        <v>400</v>
      </c>
      <c r="BT147">
        <v>4100</v>
      </c>
      <c r="BU147">
        <v>2100</v>
      </c>
      <c r="BV147">
        <v>2100</v>
      </c>
      <c r="BW147">
        <v>2100</v>
      </c>
      <c r="BX147">
        <v>6300</v>
      </c>
      <c r="BY147">
        <v>1200</v>
      </c>
      <c r="BZ147">
        <v>1200</v>
      </c>
      <c r="CA147">
        <v>1200</v>
      </c>
      <c r="CB147">
        <v>3600</v>
      </c>
      <c r="CC147">
        <v>0</v>
      </c>
      <c r="CD147">
        <v>0</v>
      </c>
      <c r="CE147">
        <v>0</v>
      </c>
      <c r="CF147">
        <v>0</v>
      </c>
      <c r="CG147">
        <v>39515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1154</v>
      </c>
      <c r="EJ147">
        <v>1154</v>
      </c>
      <c r="EK147">
        <v>1155</v>
      </c>
      <c r="EL147">
        <v>3500</v>
      </c>
      <c r="EM147">
        <v>37.065000000000005</v>
      </c>
      <c r="EN147">
        <v>660</v>
      </c>
      <c r="EO147">
        <v>660</v>
      </c>
      <c r="EP147">
        <v>660</v>
      </c>
      <c r="EQ147">
        <v>2000</v>
      </c>
      <c r="ER147">
        <v>21.18</v>
      </c>
      <c r="ES147">
        <v>0</v>
      </c>
      <c r="ET147">
        <v>0</v>
      </c>
      <c r="EU147">
        <v>0</v>
      </c>
      <c r="EV147">
        <v>0</v>
      </c>
      <c r="EW147">
        <v>0</v>
      </c>
      <c r="FA147">
        <v>0</v>
      </c>
      <c r="FE147">
        <v>0</v>
      </c>
      <c r="FI147">
        <v>0</v>
      </c>
      <c r="FJ147">
        <v>5441.7550000000001</v>
      </c>
      <c r="FK147">
        <v>39515</v>
      </c>
      <c r="FL147">
        <v>35580.43210392214</v>
      </c>
      <c r="FM147">
        <v>34073.245000000003</v>
      </c>
    </row>
    <row r="148" spans="1:169" x14ac:dyDescent="0.35">
      <c r="A148">
        <v>195106</v>
      </c>
      <c r="B148" s="43" t="s">
        <v>2562</v>
      </c>
      <c r="C148" s="43" t="s">
        <v>2563</v>
      </c>
      <c r="D148" s="43" t="s">
        <v>2564</v>
      </c>
      <c r="E148" s="43" t="s">
        <v>2565</v>
      </c>
      <c r="F148">
        <v>1</v>
      </c>
      <c r="H148" s="23"/>
      <c r="I148">
        <v>43804</v>
      </c>
      <c r="J148" s="43" t="s">
        <v>4242</v>
      </c>
      <c r="K148" s="43" t="s">
        <v>1715</v>
      </c>
      <c r="L148" s="43" t="s">
        <v>259</v>
      </c>
      <c r="M148" s="43" t="s">
        <v>2566</v>
      </c>
      <c r="N148" s="43" t="s">
        <v>2567</v>
      </c>
      <c r="O148" s="43" t="s">
        <v>2568</v>
      </c>
      <c r="P148" s="43" t="s">
        <v>297</v>
      </c>
      <c r="Q148" s="43" t="s">
        <v>2569</v>
      </c>
      <c r="S148" s="23">
        <v>44109</v>
      </c>
      <c r="T148" s="43" t="s">
        <v>285</v>
      </c>
      <c r="U148" s="43" t="s">
        <v>266</v>
      </c>
      <c r="V148" s="43" t="s">
        <v>267</v>
      </c>
      <c r="W148" s="43" t="s">
        <v>1718</v>
      </c>
      <c r="X148" s="43" t="s">
        <v>1719</v>
      </c>
      <c r="Y148">
        <v>8772802835</v>
      </c>
      <c r="Z148" s="43" t="s">
        <v>270</v>
      </c>
      <c r="AA148" s="43" t="s">
        <v>271</v>
      </c>
      <c r="AB148">
        <v>0</v>
      </c>
      <c r="AC148">
        <v>1400</v>
      </c>
      <c r="AD148">
        <v>134</v>
      </c>
      <c r="AE148" s="43" t="s">
        <v>301</v>
      </c>
      <c r="AF148">
        <v>1</v>
      </c>
      <c r="AG148" s="43" t="s">
        <v>275</v>
      </c>
      <c r="AJ148" s="23"/>
      <c r="AK148" s="43" t="s">
        <v>259</v>
      </c>
      <c r="AL148" s="43" t="s">
        <v>259</v>
      </c>
      <c r="AM148" s="23"/>
      <c r="AN148" s="23"/>
      <c r="AO148" s="23"/>
      <c r="AP148" s="23"/>
      <c r="AQ148" s="23"/>
      <c r="BB148" s="43"/>
      <c r="BC148" s="43" t="s">
        <v>259</v>
      </c>
      <c r="BD148" s="43" t="s">
        <v>259</v>
      </c>
      <c r="BE148" s="43" t="s">
        <v>259</v>
      </c>
      <c r="BF148" s="43" t="s">
        <v>259</v>
      </c>
      <c r="BG148" s="43" t="s">
        <v>259</v>
      </c>
      <c r="BH148" t="s">
        <v>259</v>
      </c>
      <c r="BI148" s="43" t="s">
        <v>259</v>
      </c>
      <c r="BJ148">
        <v>0</v>
      </c>
      <c r="BK148" s="23">
        <v>44109</v>
      </c>
      <c r="BL148" s="23">
        <v>44356</v>
      </c>
      <c r="BM148">
        <v>8505</v>
      </c>
      <c r="BN148">
        <v>8505</v>
      </c>
      <c r="BO148">
        <v>8505</v>
      </c>
      <c r="BP148">
        <v>25515</v>
      </c>
      <c r="BQ148">
        <v>3300</v>
      </c>
      <c r="BR148">
        <v>400</v>
      </c>
      <c r="BS148">
        <v>400</v>
      </c>
      <c r="BT148">
        <v>4100</v>
      </c>
      <c r="BU148">
        <v>2100</v>
      </c>
      <c r="BV148">
        <v>2100</v>
      </c>
      <c r="BW148">
        <v>2100</v>
      </c>
      <c r="BX148">
        <v>6300</v>
      </c>
      <c r="BY148">
        <v>1200</v>
      </c>
      <c r="BZ148">
        <v>1200</v>
      </c>
      <c r="CA148">
        <v>1200</v>
      </c>
      <c r="CB148">
        <v>3600</v>
      </c>
      <c r="CC148">
        <v>0</v>
      </c>
      <c r="CD148">
        <v>0</v>
      </c>
      <c r="CE148">
        <v>0</v>
      </c>
      <c r="CF148">
        <v>0</v>
      </c>
      <c r="CG148">
        <v>39515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1700</v>
      </c>
      <c r="CU148">
        <v>1700</v>
      </c>
      <c r="CV148">
        <v>1700</v>
      </c>
      <c r="CW148">
        <v>5100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5100</v>
      </c>
      <c r="EE148">
        <v>0</v>
      </c>
      <c r="EF148">
        <v>0</v>
      </c>
      <c r="EG148">
        <v>0</v>
      </c>
      <c r="EH148">
        <v>0</v>
      </c>
      <c r="EI148">
        <v>1154</v>
      </c>
      <c r="EJ148">
        <v>1154</v>
      </c>
      <c r="EK148">
        <v>1155</v>
      </c>
      <c r="EL148">
        <v>3500</v>
      </c>
      <c r="EM148">
        <v>37.065000000000005</v>
      </c>
      <c r="EN148">
        <v>660</v>
      </c>
      <c r="EO148">
        <v>660</v>
      </c>
      <c r="EP148">
        <v>660</v>
      </c>
      <c r="EQ148">
        <v>2000</v>
      </c>
      <c r="ER148">
        <v>21.18</v>
      </c>
      <c r="ES148">
        <v>0</v>
      </c>
      <c r="ET148">
        <v>0</v>
      </c>
      <c r="EU148">
        <v>0</v>
      </c>
      <c r="EV148">
        <v>0</v>
      </c>
      <c r="EW148">
        <v>0</v>
      </c>
      <c r="FA148">
        <v>0</v>
      </c>
      <c r="FE148">
        <v>0</v>
      </c>
      <c r="FI148">
        <v>0</v>
      </c>
      <c r="FJ148">
        <v>5441.7550000000001</v>
      </c>
      <c r="FK148">
        <v>34415</v>
      </c>
      <c r="FL148">
        <v>30254.840023390832</v>
      </c>
      <c r="FM148">
        <v>28973.244999999999</v>
      </c>
    </row>
    <row r="149" spans="1:169" x14ac:dyDescent="0.35">
      <c r="A149">
        <v>192374</v>
      </c>
      <c r="B149" s="43" t="s">
        <v>2570</v>
      </c>
      <c r="C149" s="43" t="s">
        <v>426</v>
      </c>
      <c r="D149" s="43" t="s">
        <v>2571</v>
      </c>
      <c r="E149" s="43" t="s">
        <v>2572</v>
      </c>
      <c r="F149">
        <v>1</v>
      </c>
      <c r="H149" s="23"/>
      <c r="I149">
        <v>43804</v>
      </c>
      <c r="J149" s="43" t="s">
        <v>4240</v>
      </c>
      <c r="K149" s="43" t="s">
        <v>1715</v>
      </c>
      <c r="L149" s="43" t="s">
        <v>3204</v>
      </c>
      <c r="M149" s="43" t="s">
        <v>2573</v>
      </c>
      <c r="N149" s="43" t="s">
        <v>2574</v>
      </c>
      <c r="O149" s="43" t="s">
        <v>660</v>
      </c>
      <c r="P149" s="43" t="s">
        <v>596</v>
      </c>
      <c r="Q149" s="43" t="s">
        <v>2575</v>
      </c>
      <c r="S149" s="23">
        <v>44109</v>
      </c>
      <c r="T149" s="43" t="s">
        <v>311</v>
      </c>
      <c r="U149" s="43" t="s">
        <v>266</v>
      </c>
      <c r="V149" s="43" t="s">
        <v>267</v>
      </c>
      <c r="W149" s="43" t="s">
        <v>1718</v>
      </c>
      <c r="X149" s="43" t="s">
        <v>1719</v>
      </c>
      <c r="Y149">
        <v>8772802835</v>
      </c>
      <c r="Z149" s="43" t="s">
        <v>270</v>
      </c>
      <c r="AA149" s="43" t="s">
        <v>271</v>
      </c>
      <c r="AB149">
        <v>0</v>
      </c>
      <c r="AC149">
        <v>1280</v>
      </c>
      <c r="AD149">
        <v>124</v>
      </c>
      <c r="AE149" s="43" t="s">
        <v>301</v>
      </c>
      <c r="AF149">
        <v>1</v>
      </c>
      <c r="AG149" s="43" t="s">
        <v>275</v>
      </c>
      <c r="AH149">
        <v>119203</v>
      </c>
      <c r="AI149">
        <v>119203</v>
      </c>
      <c r="AJ149" s="23">
        <v>43783</v>
      </c>
      <c r="AK149" s="43" t="s">
        <v>3208</v>
      </c>
      <c r="AL149" s="43" t="s">
        <v>3209</v>
      </c>
      <c r="AM149" s="23"/>
      <c r="AN149" s="23"/>
      <c r="AO149" s="23"/>
      <c r="AP149" s="23"/>
      <c r="AQ149" s="23"/>
      <c r="BB149" s="43"/>
      <c r="BC149" s="43" t="s">
        <v>2018</v>
      </c>
      <c r="BD149" s="43" t="s">
        <v>2018</v>
      </c>
      <c r="BE149" s="43" t="s">
        <v>2018</v>
      </c>
      <c r="BF149" s="43" t="s">
        <v>2018</v>
      </c>
      <c r="BG149" s="43" t="s">
        <v>2018</v>
      </c>
      <c r="BH149" t="s">
        <v>2018</v>
      </c>
      <c r="BI149" s="43" t="s">
        <v>2018</v>
      </c>
      <c r="BJ149">
        <v>0</v>
      </c>
      <c r="BK149" s="23">
        <v>44109</v>
      </c>
      <c r="BL149" s="23">
        <v>44356</v>
      </c>
      <c r="BM149">
        <v>8505</v>
      </c>
      <c r="BN149">
        <v>8505</v>
      </c>
      <c r="BO149">
        <v>8505</v>
      </c>
      <c r="BP149">
        <v>25515</v>
      </c>
      <c r="BQ149">
        <v>3300</v>
      </c>
      <c r="BR149">
        <v>400</v>
      </c>
      <c r="BS149">
        <v>400</v>
      </c>
      <c r="BT149">
        <v>4100</v>
      </c>
      <c r="BU149">
        <v>2100</v>
      </c>
      <c r="BV149">
        <v>2100</v>
      </c>
      <c r="BW149">
        <v>2100</v>
      </c>
      <c r="BX149">
        <v>6300</v>
      </c>
      <c r="BY149">
        <v>1200</v>
      </c>
      <c r="BZ149">
        <v>1200</v>
      </c>
      <c r="CA149">
        <v>1200</v>
      </c>
      <c r="CB149">
        <v>3600</v>
      </c>
      <c r="CC149">
        <v>0</v>
      </c>
      <c r="CD149">
        <v>0</v>
      </c>
      <c r="CE149">
        <v>0</v>
      </c>
      <c r="CF149">
        <v>0</v>
      </c>
      <c r="CG149">
        <v>39515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1700</v>
      </c>
      <c r="CU149">
        <v>1700</v>
      </c>
      <c r="CV149">
        <v>1700</v>
      </c>
      <c r="CW149">
        <v>5100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5100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1814</v>
      </c>
      <c r="EO149">
        <v>1814</v>
      </c>
      <c r="EP149">
        <v>1814</v>
      </c>
      <c r="EQ149">
        <v>5500</v>
      </c>
      <c r="ER149">
        <v>58.245000000000005</v>
      </c>
      <c r="ES149">
        <v>0</v>
      </c>
      <c r="ET149">
        <v>0</v>
      </c>
      <c r="EU149">
        <v>0</v>
      </c>
      <c r="EV149">
        <v>0</v>
      </c>
      <c r="EW149">
        <v>0</v>
      </c>
      <c r="FA149">
        <v>0</v>
      </c>
      <c r="FE149">
        <v>0</v>
      </c>
      <c r="FI149">
        <v>0</v>
      </c>
      <c r="FJ149">
        <v>5441.7550000000001</v>
      </c>
      <c r="FK149">
        <v>34415</v>
      </c>
      <c r="FL149">
        <v>30254.840023390832</v>
      </c>
      <c r="FM149">
        <v>28973.244999999999</v>
      </c>
    </row>
    <row r="150" spans="1:169" x14ac:dyDescent="0.35">
      <c r="A150">
        <v>198199</v>
      </c>
      <c r="B150" s="43" t="s">
        <v>2576</v>
      </c>
      <c r="C150" s="43" t="s">
        <v>2577</v>
      </c>
      <c r="D150" s="43" t="s">
        <v>2578</v>
      </c>
      <c r="E150" s="43" t="s">
        <v>2579</v>
      </c>
      <c r="F150">
        <v>1</v>
      </c>
      <c r="G150">
        <v>43786</v>
      </c>
      <c r="H150" s="23">
        <v>43802</v>
      </c>
      <c r="I150">
        <v>43802</v>
      </c>
      <c r="J150" s="43" t="s">
        <v>3335</v>
      </c>
      <c r="K150" s="43" t="s">
        <v>1715</v>
      </c>
      <c r="L150" s="43" t="s">
        <v>3204</v>
      </c>
      <c r="M150" s="43" t="s">
        <v>2580</v>
      </c>
      <c r="N150" s="43" t="s">
        <v>2581</v>
      </c>
      <c r="O150" s="43" t="s">
        <v>2582</v>
      </c>
      <c r="P150" s="43" t="s">
        <v>705</v>
      </c>
      <c r="Q150" s="43" t="s">
        <v>2583</v>
      </c>
      <c r="S150" s="23">
        <v>44109</v>
      </c>
      <c r="T150" s="43" t="s">
        <v>265</v>
      </c>
      <c r="U150" s="43" t="s">
        <v>266</v>
      </c>
      <c r="V150" s="43" t="s">
        <v>267</v>
      </c>
      <c r="W150" s="43" t="s">
        <v>1718</v>
      </c>
      <c r="X150" s="43" t="s">
        <v>1719</v>
      </c>
      <c r="Y150">
        <v>8772802835</v>
      </c>
      <c r="Z150" s="43" t="s">
        <v>270</v>
      </c>
      <c r="AA150" s="43" t="s">
        <v>271</v>
      </c>
      <c r="AB150">
        <v>0</v>
      </c>
      <c r="AC150">
        <v>0</v>
      </c>
      <c r="AD150">
        <v>0</v>
      </c>
      <c r="AE150" s="43" t="s">
        <v>344</v>
      </c>
      <c r="AF150">
        <v>10</v>
      </c>
      <c r="AG150" s="43" t="s">
        <v>275</v>
      </c>
      <c r="AH150">
        <v>9275</v>
      </c>
      <c r="AI150">
        <v>9275</v>
      </c>
      <c r="AJ150" s="23">
        <v>43774</v>
      </c>
      <c r="AK150" s="43" t="s">
        <v>3208</v>
      </c>
      <c r="AL150" s="43" t="s">
        <v>3209</v>
      </c>
      <c r="AM150" s="23"/>
      <c r="AN150" s="23"/>
      <c r="AO150" s="23">
        <v>43786</v>
      </c>
      <c r="AP150" s="23"/>
      <c r="AQ150" s="23"/>
      <c r="BB150" s="43"/>
      <c r="BC150" s="43" t="s">
        <v>2018</v>
      </c>
      <c r="BD150" s="43" t="s">
        <v>2018</v>
      </c>
      <c r="BE150" s="43" t="s">
        <v>2018</v>
      </c>
      <c r="BF150" s="43" t="s">
        <v>2018</v>
      </c>
      <c r="BG150" s="43" t="s">
        <v>2018</v>
      </c>
      <c r="BH150" t="s">
        <v>2018</v>
      </c>
      <c r="BI150" s="43" t="s">
        <v>2018</v>
      </c>
      <c r="BJ150">
        <v>6.25E-2</v>
      </c>
      <c r="BK150" s="23">
        <v>44109</v>
      </c>
      <c r="BL150" s="23">
        <v>44356</v>
      </c>
      <c r="BM150">
        <v>8505</v>
      </c>
      <c r="BN150">
        <v>8505</v>
      </c>
      <c r="BO150">
        <v>8505</v>
      </c>
      <c r="BP150">
        <v>25515</v>
      </c>
      <c r="BQ150">
        <v>3300</v>
      </c>
      <c r="BR150">
        <v>400</v>
      </c>
      <c r="BS150">
        <v>400</v>
      </c>
      <c r="BT150">
        <v>4100</v>
      </c>
      <c r="BU150">
        <v>2100</v>
      </c>
      <c r="BV150">
        <v>2100</v>
      </c>
      <c r="BW150">
        <v>2100</v>
      </c>
      <c r="BX150">
        <v>6300</v>
      </c>
      <c r="BY150">
        <v>1200</v>
      </c>
      <c r="BZ150">
        <v>1200</v>
      </c>
      <c r="CA150">
        <v>1200</v>
      </c>
      <c r="CB150">
        <v>3600</v>
      </c>
      <c r="CC150">
        <v>0</v>
      </c>
      <c r="CD150">
        <v>0</v>
      </c>
      <c r="CE150">
        <v>0</v>
      </c>
      <c r="CF150">
        <v>0</v>
      </c>
      <c r="CG150">
        <v>39515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1154</v>
      </c>
      <c r="EJ150">
        <v>1154</v>
      </c>
      <c r="EK150">
        <v>1155</v>
      </c>
      <c r="EL150">
        <v>3500</v>
      </c>
      <c r="EM150">
        <v>37.065000000000005</v>
      </c>
      <c r="EN150">
        <v>660</v>
      </c>
      <c r="EO150">
        <v>660</v>
      </c>
      <c r="EP150">
        <v>660</v>
      </c>
      <c r="EQ150">
        <v>2000</v>
      </c>
      <c r="ER150">
        <v>21.18</v>
      </c>
      <c r="ES150">
        <v>0</v>
      </c>
      <c r="ET150">
        <v>0</v>
      </c>
      <c r="EU150">
        <v>0</v>
      </c>
      <c r="EV150">
        <v>0</v>
      </c>
      <c r="EW150">
        <v>0</v>
      </c>
      <c r="FA150">
        <v>0</v>
      </c>
      <c r="FE150">
        <v>0</v>
      </c>
      <c r="FI150">
        <v>0</v>
      </c>
      <c r="FJ150">
        <v>5441.7550000000001</v>
      </c>
      <c r="FK150">
        <v>39515</v>
      </c>
      <c r="FL150">
        <v>35580.43210392214</v>
      </c>
      <c r="FM150">
        <v>34073.245000000003</v>
      </c>
    </row>
    <row r="151" spans="1:169" x14ac:dyDescent="0.35">
      <c r="A151">
        <v>195908</v>
      </c>
      <c r="B151" s="43" t="s">
        <v>2584</v>
      </c>
      <c r="C151" s="43" t="s">
        <v>2585</v>
      </c>
      <c r="D151" s="43" t="s">
        <v>2586</v>
      </c>
      <c r="E151" s="43" t="s">
        <v>2587</v>
      </c>
      <c r="F151">
        <v>1</v>
      </c>
      <c r="H151" s="23"/>
      <c r="I151">
        <v>43804</v>
      </c>
      <c r="J151" s="43" t="s">
        <v>4242</v>
      </c>
      <c r="K151" s="43" t="s">
        <v>1715</v>
      </c>
      <c r="L151" s="43" t="s">
        <v>259</v>
      </c>
      <c r="M151" s="43" t="s">
        <v>2588</v>
      </c>
      <c r="N151" s="43" t="s">
        <v>2589</v>
      </c>
      <c r="O151" s="43" t="s">
        <v>2590</v>
      </c>
      <c r="P151" s="43" t="s">
        <v>2591</v>
      </c>
      <c r="Q151" s="43" t="s">
        <v>2592</v>
      </c>
      <c r="S151" s="23">
        <v>44109</v>
      </c>
      <c r="T151" s="43" t="s">
        <v>311</v>
      </c>
      <c r="U151" s="43" t="s">
        <v>266</v>
      </c>
      <c r="V151" s="43" t="s">
        <v>267</v>
      </c>
      <c r="W151" s="43" t="s">
        <v>1718</v>
      </c>
      <c r="X151" s="43" t="s">
        <v>1719</v>
      </c>
      <c r="Y151">
        <v>8772802835</v>
      </c>
      <c r="Z151" s="43" t="s">
        <v>508</v>
      </c>
      <c r="AA151" s="43" t="s">
        <v>271</v>
      </c>
      <c r="AB151">
        <v>0</v>
      </c>
      <c r="AC151">
        <v>0</v>
      </c>
      <c r="AD151">
        <v>0</v>
      </c>
      <c r="AE151" s="43" t="s">
        <v>324</v>
      </c>
      <c r="AF151">
        <v>8</v>
      </c>
      <c r="AG151" s="43" t="s">
        <v>275</v>
      </c>
      <c r="AJ151" s="23"/>
      <c r="AK151" s="43" t="s">
        <v>259</v>
      </c>
      <c r="AL151" s="43" t="s">
        <v>259</v>
      </c>
      <c r="AM151" s="23"/>
      <c r="AN151" s="23"/>
      <c r="AO151" s="23"/>
      <c r="AP151" s="23"/>
      <c r="AQ151" s="23"/>
      <c r="BB151" s="43"/>
      <c r="BC151" s="43" t="s">
        <v>259</v>
      </c>
      <c r="BD151" s="43" t="s">
        <v>259</v>
      </c>
      <c r="BE151" s="43" t="s">
        <v>259</v>
      </c>
      <c r="BF151" s="43" t="s">
        <v>259</v>
      </c>
      <c r="BG151" s="43" t="s">
        <v>259</v>
      </c>
      <c r="BH151" t="s">
        <v>259</v>
      </c>
      <c r="BI151" s="43" t="s">
        <v>259</v>
      </c>
      <c r="BJ151">
        <v>0</v>
      </c>
      <c r="BK151" s="23">
        <v>44109</v>
      </c>
      <c r="BL151" s="23">
        <v>44356</v>
      </c>
      <c r="BM151">
        <v>8505</v>
      </c>
      <c r="BN151">
        <v>8505</v>
      </c>
      <c r="BO151">
        <v>8505</v>
      </c>
      <c r="BP151">
        <v>25515</v>
      </c>
      <c r="BQ151">
        <v>3300</v>
      </c>
      <c r="BR151">
        <v>400</v>
      </c>
      <c r="BS151">
        <v>400</v>
      </c>
      <c r="BT151">
        <v>4100</v>
      </c>
      <c r="BU151">
        <v>2100</v>
      </c>
      <c r="BV151">
        <v>2100</v>
      </c>
      <c r="BW151">
        <v>2100</v>
      </c>
      <c r="BX151">
        <v>6300</v>
      </c>
      <c r="BY151">
        <v>1200</v>
      </c>
      <c r="BZ151">
        <v>1200</v>
      </c>
      <c r="CA151">
        <v>1200</v>
      </c>
      <c r="CB151">
        <v>3600</v>
      </c>
      <c r="CC151">
        <v>0</v>
      </c>
      <c r="CD151">
        <v>0</v>
      </c>
      <c r="CE151">
        <v>0</v>
      </c>
      <c r="CF151">
        <v>0</v>
      </c>
      <c r="CG151">
        <v>39515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1154</v>
      </c>
      <c r="EJ151">
        <v>1154</v>
      </c>
      <c r="EK151">
        <v>1155</v>
      </c>
      <c r="EL151">
        <v>3500</v>
      </c>
      <c r="EM151">
        <v>37.065000000000005</v>
      </c>
      <c r="EN151">
        <v>660</v>
      </c>
      <c r="EO151">
        <v>660</v>
      </c>
      <c r="EP151">
        <v>660</v>
      </c>
      <c r="EQ151">
        <v>2000</v>
      </c>
      <c r="ER151">
        <v>21.18</v>
      </c>
      <c r="ES151">
        <v>0</v>
      </c>
      <c r="ET151">
        <v>0</v>
      </c>
      <c r="EU151">
        <v>0</v>
      </c>
      <c r="EV151">
        <v>0</v>
      </c>
      <c r="EW151">
        <v>0</v>
      </c>
      <c r="FA151">
        <v>0</v>
      </c>
      <c r="FE151">
        <v>0</v>
      </c>
      <c r="FI151">
        <v>0</v>
      </c>
      <c r="FJ151">
        <v>5441.7550000000001</v>
      </c>
      <c r="FK151">
        <v>39515</v>
      </c>
      <c r="FL151">
        <v>35580.43210392214</v>
      </c>
      <c r="FM151">
        <v>34073.245000000003</v>
      </c>
    </row>
    <row r="152" spans="1:169" x14ac:dyDescent="0.35">
      <c r="A152">
        <v>193776</v>
      </c>
      <c r="B152" s="43" t="s">
        <v>4050</v>
      </c>
      <c r="C152" s="43" t="s">
        <v>3530</v>
      </c>
      <c r="D152" s="43" t="s">
        <v>4051</v>
      </c>
      <c r="E152" s="43" t="s">
        <v>4052</v>
      </c>
      <c r="F152">
        <v>1</v>
      </c>
      <c r="H152" s="23"/>
      <c r="I152">
        <v>43802</v>
      </c>
      <c r="J152" s="43" t="s">
        <v>3304</v>
      </c>
      <c r="K152" s="43" t="s">
        <v>1715</v>
      </c>
      <c r="L152" s="43" t="s">
        <v>3204</v>
      </c>
      <c r="M152" s="43" t="s">
        <v>4053</v>
      </c>
      <c r="N152" s="43" t="s">
        <v>4054</v>
      </c>
      <c r="O152" s="43" t="s">
        <v>488</v>
      </c>
      <c r="P152" s="43" t="s">
        <v>372</v>
      </c>
      <c r="Q152" s="43" t="s">
        <v>4055</v>
      </c>
      <c r="S152" s="23">
        <v>44109</v>
      </c>
      <c r="T152" s="43" t="s">
        <v>311</v>
      </c>
      <c r="U152" s="43" t="s">
        <v>266</v>
      </c>
      <c r="V152" s="43" t="s">
        <v>267</v>
      </c>
      <c r="W152" s="43" t="s">
        <v>1718</v>
      </c>
      <c r="X152" s="43" t="s">
        <v>1719</v>
      </c>
      <c r="Y152">
        <v>8772802835</v>
      </c>
      <c r="Z152" s="43" t="s">
        <v>270</v>
      </c>
      <c r="AA152" s="43" t="s">
        <v>271</v>
      </c>
      <c r="AB152">
        <v>0</v>
      </c>
      <c r="AC152">
        <v>1070</v>
      </c>
      <c r="AD152">
        <v>106</v>
      </c>
      <c r="AE152" s="43" t="s">
        <v>289</v>
      </c>
      <c r="AF152">
        <v>2</v>
      </c>
      <c r="AG152" s="43" t="s">
        <v>3345</v>
      </c>
      <c r="AH152">
        <v>0</v>
      </c>
      <c r="AI152">
        <v>0</v>
      </c>
      <c r="AJ152" s="23">
        <v>43774</v>
      </c>
      <c r="AK152" s="43" t="s">
        <v>3208</v>
      </c>
      <c r="AL152" s="43" t="s">
        <v>3209</v>
      </c>
      <c r="AM152" s="23"/>
      <c r="AN152" s="23"/>
      <c r="AO152" s="23"/>
      <c r="AP152" s="23"/>
      <c r="AQ152" s="23"/>
      <c r="BB152" s="43"/>
      <c r="BC152" s="43" t="s">
        <v>2018</v>
      </c>
      <c r="BD152" s="43" t="s">
        <v>2018</v>
      </c>
      <c r="BE152" s="43" t="s">
        <v>2018</v>
      </c>
      <c r="BF152" s="43" t="s">
        <v>2018</v>
      </c>
      <c r="BG152" s="43" t="s">
        <v>2018</v>
      </c>
      <c r="BH152" t="s">
        <v>2018</v>
      </c>
      <c r="BI152" s="43" t="s">
        <v>2018</v>
      </c>
      <c r="BJ152">
        <v>0</v>
      </c>
      <c r="BK152" s="23">
        <v>44109</v>
      </c>
      <c r="BL152" s="23">
        <v>44356</v>
      </c>
      <c r="BM152">
        <v>8505</v>
      </c>
      <c r="BN152">
        <v>8505</v>
      </c>
      <c r="BO152">
        <v>8505</v>
      </c>
      <c r="BP152">
        <v>25515</v>
      </c>
      <c r="BQ152">
        <v>3300</v>
      </c>
      <c r="BR152">
        <v>400</v>
      </c>
      <c r="BS152">
        <v>400</v>
      </c>
      <c r="BT152">
        <v>4100</v>
      </c>
      <c r="BU152">
        <v>2100</v>
      </c>
      <c r="BV152">
        <v>2100</v>
      </c>
      <c r="BW152">
        <v>2100</v>
      </c>
      <c r="BX152">
        <v>6300</v>
      </c>
      <c r="BY152">
        <v>1200</v>
      </c>
      <c r="BZ152">
        <v>1200</v>
      </c>
      <c r="CA152">
        <v>1200</v>
      </c>
      <c r="CB152">
        <v>3600</v>
      </c>
      <c r="CC152">
        <v>0</v>
      </c>
      <c r="CD152">
        <v>0</v>
      </c>
      <c r="CE152">
        <v>0</v>
      </c>
      <c r="CF152">
        <v>0</v>
      </c>
      <c r="CG152">
        <v>39515</v>
      </c>
      <c r="CH152">
        <v>0</v>
      </c>
      <c r="CI152">
        <v>0</v>
      </c>
      <c r="CJ152">
        <v>0</v>
      </c>
      <c r="CK152">
        <v>0</v>
      </c>
      <c r="CL152">
        <v>2065</v>
      </c>
      <c r="CM152">
        <v>2065</v>
      </c>
      <c r="CN152">
        <v>2065</v>
      </c>
      <c r="CO152">
        <v>6195</v>
      </c>
      <c r="CP152">
        <v>500</v>
      </c>
      <c r="CQ152">
        <v>500</v>
      </c>
      <c r="CR152">
        <v>500</v>
      </c>
      <c r="CS152">
        <v>1500</v>
      </c>
      <c r="CT152">
        <v>1500</v>
      </c>
      <c r="CU152">
        <v>1500</v>
      </c>
      <c r="CV152">
        <v>1500</v>
      </c>
      <c r="CW152">
        <v>4500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12195</v>
      </c>
      <c r="EE152">
        <v>0</v>
      </c>
      <c r="EF152">
        <v>0</v>
      </c>
      <c r="EG152">
        <v>0</v>
      </c>
      <c r="EH152">
        <v>0</v>
      </c>
      <c r="EI152">
        <v>1154</v>
      </c>
      <c r="EJ152">
        <v>1154</v>
      </c>
      <c r="EK152">
        <v>1155</v>
      </c>
      <c r="EL152">
        <v>3500</v>
      </c>
      <c r="EM152">
        <v>37.065000000000005</v>
      </c>
      <c r="EN152">
        <v>660</v>
      </c>
      <c r="EO152">
        <v>660</v>
      </c>
      <c r="EP152">
        <v>660</v>
      </c>
      <c r="EQ152">
        <v>2000</v>
      </c>
      <c r="ER152">
        <v>21.18</v>
      </c>
      <c r="ES152">
        <v>0</v>
      </c>
      <c r="ET152">
        <v>0</v>
      </c>
      <c r="EU152">
        <v>0</v>
      </c>
      <c r="EV152">
        <v>0</v>
      </c>
      <c r="EW152">
        <v>0</v>
      </c>
      <c r="FA152">
        <v>0</v>
      </c>
      <c r="FE152">
        <v>0</v>
      </c>
      <c r="FI152">
        <v>0</v>
      </c>
      <c r="FJ152">
        <v>5441.7550000000001</v>
      </c>
      <c r="FK152">
        <v>27320</v>
      </c>
      <c r="FL152">
        <v>22846.001629004633</v>
      </c>
      <c r="FM152">
        <v>21878.244999999999</v>
      </c>
    </row>
    <row r="153" spans="1:169" x14ac:dyDescent="0.35">
      <c r="A153">
        <v>195111</v>
      </c>
      <c r="B153" s="43" t="s">
        <v>2599</v>
      </c>
      <c r="C153" s="43" t="s">
        <v>2600</v>
      </c>
      <c r="D153" s="43" t="s">
        <v>2601</v>
      </c>
      <c r="E153" s="43" t="s">
        <v>2602</v>
      </c>
      <c r="F153">
        <v>1</v>
      </c>
      <c r="H153" s="23"/>
      <c r="I153">
        <v>43804</v>
      </c>
      <c r="J153" s="43" t="s">
        <v>4242</v>
      </c>
      <c r="K153" s="43" t="s">
        <v>1715</v>
      </c>
      <c r="L153" s="43" t="s">
        <v>259</v>
      </c>
      <c r="M153" s="43" t="s">
        <v>2603</v>
      </c>
      <c r="N153" s="43" t="s">
        <v>2604</v>
      </c>
      <c r="O153" s="43" t="s">
        <v>2605</v>
      </c>
      <c r="P153" s="43" t="s">
        <v>297</v>
      </c>
      <c r="Q153" s="43" t="s">
        <v>2606</v>
      </c>
      <c r="S153" s="23">
        <v>44109</v>
      </c>
      <c r="T153" s="43" t="s">
        <v>285</v>
      </c>
      <c r="U153" s="43" t="s">
        <v>266</v>
      </c>
      <c r="V153" s="43" t="s">
        <v>267</v>
      </c>
      <c r="W153" s="43" t="s">
        <v>1718</v>
      </c>
      <c r="X153" s="43" t="s">
        <v>1719</v>
      </c>
      <c r="Y153">
        <v>8772802835</v>
      </c>
      <c r="Z153" s="43" t="s">
        <v>270</v>
      </c>
      <c r="AA153" s="43" t="s">
        <v>271</v>
      </c>
      <c r="AB153">
        <v>19</v>
      </c>
      <c r="AC153">
        <v>0</v>
      </c>
      <c r="AD153">
        <v>0</v>
      </c>
      <c r="AE153" s="43" t="s">
        <v>289</v>
      </c>
      <c r="AF153">
        <v>2</v>
      </c>
      <c r="AG153" s="43" t="s">
        <v>275</v>
      </c>
      <c r="AJ153" s="23"/>
      <c r="AK153" s="43" t="s">
        <v>259</v>
      </c>
      <c r="AL153" s="43" t="s">
        <v>259</v>
      </c>
      <c r="AM153" s="23"/>
      <c r="AN153" s="23"/>
      <c r="AO153" s="23"/>
      <c r="AP153" s="23"/>
      <c r="AQ153" s="23"/>
      <c r="BB153" s="43"/>
      <c r="BC153" s="43" t="s">
        <v>259</v>
      </c>
      <c r="BD153" s="43" t="s">
        <v>259</v>
      </c>
      <c r="BE153" s="43" t="s">
        <v>259</v>
      </c>
      <c r="BF153" s="43" t="s">
        <v>259</v>
      </c>
      <c r="BG153" s="43" t="s">
        <v>259</v>
      </c>
      <c r="BH153" t="s">
        <v>259</v>
      </c>
      <c r="BI153" s="43" t="s">
        <v>259</v>
      </c>
      <c r="BJ153">
        <v>0</v>
      </c>
      <c r="BK153" s="23">
        <v>44109</v>
      </c>
      <c r="BL153" s="23">
        <v>44356</v>
      </c>
      <c r="BM153">
        <v>8505</v>
      </c>
      <c r="BN153">
        <v>8505</v>
      </c>
      <c r="BO153">
        <v>8505</v>
      </c>
      <c r="BP153">
        <v>25515</v>
      </c>
      <c r="BQ153">
        <v>3300</v>
      </c>
      <c r="BR153">
        <v>400</v>
      </c>
      <c r="BS153">
        <v>400</v>
      </c>
      <c r="BT153">
        <v>4100</v>
      </c>
      <c r="BU153">
        <v>2100</v>
      </c>
      <c r="BV153">
        <v>2100</v>
      </c>
      <c r="BW153">
        <v>2100</v>
      </c>
      <c r="BX153">
        <v>6300</v>
      </c>
      <c r="BY153">
        <v>1200</v>
      </c>
      <c r="BZ153">
        <v>1200</v>
      </c>
      <c r="CA153">
        <v>1200</v>
      </c>
      <c r="CB153">
        <v>3600</v>
      </c>
      <c r="CC153">
        <v>0</v>
      </c>
      <c r="CD153">
        <v>0</v>
      </c>
      <c r="CE153">
        <v>0</v>
      </c>
      <c r="CF153">
        <v>0</v>
      </c>
      <c r="CG153">
        <v>39515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1500</v>
      </c>
      <c r="CU153">
        <v>1500</v>
      </c>
      <c r="CV153">
        <v>1500</v>
      </c>
      <c r="CW153">
        <v>4500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4500</v>
      </c>
      <c r="EE153">
        <v>0</v>
      </c>
      <c r="EF153">
        <v>0</v>
      </c>
      <c r="EG153">
        <v>0</v>
      </c>
      <c r="EH153">
        <v>0</v>
      </c>
      <c r="EI153">
        <v>1154</v>
      </c>
      <c r="EJ153">
        <v>1154</v>
      </c>
      <c r="EK153">
        <v>1155</v>
      </c>
      <c r="EL153">
        <v>3500</v>
      </c>
      <c r="EM153">
        <v>37.065000000000005</v>
      </c>
      <c r="EN153">
        <v>660</v>
      </c>
      <c r="EO153">
        <v>660</v>
      </c>
      <c r="EP153">
        <v>660</v>
      </c>
      <c r="EQ153">
        <v>2000</v>
      </c>
      <c r="ER153">
        <v>21.18</v>
      </c>
      <c r="ES153">
        <v>0</v>
      </c>
      <c r="ET153">
        <v>0</v>
      </c>
      <c r="EU153">
        <v>0</v>
      </c>
      <c r="EV153">
        <v>0</v>
      </c>
      <c r="EW153">
        <v>0</v>
      </c>
      <c r="FA153">
        <v>0</v>
      </c>
      <c r="FE153">
        <v>0</v>
      </c>
      <c r="FI153">
        <v>0</v>
      </c>
      <c r="FJ153">
        <v>5441.7550000000001</v>
      </c>
      <c r="FK153">
        <v>35015</v>
      </c>
      <c r="FL153">
        <v>30881.380268159221</v>
      </c>
      <c r="FM153">
        <v>29573.244999999999</v>
      </c>
    </row>
    <row r="154" spans="1:169" x14ac:dyDescent="0.35">
      <c r="A154">
        <v>198349</v>
      </c>
      <c r="B154" s="43" t="s">
        <v>2599</v>
      </c>
      <c r="C154" s="43" t="s">
        <v>2607</v>
      </c>
      <c r="D154" s="43" t="s">
        <v>2608</v>
      </c>
      <c r="E154" s="43" t="s">
        <v>2609</v>
      </c>
      <c r="F154">
        <v>1</v>
      </c>
      <c r="H154" s="23"/>
      <c r="I154">
        <v>43804</v>
      </c>
      <c r="J154" s="43" t="s">
        <v>4252</v>
      </c>
      <c r="K154" s="43" t="s">
        <v>1715</v>
      </c>
      <c r="L154" s="43" t="s">
        <v>301</v>
      </c>
      <c r="M154" s="43" t="s">
        <v>2610</v>
      </c>
      <c r="N154" s="43" t="s">
        <v>2611</v>
      </c>
      <c r="O154" s="43" t="s">
        <v>2612</v>
      </c>
      <c r="P154" s="43" t="s">
        <v>1046</v>
      </c>
      <c r="Q154" s="43" t="s">
        <v>2613</v>
      </c>
      <c r="S154" s="23">
        <v>44109</v>
      </c>
      <c r="T154" s="43" t="s">
        <v>265</v>
      </c>
      <c r="U154" s="43" t="s">
        <v>266</v>
      </c>
      <c r="V154" s="43" t="s">
        <v>267</v>
      </c>
      <c r="W154" s="43" t="s">
        <v>1718</v>
      </c>
      <c r="X154" s="43" t="s">
        <v>1719</v>
      </c>
      <c r="Y154">
        <v>8772802835</v>
      </c>
      <c r="Z154" s="43" t="s">
        <v>270</v>
      </c>
      <c r="AA154" s="43" t="s">
        <v>271</v>
      </c>
      <c r="AB154">
        <v>22</v>
      </c>
      <c r="AC154">
        <v>0</v>
      </c>
      <c r="AD154">
        <v>99</v>
      </c>
      <c r="AE154" s="43" t="s">
        <v>445</v>
      </c>
      <c r="AF154">
        <v>4</v>
      </c>
      <c r="AG154" s="43" t="s">
        <v>275</v>
      </c>
      <c r="AH154">
        <v>0</v>
      </c>
      <c r="AI154">
        <v>0</v>
      </c>
      <c r="AJ154" s="23">
        <v>43774</v>
      </c>
      <c r="AK154" s="43" t="s">
        <v>1715</v>
      </c>
      <c r="AL154" s="43" t="s">
        <v>259</v>
      </c>
      <c r="AM154" s="23"/>
      <c r="AN154" s="23"/>
      <c r="AO154" s="23"/>
      <c r="AP154" s="23"/>
      <c r="AQ154" s="23"/>
      <c r="BB154" s="43"/>
      <c r="BC154" s="43" t="s">
        <v>259</v>
      </c>
      <c r="BD154" s="43" t="s">
        <v>259</v>
      </c>
      <c r="BE154" s="43" t="s">
        <v>259</v>
      </c>
      <c r="BF154" s="43" t="s">
        <v>259</v>
      </c>
      <c r="BG154" s="43" t="s">
        <v>259</v>
      </c>
      <c r="BH154" t="s">
        <v>259</v>
      </c>
      <c r="BI154" s="43" t="s">
        <v>259</v>
      </c>
      <c r="BJ154">
        <v>0</v>
      </c>
      <c r="BK154" s="23">
        <v>44109</v>
      </c>
      <c r="BL154" s="23">
        <v>44356</v>
      </c>
      <c r="BM154">
        <v>8505</v>
      </c>
      <c r="BN154">
        <v>8505</v>
      </c>
      <c r="BO154">
        <v>8505</v>
      </c>
      <c r="BP154">
        <v>25515</v>
      </c>
      <c r="BQ154">
        <v>3300</v>
      </c>
      <c r="BR154">
        <v>400</v>
      </c>
      <c r="BS154">
        <v>400</v>
      </c>
      <c r="BT154">
        <v>4100</v>
      </c>
      <c r="BU154">
        <v>2100</v>
      </c>
      <c r="BV154">
        <v>2100</v>
      </c>
      <c r="BW154">
        <v>2100</v>
      </c>
      <c r="BX154">
        <v>6300</v>
      </c>
      <c r="BY154">
        <v>1200</v>
      </c>
      <c r="BZ154">
        <v>1200</v>
      </c>
      <c r="CA154">
        <v>1200</v>
      </c>
      <c r="CB154">
        <v>3600</v>
      </c>
      <c r="CC154">
        <v>0</v>
      </c>
      <c r="CD154">
        <v>0</v>
      </c>
      <c r="CE154">
        <v>0</v>
      </c>
      <c r="CF154">
        <v>0</v>
      </c>
      <c r="CG154">
        <v>39515</v>
      </c>
      <c r="CH154">
        <v>0</v>
      </c>
      <c r="CI154">
        <v>0</v>
      </c>
      <c r="CJ154">
        <v>0</v>
      </c>
      <c r="CK154">
        <v>0</v>
      </c>
      <c r="CL154">
        <v>2065</v>
      </c>
      <c r="CM154">
        <v>2065</v>
      </c>
      <c r="CN154">
        <v>2065</v>
      </c>
      <c r="CO154">
        <v>6195</v>
      </c>
      <c r="CP154">
        <v>500</v>
      </c>
      <c r="CQ154">
        <v>500</v>
      </c>
      <c r="CR154">
        <v>500</v>
      </c>
      <c r="CS154">
        <v>1500</v>
      </c>
      <c r="CT154">
        <v>1250</v>
      </c>
      <c r="CU154">
        <v>1250</v>
      </c>
      <c r="CV154">
        <v>1250</v>
      </c>
      <c r="CW154">
        <v>3750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11445</v>
      </c>
      <c r="EE154">
        <v>0</v>
      </c>
      <c r="EF154">
        <v>0</v>
      </c>
      <c r="EG154">
        <v>0</v>
      </c>
      <c r="EH154">
        <v>0</v>
      </c>
      <c r="EI154">
        <v>1154</v>
      </c>
      <c r="EJ154">
        <v>1154</v>
      </c>
      <c r="EK154">
        <v>1155</v>
      </c>
      <c r="EL154">
        <v>3500</v>
      </c>
      <c r="EM154">
        <v>37.065000000000005</v>
      </c>
      <c r="EN154">
        <v>1979</v>
      </c>
      <c r="EO154">
        <v>1979</v>
      </c>
      <c r="EP154">
        <v>1979</v>
      </c>
      <c r="EQ154">
        <v>6000</v>
      </c>
      <c r="ER154">
        <v>63.540000000000006</v>
      </c>
      <c r="ES154">
        <v>0</v>
      </c>
      <c r="ET154">
        <v>0</v>
      </c>
      <c r="EU154">
        <v>0</v>
      </c>
      <c r="EV154">
        <v>0</v>
      </c>
      <c r="EW154">
        <v>0</v>
      </c>
      <c r="FA154">
        <v>0</v>
      </c>
      <c r="FE154">
        <v>0</v>
      </c>
      <c r="FI154">
        <v>0</v>
      </c>
      <c r="FJ154">
        <v>9399.3950000000004</v>
      </c>
      <c r="FK154">
        <v>28070</v>
      </c>
      <c r="FL154">
        <v>19496.475711123177</v>
      </c>
      <c r="FM154">
        <v>18670.605</v>
      </c>
    </row>
    <row r="155" spans="1:169" x14ac:dyDescent="0.35">
      <c r="A155">
        <v>192082</v>
      </c>
      <c r="B155" s="43" t="s">
        <v>3694</v>
      </c>
      <c r="C155" s="43" t="s">
        <v>547</v>
      </c>
      <c r="D155" s="43" t="s">
        <v>3695</v>
      </c>
      <c r="E155" s="43" t="s">
        <v>3696</v>
      </c>
      <c r="F155">
        <v>1</v>
      </c>
      <c r="H155" s="23"/>
      <c r="I155">
        <v>43802</v>
      </c>
      <c r="J155" s="43" t="s">
        <v>4246</v>
      </c>
      <c r="K155" s="43" t="s">
        <v>1715</v>
      </c>
      <c r="L155" s="43" t="s">
        <v>3204</v>
      </c>
      <c r="M155" s="43" t="s">
        <v>3697</v>
      </c>
      <c r="N155" s="43" t="s">
        <v>3698</v>
      </c>
      <c r="O155" s="43" t="s">
        <v>3699</v>
      </c>
      <c r="P155" s="43" t="s">
        <v>372</v>
      </c>
      <c r="Q155" s="43" t="s">
        <v>3700</v>
      </c>
      <c r="S155" s="23">
        <v>44109</v>
      </c>
      <c r="T155" s="43" t="s">
        <v>265</v>
      </c>
      <c r="U155" s="43" t="s">
        <v>266</v>
      </c>
      <c r="V155" s="43" t="s">
        <v>267</v>
      </c>
      <c r="W155" s="43" t="s">
        <v>1718</v>
      </c>
      <c r="X155" s="43" t="s">
        <v>1719</v>
      </c>
      <c r="Y155">
        <v>8772802835</v>
      </c>
      <c r="Z155" s="43" t="s">
        <v>270</v>
      </c>
      <c r="AA155" s="43" t="s">
        <v>271</v>
      </c>
      <c r="AB155">
        <v>0</v>
      </c>
      <c r="AC155">
        <v>0</v>
      </c>
      <c r="AD155">
        <v>0</v>
      </c>
      <c r="AE155" s="43" t="s">
        <v>445</v>
      </c>
      <c r="AF155">
        <v>4</v>
      </c>
      <c r="AG155" s="43" t="s">
        <v>3345</v>
      </c>
      <c r="AH155">
        <v>25977</v>
      </c>
      <c r="AI155">
        <v>25977</v>
      </c>
      <c r="AJ155" s="23">
        <v>43776</v>
      </c>
      <c r="AK155" s="43" t="s">
        <v>3208</v>
      </c>
      <c r="AL155" s="43" t="s">
        <v>3209</v>
      </c>
      <c r="AM155" s="23"/>
      <c r="AN155" s="23"/>
      <c r="AO155" s="23"/>
      <c r="AP155" s="23"/>
      <c r="AQ155" s="23"/>
      <c r="BB155" s="43"/>
      <c r="BC155" s="43" t="s">
        <v>2018</v>
      </c>
      <c r="BD155" s="43" t="s">
        <v>2018</v>
      </c>
      <c r="BE155" s="43" t="s">
        <v>2018</v>
      </c>
      <c r="BF155" s="43" t="s">
        <v>2018</v>
      </c>
      <c r="BG155" s="43" t="s">
        <v>2018</v>
      </c>
      <c r="BH155" t="s">
        <v>2018</v>
      </c>
      <c r="BI155" s="43" t="s">
        <v>2018</v>
      </c>
      <c r="BJ155">
        <v>0</v>
      </c>
      <c r="BK155" s="23">
        <v>44109</v>
      </c>
      <c r="BL155" s="23">
        <v>44356</v>
      </c>
      <c r="BM155">
        <v>8505</v>
      </c>
      <c r="BN155">
        <v>8505</v>
      </c>
      <c r="BO155">
        <v>8505</v>
      </c>
      <c r="BP155">
        <v>25515</v>
      </c>
      <c r="BQ155">
        <v>3300</v>
      </c>
      <c r="BR155">
        <v>400</v>
      </c>
      <c r="BS155">
        <v>400</v>
      </c>
      <c r="BT155">
        <v>4100</v>
      </c>
      <c r="BU155">
        <v>2100</v>
      </c>
      <c r="BV155">
        <v>2100</v>
      </c>
      <c r="BW155">
        <v>2100</v>
      </c>
      <c r="BX155">
        <v>6300</v>
      </c>
      <c r="BY155">
        <v>1200</v>
      </c>
      <c r="BZ155">
        <v>1200</v>
      </c>
      <c r="CA155">
        <v>1200</v>
      </c>
      <c r="CB155">
        <v>3600</v>
      </c>
      <c r="CC155">
        <v>0</v>
      </c>
      <c r="CD155">
        <v>0</v>
      </c>
      <c r="CE155">
        <v>0</v>
      </c>
      <c r="CF155">
        <v>0</v>
      </c>
      <c r="CG155">
        <v>39515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1250</v>
      </c>
      <c r="CU155">
        <v>1250</v>
      </c>
      <c r="CV155">
        <v>1250</v>
      </c>
      <c r="CW155">
        <v>3750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3750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M155">
        <v>0</v>
      </c>
      <c r="EN155">
        <v>660</v>
      </c>
      <c r="EO155">
        <v>660</v>
      </c>
      <c r="EP155">
        <v>660</v>
      </c>
      <c r="EQ155">
        <v>2000</v>
      </c>
      <c r="ER155">
        <v>21.18</v>
      </c>
      <c r="ES155">
        <v>0</v>
      </c>
      <c r="ET155">
        <v>0</v>
      </c>
      <c r="EU155">
        <v>0</v>
      </c>
      <c r="EW155">
        <v>0</v>
      </c>
      <c r="FA155">
        <v>0</v>
      </c>
      <c r="FE155">
        <v>0</v>
      </c>
      <c r="FI155">
        <v>0</v>
      </c>
      <c r="FJ155">
        <v>1978.82</v>
      </c>
      <c r="FK155">
        <v>35765</v>
      </c>
      <c r="FL155">
        <v>35280.66914498141</v>
      </c>
      <c r="FM155">
        <v>33786.18</v>
      </c>
    </row>
    <row r="156" spans="1:169" x14ac:dyDescent="0.35">
      <c r="A156">
        <v>198605</v>
      </c>
      <c r="B156" s="43" t="s">
        <v>2614</v>
      </c>
      <c r="C156" s="43" t="s">
        <v>2615</v>
      </c>
      <c r="D156" s="43" t="s">
        <v>2616</v>
      </c>
      <c r="E156" s="43" t="s">
        <v>2617</v>
      </c>
      <c r="F156">
        <v>1</v>
      </c>
      <c r="H156" s="23"/>
      <c r="I156">
        <v>43804</v>
      </c>
      <c r="J156" s="43" t="s">
        <v>4242</v>
      </c>
      <c r="K156" s="43" t="s">
        <v>1715</v>
      </c>
      <c r="L156" s="43" t="s">
        <v>259</v>
      </c>
      <c r="M156" s="43" t="s">
        <v>2618</v>
      </c>
      <c r="N156" s="43" t="s">
        <v>2619</v>
      </c>
      <c r="O156" s="43" t="s">
        <v>2620</v>
      </c>
      <c r="P156" s="43" t="s">
        <v>705</v>
      </c>
      <c r="Q156" s="43" t="s">
        <v>2621</v>
      </c>
      <c r="S156" s="23">
        <v>44109</v>
      </c>
      <c r="T156" s="43" t="s">
        <v>311</v>
      </c>
      <c r="U156" s="43" t="s">
        <v>266</v>
      </c>
      <c r="V156" s="43" t="s">
        <v>267</v>
      </c>
      <c r="W156" s="43" t="s">
        <v>1718</v>
      </c>
      <c r="X156" s="43" t="s">
        <v>1719</v>
      </c>
      <c r="Y156">
        <v>8772802835</v>
      </c>
      <c r="Z156" s="43" t="s">
        <v>270</v>
      </c>
      <c r="AA156" s="43" t="s">
        <v>271</v>
      </c>
      <c r="AB156">
        <v>0</v>
      </c>
      <c r="AC156">
        <v>0</v>
      </c>
      <c r="AD156">
        <v>0</v>
      </c>
      <c r="AE156" s="43" t="s">
        <v>416</v>
      </c>
      <c r="AF156">
        <v>5</v>
      </c>
      <c r="AG156" s="43" t="s">
        <v>275</v>
      </c>
      <c r="AJ156" s="23"/>
      <c r="AK156" s="43" t="s">
        <v>259</v>
      </c>
      <c r="AL156" s="43" t="s">
        <v>259</v>
      </c>
      <c r="AM156" s="23"/>
      <c r="AN156" s="23"/>
      <c r="AO156" s="23"/>
      <c r="AP156" s="23"/>
      <c r="AQ156" s="23"/>
      <c r="BB156" s="43"/>
      <c r="BC156" s="43" t="s">
        <v>259</v>
      </c>
      <c r="BD156" s="43" t="s">
        <v>259</v>
      </c>
      <c r="BE156" s="43" t="s">
        <v>259</v>
      </c>
      <c r="BF156" s="43" t="s">
        <v>259</v>
      </c>
      <c r="BG156" s="43" t="s">
        <v>259</v>
      </c>
      <c r="BH156" t="s">
        <v>259</v>
      </c>
      <c r="BI156" s="43" t="s">
        <v>259</v>
      </c>
      <c r="BJ156">
        <v>0</v>
      </c>
      <c r="BK156" s="23">
        <v>44109</v>
      </c>
      <c r="BL156" s="23">
        <v>44356</v>
      </c>
      <c r="BM156">
        <v>8505</v>
      </c>
      <c r="BN156">
        <v>8505</v>
      </c>
      <c r="BO156">
        <v>8505</v>
      </c>
      <c r="BP156">
        <v>25515</v>
      </c>
      <c r="BQ156">
        <v>3300</v>
      </c>
      <c r="BR156">
        <v>400</v>
      </c>
      <c r="BS156">
        <v>400</v>
      </c>
      <c r="BT156">
        <v>4100</v>
      </c>
      <c r="BU156">
        <v>2100</v>
      </c>
      <c r="BV156">
        <v>2100</v>
      </c>
      <c r="BW156">
        <v>2100</v>
      </c>
      <c r="BX156">
        <v>6300</v>
      </c>
      <c r="BY156">
        <v>1200</v>
      </c>
      <c r="BZ156">
        <v>1200</v>
      </c>
      <c r="CA156">
        <v>1200</v>
      </c>
      <c r="CB156">
        <v>3600</v>
      </c>
      <c r="CC156">
        <v>0</v>
      </c>
      <c r="CD156">
        <v>0</v>
      </c>
      <c r="CE156">
        <v>0</v>
      </c>
      <c r="CF156">
        <v>0</v>
      </c>
      <c r="CG156">
        <v>39515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1000</v>
      </c>
      <c r="CU156">
        <v>1000</v>
      </c>
      <c r="CV156">
        <v>1000</v>
      </c>
      <c r="CW156">
        <v>3000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3000</v>
      </c>
      <c r="EE156">
        <v>0</v>
      </c>
      <c r="EF156">
        <v>0</v>
      </c>
      <c r="EG156">
        <v>0</v>
      </c>
      <c r="EH156">
        <v>0</v>
      </c>
      <c r="EI156">
        <v>1154</v>
      </c>
      <c r="EJ156">
        <v>1154</v>
      </c>
      <c r="EK156">
        <v>1155</v>
      </c>
      <c r="EL156">
        <v>3500</v>
      </c>
      <c r="EM156">
        <v>37.065000000000005</v>
      </c>
      <c r="EN156">
        <v>660</v>
      </c>
      <c r="EO156">
        <v>660</v>
      </c>
      <c r="EP156">
        <v>660</v>
      </c>
      <c r="EQ156">
        <v>2000</v>
      </c>
      <c r="ER156">
        <v>21.18</v>
      </c>
      <c r="ES156">
        <v>0</v>
      </c>
      <c r="ET156">
        <v>0</v>
      </c>
      <c r="EU156">
        <v>0</v>
      </c>
      <c r="EV156">
        <v>0</v>
      </c>
      <c r="EW156">
        <v>0</v>
      </c>
      <c r="FA156">
        <v>0</v>
      </c>
      <c r="FE156">
        <v>0</v>
      </c>
      <c r="FI156">
        <v>0</v>
      </c>
      <c r="FJ156">
        <v>5441.7550000000001</v>
      </c>
      <c r="FK156">
        <v>36515</v>
      </c>
      <c r="FL156">
        <v>32447.730880080198</v>
      </c>
      <c r="FM156">
        <v>31073.245000000003</v>
      </c>
    </row>
    <row r="157" spans="1:169" x14ac:dyDescent="0.35">
      <c r="A157">
        <v>194998</v>
      </c>
      <c r="B157" s="43" t="s">
        <v>2622</v>
      </c>
      <c r="C157" s="43" t="s">
        <v>2623</v>
      </c>
      <c r="D157" s="43" t="s">
        <v>2624</v>
      </c>
      <c r="E157" s="43" t="s">
        <v>2625</v>
      </c>
      <c r="F157">
        <v>1</v>
      </c>
      <c r="G157">
        <v>43803</v>
      </c>
      <c r="H157" s="23">
        <v>43804</v>
      </c>
      <c r="I157">
        <v>43804</v>
      </c>
      <c r="J157" s="43" t="s">
        <v>4234</v>
      </c>
      <c r="K157" s="43" t="s">
        <v>1715</v>
      </c>
      <c r="L157" s="43" t="s">
        <v>3204</v>
      </c>
      <c r="M157" s="43" t="s">
        <v>2626</v>
      </c>
      <c r="N157" s="43" t="s">
        <v>2627</v>
      </c>
      <c r="O157" s="43" t="s">
        <v>2628</v>
      </c>
      <c r="P157" s="43" t="s">
        <v>524</v>
      </c>
      <c r="Q157" s="43" t="s">
        <v>2629</v>
      </c>
      <c r="S157" s="23">
        <v>44109</v>
      </c>
      <c r="T157" s="43" t="s">
        <v>265</v>
      </c>
      <c r="U157" s="43" t="s">
        <v>286</v>
      </c>
      <c r="V157" s="43" t="s">
        <v>267</v>
      </c>
      <c r="W157" s="43" t="s">
        <v>1718</v>
      </c>
      <c r="X157" s="43" t="s">
        <v>1719</v>
      </c>
      <c r="Y157">
        <v>8772802835</v>
      </c>
      <c r="Z157" s="43" t="s">
        <v>270</v>
      </c>
      <c r="AA157" s="43" t="s">
        <v>271</v>
      </c>
      <c r="AB157">
        <v>27</v>
      </c>
      <c r="AC157">
        <v>0</v>
      </c>
      <c r="AD157">
        <v>126</v>
      </c>
      <c r="AE157" s="43" t="s">
        <v>301</v>
      </c>
      <c r="AF157">
        <v>1</v>
      </c>
      <c r="AG157" s="43" t="s">
        <v>275</v>
      </c>
      <c r="AH157">
        <v>34488</v>
      </c>
      <c r="AI157">
        <v>34488</v>
      </c>
      <c r="AJ157" s="23">
        <v>43774</v>
      </c>
      <c r="AK157" s="43" t="s">
        <v>1715</v>
      </c>
      <c r="AL157" s="43" t="s">
        <v>259</v>
      </c>
      <c r="AM157" s="23"/>
      <c r="AN157" s="23"/>
      <c r="AO157" s="23">
        <v>43803</v>
      </c>
      <c r="AP157" s="23"/>
      <c r="AQ157" s="23"/>
      <c r="BB157" s="43"/>
      <c r="BC157" s="43" t="s">
        <v>259</v>
      </c>
      <c r="BD157" s="43" t="s">
        <v>259</v>
      </c>
      <c r="BE157" s="43" t="s">
        <v>259</v>
      </c>
      <c r="BF157" s="43" t="s">
        <v>2018</v>
      </c>
      <c r="BG157" s="43" t="s">
        <v>2018</v>
      </c>
      <c r="BH157">
        <v>43766</v>
      </c>
      <c r="BI157" s="43" t="s">
        <v>2018</v>
      </c>
      <c r="BJ157">
        <v>9.9999999999999978E-2</v>
      </c>
      <c r="BK157" s="23">
        <v>44109</v>
      </c>
      <c r="BL157" s="23">
        <v>44356</v>
      </c>
      <c r="BM157">
        <v>8505</v>
      </c>
      <c r="BN157">
        <v>8505</v>
      </c>
      <c r="BO157">
        <v>8505</v>
      </c>
      <c r="BP157">
        <v>25515</v>
      </c>
      <c r="BQ157">
        <v>3300</v>
      </c>
      <c r="BR157">
        <v>400</v>
      </c>
      <c r="BS157">
        <v>400</v>
      </c>
      <c r="BT157">
        <v>4100</v>
      </c>
      <c r="BU157">
        <v>2100</v>
      </c>
      <c r="BV157">
        <v>2100</v>
      </c>
      <c r="BW157">
        <v>2100</v>
      </c>
      <c r="BX157">
        <v>6300</v>
      </c>
      <c r="BY157">
        <v>1200</v>
      </c>
      <c r="BZ157">
        <v>1200</v>
      </c>
      <c r="CA157">
        <v>1200</v>
      </c>
      <c r="CB157">
        <v>3600</v>
      </c>
      <c r="CC157">
        <v>0</v>
      </c>
      <c r="CD157">
        <v>0</v>
      </c>
      <c r="CE157">
        <v>0</v>
      </c>
      <c r="CF157">
        <v>0</v>
      </c>
      <c r="CG157">
        <v>39515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1700</v>
      </c>
      <c r="CU157">
        <v>1700</v>
      </c>
      <c r="CV157">
        <v>1700</v>
      </c>
      <c r="CW157">
        <v>5100</v>
      </c>
      <c r="CX157">
        <v>0</v>
      </c>
      <c r="CY157">
        <v>0</v>
      </c>
      <c r="CZ157">
        <v>0</v>
      </c>
      <c r="DA157">
        <v>0</v>
      </c>
      <c r="DB157">
        <v>1000</v>
      </c>
      <c r="DC157">
        <v>1000</v>
      </c>
      <c r="DD157">
        <v>1000</v>
      </c>
      <c r="DE157">
        <v>3000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8100</v>
      </c>
      <c r="EE157">
        <v>0</v>
      </c>
      <c r="EF157">
        <v>0</v>
      </c>
      <c r="EG157">
        <v>0</v>
      </c>
      <c r="EH157">
        <v>0</v>
      </c>
      <c r="EI157">
        <v>1154</v>
      </c>
      <c r="EJ157">
        <v>1154</v>
      </c>
      <c r="EK157">
        <v>1155</v>
      </c>
      <c r="EL157">
        <v>3500</v>
      </c>
      <c r="EM157">
        <v>37.065000000000005</v>
      </c>
      <c r="EN157">
        <v>660</v>
      </c>
      <c r="EO157">
        <v>660</v>
      </c>
      <c r="EP157">
        <v>660</v>
      </c>
      <c r="EQ157">
        <v>2000</v>
      </c>
      <c r="ER157">
        <v>21.18</v>
      </c>
      <c r="ES157">
        <v>0</v>
      </c>
      <c r="ET157">
        <v>0</v>
      </c>
      <c r="EU157">
        <v>0</v>
      </c>
      <c r="EV157">
        <v>0</v>
      </c>
      <c r="EW157">
        <v>0</v>
      </c>
      <c r="FA157">
        <v>0</v>
      </c>
      <c r="FE157">
        <v>0</v>
      </c>
      <c r="FI157">
        <v>0</v>
      </c>
      <c r="FJ157">
        <v>5441.7550000000001</v>
      </c>
      <c r="FK157">
        <v>31415</v>
      </c>
      <c r="FL157">
        <v>27122.138799548888</v>
      </c>
      <c r="FM157">
        <v>25973.244999999999</v>
      </c>
    </row>
    <row r="158" spans="1:169" x14ac:dyDescent="0.35">
      <c r="A158">
        <v>196545</v>
      </c>
      <c r="B158" s="43" t="s">
        <v>2630</v>
      </c>
      <c r="C158" s="43" t="s">
        <v>406</v>
      </c>
      <c r="D158" s="43" t="s">
        <v>3701</v>
      </c>
      <c r="E158" s="43" t="s">
        <v>3702</v>
      </c>
      <c r="F158">
        <v>1</v>
      </c>
      <c r="H158" s="23"/>
      <c r="I158">
        <v>43804</v>
      </c>
      <c r="J158" s="43" t="s">
        <v>4242</v>
      </c>
      <c r="K158" s="43" t="s">
        <v>1715</v>
      </c>
      <c r="L158" s="43" t="s">
        <v>259</v>
      </c>
      <c r="M158" s="43" t="s">
        <v>3703</v>
      </c>
      <c r="N158" s="43" t="s">
        <v>3704</v>
      </c>
      <c r="O158" s="43" t="s">
        <v>3705</v>
      </c>
      <c r="P158" s="43" t="s">
        <v>297</v>
      </c>
      <c r="Q158" s="43" t="s">
        <v>3706</v>
      </c>
      <c r="S158" s="23">
        <v>44109</v>
      </c>
      <c r="T158" s="43" t="s">
        <v>285</v>
      </c>
      <c r="U158" s="43" t="s">
        <v>266</v>
      </c>
      <c r="V158" s="43" t="s">
        <v>267</v>
      </c>
      <c r="W158" s="43" t="s">
        <v>1718</v>
      </c>
      <c r="X158" s="43" t="s">
        <v>1719</v>
      </c>
      <c r="Y158">
        <v>8772802835</v>
      </c>
      <c r="Z158" s="43" t="s">
        <v>270</v>
      </c>
      <c r="AA158" s="43" t="s">
        <v>271</v>
      </c>
      <c r="AB158">
        <v>0</v>
      </c>
      <c r="AC158">
        <v>0</v>
      </c>
      <c r="AD158">
        <v>0</v>
      </c>
      <c r="AE158" s="43" t="s">
        <v>301</v>
      </c>
      <c r="AF158">
        <v>1</v>
      </c>
      <c r="AG158" s="43" t="s">
        <v>3345</v>
      </c>
      <c r="AJ158" s="23"/>
      <c r="AK158" s="43" t="s">
        <v>259</v>
      </c>
      <c r="AL158" s="43" t="s">
        <v>259</v>
      </c>
      <c r="AM158" s="23"/>
      <c r="AN158" s="23"/>
      <c r="AO158" s="23"/>
      <c r="AP158" s="23"/>
      <c r="AQ158" s="23"/>
      <c r="BB158" s="43"/>
      <c r="BC158" s="43" t="s">
        <v>259</v>
      </c>
      <c r="BD158" s="43" t="s">
        <v>259</v>
      </c>
      <c r="BE158" s="43" t="s">
        <v>259</v>
      </c>
      <c r="BF158" s="43" t="s">
        <v>259</v>
      </c>
      <c r="BG158" s="43" t="s">
        <v>259</v>
      </c>
      <c r="BH158" t="s">
        <v>259</v>
      </c>
      <c r="BI158" s="43" t="s">
        <v>259</v>
      </c>
      <c r="BJ158">
        <v>0</v>
      </c>
      <c r="BK158" s="23">
        <v>44109</v>
      </c>
      <c r="BL158" s="23">
        <v>44356</v>
      </c>
      <c r="BM158">
        <v>8505</v>
      </c>
      <c r="BN158">
        <v>8505</v>
      </c>
      <c r="BO158">
        <v>8505</v>
      </c>
      <c r="BP158">
        <v>25515</v>
      </c>
      <c r="BQ158">
        <v>3300</v>
      </c>
      <c r="BR158">
        <v>400</v>
      </c>
      <c r="BS158">
        <v>400</v>
      </c>
      <c r="BT158">
        <v>4100</v>
      </c>
      <c r="BU158">
        <v>2100</v>
      </c>
      <c r="BV158">
        <v>2100</v>
      </c>
      <c r="BW158">
        <v>2100</v>
      </c>
      <c r="BX158">
        <v>6300</v>
      </c>
      <c r="BY158">
        <v>1200</v>
      </c>
      <c r="BZ158">
        <v>1200</v>
      </c>
      <c r="CA158">
        <v>1200</v>
      </c>
      <c r="CB158">
        <v>3600</v>
      </c>
      <c r="CC158">
        <v>0</v>
      </c>
      <c r="CD158">
        <v>0</v>
      </c>
      <c r="CE158">
        <v>0</v>
      </c>
      <c r="CF158">
        <v>0</v>
      </c>
      <c r="CG158">
        <v>39515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1700</v>
      </c>
      <c r="CU158">
        <v>1700</v>
      </c>
      <c r="CV158">
        <v>1700</v>
      </c>
      <c r="CW158">
        <v>5100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5100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M158">
        <v>0</v>
      </c>
      <c r="EN158">
        <v>660</v>
      </c>
      <c r="EO158">
        <v>660</v>
      </c>
      <c r="EP158">
        <v>660</v>
      </c>
      <c r="EQ158">
        <v>2000</v>
      </c>
      <c r="ER158">
        <v>21.18</v>
      </c>
      <c r="ES158">
        <v>0</v>
      </c>
      <c r="ET158">
        <v>0</v>
      </c>
      <c r="EU158">
        <v>0</v>
      </c>
      <c r="EW158">
        <v>0</v>
      </c>
      <c r="FA158">
        <v>0</v>
      </c>
      <c r="FE158">
        <v>0</v>
      </c>
      <c r="FI158">
        <v>0</v>
      </c>
      <c r="FJ158">
        <v>1978.82</v>
      </c>
      <c r="FK158">
        <v>34415</v>
      </c>
      <c r="FL158">
        <v>33870.953594252533</v>
      </c>
      <c r="FM158">
        <v>32436.18</v>
      </c>
    </row>
    <row r="159" spans="1:169" x14ac:dyDescent="0.35">
      <c r="A159">
        <v>198142</v>
      </c>
      <c r="B159" s="43" t="s">
        <v>2630</v>
      </c>
      <c r="C159" s="43" t="s">
        <v>2505</v>
      </c>
      <c r="D159" s="43" t="s">
        <v>2631</v>
      </c>
      <c r="E159" s="43" t="s">
        <v>2632</v>
      </c>
      <c r="F159">
        <v>1</v>
      </c>
      <c r="H159" s="23"/>
      <c r="I159">
        <v>43804</v>
      </c>
      <c r="J159" s="43" t="s">
        <v>4240</v>
      </c>
      <c r="K159" s="43" t="s">
        <v>1715</v>
      </c>
      <c r="L159" s="43" t="s">
        <v>3204</v>
      </c>
      <c r="M159" s="43" t="s">
        <v>2633</v>
      </c>
      <c r="N159" s="43" t="s">
        <v>2634</v>
      </c>
      <c r="O159" s="43" t="s">
        <v>2635</v>
      </c>
      <c r="P159" s="43" t="s">
        <v>297</v>
      </c>
      <c r="Q159" s="43" t="s">
        <v>2636</v>
      </c>
      <c r="S159" s="23">
        <v>44109</v>
      </c>
      <c r="T159" s="43" t="s">
        <v>311</v>
      </c>
      <c r="U159" s="43" t="s">
        <v>266</v>
      </c>
      <c r="V159" s="43" t="s">
        <v>267</v>
      </c>
      <c r="W159" s="43" t="s">
        <v>1718</v>
      </c>
      <c r="X159" s="43" t="s">
        <v>1719</v>
      </c>
      <c r="Y159">
        <v>8772802835</v>
      </c>
      <c r="Z159" s="43" t="s">
        <v>270</v>
      </c>
      <c r="AA159" s="43" t="s">
        <v>271</v>
      </c>
      <c r="AB159">
        <v>0</v>
      </c>
      <c r="AC159">
        <v>0</v>
      </c>
      <c r="AD159">
        <v>0</v>
      </c>
      <c r="AE159" s="43" t="s">
        <v>324</v>
      </c>
      <c r="AF159">
        <v>8</v>
      </c>
      <c r="AG159" s="43" t="s">
        <v>275</v>
      </c>
      <c r="AH159">
        <v>15666</v>
      </c>
      <c r="AI159">
        <v>15666</v>
      </c>
      <c r="AJ159" s="23">
        <v>43774</v>
      </c>
      <c r="AK159" s="43" t="s">
        <v>3208</v>
      </c>
      <c r="AL159" s="43" t="s">
        <v>3209</v>
      </c>
      <c r="AM159" s="23"/>
      <c r="AN159" s="23"/>
      <c r="AO159" s="23"/>
      <c r="AP159" s="23"/>
      <c r="AQ159" s="23"/>
      <c r="BB159" s="43"/>
      <c r="BC159" s="43" t="s">
        <v>2018</v>
      </c>
      <c r="BD159" s="43" t="s">
        <v>2018</v>
      </c>
      <c r="BE159" s="43" t="s">
        <v>2018</v>
      </c>
      <c r="BF159" s="43" t="s">
        <v>2018</v>
      </c>
      <c r="BG159" s="43" t="s">
        <v>2018</v>
      </c>
      <c r="BH159" t="s">
        <v>2018</v>
      </c>
      <c r="BI159" s="43" t="s">
        <v>2018</v>
      </c>
      <c r="BJ159">
        <v>0</v>
      </c>
      <c r="BK159" s="23">
        <v>44109</v>
      </c>
      <c r="BL159" s="23">
        <v>44356</v>
      </c>
      <c r="BM159">
        <v>8505</v>
      </c>
      <c r="BN159">
        <v>8505</v>
      </c>
      <c r="BO159">
        <v>8505</v>
      </c>
      <c r="BP159">
        <v>25515</v>
      </c>
      <c r="BQ159">
        <v>3300</v>
      </c>
      <c r="BR159">
        <v>400</v>
      </c>
      <c r="BS159">
        <v>400</v>
      </c>
      <c r="BT159">
        <v>4100</v>
      </c>
      <c r="BU159">
        <v>2100</v>
      </c>
      <c r="BV159">
        <v>2100</v>
      </c>
      <c r="BW159">
        <v>2100</v>
      </c>
      <c r="BX159">
        <v>6300</v>
      </c>
      <c r="BY159">
        <v>1200</v>
      </c>
      <c r="BZ159">
        <v>1200</v>
      </c>
      <c r="CA159">
        <v>1200</v>
      </c>
      <c r="CB159">
        <v>3600</v>
      </c>
      <c r="CC159">
        <v>0</v>
      </c>
      <c r="CD159">
        <v>0</v>
      </c>
      <c r="CE159">
        <v>0</v>
      </c>
      <c r="CF159">
        <v>0</v>
      </c>
      <c r="CG159">
        <v>39515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1154</v>
      </c>
      <c r="EJ159">
        <v>1154</v>
      </c>
      <c r="EK159">
        <v>1155</v>
      </c>
      <c r="EL159">
        <v>3500</v>
      </c>
      <c r="EM159">
        <v>37.065000000000005</v>
      </c>
      <c r="EN159">
        <v>660</v>
      </c>
      <c r="EO159">
        <v>660</v>
      </c>
      <c r="EP159">
        <v>660</v>
      </c>
      <c r="EQ159">
        <v>2000</v>
      </c>
      <c r="ER159">
        <v>21.18</v>
      </c>
      <c r="ES159">
        <v>0</v>
      </c>
      <c r="ET159">
        <v>0</v>
      </c>
      <c r="EU159">
        <v>0</v>
      </c>
      <c r="EV159">
        <v>0</v>
      </c>
      <c r="EW159">
        <v>0</v>
      </c>
      <c r="FA159">
        <v>0</v>
      </c>
      <c r="FE159">
        <v>0</v>
      </c>
      <c r="FI159">
        <v>0</v>
      </c>
      <c r="FJ159">
        <v>5441.7550000000001</v>
      </c>
      <c r="FK159">
        <v>39515</v>
      </c>
      <c r="FL159">
        <v>35580.43210392214</v>
      </c>
      <c r="FM159">
        <v>34073.245000000003</v>
      </c>
    </row>
    <row r="160" spans="1:169" x14ac:dyDescent="0.35">
      <c r="A160">
        <v>198175</v>
      </c>
      <c r="B160" s="43" t="s">
        <v>2637</v>
      </c>
      <c r="C160" s="43" t="s">
        <v>2638</v>
      </c>
      <c r="D160" s="43" t="s">
        <v>2639</v>
      </c>
      <c r="E160" s="43" t="s">
        <v>2640</v>
      </c>
      <c r="F160">
        <v>1</v>
      </c>
      <c r="G160">
        <v>43783</v>
      </c>
      <c r="H160" s="23">
        <v>43783</v>
      </c>
      <c r="I160">
        <v>43783</v>
      </c>
      <c r="J160" s="43" t="s">
        <v>3335</v>
      </c>
      <c r="K160" s="43" t="s">
        <v>1715</v>
      </c>
      <c r="L160" s="43" t="s">
        <v>3204</v>
      </c>
      <c r="M160" s="43" t="s">
        <v>2641</v>
      </c>
      <c r="N160" s="43" t="s">
        <v>2642</v>
      </c>
      <c r="O160" s="43" t="s">
        <v>2643</v>
      </c>
      <c r="P160" s="43" t="s">
        <v>309</v>
      </c>
      <c r="Q160" s="43" t="s">
        <v>2644</v>
      </c>
      <c r="S160" s="23">
        <v>44109</v>
      </c>
      <c r="T160" s="43" t="s">
        <v>285</v>
      </c>
      <c r="U160" s="43" t="s">
        <v>286</v>
      </c>
      <c r="V160" s="43" t="s">
        <v>267</v>
      </c>
      <c r="W160" s="43" t="s">
        <v>1718</v>
      </c>
      <c r="X160" s="43" t="s">
        <v>1719</v>
      </c>
      <c r="Y160">
        <v>8772802835</v>
      </c>
      <c r="Z160" s="43" t="s">
        <v>270</v>
      </c>
      <c r="AA160" s="43" t="s">
        <v>271</v>
      </c>
      <c r="AB160">
        <v>0</v>
      </c>
      <c r="AC160">
        <v>1000</v>
      </c>
      <c r="AD160">
        <v>96</v>
      </c>
      <c r="AE160" s="43" t="s">
        <v>354</v>
      </c>
      <c r="AF160">
        <v>6</v>
      </c>
      <c r="AG160" s="43" t="s">
        <v>275</v>
      </c>
      <c r="AH160">
        <v>0</v>
      </c>
      <c r="AI160">
        <v>0</v>
      </c>
      <c r="AJ160" s="23">
        <v>43774</v>
      </c>
      <c r="AK160" s="43" t="s">
        <v>3208</v>
      </c>
      <c r="AL160" s="43" t="s">
        <v>3209</v>
      </c>
      <c r="AM160" s="23"/>
      <c r="AN160" s="23"/>
      <c r="AO160" s="23">
        <v>43764</v>
      </c>
      <c r="AP160" s="23"/>
      <c r="AQ160" s="23"/>
      <c r="BB160" s="43"/>
      <c r="BC160" s="43" t="s">
        <v>2018</v>
      </c>
      <c r="BD160" s="43" t="s">
        <v>2018</v>
      </c>
      <c r="BE160" s="43" t="s">
        <v>2018</v>
      </c>
      <c r="BF160" s="43" t="s">
        <v>2018</v>
      </c>
      <c r="BG160" s="43" t="s">
        <v>2018</v>
      </c>
      <c r="BH160" t="s">
        <v>2018</v>
      </c>
      <c r="BI160" s="43" t="s">
        <v>2018</v>
      </c>
      <c r="BJ160">
        <v>6.25E-2</v>
      </c>
      <c r="BK160" s="23">
        <v>44109</v>
      </c>
      <c r="BL160" s="23">
        <v>44356</v>
      </c>
      <c r="BM160">
        <v>8505</v>
      </c>
      <c r="BN160">
        <v>8505</v>
      </c>
      <c r="BO160">
        <v>8505</v>
      </c>
      <c r="BP160">
        <v>25515</v>
      </c>
      <c r="BQ160">
        <v>3300</v>
      </c>
      <c r="BR160">
        <v>400</v>
      </c>
      <c r="BS160">
        <v>400</v>
      </c>
      <c r="BT160">
        <v>4100</v>
      </c>
      <c r="BU160">
        <v>2100</v>
      </c>
      <c r="BV160">
        <v>2100</v>
      </c>
      <c r="BW160">
        <v>2100</v>
      </c>
      <c r="BX160">
        <v>6300</v>
      </c>
      <c r="BY160">
        <v>1200</v>
      </c>
      <c r="BZ160">
        <v>1200</v>
      </c>
      <c r="CA160">
        <v>1200</v>
      </c>
      <c r="CB160">
        <v>3600</v>
      </c>
      <c r="CC160">
        <v>0</v>
      </c>
      <c r="CD160">
        <v>0</v>
      </c>
      <c r="CE160">
        <v>0</v>
      </c>
      <c r="CF160">
        <v>0</v>
      </c>
      <c r="CG160">
        <v>39515</v>
      </c>
      <c r="CH160">
        <v>0</v>
      </c>
      <c r="CI160">
        <v>0</v>
      </c>
      <c r="CJ160">
        <v>0</v>
      </c>
      <c r="CK160">
        <v>0</v>
      </c>
      <c r="CL160">
        <v>2065</v>
      </c>
      <c r="CM160">
        <v>2065</v>
      </c>
      <c r="CN160">
        <v>2065</v>
      </c>
      <c r="CO160">
        <v>6195</v>
      </c>
      <c r="CP160">
        <v>500</v>
      </c>
      <c r="CQ160">
        <v>500</v>
      </c>
      <c r="CR160">
        <v>500</v>
      </c>
      <c r="CS160">
        <v>1500</v>
      </c>
      <c r="CT160">
        <v>750</v>
      </c>
      <c r="CU160">
        <v>750</v>
      </c>
      <c r="CV160">
        <v>750</v>
      </c>
      <c r="CW160">
        <v>2250</v>
      </c>
      <c r="CX160">
        <v>0</v>
      </c>
      <c r="CY160">
        <v>0</v>
      </c>
      <c r="CZ160">
        <v>0</v>
      </c>
      <c r="DA160">
        <v>0</v>
      </c>
      <c r="DB160">
        <v>1000</v>
      </c>
      <c r="DC160">
        <v>1000</v>
      </c>
      <c r="DD160">
        <v>1000</v>
      </c>
      <c r="DE160">
        <v>3000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12945</v>
      </c>
      <c r="EE160">
        <v>0</v>
      </c>
      <c r="EF160">
        <v>0</v>
      </c>
      <c r="EG160">
        <v>0</v>
      </c>
      <c r="EH160">
        <v>0</v>
      </c>
      <c r="EI160">
        <v>1154</v>
      </c>
      <c r="EJ160">
        <v>1154</v>
      </c>
      <c r="EK160">
        <v>1155</v>
      </c>
      <c r="EL160">
        <v>3500</v>
      </c>
      <c r="EM160">
        <v>37.065000000000005</v>
      </c>
      <c r="EN160">
        <v>660</v>
      </c>
      <c r="EO160">
        <v>660</v>
      </c>
      <c r="EP160">
        <v>660</v>
      </c>
      <c r="EQ160">
        <v>2000</v>
      </c>
      <c r="ER160">
        <v>21.18</v>
      </c>
      <c r="ES160">
        <v>0</v>
      </c>
      <c r="ET160">
        <v>0</v>
      </c>
      <c r="EU160">
        <v>0</v>
      </c>
      <c r="EV160">
        <v>0</v>
      </c>
      <c r="EW160">
        <v>0</v>
      </c>
      <c r="FA160">
        <v>0</v>
      </c>
      <c r="FE160">
        <v>0</v>
      </c>
      <c r="FI160">
        <v>0</v>
      </c>
      <c r="FJ160">
        <v>5441.7550000000001</v>
      </c>
      <c r="FK160">
        <v>26570</v>
      </c>
      <c r="FL160">
        <v>22062.826323044148</v>
      </c>
      <c r="FM160">
        <v>21128.244999999999</v>
      </c>
    </row>
    <row r="161" spans="1:169" x14ac:dyDescent="0.35">
      <c r="A161">
        <v>196076</v>
      </c>
      <c r="B161" s="43" t="s">
        <v>2645</v>
      </c>
      <c r="C161" s="43" t="s">
        <v>2646</v>
      </c>
      <c r="D161" s="43" t="s">
        <v>2647</v>
      </c>
      <c r="E161" s="43" t="s">
        <v>2648</v>
      </c>
      <c r="F161">
        <v>1</v>
      </c>
      <c r="H161" s="23"/>
      <c r="I161">
        <v>43804</v>
      </c>
      <c r="J161" s="43" t="s">
        <v>4240</v>
      </c>
      <c r="K161" s="43" t="s">
        <v>1715</v>
      </c>
      <c r="L161" s="43" t="s">
        <v>3204</v>
      </c>
      <c r="M161" s="43" t="s">
        <v>2649</v>
      </c>
      <c r="N161" s="43" t="s">
        <v>2650</v>
      </c>
      <c r="O161" s="43" t="s">
        <v>2651</v>
      </c>
      <c r="P161" s="43" t="s">
        <v>332</v>
      </c>
      <c r="Q161" s="43" t="s">
        <v>2652</v>
      </c>
      <c r="S161" s="23">
        <v>44109</v>
      </c>
      <c r="T161" s="43" t="s">
        <v>311</v>
      </c>
      <c r="U161" s="43" t="s">
        <v>266</v>
      </c>
      <c r="V161" s="43" t="s">
        <v>267</v>
      </c>
      <c r="W161" s="43" t="s">
        <v>1718</v>
      </c>
      <c r="X161" s="43" t="s">
        <v>1719</v>
      </c>
      <c r="Y161">
        <v>8772802835</v>
      </c>
      <c r="Z161" s="43" t="s">
        <v>270</v>
      </c>
      <c r="AA161" s="43" t="s">
        <v>271</v>
      </c>
      <c r="AB161">
        <v>26</v>
      </c>
      <c r="AC161">
        <v>0</v>
      </c>
      <c r="AD161">
        <v>117</v>
      </c>
      <c r="AE161" s="43" t="s">
        <v>364</v>
      </c>
      <c r="AF161">
        <v>3</v>
      </c>
      <c r="AG161" s="43" t="s">
        <v>446</v>
      </c>
      <c r="AH161">
        <v>0</v>
      </c>
      <c r="AI161">
        <v>0</v>
      </c>
      <c r="AJ161" s="23">
        <v>43790</v>
      </c>
      <c r="AK161" s="43" t="s">
        <v>3208</v>
      </c>
      <c r="AL161" s="43" t="s">
        <v>3209</v>
      </c>
      <c r="AM161" s="23"/>
      <c r="AN161" s="23"/>
      <c r="AO161" s="23"/>
      <c r="AP161" s="23"/>
      <c r="AQ161" s="23"/>
      <c r="BB161" s="43"/>
      <c r="BC161" s="43" t="s">
        <v>2018</v>
      </c>
      <c r="BD161" s="43" t="s">
        <v>2018</v>
      </c>
      <c r="BE161" s="43" t="s">
        <v>2018</v>
      </c>
      <c r="BF161" s="43" t="s">
        <v>2018</v>
      </c>
      <c r="BG161" s="43" t="s">
        <v>2018</v>
      </c>
      <c r="BH161" t="s">
        <v>2018</v>
      </c>
      <c r="BI161" s="43" t="s">
        <v>2018</v>
      </c>
      <c r="BJ161">
        <v>0</v>
      </c>
      <c r="BK161" s="23">
        <v>44109</v>
      </c>
      <c r="BL161" s="23">
        <v>44356</v>
      </c>
      <c r="BM161">
        <v>8505</v>
      </c>
      <c r="BN161">
        <v>8505</v>
      </c>
      <c r="BO161">
        <v>8505</v>
      </c>
      <c r="BP161">
        <v>25515</v>
      </c>
      <c r="BQ161">
        <v>3300</v>
      </c>
      <c r="BR161">
        <v>400</v>
      </c>
      <c r="BS161">
        <v>400</v>
      </c>
      <c r="BT161">
        <v>4100</v>
      </c>
      <c r="BU161">
        <v>2100</v>
      </c>
      <c r="BV161">
        <v>2100</v>
      </c>
      <c r="BW161">
        <v>2100</v>
      </c>
      <c r="BX161">
        <v>6300</v>
      </c>
      <c r="BY161">
        <v>1200</v>
      </c>
      <c r="BZ161">
        <v>1200</v>
      </c>
      <c r="CA161">
        <v>1200</v>
      </c>
      <c r="CB161">
        <v>3600</v>
      </c>
      <c r="CC161">
        <v>0</v>
      </c>
      <c r="CD161">
        <v>0</v>
      </c>
      <c r="CE161">
        <v>0</v>
      </c>
      <c r="CF161">
        <v>0</v>
      </c>
      <c r="CG161">
        <v>39515</v>
      </c>
      <c r="CH161">
        <v>0</v>
      </c>
      <c r="CI161">
        <v>0</v>
      </c>
      <c r="CJ161">
        <v>0</v>
      </c>
      <c r="CK161">
        <v>0</v>
      </c>
      <c r="CL161">
        <v>2065</v>
      </c>
      <c r="CM161">
        <v>2065</v>
      </c>
      <c r="CN161">
        <v>2065</v>
      </c>
      <c r="CO161">
        <v>6195</v>
      </c>
      <c r="CP161">
        <v>500</v>
      </c>
      <c r="CQ161">
        <v>500</v>
      </c>
      <c r="CR161">
        <v>500</v>
      </c>
      <c r="CS161">
        <v>1500</v>
      </c>
      <c r="CT161">
        <v>1300</v>
      </c>
      <c r="CU161">
        <v>1300</v>
      </c>
      <c r="CV161">
        <v>1300</v>
      </c>
      <c r="CW161">
        <v>3900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11595</v>
      </c>
      <c r="EE161">
        <v>0</v>
      </c>
      <c r="EF161">
        <v>0</v>
      </c>
      <c r="EG161">
        <v>0</v>
      </c>
      <c r="EH161">
        <v>0</v>
      </c>
      <c r="EI161">
        <v>1154</v>
      </c>
      <c r="EJ161">
        <v>1154</v>
      </c>
      <c r="EK161">
        <v>1155</v>
      </c>
      <c r="EL161">
        <v>3500</v>
      </c>
      <c r="EM161">
        <v>37.065000000000005</v>
      </c>
      <c r="EN161">
        <v>660</v>
      </c>
      <c r="EO161">
        <v>660</v>
      </c>
      <c r="EP161">
        <v>660</v>
      </c>
      <c r="EQ161">
        <v>2000</v>
      </c>
      <c r="ER161">
        <v>21.18</v>
      </c>
      <c r="ES161">
        <v>0</v>
      </c>
      <c r="ET161">
        <v>0</v>
      </c>
      <c r="EU161">
        <v>0</v>
      </c>
      <c r="EV161">
        <v>0</v>
      </c>
      <c r="EW161">
        <v>0</v>
      </c>
      <c r="FA161">
        <v>0</v>
      </c>
      <c r="FE161">
        <v>0</v>
      </c>
      <c r="FI161">
        <v>0</v>
      </c>
      <c r="FJ161">
        <v>5441.7550000000001</v>
      </c>
      <c r="FK161">
        <v>27920</v>
      </c>
      <c r="FL161">
        <v>23472.541873773022</v>
      </c>
      <c r="FM161">
        <v>22478.244999999999</v>
      </c>
    </row>
    <row r="162" spans="1:169" x14ac:dyDescent="0.35">
      <c r="A162">
        <v>195328</v>
      </c>
      <c r="B162" s="43" t="s">
        <v>2653</v>
      </c>
      <c r="C162" s="43" t="s">
        <v>2654</v>
      </c>
      <c r="D162" s="43" t="s">
        <v>2655</v>
      </c>
      <c r="E162" s="43" t="s">
        <v>2656</v>
      </c>
      <c r="F162">
        <v>1</v>
      </c>
      <c r="H162" s="23"/>
      <c r="I162">
        <v>43804</v>
      </c>
      <c r="J162" s="43" t="s">
        <v>4242</v>
      </c>
      <c r="K162" s="43" t="s">
        <v>1715</v>
      </c>
      <c r="L162" s="43" t="s">
        <v>259</v>
      </c>
      <c r="M162" s="43" t="s">
        <v>2657</v>
      </c>
      <c r="N162" s="43" t="s">
        <v>2658</v>
      </c>
      <c r="O162" s="43" t="s">
        <v>2659</v>
      </c>
      <c r="P162" s="43" t="s">
        <v>283</v>
      </c>
      <c r="Q162" s="43" t="s">
        <v>2660</v>
      </c>
      <c r="S162" s="23">
        <v>44109</v>
      </c>
      <c r="T162" s="43" t="s">
        <v>311</v>
      </c>
      <c r="U162" s="43" t="s">
        <v>266</v>
      </c>
      <c r="V162" s="43" t="s">
        <v>267</v>
      </c>
      <c r="W162" s="43" t="s">
        <v>1718</v>
      </c>
      <c r="X162" s="43" t="s">
        <v>1719</v>
      </c>
      <c r="Y162">
        <v>8772802835</v>
      </c>
      <c r="Z162" s="43" t="s">
        <v>270</v>
      </c>
      <c r="AA162" s="43" t="s">
        <v>271</v>
      </c>
      <c r="AB162">
        <v>0</v>
      </c>
      <c r="AC162">
        <v>0</v>
      </c>
      <c r="AD162">
        <v>0</v>
      </c>
      <c r="AE162" s="43" t="s">
        <v>376</v>
      </c>
      <c r="AF162">
        <v>7</v>
      </c>
      <c r="AG162" s="43" t="s">
        <v>275</v>
      </c>
      <c r="AJ162" s="23"/>
      <c r="AK162" s="43" t="s">
        <v>259</v>
      </c>
      <c r="AL162" s="43" t="s">
        <v>259</v>
      </c>
      <c r="AM162" s="23"/>
      <c r="AN162" s="23"/>
      <c r="AO162" s="23"/>
      <c r="AP162" s="23"/>
      <c r="AQ162" s="23"/>
      <c r="BB162" s="43"/>
      <c r="BC162" s="43" t="s">
        <v>259</v>
      </c>
      <c r="BD162" s="43" t="s">
        <v>259</v>
      </c>
      <c r="BE162" s="43" t="s">
        <v>259</v>
      </c>
      <c r="BF162" s="43" t="s">
        <v>259</v>
      </c>
      <c r="BG162" s="43" t="s">
        <v>259</v>
      </c>
      <c r="BH162" t="s">
        <v>259</v>
      </c>
      <c r="BI162" s="43" t="s">
        <v>259</v>
      </c>
      <c r="BJ162">
        <v>0</v>
      </c>
      <c r="BK162" s="23">
        <v>44109</v>
      </c>
      <c r="BL162" s="23">
        <v>44356</v>
      </c>
      <c r="BM162">
        <v>8505</v>
      </c>
      <c r="BN162">
        <v>8505</v>
      </c>
      <c r="BO162">
        <v>8505</v>
      </c>
      <c r="BP162">
        <v>25515</v>
      </c>
      <c r="BQ162">
        <v>3300</v>
      </c>
      <c r="BR162">
        <v>400</v>
      </c>
      <c r="BS162">
        <v>400</v>
      </c>
      <c r="BT162">
        <v>4100</v>
      </c>
      <c r="BU162">
        <v>2100</v>
      </c>
      <c r="BV162">
        <v>2100</v>
      </c>
      <c r="BW162">
        <v>2100</v>
      </c>
      <c r="BX162">
        <v>6300</v>
      </c>
      <c r="BY162">
        <v>1200</v>
      </c>
      <c r="BZ162">
        <v>1200</v>
      </c>
      <c r="CA162">
        <v>1200</v>
      </c>
      <c r="CB162">
        <v>3600</v>
      </c>
      <c r="CC162">
        <v>0</v>
      </c>
      <c r="CD162">
        <v>0</v>
      </c>
      <c r="CE162">
        <v>0</v>
      </c>
      <c r="CF162">
        <v>0</v>
      </c>
      <c r="CG162">
        <v>39515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1154</v>
      </c>
      <c r="EJ162">
        <v>1154</v>
      </c>
      <c r="EK162">
        <v>1155</v>
      </c>
      <c r="EL162">
        <v>3500</v>
      </c>
      <c r="EM162">
        <v>37.065000000000005</v>
      </c>
      <c r="EN162">
        <v>660</v>
      </c>
      <c r="EO162">
        <v>660</v>
      </c>
      <c r="EP162">
        <v>660</v>
      </c>
      <c r="EQ162">
        <v>2000</v>
      </c>
      <c r="ER162">
        <v>21.18</v>
      </c>
      <c r="ES162">
        <v>0</v>
      </c>
      <c r="ET162">
        <v>0</v>
      </c>
      <c r="EU162">
        <v>0</v>
      </c>
      <c r="EV162">
        <v>0</v>
      </c>
      <c r="EW162">
        <v>0</v>
      </c>
      <c r="FA162">
        <v>0</v>
      </c>
      <c r="FE162">
        <v>0</v>
      </c>
      <c r="FI162">
        <v>0</v>
      </c>
      <c r="FJ162">
        <v>5441.7550000000001</v>
      </c>
      <c r="FK162">
        <v>39515</v>
      </c>
      <c r="FL162">
        <v>35580.43210392214</v>
      </c>
      <c r="FM162">
        <v>34073.245000000003</v>
      </c>
    </row>
    <row r="163" spans="1:169" x14ac:dyDescent="0.35">
      <c r="A163">
        <v>197710</v>
      </c>
      <c r="B163" s="43" t="s">
        <v>2661</v>
      </c>
      <c r="C163" s="43" t="s">
        <v>1886</v>
      </c>
      <c r="D163" s="43" t="s">
        <v>2662</v>
      </c>
      <c r="E163" s="43" t="s">
        <v>2663</v>
      </c>
      <c r="F163">
        <v>1</v>
      </c>
      <c r="H163" s="23"/>
      <c r="I163">
        <v>43804</v>
      </c>
      <c r="J163" s="43" t="s">
        <v>4242</v>
      </c>
      <c r="K163" s="43" t="s">
        <v>1715</v>
      </c>
      <c r="L163" s="43" t="s">
        <v>259</v>
      </c>
      <c r="M163" s="43" t="s">
        <v>2664</v>
      </c>
      <c r="N163" s="43" t="s">
        <v>2665</v>
      </c>
      <c r="O163" s="43" t="s">
        <v>2666</v>
      </c>
      <c r="P163" s="43" t="s">
        <v>677</v>
      </c>
      <c r="Q163" s="43" t="s">
        <v>2667</v>
      </c>
      <c r="S163" s="23">
        <v>44109</v>
      </c>
      <c r="T163" s="43" t="s">
        <v>285</v>
      </c>
      <c r="U163" s="43" t="s">
        <v>312</v>
      </c>
      <c r="V163" s="43" t="s">
        <v>267</v>
      </c>
      <c r="W163" s="43" t="s">
        <v>1718</v>
      </c>
      <c r="X163" s="43" t="s">
        <v>1719</v>
      </c>
      <c r="Y163">
        <v>8772802835</v>
      </c>
      <c r="Z163" s="43" t="s">
        <v>270</v>
      </c>
      <c r="AA163" s="43" t="s">
        <v>271</v>
      </c>
      <c r="AB163">
        <v>0</v>
      </c>
      <c r="AC163">
        <v>0</v>
      </c>
      <c r="AD163">
        <v>0</v>
      </c>
      <c r="AE163" s="43" t="s">
        <v>324</v>
      </c>
      <c r="AF163">
        <v>8</v>
      </c>
      <c r="AG163" s="43" t="s">
        <v>275</v>
      </c>
      <c r="AJ163" s="23"/>
      <c r="AK163" s="43" t="s">
        <v>259</v>
      </c>
      <c r="AL163" s="43" t="s">
        <v>259</v>
      </c>
      <c r="AM163" s="23"/>
      <c r="AN163" s="23"/>
      <c r="AO163" s="23"/>
      <c r="AP163" s="23"/>
      <c r="AQ163" s="23"/>
      <c r="BB163" s="43"/>
      <c r="BC163" s="43" t="s">
        <v>259</v>
      </c>
      <c r="BD163" s="43" t="s">
        <v>259</v>
      </c>
      <c r="BE163" s="43" t="s">
        <v>259</v>
      </c>
      <c r="BF163" s="43" t="s">
        <v>259</v>
      </c>
      <c r="BG163" s="43" t="s">
        <v>259</v>
      </c>
      <c r="BH163" t="s">
        <v>259</v>
      </c>
      <c r="BI163" s="43" t="s">
        <v>259</v>
      </c>
      <c r="BJ163">
        <v>0</v>
      </c>
      <c r="BK163" s="23">
        <v>44109</v>
      </c>
      <c r="BL163" s="23">
        <v>44356</v>
      </c>
      <c r="BM163">
        <v>8505</v>
      </c>
      <c r="BN163">
        <v>8505</v>
      </c>
      <c r="BO163">
        <v>8505</v>
      </c>
      <c r="BP163">
        <v>25515</v>
      </c>
      <c r="BQ163">
        <v>3300</v>
      </c>
      <c r="BR163">
        <v>400</v>
      </c>
      <c r="BS163">
        <v>400</v>
      </c>
      <c r="BT163">
        <v>4100</v>
      </c>
      <c r="BU163">
        <v>2100</v>
      </c>
      <c r="BV163">
        <v>2100</v>
      </c>
      <c r="BW163">
        <v>2100</v>
      </c>
      <c r="BX163">
        <v>6300</v>
      </c>
      <c r="BY163">
        <v>1200</v>
      </c>
      <c r="BZ163">
        <v>1200</v>
      </c>
      <c r="CA163">
        <v>1200</v>
      </c>
      <c r="CB163">
        <v>3600</v>
      </c>
      <c r="CC163">
        <v>0</v>
      </c>
      <c r="CD163">
        <v>0</v>
      </c>
      <c r="CE163">
        <v>0</v>
      </c>
      <c r="CF163">
        <v>0</v>
      </c>
      <c r="CG163">
        <v>39515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1154</v>
      </c>
      <c r="EJ163">
        <v>1154</v>
      </c>
      <c r="EK163">
        <v>1155</v>
      </c>
      <c r="EL163">
        <v>3500</v>
      </c>
      <c r="EM163">
        <v>37.065000000000005</v>
      </c>
      <c r="EN163">
        <v>660</v>
      </c>
      <c r="EO163">
        <v>660</v>
      </c>
      <c r="EP163">
        <v>660</v>
      </c>
      <c r="EQ163">
        <v>2000</v>
      </c>
      <c r="ER163">
        <v>21.18</v>
      </c>
      <c r="ES163">
        <v>0</v>
      </c>
      <c r="ET163">
        <v>0</v>
      </c>
      <c r="EU163">
        <v>0</v>
      </c>
      <c r="EV163">
        <v>0</v>
      </c>
      <c r="EW163">
        <v>0</v>
      </c>
      <c r="FA163">
        <v>0</v>
      </c>
      <c r="FE163">
        <v>0</v>
      </c>
      <c r="FI163">
        <v>0</v>
      </c>
      <c r="FJ163">
        <v>5441.7550000000001</v>
      </c>
      <c r="FK163">
        <v>39515</v>
      </c>
      <c r="FL163">
        <v>35580.43210392214</v>
      </c>
      <c r="FM163">
        <v>34073.245000000003</v>
      </c>
    </row>
    <row r="164" spans="1:169" x14ac:dyDescent="0.35">
      <c r="A164">
        <v>197062</v>
      </c>
      <c r="B164" s="43" t="s">
        <v>2668</v>
      </c>
      <c r="C164" s="43" t="s">
        <v>2669</v>
      </c>
      <c r="D164" s="43" t="s">
        <v>2670</v>
      </c>
      <c r="E164" s="43" t="s">
        <v>2671</v>
      </c>
      <c r="F164">
        <v>1</v>
      </c>
      <c r="H164" s="23"/>
      <c r="I164">
        <v>43804</v>
      </c>
      <c r="J164" s="43" t="s">
        <v>4242</v>
      </c>
      <c r="K164" s="43" t="s">
        <v>1715</v>
      </c>
      <c r="L164" s="43" t="s">
        <v>259</v>
      </c>
      <c r="M164" s="43" t="s">
        <v>2672</v>
      </c>
      <c r="N164" s="43" t="s">
        <v>2673</v>
      </c>
      <c r="O164" s="43" t="s">
        <v>2674</v>
      </c>
      <c r="P164" s="43" t="s">
        <v>332</v>
      </c>
      <c r="Q164" s="43" t="s">
        <v>2675</v>
      </c>
      <c r="S164" s="23">
        <v>44109</v>
      </c>
      <c r="T164" s="43" t="s">
        <v>285</v>
      </c>
      <c r="U164" s="43" t="s">
        <v>266</v>
      </c>
      <c r="V164" s="43" t="s">
        <v>267</v>
      </c>
      <c r="W164" s="43" t="s">
        <v>1718</v>
      </c>
      <c r="X164" s="43" t="s">
        <v>1719</v>
      </c>
      <c r="Y164">
        <v>8772802835</v>
      </c>
      <c r="Z164" s="43" t="s">
        <v>270</v>
      </c>
      <c r="AA164" s="43" t="s">
        <v>271</v>
      </c>
      <c r="AB164">
        <v>17</v>
      </c>
      <c r="AC164">
        <v>0</v>
      </c>
      <c r="AD164">
        <v>96</v>
      </c>
      <c r="AE164" s="43" t="s">
        <v>354</v>
      </c>
      <c r="AF164">
        <v>6</v>
      </c>
      <c r="AG164" s="43" t="s">
        <v>275</v>
      </c>
      <c r="AJ164" s="23"/>
      <c r="AK164" s="43" t="s">
        <v>259</v>
      </c>
      <c r="AL164" s="43" t="s">
        <v>259</v>
      </c>
      <c r="AM164" s="23"/>
      <c r="AN164" s="23"/>
      <c r="AO164" s="23"/>
      <c r="AP164" s="23"/>
      <c r="AQ164" s="23"/>
      <c r="BB164" s="43"/>
      <c r="BC164" s="43" t="s">
        <v>259</v>
      </c>
      <c r="BD164" s="43" t="s">
        <v>259</v>
      </c>
      <c r="BE164" s="43" t="s">
        <v>259</v>
      </c>
      <c r="BF164" s="43" t="s">
        <v>259</v>
      </c>
      <c r="BG164" s="43" t="s">
        <v>259</v>
      </c>
      <c r="BH164" t="s">
        <v>259</v>
      </c>
      <c r="BI164" s="43" t="s">
        <v>259</v>
      </c>
      <c r="BJ164">
        <v>0</v>
      </c>
      <c r="BK164" s="23">
        <v>44109</v>
      </c>
      <c r="BL164" s="23">
        <v>44356</v>
      </c>
      <c r="BM164">
        <v>8505</v>
      </c>
      <c r="BN164">
        <v>8505</v>
      </c>
      <c r="BO164">
        <v>8505</v>
      </c>
      <c r="BP164">
        <v>25515</v>
      </c>
      <c r="BQ164">
        <v>3300</v>
      </c>
      <c r="BR164">
        <v>400</v>
      </c>
      <c r="BS164">
        <v>400</v>
      </c>
      <c r="BT164">
        <v>4100</v>
      </c>
      <c r="BU164">
        <v>2100</v>
      </c>
      <c r="BV164">
        <v>2100</v>
      </c>
      <c r="BW164">
        <v>2100</v>
      </c>
      <c r="BX164">
        <v>6300</v>
      </c>
      <c r="BY164">
        <v>1200</v>
      </c>
      <c r="BZ164">
        <v>1200</v>
      </c>
      <c r="CA164">
        <v>1200</v>
      </c>
      <c r="CB164">
        <v>3600</v>
      </c>
      <c r="CC164">
        <v>0</v>
      </c>
      <c r="CD164">
        <v>0</v>
      </c>
      <c r="CE164">
        <v>0</v>
      </c>
      <c r="CF164">
        <v>0</v>
      </c>
      <c r="CG164">
        <v>39515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750</v>
      </c>
      <c r="CU164">
        <v>750</v>
      </c>
      <c r="CV164">
        <v>750</v>
      </c>
      <c r="CW164">
        <v>2250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2250</v>
      </c>
      <c r="EE164">
        <v>0</v>
      </c>
      <c r="EF164">
        <v>0</v>
      </c>
      <c r="EG164">
        <v>0</v>
      </c>
      <c r="EH164">
        <v>0</v>
      </c>
      <c r="EI164">
        <v>1154</v>
      </c>
      <c r="EJ164">
        <v>1154</v>
      </c>
      <c r="EK164">
        <v>1155</v>
      </c>
      <c r="EL164">
        <v>3500</v>
      </c>
      <c r="EM164">
        <v>37.065000000000005</v>
      </c>
      <c r="EN164">
        <v>660</v>
      </c>
      <c r="EO164">
        <v>660</v>
      </c>
      <c r="EP164">
        <v>660</v>
      </c>
      <c r="EQ164">
        <v>2000</v>
      </c>
      <c r="ER164">
        <v>21.18</v>
      </c>
      <c r="ES164">
        <v>0</v>
      </c>
      <c r="ET164">
        <v>0</v>
      </c>
      <c r="EU164">
        <v>0</v>
      </c>
      <c r="EV164">
        <v>0</v>
      </c>
      <c r="EW164">
        <v>0</v>
      </c>
      <c r="FA164">
        <v>0</v>
      </c>
      <c r="FE164">
        <v>0</v>
      </c>
      <c r="FI164">
        <v>0</v>
      </c>
      <c r="FJ164">
        <v>5441.7550000000001</v>
      </c>
      <c r="FK164">
        <v>37265</v>
      </c>
      <c r="FL164">
        <v>33230.906186040687</v>
      </c>
      <c r="FM164">
        <v>31823.245000000003</v>
      </c>
    </row>
    <row r="165" spans="1:169" x14ac:dyDescent="0.35">
      <c r="A165">
        <v>198403</v>
      </c>
      <c r="B165" s="43" t="s">
        <v>2676</v>
      </c>
      <c r="C165" s="43" t="s">
        <v>2677</v>
      </c>
      <c r="D165" s="43" t="s">
        <v>2678</v>
      </c>
      <c r="E165" s="43" t="s">
        <v>2679</v>
      </c>
      <c r="F165">
        <v>1</v>
      </c>
      <c r="H165" s="23"/>
      <c r="I165">
        <v>43783</v>
      </c>
      <c r="J165" s="43" t="s">
        <v>3304</v>
      </c>
      <c r="K165" s="43" t="s">
        <v>1715</v>
      </c>
      <c r="L165" s="43" t="s">
        <v>3204</v>
      </c>
      <c r="M165" s="43" t="s">
        <v>2680</v>
      </c>
      <c r="N165" s="43" t="s">
        <v>2681</v>
      </c>
      <c r="O165" s="43" t="s">
        <v>1477</v>
      </c>
      <c r="P165" s="43" t="s">
        <v>542</v>
      </c>
      <c r="Q165" s="43" t="s">
        <v>2682</v>
      </c>
      <c r="S165" s="23">
        <v>44109</v>
      </c>
      <c r="T165" s="43" t="s">
        <v>544</v>
      </c>
      <c r="U165" s="43" t="s">
        <v>266</v>
      </c>
      <c r="V165" s="43" t="s">
        <v>267</v>
      </c>
      <c r="W165" s="43" t="s">
        <v>1718</v>
      </c>
      <c r="X165" s="43" t="s">
        <v>1719</v>
      </c>
      <c r="Y165">
        <v>8772802835</v>
      </c>
      <c r="Z165" s="43" t="s">
        <v>270</v>
      </c>
      <c r="AA165" s="43" t="s">
        <v>271</v>
      </c>
      <c r="AB165">
        <v>22</v>
      </c>
      <c r="AC165">
        <v>0</v>
      </c>
      <c r="AD165">
        <v>114</v>
      </c>
      <c r="AE165" s="43" t="s">
        <v>289</v>
      </c>
      <c r="AF165">
        <v>2</v>
      </c>
      <c r="AG165" s="43" t="s">
        <v>446</v>
      </c>
      <c r="AH165">
        <v>1873</v>
      </c>
      <c r="AI165">
        <v>1873</v>
      </c>
      <c r="AJ165" s="23">
        <v>43774</v>
      </c>
      <c r="AK165" s="43" t="s">
        <v>1715</v>
      </c>
      <c r="AL165" s="43" t="s">
        <v>259</v>
      </c>
      <c r="AM165" s="23"/>
      <c r="AN165" s="23"/>
      <c r="AO165" s="23"/>
      <c r="AP165" s="23"/>
      <c r="AQ165" s="23"/>
      <c r="BB165" s="43"/>
      <c r="BC165" s="43" t="s">
        <v>259</v>
      </c>
      <c r="BD165" s="43" t="s">
        <v>259</v>
      </c>
      <c r="BE165" s="43" t="s">
        <v>259</v>
      </c>
      <c r="BF165" s="43" t="s">
        <v>2018</v>
      </c>
      <c r="BG165" s="43" t="s">
        <v>2018</v>
      </c>
      <c r="BH165">
        <v>43745</v>
      </c>
      <c r="BI165" s="43" t="s">
        <v>2018</v>
      </c>
      <c r="BJ165">
        <v>5.0000000000000044E-2</v>
      </c>
      <c r="BK165" s="23">
        <v>44109</v>
      </c>
      <c r="BL165" s="23">
        <v>44356</v>
      </c>
      <c r="BM165">
        <v>8505</v>
      </c>
      <c r="BN165">
        <v>8505</v>
      </c>
      <c r="BO165">
        <v>8505</v>
      </c>
      <c r="BP165">
        <v>25515</v>
      </c>
      <c r="BQ165">
        <v>3300</v>
      </c>
      <c r="BR165">
        <v>400</v>
      </c>
      <c r="BS165">
        <v>400</v>
      </c>
      <c r="BT165">
        <v>4100</v>
      </c>
      <c r="BU165">
        <v>2100</v>
      </c>
      <c r="BV165">
        <v>2100</v>
      </c>
      <c r="BW165">
        <v>2100</v>
      </c>
      <c r="BX165">
        <v>6300</v>
      </c>
      <c r="BY165">
        <v>1200</v>
      </c>
      <c r="BZ165">
        <v>1200</v>
      </c>
      <c r="CA165">
        <v>1200</v>
      </c>
      <c r="CB165">
        <v>3600</v>
      </c>
      <c r="CC165">
        <v>0</v>
      </c>
      <c r="CD165">
        <v>0</v>
      </c>
      <c r="CE165">
        <v>0</v>
      </c>
      <c r="CF165">
        <v>0</v>
      </c>
      <c r="CG165">
        <v>39515</v>
      </c>
      <c r="CH165">
        <v>0</v>
      </c>
      <c r="CI165">
        <v>0</v>
      </c>
      <c r="CJ165">
        <v>0</v>
      </c>
      <c r="CK165">
        <v>0</v>
      </c>
      <c r="CL165">
        <v>1449</v>
      </c>
      <c r="CM165">
        <v>1448</v>
      </c>
      <c r="CN165">
        <v>1448</v>
      </c>
      <c r="CO165">
        <v>4345</v>
      </c>
      <c r="CP165">
        <v>500</v>
      </c>
      <c r="CQ165">
        <v>500</v>
      </c>
      <c r="CR165">
        <v>500</v>
      </c>
      <c r="CS165">
        <v>1500</v>
      </c>
      <c r="CT165">
        <v>1500</v>
      </c>
      <c r="CU165">
        <v>1500</v>
      </c>
      <c r="CV165">
        <v>1500</v>
      </c>
      <c r="CW165">
        <v>4500</v>
      </c>
      <c r="CX165">
        <v>3000</v>
      </c>
      <c r="CY165">
        <v>3000</v>
      </c>
      <c r="CZ165">
        <v>3000</v>
      </c>
      <c r="DA165">
        <v>9000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19345</v>
      </c>
      <c r="EE165">
        <v>0</v>
      </c>
      <c r="EF165">
        <v>0</v>
      </c>
      <c r="EG165">
        <v>0</v>
      </c>
      <c r="EH165">
        <v>0</v>
      </c>
      <c r="EI165">
        <v>1154</v>
      </c>
      <c r="EJ165">
        <v>1154</v>
      </c>
      <c r="EK165">
        <v>1155</v>
      </c>
      <c r="EL165">
        <v>3500</v>
      </c>
      <c r="EM165">
        <v>37.065000000000005</v>
      </c>
      <c r="EN165">
        <v>660</v>
      </c>
      <c r="EO165">
        <v>660</v>
      </c>
      <c r="EP165">
        <v>660</v>
      </c>
      <c r="EQ165">
        <v>2000</v>
      </c>
      <c r="ER165">
        <v>21.18</v>
      </c>
      <c r="ES165">
        <v>0</v>
      </c>
      <c r="ET165">
        <v>0</v>
      </c>
      <c r="EU165">
        <v>0</v>
      </c>
      <c r="EV165">
        <v>0</v>
      </c>
      <c r="EW165">
        <v>0</v>
      </c>
      <c r="FA165">
        <v>0</v>
      </c>
      <c r="FE165">
        <v>0</v>
      </c>
      <c r="FI165">
        <v>0</v>
      </c>
      <c r="FJ165">
        <v>5441.7550000000001</v>
      </c>
      <c r="FK165">
        <v>20170</v>
      </c>
      <c r="FL165">
        <v>15379.730378848</v>
      </c>
      <c r="FM165">
        <v>14728.244999999999</v>
      </c>
    </row>
    <row r="166" spans="1:169" x14ac:dyDescent="0.35">
      <c r="A166">
        <v>195714</v>
      </c>
      <c r="B166" s="43" t="s">
        <v>2683</v>
      </c>
      <c r="C166" s="43" t="s">
        <v>2563</v>
      </c>
      <c r="D166" s="43" t="s">
        <v>2684</v>
      </c>
      <c r="E166" s="43" t="s">
        <v>2685</v>
      </c>
      <c r="F166">
        <v>1</v>
      </c>
      <c r="G166">
        <v>43774</v>
      </c>
      <c r="H166" s="23">
        <v>43782</v>
      </c>
      <c r="I166">
        <v>43782</v>
      </c>
      <c r="J166" s="43" t="s">
        <v>3421</v>
      </c>
      <c r="K166" s="43" t="s">
        <v>1715</v>
      </c>
      <c r="L166" s="43" t="s">
        <v>3204</v>
      </c>
      <c r="M166" s="43" t="s">
        <v>2686</v>
      </c>
      <c r="N166" s="43" t="s">
        <v>2687</v>
      </c>
      <c r="O166" s="43" t="s">
        <v>2688</v>
      </c>
      <c r="P166" s="43" t="s">
        <v>309</v>
      </c>
      <c r="Q166" s="43" t="s">
        <v>2689</v>
      </c>
      <c r="S166" s="23">
        <v>44109</v>
      </c>
      <c r="T166" s="43" t="s">
        <v>311</v>
      </c>
      <c r="U166" s="43" t="s">
        <v>266</v>
      </c>
      <c r="V166" s="43" t="s">
        <v>267</v>
      </c>
      <c r="W166" s="43" t="s">
        <v>1718</v>
      </c>
      <c r="X166" s="43" t="s">
        <v>1719</v>
      </c>
      <c r="Y166">
        <v>8772802835</v>
      </c>
      <c r="Z166" s="43" t="s">
        <v>508</v>
      </c>
      <c r="AA166" s="43" t="s">
        <v>271</v>
      </c>
      <c r="AB166">
        <v>0</v>
      </c>
      <c r="AC166">
        <v>1250</v>
      </c>
      <c r="AD166">
        <v>99</v>
      </c>
      <c r="AE166" s="43" t="s">
        <v>364</v>
      </c>
      <c r="AF166">
        <v>3</v>
      </c>
      <c r="AG166" s="43" t="s">
        <v>446</v>
      </c>
      <c r="AH166">
        <v>9907</v>
      </c>
      <c r="AI166">
        <v>9907</v>
      </c>
      <c r="AJ166" s="23">
        <v>43783</v>
      </c>
      <c r="AK166" s="43" t="s">
        <v>3208</v>
      </c>
      <c r="AL166" s="43" t="s">
        <v>3209</v>
      </c>
      <c r="AM166" s="23">
        <v>43782</v>
      </c>
      <c r="AN166" s="23">
        <v>43782</v>
      </c>
      <c r="AO166" s="23">
        <v>43772</v>
      </c>
      <c r="AP166" s="23"/>
      <c r="AQ166" s="23"/>
      <c r="BB166" s="43"/>
      <c r="BC166" s="43" t="s">
        <v>2018</v>
      </c>
      <c r="BD166" s="43" t="s">
        <v>2018</v>
      </c>
      <c r="BE166" s="43" t="s">
        <v>2018</v>
      </c>
      <c r="BF166" s="43" t="s">
        <v>2018</v>
      </c>
      <c r="BG166" s="43" t="s">
        <v>2018</v>
      </c>
      <c r="BH166" t="s">
        <v>2018</v>
      </c>
      <c r="BI166" s="43" t="s">
        <v>2018</v>
      </c>
      <c r="BJ166">
        <v>0.19999999999999996</v>
      </c>
      <c r="BK166" s="23">
        <v>44109</v>
      </c>
      <c r="BL166" s="23">
        <v>44356</v>
      </c>
      <c r="BM166">
        <v>8505</v>
      </c>
      <c r="BN166">
        <v>8505</v>
      </c>
      <c r="BO166">
        <v>8505</v>
      </c>
      <c r="BP166">
        <v>25515</v>
      </c>
      <c r="BQ166">
        <v>3300</v>
      </c>
      <c r="BR166">
        <v>400</v>
      </c>
      <c r="BS166">
        <v>400</v>
      </c>
      <c r="BT166">
        <v>4100</v>
      </c>
      <c r="BU166">
        <v>2100</v>
      </c>
      <c r="BV166">
        <v>2100</v>
      </c>
      <c r="BW166">
        <v>2100</v>
      </c>
      <c r="BX166">
        <v>6300</v>
      </c>
      <c r="BY166">
        <v>1200</v>
      </c>
      <c r="BZ166">
        <v>1200</v>
      </c>
      <c r="CA166">
        <v>1200</v>
      </c>
      <c r="CB166">
        <v>3600</v>
      </c>
      <c r="CC166">
        <v>0</v>
      </c>
      <c r="CD166">
        <v>0</v>
      </c>
      <c r="CE166">
        <v>0</v>
      </c>
      <c r="CF166">
        <v>0</v>
      </c>
      <c r="CG166">
        <v>39515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1300</v>
      </c>
      <c r="CU166">
        <v>1300</v>
      </c>
      <c r="CV166">
        <v>1300</v>
      </c>
      <c r="CW166">
        <v>3900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3900</v>
      </c>
      <c r="EE166">
        <v>0</v>
      </c>
      <c r="EF166">
        <v>0</v>
      </c>
      <c r="EG166">
        <v>0</v>
      </c>
      <c r="EH166">
        <v>0</v>
      </c>
      <c r="EI166">
        <v>1154</v>
      </c>
      <c r="EJ166">
        <v>1154</v>
      </c>
      <c r="EK166">
        <v>1155</v>
      </c>
      <c r="EL166">
        <v>3500</v>
      </c>
      <c r="EM166">
        <v>37.065000000000005</v>
      </c>
      <c r="EN166">
        <v>660</v>
      </c>
      <c r="EO166">
        <v>660</v>
      </c>
      <c r="EP166">
        <v>660</v>
      </c>
      <c r="EQ166">
        <v>2000</v>
      </c>
      <c r="ER166">
        <v>21.18</v>
      </c>
      <c r="ES166">
        <v>10076</v>
      </c>
      <c r="ET166">
        <v>10076</v>
      </c>
      <c r="EU166">
        <v>10076</v>
      </c>
      <c r="EV166">
        <v>31508</v>
      </c>
      <c r="EW166">
        <v>1334.6788800000002</v>
      </c>
      <c r="FA166">
        <v>0</v>
      </c>
      <c r="FE166">
        <v>0</v>
      </c>
      <c r="FI166">
        <v>0</v>
      </c>
      <c r="FJ166">
        <v>35615.076119999998</v>
      </c>
      <c r="FK166">
        <v>35615</v>
      </c>
      <c r="FL166">
        <v>-7.948707238788881E-2</v>
      </c>
      <c r="FM166">
        <v>-7.6120000001537846E-2</v>
      </c>
    </row>
    <row r="167" spans="1:169" x14ac:dyDescent="0.35">
      <c r="A167">
        <v>199058</v>
      </c>
      <c r="B167" s="43" t="s">
        <v>3707</v>
      </c>
      <c r="C167" s="43" t="s">
        <v>3708</v>
      </c>
      <c r="D167" s="43" t="s">
        <v>3709</v>
      </c>
      <c r="E167" s="43" t="s">
        <v>3710</v>
      </c>
      <c r="F167">
        <v>1</v>
      </c>
      <c r="H167" s="23"/>
      <c r="I167">
        <v>43804</v>
      </c>
      <c r="J167" s="43" t="s">
        <v>4242</v>
      </c>
      <c r="K167" s="43" t="s">
        <v>1715</v>
      </c>
      <c r="L167" s="43" t="s">
        <v>259</v>
      </c>
      <c r="M167" s="43" t="s">
        <v>3711</v>
      </c>
      <c r="N167" s="43" t="s">
        <v>3712</v>
      </c>
      <c r="O167" s="43" t="s">
        <v>3713</v>
      </c>
      <c r="P167" s="43" t="s">
        <v>542</v>
      </c>
      <c r="Q167" s="43" t="s">
        <v>3465</v>
      </c>
      <c r="S167" s="23">
        <v>44109</v>
      </c>
      <c r="T167" s="43" t="s">
        <v>544</v>
      </c>
      <c r="U167" s="43" t="s">
        <v>266</v>
      </c>
      <c r="V167" s="43" t="s">
        <v>267</v>
      </c>
      <c r="W167" s="43" t="s">
        <v>1718</v>
      </c>
      <c r="X167" s="43" t="s">
        <v>1719</v>
      </c>
      <c r="Y167">
        <v>8772802835</v>
      </c>
      <c r="Z167" s="43" t="s">
        <v>270</v>
      </c>
      <c r="AA167" s="43" t="s">
        <v>271</v>
      </c>
      <c r="AB167">
        <v>25</v>
      </c>
      <c r="AC167">
        <v>0</v>
      </c>
      <c r="AD167">
        <v>122</v>
      </c>
      <c r="AE167" s="43" t="s">
        <v>301</v>
      </c>
      <c r="AF167">
        <v>1</v>
      </c>
      <c r="AG167" s="43" t="s">
        <v>3345</v>
      </c>
      <c r="AJ167" s="23"/>
      <c r="AK167" s="43" t="s">
        <v>259</v>
      </c>
      <c r="AL167" s="43" t="s">
        <v>259</v>
      </c>
      <c r="AM167" s="23"/>
      <c r="AN167" s="23"/>
      <c r="AO167" s="23"/>
      <c r="AP167" s="23"/>
      <c r="AQ167" s="23"/>
      <c r="BB167" s="43"/>
      <c r="BC167" s="43" t="s">
        <v>259</v>
      </c>
      <c r="BD167" s="43" t="s">
        <v>259</v>
      </c>
      <c r="BE167" s="43" t="s">
        <v>259</v>
      </c>
      <c r="BF167" s="43" t="s">
        <v>259</v>
      </c>
      <c r="BG167" s="43" t="s">
        <v>259</v>
      </c>
      <c r="BH167" t="s">
        <v>259</v>
      </c>
      <c r="BI167" s="43" t="s">
        <v>259</v>
      </c>
      <c r="BJ167">
        <v>0</v>
      </c>
      <c r="BK167" s="23">
        <v>44109</v>
      </c>
      <c r="BL167" s="23">
        <v>44356</v>
      </c>
      <c r="BM167">
        <v>8505</v>
      </c>
      <c r="BN167">
        <v>8505</v>
      </c>
      <c r="BO167">
        <v>8505</v>
      </c>
      <c r="BP167">
        <v>25515</v>
      </c>
      <c r="BQ167">
        <v>3300</v>
      </c>
      <c r="BR167">
        <v>400</v>
      </c>
      <c r="BS167">
        <v>400</v>
      </c>
      <c r="BT167">
        <v>4100</v>
      </c>
      <c r="BU167">
        <v>2100</v>
      </c>
      <c r="BV167">
        <v>2100</v>
      </c>
      <c r="BW167">
        <v>2100</v>
      </c>
      <c r="BX167">
        <v>6300</v>
      </c>
      <c r="BY167">
        <v>1200</v>
      </c>
      <c r="BZ167">
        <v>1200</v>
      </c>
      <c r="CA167">
        <v>1200</v>
      </c>
      <c r="CB167">
        <v>3600</v>
      </c>
      <c r="CC167">
        <v>0</v>
      </c>
      <c r="CD167">
        <v>0</v>
      </c>
      <c r="CE167">
        <v>0</v>
      </c>
      <c r="CF167">
        <v>0</v>
      </c>
      <c r="CG167">
        <v>39515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1700</v>
      </c>
      <c r="CU167">
        <v>1700</v>
      </c>
      <c r="CV167">
        <v>1700</v>
      </c>
      <c r="CW167">
        <v>5100</v>
      </c>
      <c r="CX167">
        <v>3000</v>
      </c>
      <c r="CY167">
        <v>3000</v>
      </c>
      <c r="CZ167">
        <v>3000</v>
      </c>
      <c r="DA167">
        <v>9000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14100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M167">
        <v>0</v>
      </c>
      <c r="EN167">
        <v>660</v>
      </c>
      <c r="EO167">
        <v>660</v>
      </c>
      <c r="EP167">
        <v>660</v>
      </c>
      <c r="EQ167">
        <v>2000</v>
      </c>
      <c r="ER167">
        <v>21.18</v>
      </c>
      <c r="ES167">
        <v>0</v>
      </c>
      <c r="ET167">
        <v>0</v>
      </c>
      <c r="EU167">
        <v>0</v>
      </c>
      <c r="EW167">
        <v>0</v>
      </c>
      <c r="FA167">
        <v>0</v>
      </c>
      <c r="FE167">
        <v>0</v>
      </c>
      <c r="FI167">
        <v>0</v>
      </c>
      <c r="FJ167">
        <v>1978.82</v>
      </c>
      <c r="FK167">
        <v>25415</v>
      </c>
      <c r="FL167">
        <v>24472.849922726702</v>
      </c>
      <c r="FM167">
        <v>23436.18</v>
      </c>
    </row>
    <row r="168" spans="1:169" x14ac:dyDescent="0.35">
      <c r="A168">
        <v>198775</v>
      </c>
      <c r="B168" s="43" t="s">
        <v>2690</v>
      </c>
      <c r="C168" s="43" t="s">
        <v>2691</v>
      </c>
      <c r="D168" s="43" t="s">
        <v>2692</v>
      </c>
      <c r="E168" s="43" t="s">
        <v>2693</v>
      </c>
      <c r="F168">
        <v>1</v>
      </c>
      <c r="H168" s="23"/>
      <c r="I168">
        <v>43804</v>
      </c>
      <c r="J168" s="43" t="s">
        <v>4242</v>
      </c>
      <c r="K168" s="43" t="s">
        <v>1715</v>
      </c>
      <c r="L168" s="43" t="s">
        <v>259</v>
      </c>
      <c r="M168" s="43" t="s">
        <v>2694</v>
      </c>
      <c r="N168" s="43" t="s">
        <v>2695</v>
      </c>
      <c r="O168" s="43" t="s">
        <v>2696</v>
      </c>
      <c r="P168" s="43" t="s">
        <v>596</v>
      </c>
      <c r="Q168" s="43" t="s">
        <v>2697</v>
      </c>
      <c r="S168" s="23">
        <v>44109</v>
      </c>
      <c r="T168" s="43" t="s">
        <v>311</v>
      </c>
      <c r="U168" s="43" t="s">
        <v>266</v>
      </c>
      <c r="V168" s="43" t="s">
        <v>267</v>
      </c>
      <c r="W168" s="43" t="s">
        <v>1718</v>
      </c>
      <c r="X168" s="43" t="s">
        <v>1719</v>
      </c>
      <c r="Y168">
        <v>8772802835</v>
      </c>
      <c r="Z168" s="43" t="s">
        <v>270</v>
      </c>
      <c r="AA168" s="43" t="s">
        <v>271</v>
      </c>
      <c r="AB168">
        <v>0</v>
      </c>
      <c r="AC168">
        <v>0</v>
      </c>
      <c r="AD168">
        <v>0</v>
      </c>
      <c r="AE168" s="43" t="s">
        <v>416</v>
      </c>
      <c r="AF168">
        <v>5</v>
      </c>
      <c r="AG168" s="43" t="s">
        <v>275</v>
      </c>
      <c r="AJ168" s="23"/>
      <c r="AK168" s="43" t="s">
        <v>259</v>
      </c>
      <c r="AL168" s="43" t="s">
        <v>259</v>
      </c>
      <c r="AM168" s="23"/>
      <c r="AN168" s="23"/>
      <c r="AO168" s="23"/>
      <c r="AP168" s="23"/>
      <c r="AQ168" s="23"/>
      <c r="BB168" s="43"/>
      <c r="BC168" s="43" t="s">
        <v>259</v>
      </c>
      <c r="BD168" s="43" t="s">
        <v>259</v>
      </c>
      <c r="BE168" s="43" t="s">
        <v>259</v>
      </c>
      <c r="BF168" s="43" t="s">
        <v>259</v>
      </c>
      <c r="BG168" s="43" t="s">
        <v>259</v>
      </c>
      <c r="BH168" t="s">
        <v>259</v>
      </c>
      <c r="BI168" s="43" t="s">
        <v>259</v>
      </c>
      <c r="BJ168">
        <v>0</v>
      </c>
      <c r="BK168" s="23">
        <v>44109</v>
      </c>
      <c r="BL168" s="23">
        <v>44356</v>
      </c>
      <c r="BM168">
        <v>8505</v>
      </c>
      <c r="BN168">
        <v>8505</v>
      </c>
      <c r="BO168">
        <v>8505</v>
      </c>
      <c r="BP168">
        <v>25515</v>
      </c>
      <c r="BQ168">
        <v>3300</v>
      </c>
      <c r="BR168">
        <v>400</v>
      </c>
      <c r="BS168">
        <v>400</v>
      </c>
      <c r="BT168">
        <v>4100</v>
      </c>
      <c r="BU168">
        <v>2100</v>
      </c>
      <c r="BV168">
        <v>2100</v>
      </c>
      <c r="BW168">
        <v>2100</v>
      </c>
      <c r="BX168">
        <v>6300</v>
      </c>
      <c r="BY168">
        <v>1200</v>
      </c>
      <c r="BZ168">
        <v>1200</v>
      </c>
      <c r="CA168">
        <v>1200</v>
      </c>
      <c r="CB168">
        <v>3600</v>
      </c>
      <c r="CC168">
        <v>0</v>
      </c>
      <c r="CD168">
        <v>0</v>
      </c>
      <c r="CE168">
        <v>0</v>
      </c>
      <c r="CF168">
        <v>0</v>
      </c>
      <c r="CG168">
        <v>39515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1000</v>
      </c>
      <c r="CU168">
        <v>1000</v>
      </c>
      <c r="CV168">
        <v>1000</v>
      </c>
      <c r="CW168">
        <v>3000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3000</v>
      </c>
      <c r="EE168">
        <v>0</v>
      </c>
      <c r="EF168">
        <v>0</v>
      </c>
      <c r="EG168">
        <v>0</v>
      </c>
      <c r="EH168">
        <v>0</v>
      </c>
      <c r="EI168">
        <v>1154</v>
      </c>
      <c r="EJ168">
        <v>1154</v>
      </c>
      <c r="EK168">
        <v>1155</v>
      </c>
      <c r="EL168">
        <v>3500</v>
      </c>
      <c r="EM168">
        <v>37.065000000000005</v>
      </c>
      <c r="EN168">
        <v>660</v>
      </c>
      <c r="EO168">
        <v>660</v>
      </c>
      <c r="EP168">
        <v>660</v>
      </c>
      <c r="EQ168">
        <v>2000</v>
      </c>
      <c r="ER168">
        <v>21.18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E168">
        <v>0</v>
      </c>
      <c r="FI168">
        <v>0</v>
      </c>
      <c r="FJ168">
        <v>5441.7550000000001</v>
      </c>
      <c r="FK168">
        <v>36515</v>
      </c>
      <c r="FL168">
        <v>32447.730880080198</v>
      </c>
      <c r="FM168">
        <v>31073.245000000003</v>
      </c>
    </row>
    <row r="169" spans="1:169" x14ac:dyDescent="0.35">
      <c r="A169">
        <v>198416</v>
      </c>
      <c r="B169" s="43" t="s">
        <v>2690</v>
      </c>
      <c r="C169" s="43" t="s">
        <v>2698</v>
      </c>
      <c r="D169" s="43" t="s">
        <v>2699</v>
      </c>
      <c r="E169" s="43" t="s">
        <v>2700</v>
      </c>
      <c r="F169">
        <v>1</v>
      </c>
      <c r="G169">
        <v>43769</v>
      </c>
      <c r="H169" s="23">
        <v>43782</v>
      </c>
      <c r="I169">
        <v>43782</v>
      </c>
      <c r="J169" s="43" t="s">
        <v>3421</v>
      </c>
      <c r="K169" s="43" t="s">
        <v>1715</v>
      </c>
      <c r="L169" s="43" t="s">
        <v>301</v>
      </c>
      <c r="M169" s="43" t="s">
        <v>2701</v>
      </c>
      <c r="N169" s="43" t="s">
        <v>2702</v>
      </c>
      <c r="O169" s="43" t="s">
        <v>1054</v>
      </c>
      <c r="P169" s="43" t="s">
        <v>297</v>
      </c>
      <c r="Q169" s="43" t="s">
        <v>2703</v>
      </c>
      <c r="S169" s="23">
        <v>44109</v>
      </c>
      <c r="T169" s="43" t="s">
        <v>311</v>
      </c>
      <c r="U169" s="43" t="s">
        <v>266</v>
      </c>
      <c r="V169" s="43" t="s">
        <v>267</v>
      </c>
      <c r="W169" s="43" t="s">
        <v>1718</v>
      </c>
      <c r="X169" s="43" t="s">
        <v>1719</v>
      </c>
      <c r="Y169">
        <v>8772802835</v>
      </c>
      <c r="Z169" s="43" t="s">
        <v>270</v>
      </c>
      <c r="AA169" s="43" t="s">
        <v>271</v>
      </c>
      <c r="AB169">
        <v>0</v>
      </c>
      <c r="AC169">
        <v>1040</v>
      </c>
      <c r="AD169">
        <v>110</v>
      </c>
      <c r="AE169" s="43" t="s">
        <v>301</v>
      </c>
      <c r="AF169">
        <v>1</v>
      </c>
      <c r="AG169" s="43" t="s">
        <v>275</v>
      </c>
      <c r="AH169">
        <v>0</v>
      </c>
      <c r="AI169">
        <v>0</v>
      </c>
      <c r="AJ169" s="23">
        <v>43776</v>
      </c>
      <c r="AK169" s="43" t="s">
        <v>1715</v>
      </c>
      <c r="AL169" s="43" t="s">
        <v>259</v>
      </c>
      <c r="AM169" s="23">
        <v>43782</v>
      </c>
      <c r="AN169" s="23">
        <v>43782</v>
      </c>
      <c r="AO169" s="23">
        <v>43777</v>
      </c>
      <c r="AP169" s="23"/>
      <c r="AQ169" s="23">
        <v>43782</v>
      </c>
      <c r="BB169" s="43"/>
      <c r="BC169" s="43" t="s">
        <v>2018</v>
      </c>
      <c r="BD169" s="43" t="s">
        <v>259</v>
      </c>
      <c r="BE169" s="43" t="s">
        <v>259</v>
      </c>
      <c r="BF169" s="43" t="s">
        <v>2018</v>
      </c>
      <c r="BG169" s="43" t="s">
        <v>2018</v>
      </c>
      <c r="BH169" t="s">
        <v>2018</v>
      </c>
      <c r="BI169" s="43" t="s">
        <v>259</v>
      </c>
      <c r="BJ169">
        <v>0.21052631578947367</v>
      </c>
      <c r="BK169" s="23">
        <v>44109</v>
      </c>
      <c r="BL169" s="23">
        <v>44356</v>
      </c>
      <c r="BM169">
        <v>8505</v>
      </c>
      <c r="BN169">
        <v>8505</v>
      </c>
      <c r="BO169">
        <v>8505</v>
      </c>
      <c r="BP169">
        <v>25515</v>
      </c>
      <c r="BQ169">
        <v>3300</v>
      </c>
      <c r="BR169">
        <v>400</v>
      </c>
      <c r="BS169">
        <v>400</v>
      </c>
      <c r="BT169">
        <v>4100</v>
      </c>
      <c r="BU169">
        <v>2100</v>
      </c>
      <c r="BV169">
        <v>2100</v>
      </c>
      <c r="BW169">
        <v>2100</v>
      </c>
      <c r="BX169">
        <v>6300</v>
      </c>
      <c r="BY169">
        <v>1200</v>
      </c>
      <c r="BZ169">
        <v>1200</v>
      </c>
      <c r="CA169">
        <v>1200</v>
      </c>
      <c r="CB169">
        <v>3600</v>
      </c>
      <c r="CC169">
        <v>0</v>
      </c>
      <c r="CD169">
        <v>0</v>
      </c>
      <c r="CE169">
        <v>0</v>
      </c>
      <c r="CF169">
        <v>0</v>
      </c>
      <c r="CG169">
        <v>39515</v>
      </c>
      <c r="CH169">
        <v>0</v>
      </c>
      <c r="CI169">
        <v>0</v>
      </c>
      <c r="CJ169">
        <v>0</v>
      </c>
      <c r="CK169">
        <v>0</v>
      </c>
      <c r="CL169">
        <v>2065</v>
      </c>
      <c r="CM169">
        <v>2065</v>
      </c>
      <c r="CN169">
        <v>2065</v>
      </c>
      <c r="CO169">
        <v>6195</v>
      </c>
      <c r="CP169">
        <v>500</v>
      </c>
      <c r="CQ169">
        <v>500</v>
      </c>
      <c r="CR169">
        <v>500</v>
      </c>
      <c r="CS169">
        <v>1500</v>
      </c>
      <c r="CT169">
        <v>1700</v>
      </c>
      <c r="CU169">
        <v>1700</v>
      </c>
      <c r="CV169">
        <v>1700</v>
      </c>
      <c r="CW169">
        <v>5100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12795</v>
      </c>
      <c r="EE169">
        <v>0</v>
      </c>
      <c r="EF169">
        <v>0</v>
      </c>
      <c r="EG169">
        <v>0</v>
      </c>
      <c r="EH169">
        <v>0</v>
      </c>
      <c r="EI169">
        <v>1154</v>
      </c>
      <c r="EJ169">
        <v>1154</v>
      </c>
      <c r="EK169">
        <v>1155</v>
      </c>
      <c r="EL169">
        <v>3500</v>
      </c>
      <c r="EM169">
        <v>37.065000000000005</v>
      </c>
      <c r="EN169">
        <v>1979</v>
      </c>
      <c r="EO169">
        <v>1979</v>
      </c>
      <c r="EP169">
        <v>1979</v>
      </c>
      <c r="EQ169">
        <v>6000</v>
      </c>
      <c r="ER169">
        <v>63.540000000000006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8157</v>
      </c>
      <c r="EY169">
        <v>5257</v>
      </c>
      <c r="EZ169">
        <v>5257</v>
      </c>
      <c r="FA169">
        <v>18671</v>
      </c>
      <c r="FE169">
        <v>0</v>
      </c>
      <c r="FI169">
        <v>0</v>
      </c>
      <c r="FJ169">
        <v>28070.395</v>
      </c>
      <c r="FK169">
        <v>26720</v>
      </c>
      <c r="FL169">
        <v>-1410.1280230566813</v>
      </c>
      <c r="FM169">
        <v>-1350.3950000000004</v>
      </c>
    </row>
    <row r="170" spans="1:169" x14ac:dyDescent="0.35">
      <c r="A170">
        <v>199316</v>
      </c>
      <c r="B170" s="43" t="s">
        <v>2690</v>
      </c>
      <c r="C170" s="43" t="s">
        <v>457</v>
      </c>
      <c r="D170" s="43" t="s">
        <v>4056</v>
      </c>
      <c r="E170" s="43" t="s">
        <v>4057</v>
      </c>
      <c r="F170">
        <v>1</v>
      </c>
      <c r="H170" s="23"/>
      <c r="I170">
        <v>43804</v>
      </c>
      <c r="J170" s="43" t="s">
        <v>4240</v>
      </c>
      <c r="K170" s="43" t="s">
        <v>1715</v>
      </c>
      <c r="L170" s="43" t="s">
        <v>3204</v>
      </c>
      <c r="M170" s="43" t="s">
        <v>4058</v>
      </c>
      <c r="N170" s="43" t="s">
        <v>4059</v>
      </c>
      <c r="O170" s="43" t="s">
        <v>4060</v>
      </c>
      <c r="P170" s="43" t="s">
        <v>342</v>
      </c>
      <c r="Q170" s="43" t="s">
        <v>4061</v>
      </c>
      <c r="S170" s="23">
        <v>44109</v>
      </c>
      <c r="T170" s="43" t="s">
        <v>311</v>
      </c>
      <c r="U170" s="43" t="s">
        <v>266</v>
      </c>
      <c r="V170" s="43" t="s">
        <v>1028</v>
      </c>
      <c r="W170" s="43" t="s">
        <v>1718</v>
      </c>
      <c r="X170" s="43" t="s">
        <v>1719</v>
      </c>
      <c r="Y170">
        <v>8772802835</v>
      </c>
      <c r="Z170" s="43" t="s">
        <v>270</v>
      </c>
      <c r="AA170" s="43" t="s">
        <v>271</v>
      </c>
      <c r="AB170">
        <v>0</v>
      </c>
      <c r="AC170">
        <v>0</v>
      </c>
      <c r="AD170">
        <v>0</v>
      </c>
      <c r="AE170" s="43" t="s">
        <v>376</v>
      </c>
      <c r="AF170">
        <v>7</v>
      </c>
      <c r="AG170" s="43" t="s">
        <v>3345</v>
      </c>
      <c r="AH170">
        <v>0</v>
      </c>
      <c r="AI170">
        <v>0</v>
      </c>
      <c r="AJ170" s="23">
        <v>43804</v>
      </c>
      <c r="AK170" s="43" t="s">
        <v>3208</v>
      </c>
      <c r="AL170" s="43" t="s">
        <v>3209</v>
      </c>
      <c r="AM170" s="23"/>
      <c r="AN170" s="23"/>
      <c r="AO170" s="23"/>
      <c r="AP170" s="23"/>
      <c r="AQ170" s="23"/>
      <c r="BB170" s="43"/>
      <c r="BC170" s="43" t="s">
        <v>2018</v>
      </c>
      <c r="BD170" s="43" t="s">
        <v>2018</v>
      </c>
      <c r="BE170" s="43" t="s">
        <v>2018</v>
      </c>
      <c r="BF170" s="43" t="s">
        <v>2018</v>
      </c>
      <c r="BG170" s="43" t="s">
        <v>2018</v>
      </c>
      <c r="BH170" t="s">
        <v>2018</v>
      </c>
      <c r="BI170" s="43" t="s">
        <v>2018</v>
      </c>
      <c r="BJ170">
        <v>0</v>
      </c>
      <c r="BK170" s="23">
        <v>44109</v>
      </c>
      <c r="BL170" s="23">
        <v>44356</v>
      </c>
      <c r="BM170">
        <v>8505</v>
      </c>
      <c r="BN170">
        <v>8505</v>
      </c>
      <c r="BO170">
        <v>8505</v>
      </c>
      <c r="BP170">
        <v>25515</v>
      </c>
      <c r="BQ170">
        <v>3300</v>
      </c>
      <c r="BR170">
        <v>400</v>
      </c>
      <c r="BS170">
        <v>400</v>
      </c>
      <c r="BT170">
        <v>4100</v>
      </c>
      <c r="BU170">
        <v>2100</v>
      </c>
      <c r="BV170">
        <v>2100</v>
      </c>
      <c r="BW170">
        <v>2100</v>
      </c>
      <c r="BX170">
        <v>6300</v>
      </c>
      <c r="BY170">
        <v>1200</v>
      </c>
      <c r="BZ170">
        <v>1200</v>
      </c>
      <c r="CA170">
        <v>1200</v>
      </c>
      <c r="CB170">
        <v>3600</v>
      </c>
      <c r="CC170">
        <v>0</v>
      </c>
      <c r="CD170">
        <v>0</v>
      </c>
      <c r="CE170">
        <v>0</v>
      </c>
      <c r="CF170">
        <v>0</v>
      </c>
      <c r="CG170">
        <v>39515</v>
      </c>
      <c r="CH170">
        <v>0</v>
      </c>
      <c r="CI170">
        <v>0</v>
      </c>
      <c r="CJ170">
        <v>0</v>
      </c>
      <c r="CK170">
        <v>0</v>
      </c>
      <c r="CL170">
        <v>2065</v>
      </c>
      <c r="CM170">
        <v>2065</v>
      </c>
      <c r="CN170">
        <v>2065</v>
      </c>
      <c r="CO170">
        <v>6195</v>
      </c>
      <c r="CP170">
        <v>500</v>
      </c>
      <c r="CQ170">
        <v>500</v>
      </c>
      <c r="CR170">
        <v>500</v>
      </c>
      <c r="CS170">
        <v>1500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7695</v>
      </c>
      <c r="EE170">
        <v>0</v>
      </c>
      <c r="EF170">
        <v>0</v>
      </c>
      <c r="EG170">
        <v>0</v>
      </c>
      <c r="EH170">
        <v>0</v>
      </c>
      <c r="EI170">
        <v>1154</v>
      </c>
      <c r="EJ170">
        <v>1154</v>
      </c>
      <c r="EK170">
        <v>1155</v>
      </c>
      <c r="EL170">
        <v>3500</v>
      </c>
      <c r="EM170">
        <v>37.065000000000005</v>
      </c>
      <c r="EN170">
        <v>660</v>
      </c>
      <c r="EO170">
        <v>660</v>
      </c>
      <c r="EP170">
        <v>660</v>
      </c>
      <c r="EQ170">
        <v>2000</v>
      </c>
      <c r="ER170">
        <v>21.18</v>
      </c>
      <c r="ES170">
        <v>0</v>
      </c>
      <c r="ET170">
        <v>0</v>
      </c>
      <c r="EU170">
        <v>0</v>
      </c>
      <c r="EV170">
        <v>0</v>
      </c>
      <c r="EW170">
        <v>0</v>
      </c>
      <c r="FA170">
        <v>0</v>
      </c>
      <c r="FE170">
        <v>0</v>
      </c>
      <c r="FI170">
        <v>0</v>
      </c>
      <c r="FJ170">
        <v>5441.7550000000001</v>
      </c>
      <c r="FK170">
        <v>31820</v>
      </c>
      <c r="FL170">
        <v>27545.053464767552</v>
      </c>
      <c r="FM170">
        <v>26378.244999999999</v>
      </c>
    </row>
    <row r="171" spans="1:169" x14ac:dyDescent="0.35">
      <c r="A171">
        <v>195379</v>
      </c>
      <c r="B171" s="43" t="s">
        <v>2690</v>
      </c>
      <c r="C171" s="43" t="s">
        <v>2704</v>
      </c>
      <c r="D171" s="43" t="s">
        <v>2705</v>
      </c>
      <c r="E171" s="43" t="s">
        <v>2706</v>
      </c>
      <c r="F171">
        <v>1</v>
      </c>
      <c r="H171" s="23"/>
      <c r="I171">
        <v>43804</v>
      </c>
      <c r="J171" s="43" t="s">
        <v>4242</v>
      </c>
      <c r="K171" s="43" t="s">
        <v>1715</v>
      </c>
      <c r="L171" s="43" t="s">
        <v>259</v>
      </c>
      <c r="M171" s="43" t="s">
        <v>2707</v>
      </c>
      <c r="N171" s="43" t="s">
        <v>2708</v>
      </c>
      <c r="O171" s="43" t="s">
        <v>282</v>
      </c>
      <c r="P171" s="43" t="s">
        <v>283</v>
      </c>
      <c r="Q171" s="43" t="s">
        <v>284</v>
      </c>
      <c r="S171" s="23">
        <v>44109</v>
      </c>
      <c r="T171" s="43" t="s">
        <v>311</v>
      </c>
      <c r="U171" s="43" t="s">
        <v>286</v>
      </c>
      <c r="V171" s="43" t="s">
        <v>267</v>
      </c>
      <c r="W171" s="43" t="s">
        <v>1718</v>
      </c>
      <c r="X171" s="43" t="s">
        <v>1719</v>
      </c>
      <c r="Y171">
        <v>8772802835</v>
      </c>
      <c r="Z171" s="43" t="s">
        <v>270</v>
      </c>
      <c r="AA171" s="43" t="s">
        <v>271</v>
      </c>
      <c r="AB171">
        <v>14</v>
      </c>
      <c r="AC171">
        <v>0</v>
      </c>
      <c r="AD171">
        <v>70</v>
      </c>
      <c r="AE171" s="43" t="s">
        <v>344</v>
      </c>
      <c r="AF171">
        <v>10</v>
      </c>
      <c r="AG171" s="43" t="s">
        <v>275</v>
      </c>
      <c r="AJ171" s="23"/>
      <c r="AK171" s="43" t="s">
        <v>259</v>
      </c>
      <c r="AL171" s="43" t="s">
        <v>259</v>
      </c>
      <c r="AM171" s="23"/>
      <c r="AN171" s="23"/>
      <c r="AO171" s="23"/>
      <c r="AP171" s="23"/>
      <c r="AQ171" s="23"/>
      <c r="BB171" s="43"/>
      <c r="BC171" s="43" t="s">
        <v>259</v>
      </c>
      <c r="BD171" s="43" t="s">
        <v>259</v>
      </c>
      <c r="BE171" s="43" t="s">
        <v>259</v>
      </c>
      <c r="BF171" s="43" t="s">
        <v>259</v>
      </c>
      <c r="BG171" s="43" t="s">
        <v>259</v>
      </c>
      <c r="BH171" t="s">
        <v>259</v>
      </c>
      <c r="BI171" s="43" t="s">
        <v>259</v>
      </c>
      <c r="BJ171">
        <v>0</v>
      </c>
      <c r="BK171" s="23">
        <v>44109</v>
      </c>
      <c r="BL171" s="23">
        <v>44356</v>
      </c>
      <c r="BM171">
        <v>8505</v>
      </c>
      <c r="BN171">
        <v>8505</v>
      </c>
      <c r="BO171">
        <v>8505</v>
      </c>
      <c r="BP171">
        <v>25515</v>
      </c>
      <c r="BQ171">
        <v>3300</v>
      </c>
      <c r="BR171">
        <v>400</v>
      </c>
      <c r="BS171">
        <v>400</v>
      </c>
      <c r="BT171">
        <v>4100</v>
      </c>
      <c r="BU171">
        <v>2100</v>
      </c>
      <c r="BV171">
        <v>2100</v>
      </c>
      <c r="BW171">
        <v>2100</v>
      </c>
      <c r="BX171">
        <v>6300</v>
      </c>
      <c r="BY171">
        <v>1200</v>
      </c>
      <c r="BZ171">
        <v>1200</v>
      </c>
      <c r="CA171">
        <v>1200</v>
      </c>
      <c r="CB171">
        <v>3600</v>
      </c>
      <c r="CC171">
        <v>0</v>
      </c>
      <c r="CD171">
        <v>0</v>
      </c>
      <c r="CE171">
        <v>0</v>
      </c>
      <c r="CF171">
        <v>0</v>
      </c>
      <c r="CG171">
        <v>39515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1000</v>
      </c>
      <c r="DC171">
        <v>1000</v>
      </c>
      <c r="DD171">
        <v>1000</v>
      </c>
      <c r="DE171">
        <v>3000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3000</v>
      </c>
      <c r="EE171">
        <v>0</v>
      </c>
      <c r="EF171">
        <v>0</v>
      </c>
      <c r="EG171">
        <v>0</v>
      </c>
      <c r="EH171">
        <v>0</v>
      </c>
      <c r="EI171">
        <v>1154</v>
      </c>
      <c r="EJ171">
        <v>1154</v>
      </c>
      <c r="EK171">
        <v>1155</v>
      </c>
      <c r="EL171">
        <v>3500</v>
      </c>
      <c r="EM171">
        <v>37.065000000000005</v>
      </c>
      <c r="EN171">
        <v>660</v>
      </c>
      <c r="EO171">
        <v>660</v>
      </c>
      <c r="EP171">
        <v>660</v>
      </c>
      <c r="EQ171">
        <v>2000</v>
      </c>
      <c r="ER171">
        <v>21.18</v>
      </c>
      <c r="ES171">
        <v>0</v>
      </c>
      <c r="ET171">
        <v>0</v>
      </c>
      <c r="EU171">
        <v>0</v>
      </c>
      <c r="EV171">
        <v>0</v>
      </c>
      <c r="EW171">
        <v>0</v>
      </c>
      <c r="FA171">
        <v>0</v>
      </c>
      <c r="FE171">
        <v>0</v>
      </c>
      <c r="FI171">
        <v>0</v>
      </c>
      <c r="FJ171">
        <v>5441.7550000000001</v>
      </c>
      <c r="FK171">
        <v>36515</v>
      </c>
      <c r="FL171">
        <v>32447.730880080198</v>
      </c>
      <c r="FM171">
        <v>31073.245000000003</v>
      </c>
    </row>
    <row r="172" spans="1:169" x14ac:dyDescent="0.35">
      <c r="A172">
        <v>196180</v>
      </c>
      <c r="B172" s="43" t="s">
        <v>3714</v>
      </c>
      <c r="C172" s="43" t="s">
        <v>3715</v>
      </c>
      <c r="D172" s="43" t="s">
        <v>3716</v>
      </c>
      <c r="E172" s="43" t="s">
        <v>3717</v>
      </c>
      <c r="F172">
        <v>1</v>
      </c>
      <c r="H172" s="23"/>
      <c r="I172">
        <v>43804</v>
      </c>
      <c r="J172" s="43" t="s">
        <v>4242</v>
      </c>
      <c r="K172" s="43" t="s">
        <v>1715</v>
      </c>
      <c r="L172" s="43" t="s">
        <v>259</v>
      </c>
      <c r="M172" s="43" t="s">
        <v>3718</v>
      </c>
      <c r="N172" s="43" t="s">
        <v>3719</v>
      </c>
      <c r="O172" s="43" t="s">
        <v>3720</v>
      </c>
      <c r="P172" s="43" t="s">
        <v>735</v>
      </c>
      <c r="Q172" s="43" t="s">
        <v>3721</v>
      </c>
      <c r="S172" s="23">
        <v>44109</v>
      </c>
      <c r="T172" s="43" t="s">
        <v>285</v>
      </c>
      <c r="U172" s="43" t="s">
        <v>266</v>
      </c>
      <c r="V172" s="43" t="s">
        <v>267</v>
      </c>
      <c r="W172" s="43" t="s">
        <v>1718</v>
      </c>
      <c r="X172" s="43" t="s">
        <v>1719</v>
      </c>
      <c r="Y172">
        <v>8772802835</v>
      </c>
      <c r="Z172" s="43" t="s">
        <v>270</v>
      </c>
      <c r="AA172" s="43" t="s">
        <v>271</v>
      </c>
      <c r="AB172">
        <v>0</v>
      </c>
      <c r="AC172">
        <v>0</v>
      </c>
      <c r="AD172">
        <v>0</v>
      </c>
      <c r="AE172" s="43" t="s">
        <v>324</v>
      </c>
      <c r="AF172">
        <v>8</v>
      </c>
      <c r="AG172" s="43" t="s">
        <v>3345</v>
      </c>
      <c r="AJ172" s="23"/>
      <c r="AK172" s="43" t="s">
        <v>259</v>
      </c>
      <c r="AL172" s="43" t="s">
        <v>259</v>
      </c>
      <c r="AM172" s="23"/>
      <c r="AN172" s="23"/>
      <c r="AO172" s="23"/>
      <c r="AP172" s="23"/>
      <c r="AQ172" s="23"/>
      <c r="BB172" s="43"/>
      <c r="BC172" s="43" t="s">
        <v>259</v>
      </c>
      <c r="BD172" s="43" t="s">
        <v>259</v>
      </c>
      <c r="BE172" s="43" t="s">
        <v>259</v>
      </c>
      <c r="BF172" s="43" t="s">
        <v>259</v>
      </c>
      <c r="BG172" s="43" t="s">
        <v>259</v>
      </c>
      <c r="BH172" t="s">
        <v>259</v>
      </c>
      <c r="BI172" s="43" t="s">
        <v>259</v>
      </c>
      <c r="BJ172">
        <v>0</v>
      </c>
      <c r="BK172" s="23">
        <v>44109</v>
      </c>
      <c r="BL172" s="23">
        <v>44356</v>
      </c>
      <c r="BM172">
        <v>8505</v>
      </c>
      <c r="BN172">
        <v>8505</v>
      </c>
      <c r="BO172">
        <v>8505</v>
      </c>
      <c r="BP172">
        <v>25515</v>
      </c>
      <c r="BQ172">
        <v>3300</v>
      </c>
      <c r="BR172">
        <v>400</v>
      </c>
      <c r="BS172">
        <v>400</v>
      </c>
      <c r="BT172">
        <v>4100</v>
      </c>
      <c r="BU172">
        <v>2100</v>
      </c>
      <c r="BV172">
        <v>2100</v>
      </c>
      <c r="BW172">
        <v>2100</v>
      </c>
      <c r="BX172">
        <v>6300</v>
      </c>
      <c r="BY172">
        <v>1200</v>
      </c>
      <c r="BZ172">
        <v>1200</v>
      </c>
      <c r="CA172">
        <v>1200</v>
      </c>
      <c r="CB172">
        <v>3600</v>
      </c>
      <c r="CC172">
        <v>0</v>
      </c>
      <c r="CD172">
        <v>0</v>
      </c>
      <c r="CE172">
        <v>0</v>
      </c>
      <c r="CF172">
        <v>0</v>
      </c>
      <c r="CG172">
        <v>39515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M172">
        <v>0</v>
      </c>
      <c r="EN172">
        <v>660</v>
      </c>
      <c r="EO172">
        <v>660</v>
      </c>
      <c r="EP172">
        <v>660</v>
      </c>
      <c r="EQ172">
        <v>2000</v>
      </c>
      <c r="ER172">
        <v>21.18</v>
      </c>
      <c r="ES172">
        <v>0</v>
      </c>
      <c r="ET172">
        <v>0</v>
      </c>
      <c r="EU172">
        <v>0</v>
      </c>
      <c r="EW172">
        <v>0</v>
      </c>
      <c r="FA172">
        <v>0</v>
      </c>
      <c r="FE172">
        <v>0</v>
      </c>
      <c r="FI172">
        <v>0</v>
      </c>
      <c r="FJ172">
        <v>1978.82</v>
      </c>
      <c r="FK172">
        <v>39515</v>
      </c>
      <c r="FL172">
        <v>39196.54567478384</v>
      </c>
      <c r="FM172">
        <v>37536.18</v>
      </c>
    </row>
    <row r="173" spans="1:169" x14ac:dyDescent="0.35">
      <c r="A173">
        <v>196122</v>
      </c>
      <c r="B173" s="43" t="s">
        <v>2709</v>
      </c>
      <c r="C173" s="43" t="s">
        <v>2710</v>
      </c>
      <c r="D173" s="43" t="s">
        <v>2711</v>
      </c>
      <c r="E173" s="43" t="s">
        <v>2712</v>
      </c>
      <c r="F173">
        <v>1</v>
      </c>
      <c r="H173" s="23"/>
      <c r="I173" t="s">
        <v>4253</v>
      </c>
      <c r="J173" s="43" t="s">
        <v>4240</v>
      </c>
      <c r="K173" s="43" t="s">
        <v>1715</v>
      </c>
      <c r="L173" s="43" t="s">
        <v>301</v>
      </c>
      <c r="M173" s="43" t="s">
        <v>2713</v>
      </c>
      <c r="N173" s="43" t="s">
        <v>2714</v>
      </c>
      <c r="O173" s="43" t="s">
        <v>2715</v>
      </c>
      <c r="P173" s="43" t="s">
        <v>297</v>
      </c>
      <c r="Q173" s="43" t="s">
        <v>2716</v>
      </c>
      <c r="S173" s="23">
        <v>44109</v>
      </c>
      <c r="T173" s="43" t="s">
        <v>311</v>
      </c>
      <c r="U173" s="43" t="s">
        <v>286</v>
      </c>
      <c r="V173" s="43" t="s">
        <v>267</v>
      </c>
      <c r="W173" s="43" t="s">
        <v>1718</v>
      </c>
      <c r="X173" s="43" t="s">
        <v>1719</v>
      </c>
      <c r="Y173">
        <v>8772802835</v>
      </c>
      <c r="Z173" s="43" t="s">
        <v>270</v>
      </c>
      <c r="AA173" s="43" t="s">
        <v>271</v>
      </c>
      <c r="AB173">
        <v>0</v>
      </c>
      <c r="AC173">
        <v>990</v>
      </c>
      <c r="AD173">
        <v>85</v>
      </c>
      <c r="AE173" s="43" t="s">
        <v>344</v>
      </c>
      <c r="AF173">
        <v>10</v>
      </c>
      <c r="AG173" s="43" t="s">
        <v>275</v>
      </c>
      <c r="AH173">
        <v>0</v>
      </c>
      <c r="AI173">
        <v>0</v>
      </c>
      <c r="AJ173" s="23">
        <v>43774</v>
      </c>
      <c r="AK173" s="43" t="s">
        <v>3208</v>
      </c>
      <c r="AL173" s="43" t="s">
        <v>3209</v>
      </c>
      <c r="AM173" s="23"/>
      <c r="AN173" s="23"/>
      <c r="AO173" s="23"/>
      <c r="AP173" s="23"/>
      <c r="AQ173" s="23"/>
      <c r="BB173" s="43"/>
      <c r="BC173" s="43" t="s">
        <v>2018</v>
      </c>
      <c r="BD173" s="43" t="s">
        <v>2018</v>
      </c>
      <c r="BE173" s="43" t="s">
        <v>2018</v>
      </c>
      <c r="BF173" s="43" t="s">
        <v>2018</v>
      </c>
      <c r="BG173" s="43" t="s">
        <v>2018</v>
      </c>
      <c r="BH173" t="s">
        <v>2018</v>
      </c>
      <c r="BI173" s="43" t="s">
        <v>2018</v>
      </c>
      <c r="BJ173">
        <v>0</v>
      </c>
      <c r="BK173" s="23">
        <v>44109</v>
      </c>
      <c r="BL173" s="23">
        <v>44356</v>
      </c>
      <c r="BM173">
        <v>8505</v>
      </c>
      <c r="BN173">
        <v>8505</v>
      </c>
      <c r="BO173">
        <v>8505</v>
      </c>
      <c r="BP173">
        <v>25515</v>
      </c>
      <c r="BQ173">
        <v>3300</v>
      </c>
      <c r="BR173">
        <v>400</v>
      </c>
      <c r="BS173">
        <v>400</v>
      </c>
      <c r="BT173">
        <v>4100</v>
      </c>
      <c r="BU173">
        <v>2100</v>
      </c>
      <c r="BV173">
        <v>2100</v>
      </c>
      <c r="BW173">
        <v>2100</v>
      </c>
      <c r="BX173">
        <v>6300</v>
      </c>
      <c r="BY173">
        <v>1200</v>
      </c>
      <c r="BZ173">
        <v>1200</v>
      </c>
      <c r="CA173">
        <v>1200</v>
      </c>
      <c r="CB173">
        <v>3600</v>
      </c>
      <c r="CC173">
        <v>0</v>
      </c>
      <c r="CD173">
        <v>0</v>
      </c>
      <c r="CE173">
        <v>0</v>
      </c>
      <c r="CF173">
        <v>0</v>
      </c>
      <c r="CG173">
        <v>39515</v>
      </c>
      <c r="CH173">
        <v>0</v>
      </c>
      <c r="CI173">
        <v>0</v>
      </c>
      <c r="CJ173">
        <v>0</v>
      </c>
      <c r="CK173">
        <v>0</v>
      </c>
      <c r="CL173">
        <v>2065</v>
      </c>
      <c r="CM173">
        <v>2065</v>
      </c>
      <c r="CN173">
        <v>2065</v>
      </c>
      <c r="CO173">
        <v>6195</v>
      </c>
      <c r="CP173">
        <v>500</v>
      </c>
      <c r="CQ173">
        <v>500</v>
      </c>
      <c r="CR173">
        <v>500</v>
      </c>
      <c r="CS173">
        <v>1500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1000</v>
      </c>
      <c r="DC173">
        <v>1000</v>
      </c>
      <c r="DD173">
        <v>1000</v>
      </c>
      <c r="DE173">
        <v>3000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10695</v>
      </c>
      <c r="EE173">
        <v>0</v>
      </c>
      <c r="EF173">
        <v>0</v>
      </c>
      <c r="EG173">
        <v>0</v>
      </c>
      <c r="EH173">
        <v>0</v>
      </c>
      <c r="EI173">
        <v>1154</v>
      </c>
      <c r="EJ173">
        <v>1154</v>
      </c>
      <c r="EK173">
        <v>1155</v>
      </c>
      <c r="EL173">
        <v>3500</v>
      </c>
      <c r="EM173">
        <v>37.065000000000005</v>
      </c>
      <c r="EN173">
        <v>1979</v>
      </c>
      <c r="EO173">
        <v>1979</v>
      </c>
      <c r="EP173">
        <v>1979</v>
      </c>
      <c r="EQ173">
        <v>6000</v>
      </c>
      <c r="ER173">
        <v>63.540000000000006</v>
      </c>
      <c r="ES173">
        <v>0</v>
      </c>
      <c r="ET173">
        <v>0</v>
      </c>
      <c r="EU173">
        <v>0</v>
      </c>
      <c r="EV173">
        <v>0</v>
      </c>
      <c r="EW173">
        <v>0</v>
      </c>
      <c r="FA173">
        <v>0</v>
      </c>
      <c r="FE173">
        <v>0</v>
      </c>
      <c r="FI173">
        <v>0</v>
      </c>
      <c r="FJ173">
        <v>9399.3950000000004</v>
      </c>
      <c r="FK173">
        <v>28820</v>
      </c>
      <c r="FL173">
        <v>20279.651017083663</v>
      </c>
      <c r="FM173">
        <v>19420.605</v>
      </c>
    </row>
    <row r="174" spans="1:169" x14ac:dyDescent="0.35">
      <c r="A174">
        <v>197050</v>
      </c>
      <c r="B174" s="43" t="s">
        <v>2717</v>
      </c>
      <c r="C174" s="43" t="s">
        <v>2718</v>
      </c>
      <c r="D174" s="43" t="s">
        <v>2719</v>
      </c>
      <c r="E174" s="43" t="s">
        <v>2720</v>
      </c>
      <c r="F174">
        <v>1</v>
      </c>
      <c r="H174" s="23"/>
      <c r="I174">
        <v>43804</v>
      </c>
      <c r="J174" s="43" t="s">
        <v>4240</v>
      </c>
      <c r="K174" s="43" t="s">
        <v>1715</v>
      </c>
      <c r="L174" s="43" t="s">
        <v>3204</v>
      </c>
      <c r="M174" s="43" t="s">
        <v>2721</v>
      </c>
      <c r="N174" s="43" t="s">
        <v>2722</v>
      </c>
      <c r="O174" s="43" t="s">
        <v>2723</v>
      </c>
      <c r="P174" s="43" t="s">
        <v>608</v>
      </c>
      <c r="Q174" s="43" t="s">
        <v>2724</v>
      </c>
      <c r="S174" s="23">
        <v>44109</v>
      </c>
      <c r="T174" s="43" t="s">
        <v>265</v>
      </c>
      <c r="U174" s="43" t="s">
        <v>266</v>
      </c>
      <c r="V174" s="43" t="s">
        <v>267</v>
      </c>
      <c r="W174" s="43" t="s">
        <v>1718</v>
      </c>
      <c r="X174" s="43" t="s">
        <v>1719</v>
      </c>
      <c r="Y174">
        <v>8772802835</v>
      </c>
      <c r="Z174" s="43" t="s">
        <v>270</v>
      </c>
      <c r="AA174" s="43" t="s">
        <v>271</v>
      </c>
      <c r="AB174">
        <v>18</v>
      </c>
      <c r="AC174">
        <v>0</v>
      </c>
      <c r="AD174">
        <v>100</v>
      </c>
      <c r="AE174" s="43" t="s">
        <v>354</v>
      </c>
      <c r="AF174">
        <v>6</v>
      </c>
      <c r="AG174" s="43" t="s">
        <v>275</v>
      </c>
      <c r="AH174">
        <v>0</v>
      </c>
      <c r="AI174">
        <v>0</v>
      </c>
      <c r="AJ174" s="23">
        <v>43774</v>
      </c>
      <c r="AK174" s="43" t="s">
        <v>3208</v>
      </c>
      <c r="AL174" s="43" t="s">
        <v>3209</v>
      </c>
      <c r="AM174" s="23"/>
      <c r="AN174" s="23"/>
      <c r="AO174" s="23"/>
      <c r="AP174" s="23"/>
      <c r="AQ174" s="23"/>
      <c r="BB174" s="43"/>
      <c r="BC174" s="43" t="s">
        <v>2018</v>
      </c>
      <c r="BD174" s="43" t="s">
        <v>2018</v>
      </c>
      <c r="BE174" s="43" t="s">
        <v>2018</v>
      </c>
      <c r="BF174" s="43" t="s">
        <v>2018</v>
      </c>
      <c r="BG174" s="43" t="s">
        <v>2018</v>
      </c>
      <c r="BH174" t="s">
        <v>2018</v>
      </c>
      <c r="BI174" s="43" t="s">
        <v>2018</v>
      </c>
      <c r="BJ174">
        <v>0</v>
      </c>
      <c r="BK174" s="23">
        <v>44109</v>
      </c>
      <c r="BL174" s="23">
        <v>44356</v>
      </c>
      <c r="BM174">
        <v>8505</v>
      </c>
      <c r="BN174">
        <v>8505</v>
      </c>
      <c r="BO174">
        <v>8505</v>
      </c>
      <c r="BP174">
        <v>25515</v>
      </c>
      <c r="BQ174">
        <v>3300</v>
      </c>
      <c r="BR174">
        <v>400</v>
      </c>
      <c r="BS174">
        <v>400</v>
      </c>
      <c r="BT174">
        <v>4100</v>
      </c>
      <c r="BU174">
        <v>2100</v>
      </c>
      <c r="BV174">
        <v>2100</v>
      </c>
      <c r="BW174">
        <v>2100</v>
      </c>
      <c r="BX174">
        <v>6300</v>
      </c>
      <c r="BY174">
        <v>1200</v>
      </c>
      <c r="BZ174">
        <v>1200</v>
      </c>
      <c r="CA174">
        <v>1200</v>
      </c>
      <c r="CB174">
        <v>3600</v>
      </c>
      <c r="CC174">
        <v>0</v>
      </c>
      <c r="CD174">
        <v>0</v>
      </c>
      <c r="CE174">
        <v>0</v>
      </c>
      <c r="CF174">
        <v>0</v>
      </c>
      <c r="CG174">
        <v>39515</v>
      </c>
      <c r="CH174">
        <v>0</v>
      </c>
      <c r="CI174">
        <v>0</v>
      </c>
      <c r="CJ174">
        <v>0</v>
      </c>
      <c r="CK174">
        <v>0</v>
      </c>
      <c r="CL174">
        <v>2065</v>
      </c>
      <c r="CM174">
        <v>2065</v>
      </c>
      <c r="CN174">
        <v>2065</v>
      </c>
      <c r="CO174">
        <v>6195</v>
      </c>
      <c r="CP174">
        <v>500</v>
      </c>
      <c r="CQ174">
        <v>500</v>
      </c>
      <c r="CR174">
        <v>500</v>
      </c>
      <c r="CS174">
        <v>1500</v>
      </c>
      <c r="CT174">
        <v>750</v>
      </c>
      <c r="CU174">
        <v>750</v>
      </c>
      <c r="CV174">
        <v>750</v>
      </c>
      <c r="CW174">
        <v>2250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9945</v>
      </c>
      <c r="EE174">
        <v>0</v>
      </c>
      <c r="EF174">
        <v>0</v>
      </c>
      <c r="EG174">
        <v>0</v>
      </c>
      <c r="EH174">
        <v>0</v>
      </c>
      <c r="EI174">
        <v>1154</v>
      </c>
      <c r="EJ174">
        <v>1154</v>
      </c>
      <c r="EK174">
        <v>1155</v>
      </c>
      <c r="EL174">
        <v>3500</v>
      </c>
      <c r="EM174">
        <v>37.065000000000005</v>
      </c>
      <c r="EN174">
        <v>660</v>
      </c>
      <c r="EO174">
        <v>660</v>
      </c>
      <c r="EP174">
        <v>660</v>
      </c>
      <c r="EQ174">
        <v>2000</v>
      </c>
      <c r="ER174">
        <v>21.18</v>
      </c>
      <c r="ES174">
        <v>0</v>
      </c>
      <c r="ET174">
        <v>0</v>
      </c>
      <c r="EU174">
        <v>0</v>
      </c>
      <c r="EV174">
        <v>0</v>
      </c>
      <c r="EW174">
        <v>0</v>
      </c>
      <c r="FA174">
        <v>0</v>
      </c>
      <c r="FE174">
        <v>0</v>
      </c>
      <c r="FI174">
        <v>0</v>
      </c>
      <c r="FJ174">
        <v>5441.7550000000001</v>
      </c>
      <c r="FK174">
        <v>29570</v>
      </c>
      <c r="FL174">
        <v>25195.527546886093</v>
      </c>
      <c r="FM174">
        <v>24128.244999999999</v>
      </c>
    </row>
    <row r="175" spans="1:169" x14ac:dyDescent="0.35">
      <c r="A175">
        <v>197700</v>
      </c>
      <c r="B175" s="43" t="s">
        <v>1356</v>
      </c>
      <c r="C175" s="43" t="s">
        <v>2725</v>
      </c>
      <c r="D175" s="43" t="s">
        <v>2726</v>
      </c>
      <c r="E175" s="43" t="s">
        <v>2727</v>
      </c>
      <c r="F175">
        <v>1</v>
      </c>
      <c r="H175" s="23"/>
      <c r="I175">
        <v>43804</v>
      </c>
      <c r="J175" s="43" t="s">
        <v>4242</v>
      </c>
      <c r="K175" s="43" t="s">
        <v>1715</v>
      </c>
      <c r="L175" s="43" t="s">
        <v>259</v>
      </c>
      <c r="M175" s="43" t="s">
        <v>2728</v>
      </c>
      <c r="N175" s="43" t="s">
        <v>2729</v>
      </c>
      <c r="O175" s="43" t="s">
        <v>2730</v>
      </c>
      <c r="P175" s="43" t="s">
        <v>524</v>
      </c>
      <c r="Q175" s="43" t="s">
        <v>2731</v>
      </c>
      <c r="S175" s="23">
        <v>44109</v>
      </c>
      <c r="T175" s="43" t="s">
        <v>311</v>
      </c>
      <c r="U175" s="43" t="s">
        <v>286</v>
      </c>
      <c r="V175" s="43" t="s">
        <v>267</v>
      </c>
      <c r="W175" s="43" t="s">
        <v>1718</v>
      </c>
      <c r="X175" s="43" t="s">
        <v>1719</v>
      </c>
      <c r="Y175">
        <v>8772802835</v>
      </c>
      <c r="Z175" s="43" t="s">
        <v>270</v>
      </c>
      <c r="AA175" s="43" t="s">
        <v>271</v>
      </c>
      <c r="AB175">
        <v>24</v>
      </c>
      <c r="AC175">
        <v>0</v>
      </c>
      <c r="AD175">
        <v>120</v>
      </c>
      <c r="AE175" s="43" t="s">
        <v>301</v>
      </c>
      <c r="AF175">
        <v>1</v>
      </c>
      <c r="AG175" s="43" t="s">
        <v>275</v>
      </c>
      <c r="AJ175" s="23"/>
      <c r="AK175" s="43" t="s">
        <v>259</v>
      </c>
      <c r="AL175" s="43" t="s">
        <v>259</v>
      </c>
      <c r="AM175" s="23"/>
      <c r="AN175" s="23"/>
      <c r="AO175" s="23"/>
      <c r="AP175" s="23"/>
      <c r="AQ175" s="23"/>
      <c r="BB175" s="43"/>
      <c r="BC175" s="43" t="s">
        <v>259</v>
      </c>
      <c r="BD175" s="43" t="s">
        <v>259</v>
      </c>
      <c r="BE175" s="43" t="s">
        <v>259</v>
      </c>
      <c r="BF175" s="43" t="s">
        <v>259</v>
      </c>
      <c r="BG175" s="43" t="s">
        <v>259</v>
      </c>
      <c r="BH175" t="s">
        <v>259</v>
      </c>
      <c r="BI175" s="43" t="s">
        <v>259</v>
      </c>
      <c r="BJ175">
        <v>0</v>
      </c>
      <c r="BK175" s="23">
        <v>44109</v>
      </c>
      <c r="BL175" s="23">
        <v>44356</v>
      </c>
      <c r="BM175">
        <v>8505</v>
      </c>
      <c r="BN175">
        <v>8505</v>
      </c>
      <c r="BO175">
        <v>8505</v>
      </c>
      <c r="BP175">
        <v>25515</v>
      </c>
      <c r="BQ175">
        <v>3300</v>
      </c>
      <c r="BR175">
        <v>400</v>
      </c>
      <c r="BS175">
        <v>400</v>
      </c>
      <c r="BT175">
        <v>4100</v>
      </c>
      <c r="BU175">
        <v>2100</v>
      </c>
      <c r="BV175">
        <v>2100</v>
      </c>
      <c r="BW175">
        <v>2100</v>
      </c>
      <c r="BX175">
        <v>6300</v>
      </c>
      <c r="BY175">
        <v>1200</v>
      </c>
      <c r="BZ175">
        <v>1200</v>
      </c>
      <c r="CA175">
        <v>1200</v>
      </c>
      <c r="CB175">
        <v>3600</v>
      </c>
      <c r="CC175">
        <v>0</v>
      </c>
      <c r="CD175">
        <v>0</v>
      </c>
      <c r="CE175">
        <v>0</v>
      </c>
      <c r="CF175">
        <v>0</v>
      </c>
      <c r="CG175">
        <v>39515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1700</v>
      </c>
      <c r="CU175">
        <v>1700</v>
      </c>
      <c r="CV175">
        <v>1700</v>
      </c>
      <c r="CW175">
        <v>5100</v>
      </c>
      <c r="CX175">
        <v>0</v>
      </c>
      <c r="CY175">
        <v>0</v>
      </c>
      <c r="CZ175">
        <v>0</v>
      </c>
      <c r="DA175">
        <v>0</v>
      </c>
      <c r="DB175">
        <v>1000</v>
      </c>
      <c r="DC175">
        <v>1000</v>
      </c>
      <c r="DD175">
        <v>1000</v>
      </c>
      <c r="DE175">
        <v>3000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8100</v>
      </c>
      <c r="EE175">
        <v>0</v>
      </c>
      <c r="EF175">
        <v>0</v>
      </c>
      <c r="EG175">
        <v>0</v>
      </c>
      <c r="EH175">
        <v>0</v>
      </c>
      <c r="EI175">
        <v>1154</v>
      </c>
      <c r="EJ175">
        <v>1154</v>
      </c>
      <c r="EK175">
        <v>1155</v>
      </c>
      <c r="EL175">
        <v>3500</v>
      </c>
      <c r="EM175">
        <v>37.065000000000005</v>
      </c>
      <c r="EN175">
        <v>660</v>
      </c>
      <c r="EO175">
        <v>660</v>
      </c>
      <c r="EP175">
        <v>660</v>
      </c>
      <c r="EQ175">
        <v>2000</v>
      </c>
      <c r="ER175">
        <v>21.18</v>
      </c>
      <c r="ES175">
        <v>0</v>
      </c>
      <c r="ET175">
        <v>0</v>
      </c>
      <c r="EU175">
        <v>0</v>
      </c>
      <c r="EV175">
        <v>0</v>
      </c>
      <c r="EW175">
        <v>0</v>
      </c>
      <c r="FA175">
        <v>0</v>
      </c>
      <c r="FE175">
        <v>0</v>
      </c>
      <c r="FI175">
        <v>0</v>
      </c>
      <c r="FJ175">
        <v>5441.7550000000001</v>
      </c>
      <c r="FK175">
        <v>31415</v>
      </c>
      <c r="FL175">
        <v>27122.138799548888</v>
      </c>
      <c r="FM175">
        <v>25973.244999999999</v>
      </c>
    </row>
    <row r="176" spans="1:169" x14ac:dyDescent="0.35">
      <c r="A176">
        <v>193561</v>
      </c>
      <c r="B176" s="43" t="s">
        <v>1356</v>
      </c>
      <c r="C176" s="43" t="s">
        <v>2732</v>
      </c>
      <c r="D176" s="43" t="s">
        <v>2733</v>
      </c>
      <c r="E176" s="43" t="s">
        <v>2734</v>
      </c>
      <c r="F176">
        <v>1</v>
      </c>
      <c r="H176" s="23"/>
      <c r="I176">
        <v>43776</v>
      </c>
      <c r="J176" s="43" t="s">
        <v>3304</v>
      </c>
      <c r="K176" s="43" t="s">
        <v>1715</v>
      </c>
      <c r="L176" s="43" t="s">
        <v>3204</v>
      </c>
      <c r="M176" s="43" t="s">
        <v>2735</v>
      </c>
      <c r="N176" s="43" t="s">
        <v>2736</v>
      </c>
      <c r="O176" s="43" t="s">
        <v>2737</v>
      </c>
      <c r="P176" s="43" t="s">
        <v>831</v>
      </c>
      <c r="Q176" s="43" t="s">
        <v>2738</v>
      </c>
      <c r="S176" s="23">
        <v>44109</v>
      </c>
      <c r="T176" s="43" t="s">
        <v>311</v>
      </c>
      <c r="U176" s="43" t="s">
        <v>286</v>
      </c>
      <c r="V176" s="43" t="s">
        <v>267</v>
      </c>
      <c r="W176" s="43" t="s">
        <v>1718</v>
      </c>
      <c r="X176" s="43" t="s">
        <v>1719</v>
      </c>
      <c r="Y176">
        <v>8772802835</v>
      </c>
      <c r="Z176" s="43" t="s">
        <v>270</v>
      </c>
      <c r="AA176" s="43" t="s">
        <v>271</v>
      </c>
      <c r="AB176">
        <v>30</v>
      </c>
      <c r="AC176">
        <v>1290</v>
      </c>
      <c r="AD176">
        <v>129</v>
      </c>
      <c r="AE176" s="43" t="s">
        <v>301</v>
      </c>
      <c r="AF176">
        <v>1</v>
      </c>
      <c r="AG176" s="43" t="s">
        <v>275</v>
      </c>
      <c r="AH176">
        <v>46519</v>
      </c>
      <c r="AI176">
        <v>46519</v>
      </c>
      <c r="AJ176" s="23">
        <v>43774</v>
      </c>
      <c r="AK176" s="43" t="s">
        <v>3208</v>
      </c>
      <c r="AL176" s="43" t="s">
        <v>3209</v>
      </c>
      <c r="AM176" s="23"/>
      <c r="AN176" s="23"/>
      <c r="AO176" s="23"/>
      <c r="AP176" s="23"/>
      <c r="AQ176" s="23"/>
      <c r="BB176" s="43"/>
      <c r="BC176" s="43" t="s">
        <v>2018</v>
      </c>
      <c r="BD176" s="43" t="s">
        <v>2018</v>
      </c>
      <c r="BE176" s="43" t="s">
        <v>2018</v>
      </c>
      <c r="BF176" s="43" t="s">
        <v>2018</v>
      </c>
      <c r="BG176" s="43" t="s">
        <v>2018</v>
      </c>
      <c r="BH176" t="s">
        <v>2018</v>
      </c>
      <c r="BI176" s="43" t="s">
        <v>2018</v>
      </c>
      <c r="BJ176">
        <v>0</v>
      </c>
      <c r="BK176" s="23">
        <v>44109</v>
      </c>
      <c r="BL176" s="23">
        <v>44356</v>
      </c>
      <c r="BM176">
        <v>8505</v>
      </c>
      <c r="BN176">
        <v>8505</v>
      </c>
      <c r="BO176">
        <v>8505</v>
      </c>
      <c r="BP176">
        <v>25515</v>
      </c>
      <c r="BQ176">
        <v>3300</v>
      </c>
      <c r="BR176">
        <v>400</v>
      </c>
      <c r="BS176">
        <v>400</v>
      </c>
      <c r="BT176">
        <v>4100</v>
      </c>
      <c r="BU176">
        <v>2100</v>
      </c>
      <c r="BV176">
        <v>2100</v>
      </c>
      <c r="BW176">
        <v>2100</v>
      </c>
      <c r="BX176">
        <v>6300</v>
      </c>
      <c r="BY176">
        <v>1200</v>
      </c>
      <c r="BZ176">
        <v>1200</v>
      </c>
      <c r="CA176">
        <v>1200</v>
      </c>
      <c r="CB176">
        <v>3600</v>
      </c>
      <c r="CC176">
        <v>0</v>
      </c>
      <c r="CD176">
        <v>0</v>
      </c>
      <c r="CE176">
        <v>0</v>
      </c>
      <c r="CF176">
        <v>0</v>
      </c>
      <c r="CG176">
        <v>39515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1700</v>
      </c>
      <c r="CU176">
        <v>1700</v>
      </c>
      <c r="CV176">
        <v>1700</v>
      </c>
      <c r="CW176">
        <v>5100</v>
      </c>
      <c r="CX176">
        <v>0</v>
      </c>
      <c r="CY176">
        <v>0</v>
      </c>
      <c r="CZ176">
        <v>0</v>
      </c>
      <c r="DA176">
        <v>0</v>
      </c>
      <c r="DB176">
        <v>1000</v>
      </c>
      <c r="DC176">
        <v>1000</v>
      </c>
      <c r="DD176">
        <v>1000</v>
      </c>
      <c r="DE176">
        <v>3000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8100</v>
      </c>
      <c r="EE176">
        <v>0</v>
      </c>
      <c r="EF176">
        <v>0</v>
      </c>
      <c r="EG176">
        <v>0</v>
      </c>
      <c r="EH176">
        <v>0</v>
      </c>
      <c r="EI176">
        <v>1154</v>
      </c>
      <c r="EJ176">
        <v>1154</v>
      </c>
      <c r="EK176">
        <v>1155</v>
      </c>
      <c r="EL176">
        <v>3500</v>
      </c>
      <c r="EM176">
        <v>37.065000000000005</v>
      </c>
      <c r="EN176">
        <v>660</v>
      </c>
      <c r="EO176">
        <v>660</v>
      </c>
      <c r="EP176">
        <v>660</v>
      </c>
      <c r="EQ176">
        <v>2000</v>
      </c>
      <c r="ER176">
        <v>21.18</v>
      </c>
      <c r="ES176">
        <v>0</v>
      </c>
      <c r="ET176">
        <v>0</v>
      </c>
      <c r="EU176">
        <v>0</v>
      </c>
      <c r="EV176">
        <v>0</v>
      </c>
      <c r="EW176">
        <v>0</v>
      </c>
      <c r="FA176">
        <v>0</v>
      </c>
      <c r="FE176">
        <v>0</v>
      </c>
      <c r="FI176">
        <v>0</v>
      </c>
      <c r="FJ176">
        <v>5441.7550000000001</v>
      </c>
      <c r="FK176">
        <v>31415</v>
      </c>
      <c r="FL176">
        <v>27122.138799548888</v>
      </c>
      <c r="FM176">
        <v>25973.244999999999</v>
      </c>
    </row>
    <row r="177" spans="1:169" x14ac:dyDescent="0.35">
      <c r="A177">
        <v>198057</v>
      </c>
      <c r="B177" s="43" t="s">
        <v>2739</v>
      </c>
      <c r="C177" s="43" t="s">
        <v>2740</v>
      </c>
      <c r="D177" s="43" t="s">
        <v>2741</v>
      </c>
      <c r="E177" s="43" t="s">
        <v>2742</v>
      </c>
      <c r="F177">
        <v>1</v>
      </c>
      <c r="H177" s="23"/>
      <c r="I177">
        <v>43804</v>
      </c>
      <c r="J177" s="43" t="s">
        <v>4242</v>
      </c>
      <c r="K177" s="43" t="s">
        <v>1715</v>
      </c>
      <c r="L177" s="43" t="s">
        <v>259</v>
      </c>
      <c r="M177" s="43" t="s">
        <v>2743</v>
      </c>
      <c r="N177" s="43" t="s">
        <v>2744</v>
      </c>
      <c r="O177" s="43" t="s">
        <v>2745</v>
      </c>
      <c r="P177" s="43" t="s">
        <v>524</v>
      </c>
      <c r="Q177" s="43" t="s">
        <v>2746</v>
      </c>
      <c r="S177" s="23">
        <v>44109</v>
      </c>
      <c r="T177" s="43" t="s">
        <v>311</v>
      </c>
      <c r="U177" s="43" t="s">
        <v>286</v>
      </c>
      <c r="V177" s="43" t="s">
        <v>267</v>
      </c>
      <c r="W177" s="43" t="s">
        <v>1718</v>
      </c>
      <c r="X177" s="43" t="s">
        <v>1719</v>
      </c>
      <c r="Y177">
        <v>8772802835</v>
      </c>
      <c r="Z177" s="43" t="s">
        <v>270</v>
      </c>
      <c r="AA177" s="43" t="s">
        <v>271</v>
      </c>
      <c r="AB177">
        <v>20</v>
      </c>
      <c r="AC177">
        <v>0</v>
      </c>
      <c r="AD177">
        <v>95</v>
      </c>
      <c r="AE177" s="43" t="s">
        <v>354</v>
      </c>
      <c r="AF177">
        <v>6</v>
      </c>
      <c r="AG177" s="43" t="s">
        <v>275</v>
      </c>
      <c r="AJ177" s="23"/>
      <c r="AK177" s="43" t="s">
        <v>259</v>
      </c>
      <c r="AL177" s="43" t="s">
        <v>259</v>
      </c>
      <c r="AM177" s="23"/>
      <c r="AN177" s="23"/>
      <c r="AO177" s="23"/>
      <c r="AP177" s="23"/>
      <c r="AQ177" s="23"/>
      <c r="BB177" s="43"/>
      <c r="BC177" s="43" t="s">
        <v>259</v>
      </c>
      <c r="BD177" s="43" t="s">
        <v>259</v>
      </c>
      <c r="BE177" s="43" t="s">
        <v>259</v>
      </c>
      <c r="BF177" s="43" t="s">
        <v>259</v>
      </c>
      <c r="BG177" s="43" t="s">
        <v>259</v>
      </c>
      <c r="BH177" t="s">
        <v>259</v>
      </c>
      <c r="BI177" s="43" t="s">
        <v>259</v>
      </c>
      <c r="BJ177">
        <v>0</v>
      </c>
      <c r="BK177" s="23">
        <v>44109</v>
      </c>
      <c r="BL177" s="23">
        <v>44356</v>
      </c>
      <c r="BM177">
        <v>8505</v>
      </c>
      <c r="BN177">
        <v>8505</v>
      </c>
      <c r="BO177">
        <v>8505</v>
      </c>
      <c r="BP177">
        <v>25515</v>
      </c>
      <c r="BQ177">
        <v>3300</v>
      </c>
      <c r="BR177">
        <v>400</v>
      </c>
      <c r="BS177">
        <v>400</v>
      </c>
      <c r="BT177">
        <v>4100</v>
      </c>
      <c r="BU177">
        <v>2100</v>
      </c>
      <c r="BV177">
        <v>2100</v>
      </c>
      <c r="BW177">
        <v>2100</v>
      </c>
      <c r="BX177">
        <v>6300</v>
      </c>
      <c r="BY177">
        <v>1200</v>
      </c>
      <c r="BZ177">
        <v>1200</v>
      </c>
      <c r="CA177">
        <v>1200</v>
      </c>
      <c r="CB177">
        <v>3600</v>
      </c>
      <c r="CC177">
        <v>0</v>
      </c>
      <c r="CD177">
        <v>0</v>
      </c>
      <c r="CE177">
        <v>0</v>
      </c>
      <c r="CF177">
        <v>0</v>
      </c>
      <c r="CG177">
        <v>39515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750</v>
      </c>
      <c r="CU177">
        <v>750</v>
      </c>
      <c r="CV177">
        <v>750</v>
      </c>
      <c r="CW177">
        <v>2250</v>
      </c>
      <c r="CX177">
        <v>0</v>
      </c>
      <c r="CY177">
        <v>0</v>
      </c>
      <c r="CZ177">
        <v>0</v>
      </c>
      <c r="DA177">
        <v>0</v>
      </c>
      <c r="DB177">
        <v>1000</v>
      </c>
      <c r="DC177">
        <v>1000</v>
      </c>
      <c r="DD177">
        <v>1000</v>
      </c>
      <c r="DE177">
        <v>3000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5250</v>
      </c>
      <c r="EE177">
        <v>0</v>
      </c>
      <c r="EF177">
        <v>0</v>
      </c>
      <c r="EG177">
        <v>0</v>
      </c>
      <c r="EH177">
        <v>0</v>
      </c>
      <c r="EI177">
        <v>1154</v>
      </c>
      <c r="EJ177">
        <v>1154</v>
      </c>
      <c r="EK177">
        <v>1155</v>
      </c>
      <c r="EL177">
        <v>3500</v>
      </c>
      <c r="EM177">
        <v>37.065000000000005</v>
      </c>
      <c r="EN177">
        <v>660</v>
      </c>
      <c r="EO177">
        <v>660</v>
      </c>
      <c r="EP177">
        <v>660</v>
      </c>
      <c r="EQ177">
        <v>2000</v>
      </c>
      <c r="ER177">
        <v>21.18</v>
      </c>
      <c r="ES177">
        <v>0</v>
      </c>
      <c r="ET177">
        <v>0</v>
      </c>
      <c r="EU177">
        <v>0</v>
      </c>
      <c r="EV177">
        <v>0</v>
      </c>
      <c r="EW177">
        <v>0</v>
      </c>
      <c r="FA177">
        <v>0</v>
      </c>
      <c r="FE177">
        <v>0</v>
      </c>
      <c r="FI177">
        <v>0</v>
      </c>
      <c r="FJ177">
        <v>5441.7550000000001</v>
      </c>
      <c r="FK177">
        <v>34265</v>
      </c>
      <c r="FL177">
        <v>30098.204962198735</v>
      </c>
      <c r="FM177">
        <v>28823.244999999999</v>
      </c>
    </row>
    <row r="178" spans="1:169" x14ac:dyDescent="0.35">
      <c r="A178">
        <v>196581</v>
      </c>
      <c r="B178" s="43" t="s">
        <v>4062</v>
      </c>
      <c r="C178" s="43" t="s">
        <v>1323</v>
      </c>
      <c r="D178" s="43" t="s">
        <v>4063</v>
      </c>
      <c r="E178" s="43" t="s">
        <v>4064</v>
      </c>
      <c r="F178">
        <v>1</v>
      </c>
      <c r="G178">
        <v>43795</v>
      </c>
      <c r="H178" s="23">
        <v>43803</v>
      </c>
      <c r="I178">
        <v>43803</v>
      </c>
      <c r="J178" s="43" t="s">
        <v>4254</v>
      </c>
      <c r="K178" s="43" t="s">
        <v>1715</v>
      </c>
      <c r="L178" s="43" t="s">
        <v>3204</v>
      </c>
      <c r="M178" s="43" t="s">
        <v>4065</v>
      </c>
      <c r="N178" s="43" t="s">
        <v>4066</v>
      </c>
      <c r="O178" s="43" t="s">
        <v>4067</v>
      </c>
      <c r="P178" s="43" t="s">
        <v>553</v>
      </c>
      <c r="Q178" s="43" t="s">
        <v>4068</v>
      </c>
      <c r="S178" s="23">
        <v>44109</v>
      </c>
      <c r="T178" s="43" t="s">
        <v>311</v>
      </c>
      <c r="U178" s="43" t="s">
        <v>266</v>
      </c>
      <c r="V178" s="43" t="s">
        <v>1028</v>
      </c>
      <c r="W178" s="43" t="s">
        <v>1718</v>
      </c>
      <c r="X178" s="43" t="s">
        <v>1719</v>
      </c>
      <c r="Y178">
        <v>8772802835</v>
      </c>
      <c r="Z178" s="43" t="s">
        <v>270</v>
      </c>
      <c r="AA178" s="43" t="s">
        <v>271</v>
      </c>
      <c r="AB178">
        <v>24</v>
      </c>
      <c r="AC178">
        <v>1090</v>
      </c>
      <c r="AD178">
        <v>92</v>
      </c>
      <c r="AE178" s="43" t="s">
        <v>344</v>
      </c>
      <c r="AF178">
        <v>10</v>
      </c>
      <c r="AG178" s="43" t="s">
        <v>3345</v>
      </c>
      <c r="AH178">
        <v>6684</v>
      </c>
      <c r="AI178">
        <v>6684</v>
      </c>
      <c r="AJ178" s="23">
        <v>43801</v>
      </c>
      <c r="AK178" s="43" t="s">
        <v>3208</v>
      </c>
      <c r="AL178" s="43" t="s">
        <v>3209</v>
      </c>
      <c r="AM178" s="23"/>
      <c r="AN178" s="23"/>
      <c r="AO178" s="23">
        <v>43794</v>
      </c>
      <c r="AP178" s="23"/>
      <c r="AQ178" s="23">
        <v>43794</v>
      </c>
      <c r="BB178" s="43"/>
      <c r="BC178" s="43" t="s">
        <v>2018</v>
      </c>
      <c r="BD178" s="43" t="s">
        <v>2018</v>
      </c>
      <c r="BE178" s="43" t="s">
        <v>2018</v>
      </c>
      <c r="BF178" s="43" t="s">
        <v>2018</v>
      </c>
      <c r="BG178" s="43" t="s">
        <v>2018</v>
      </c>
      <c r="BH178" t="s">
        <v>2018</v>
      </c>
      <c r="BI178" s="43" t="s">
        <v>2018</v>
      </c>
      <c r="BJ178">
        <v>0.125</v>
      </c>
      <c r="BK178" s="23">
        <v>44109</v>
      </c>
      <c r="BL178" s="23">
        <v>44356</v>
      </c>
      <c r="BM178">
        <v>8505</v>
      </c>
      <c r="BN178">
        <v>8505</v>
      </c>
      <c r="BO178">
        <v>8505</v>
      </c>
      <c r="BP178">
        <v>25515</v>
      </c>
      <c r="BQ178">
        <v>3300</v>
      </c>
      <c r="BR178">
        <v>400</v>
      </c>
      <c r="BS178">
        <v>400</v>
      </c>
      <c r="BT178">
        <v>4100</v>
      </c>
      <c r="BU178">
        <v>2100</v>
      </c>
      <c r="BV178">
        <v>2100</v>
      </c>
      <c r="BW178">
        <v>2100</v>
      </c>
      <c r="BX178">
        <v>6300</v>
      </c>
      <c r="BY178">
        <v>1200</v>
      </c>
      <c r="BZ178">
        <v>1200</v>
      </c>
      <c r="CA178">
        <v>1200</v>
      </c>
      <c r="CB178">
        <v>3600</v>
      </c>
      <c r="CC178">
        <v>0</v>
      </c>
      <c r="CD178">
        <v>0</v>
      </c>
      <c r="CE178">
        <v>0</v>
      </c>
      <c r="CF178">
        <v>0</v>
      </c>
      <c r="CG178">
        <v>39515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1154</v>
      </c>
      <c r="EJ178">
        <v>1154</v>
      </c>
      <c r="EK178">
        <v>1155</v>
      </c>
      <c r="EL178">
        <v>3500</v>
      </c>
      <c r="EM178">
        <v>37.065000000000005</v>
      </c>
      <c r="EN178">
        <v>660</v>
      </c>
      <c r="EO178">
        <v>660</v>
      </c>
      <c r="EP178">
        <v>660</v>
      </c>
      <c r="EQ178">
        <v>2000</v>
      </c>
      <c r="ER178">
        <v>21.18</v>
      </c>
      <c r="ES178">
        <v>0</v>
      </c>
      <c r="ET178">
        <v>0</v>
      </c>
      <c r="EU178">
        <v>0</v>
      </c>
      <c r="EV178">
        <v>0</v>
      </c>
      <c r="EW178">
        <v>0</v>
      </c>
      <c r="FA178">
        <v>0</v>
      </c>
      <c r="FE178">
        <v>0</v>
      </c>
      <c r="FI178">
        <v>0</v>
      </c>
      <c r="FJ178">
        <v>5441.7550000000001</v>
      </c>
      <c r="FK178">
        <v>39515</v>
      </c>
      <c r="FL178">
        <v>35580.43210392214</v>
      </c>
      <c r="FM178">
        <v>34073.245000000003</v>
      </c>
    </row>
    <row r="179" spans="1:169" x14ac:dyDescent="0.35">
      <c r="A179">
        <v>192490</v>
      </c>
      <c r="B179" s="43" t="s">
        <v>2425</v>
      </c>
      <c r="C179" s="43" t="s">
        <v>1306</v>
      </c>
      <c r="D179" s="43" t="s">
        <v>2747</v>
      </c>
      <c r="E179" s="43" t="s">
        <v>2748</v>
      </c>
      <c r="F179">
        <v>1</v>
      </c>
      <c r="H179" s="23"/>
      <c r="I179">
        <v>43804</v>
      </c>
      <c r="J179" s="43" t="s">
        <v>4242</v>
      </c>
      <c r="K179" s="43" t="s">
        <v>1715</v>
      </c>
      <c r="L179" s="43" t="s">
        <v>259</v>
      </c>
      <c r="M179" s="43" t="s">
        <v>2749</v>
      </c>
      <c r="N179" s="43" t="s">
        <v>2750</v>
      </c>
      <c r="O179" s="43" t="s">
        <v>2751</v>
      </c>
      <c r="P179" s="43" t="s">
        <v>524</v>
      </c>
      <c r="Q179" s="43" t="s">
        <v>2752</v>
      </c>
      <c r="S179" s="23">
        <v>44109</v>
      </c>
      <c r="T179" s="43" t="s">
        <v>311</v>
      </c>
      <c r="U179" s="43" t="s">
        <v>266</v>
      </c>
      <c r="V179" s="43" t="s">
        <v>267</v>
      </c>
      <c r="W179" s="43" t="s">
        <v>1718</v>
      </c>
      <c r="X179" s="43" t="s">
        <v>1719</v>
      </c>
      <c r="Y179">
        <v>8772802835</v>
      </c>
      <c r="Z179" s="43" t="s">
        <v>270</v>
      </c>
      <c r="AA179" s="43" t="s">
        <v>271</v>
      </c>
      <c r="AB179">
        <v>30</v>
      </c>
      <c r="AC179">
        <v>0</v>
      </c>
      <c r="AD179">
        <v>126</v>
      </c>
      <c r="AE179" s="43" t="s">
        <v>301</v>
      </c>
      <c r="AF179">
        <v>1</v>
      </c>
      <c r="AG179" s="43" t="s">
        <v>275</v>
      </c>
      <c r="AJ179" s="23"/>
      <c r="AK179" s="43" t="s">
        <v>259</v>
      </c>
      <c r="AL179" s="43" t="s">
        <v>259</v>
      </c>
      <c r="AM179" s="23"/>
      <c r="AN179" s="23"/>
      <c r="AO179" s="23"/>
      <c r="AP179" s="23"/>
      <c r="AQ179" s="23"/>
      <c r="BB179" s="43"/>
      <c r="BC179" s="43" t="s">
        <v>259</v>
      </c>
      <c r="BD179" s="43" t="s">
        <v>259</v>
      </c>
      <c r="BE179" s="43" t="s">
        <v>259</v>
      </c>
      <c r="BF179" s="43" t="s">
        <v>259</v>
      </c>
      <c r="BG179" s="43" t="s">
        <v>259</v>
      </c>
      <c r="BH179" t="s">
        <v>259</v>
      </c>
      <c r="BI179" s="43" t="s">
        <v>259</v>
      </c>
      <c r="BJ179">
        <v>0</v>
      </c>
      <c r="BK179" s="23">
        <v>44109</v>
      </c>
      <c r="BL179" s="23">
        <v>44356</v>
      </c>
      <c r="BM179">
        <v>8505</v>
      </c>
      <c r="BN179">
        <v>8505</v>
      </c>
      <c r="BO179">
        <v>8505</v>
      </c>
      <c r="BP179">
        <v>25515</v>
      </c>
      <c r="BQ179">
        <v>3300</v>
      </c>
      <c r="BR179">
        <v>400</v>
      </c>
      <c r="BS179">
        <v>400</v>
      </c>
      <c r="BT179">
        <v>4100</v>
      </c>
      <c r="BU179">
        <v>2100</v>
      </c>
      <c r="BV179">
        <v>2100</v>
      </c>
      <c r="BW179">
        <v>2100</v>
      </c>
      <c r="BX179">
        <v>6300</v>
      </c>
      <c r="BY179">
        <v>1200</v>
      </c>
      <c r="BZ179">
        <v>1200</v>
      </c>
      <c r="CA179">
        <v>1200</v>
      </c>
      <c r="CB179">
        <v>3600</v>
      </c>
      <c r="CC179">
        <v>0</v>
      </c>
      <c r="CD179">
        <v>0</v>
      </c>
      <c r="CE179">
        <v>0</v>
      </c>
      <c r="CF179">
        <v>0</v>
      </c>
      <c r="CG179">
        <v>39515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1700</v>
      </c>
      <c r="CU179">
        <v>1700</v>
      </c>
      <c r="CV179">
        <v>1700</v>
      </c>
      <c r="CW179">
        <v>5100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5100</v>
      </c>
      <c r="EE179">
        <v>0</v>
      </c>
      <c r="EF179">
        <v>0</v>
      </c>
      <c r="EG179">
        <v>0</v>
      </c>
      <c r="EH179">
        <v>0</v>
      </c>
      <c r="EI179">
        <v>1154</v>
      </c>
      <c r="EJ179">
        <v>1154</v>
      </c>
      <c r="EK179">
        <v>1155</v>
      </c>
      <c r="EL179">
        <v>3500</v>
      </c>
      <c r="EM179">
        <v>37.065000000000005</v>
      </c>
      <c r="EN179">
        <v>660</v>
      </c>
      <c r="EO179">
        <v>660</v>
      </c>
      <c r="EP179">
        <v>660</v>
      </c>
      <c r="EQ179">
        <v>2000</v>
      </c>
      <c r="ER179">
        <v>21.18</v>
      </c>
      <c r="ES179">
        <v>0</v>
      </c>
      <c r="ET179">
        <v>0</v>
      </c>
      <c r="EU179">
        <v>0</v>
      </c>
      <c r="EV179">
        <v>0</v>
      </c>
      <c r="EW179">
        <v>0</v>
      </c>
      <c r="FA179">
        <v>0</v>
      </c>
      <c r="FE179">
        <v>0</v>
      </c>
      <c r="FI179">
        <v>0</v>
      </c>
      <c r="FJ179">
        <v>5441.7550000000001</v>
      </c>
      <c r="FK179">
        <v>34415</v>
      </c>
      <c r="FL179">
        <v>30254.840023390832</v>
      </c>
      <c r="FM179">
        <v>28973.244999999999</v>
      </c>
    </row>
    <row r="180" spans="1:169" x14ac:dyDescent="0.35">
      <c r="A180">
        <v>195851</v>
      </c>
      <c r="B180" s="43" t="s">
        <v>2753</v>
      </c>
      <c r="C180" s="43" t="s">
        <v>2754</v>
      </c>
      <c r="D180" s="43" t="s">
        <v>2755</v>
      </c>
      <c r="E180" s="43" t="s">
        <v>2756</v>
      </c>
      <c r="F180">
        <v>1</v>
      </c>
      <c r="G180">
        <v>43776</v>
      </c>
      <c r="H180" s="23">
        <v>43782</v>
      </c>
      <c r="I180">
        <v>43782</v>
      </c>
      <c r="J180" s="43" t="s">
        <v>3421</v>
      </c>
      <c r="K180" s="43" t="s">
        <v>1715</v>
      </c>
      <c r="L180" s="43" t="s">
        <v>3204</v>
      </c>
      <c r="M180" s="43" t="s">
        <v>2757</v>
      </c>
      <c r="N180" s="43" t="s">
        <v>2758</v>
      </c>
      <c r="O180" s="43" t="s">
        <v>2759</v>
      </c>
      <c r="P180" s="43" t="s">
        <v>1172</v>
      </c>
      <c r="Q180" s="43" t="s">
        <v>2760</v>
      </c>
      <c r="S180" s="23">
        <v>44109</v>
      </c>
      <c r="T180" s="43" t="s">
        <v>311</v>
      </c>
      <c r="U180" s="43" t="s">
        <v>266</v>
      </c>
      <c r="V180" s="43" t="s">
        <v>267</v>
      </c>
      <c r="W180" s="43" t="s">
        <v>1718</v>
      </c>
      <c r="X180" s="43" t="s">
        <v>1719</v>
      </c>
      <c r="Y180">
        <v>8772802835</v>
      </c>
      <c r="Z180" s="43" t="s">
        <v>270</v>
      </c>
      <c r="AA180" s="43" t="s">
        <v>271</v>
      </c>
      <c r="AB180">
        <v>23</v>
      </c>
      <c r="AC180">
        <v>0</v>
      </c>
      <c r="AD180">
        <v>111</v>
      </c>
      <c r="AE180" s="43" t="s">
        <v>445</v>
      </c>
      <c r="AF180">
        <v>4</v>
      </c>
      <c r="AG180" s="43" t="s">
        <v>275</v>
      </c>
      <c r="AH180">
        <v>1396</v>
      </c>
      <c r="AI180">
        <v>1396</v>
      </c>
      <c r="AJ180" s="23">
        <v>43774</v>
      </c>
      <c r="AK180" s="43" t="s">
        <v>1715</v>
      </c>
      <c r="AL180" s="43" t="s">
        <v>259</v>
      </c>
      <c r="AM180" s="23">
        <v>43782</v>
      </c>
      <c r="AN180" s="23">
        <v>43782</v>
      </c>
      <c r="AO180" s="23">
        <v>43781</v>
      </c>
      <c r="AP180" s="23">
        <v>43781</v>
      </c>
      <c r="AQ180" s="23">
        <v>43781</v>
      </c>
      <c r="BB180" s="43"/>
      <c r="BC180" s="43" t="s">
        <v>2018</v>
      </c>
      <c r="BD180" s="43" t="s">
        <v>259</v>
      </c>
      <c r="BE180" s="43" t="s">
        <v>259</v>
      </c>
      <c r="BF180" s="43" t="s">
        <v>2018</v>
      </c>
      <c r="BG180" s="43" t="s">
        <v>2018</v>
      </c>
      <c r="BH180">
        <v>43744</v>
      </c>
      <c r="BI180" s="43" t="s">
        <v>2018</v>
      </c>
      <c r="BJ180">
        <v>0.31578947368421051</v>
      </c>
      <c r="BK180" s="23">
        <v>44109</v>
      </c>
      <c r="BL180" s="23">
        <v>44356</v>
      </c>
      <c r="BM180">
        <v>8505</v>
      </c>
      <c r="BN180">
        <v>8505</v>
      </c>
      <c r="BO180">
        <v>8505</v>
      </c>
      <c r="BP180">
        <v>25515</v>
      </c>
      <c r="BQ180">
        <v>3300</v>
      </c>
      <c r="BR180">
        <v>400</v>
      </c>
      <c r="BS180">
        <v>400</v>
      </c>
      <c r="BT180">
        <v>4100</v>
      </c>
      <c r="BU180">
        <v>2100</v>
      </c>
      <c r="BV180">
        <v>2100</v>
      </c>
      <c r="BW180">
        <v>2100</v>
      </c>
      <c r="BX180">
        <v>6300</v>
      </c>
      <c r="BY180">
        <v>1500</v>
      </c>
      <c r="BZ180">
        <v>1500</v>
      </c>
      <c r="CA180">
        <v>1500</v>
      </c>
      <c r="CB180">
        <v>4500</v>
      </c>
      <c r="CC180">
        <v>0</v>
      </c>
      <c r="CD180">
        <v>0</v>
      </c>
      <c r="CE180">
        <v>0</v>
      </c>
      <c r="CF180">
        <v>0</v>
      </c>
      <c r="CG180">
        <v>40415</v>
      </c>
      <c r="CH180">
        <v>0</v>
      </c>
      <c r="CI180">
        <v>0</v>
      </c>
      <c r="CJ180">
        <v>0</v>
      </c>
      <c r="CK180">
        <v>0</v>
      </c>
      <c r="CL180">
        <v>1615</v>
      </c>
      <c r="CM180">
        <v>1615</v>
      </c>
      <c r="CN180">
        <v>1615</v>
      </c>
      <c r="CO180">
        <v>4845</v>
      </c>
      <c r="CP180">
        <v>500</v>
      </c>
      <c r="CQ180">
        <v>500</v>
      </c>
      <c r="CR180">
        <v>500</v>
      </c>
      <c r="CS180">
        <v>1500</v>
      </c>
      <c r="CT180">
        <v>1250</v>
      </c>
      <c r="CU180">
        <v>1250</v>
      </c>
      <c r="CV180">
        <v>1250</v>
      </c>
      <c r="CW180">
        <v>3750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10095</v>
      </c>
      <c r="EE180">
        <v>0</v>
      </c>
      <c r="EF180">
        <v>0</v>
      </c>
      <c r="EG180">
        <v>0</v>
      </c>
      <c r="EH180">
        <v>0</v>
      </c>
      <c r="EI180">
        <v>1154</v>
      </c>
      <c r="EJ180">
        <v>1154</v>
      </c>
      <c r="EK180">
        <v>1155</v>
      </c>
      <c r="EL180">
        <v>3500</v>
      </c>
      <c r="EM180">
        <v>37.065000000000005</v>
      </c>
      <c r="EN180">
        <v>660</v>
      </c>
      <c r="EO180">
        <v>660</v>
      </c>
      <c r="EP180">
        <v>660</v>
      </c>
      <c r="EQ180">
        <v>2000</v>
      </c>
      <c r="ER180">
        <v>21.18</v>
      </c>
      <c r="ES180">
        <v>8308</v>
      </c>
      <c r="ET180">
        <v>8308</v>
      </c>
      <c r="EU180">
        <v>8308</v>
      </c>
      <c r="EV180">
        <v>25979</v>
      </c>
      <c r="EW180">
        <v>1100.4704400000001</v>
      </c>
      <c r="FA180">
        <v>0</v>
      </c>
      <c r="FE180">
        <v>0</v>
      </c>
      <c r="FI180">
        <v>0</v>
      </c>
      <c r="FJ180">
        <v>30320.28456</v>
      </c>
      <c r="FK180">
        <v>30320</v>
      </c>
      <c r="FL180">
        <v>-0.29714715341887959</v>
      </c>
      <c r="FM180">
        <v>-0.28456000000005588</v>
      </c>
    </row>
    <row r="181" spans="1:169" x14ac:dyDescent="0.35">
      <c r="A181">
        <v>194305</v>
      </c>
      <c r="B181" s="43" t="s">
        <v>2761</v>
      </c>
      <c r="C181" s="43" t="s">
        <v>1566</v>
      </c>
      <c r="D181" s="43" t="s">
        <v>2762</v>
      </c>
      <c r="E181" s="43" t="s">
        <v>2763</v>
      </c>
      <c r="F181">
        <v>1</v>
      </c>
      <c r="H181" s="23"/>
      <c r="I181">
        <v>43804</v>
      </c>
      <c r="J181" s="43" t="s">
        <v>4242</v>
      </c>
      <c r="K181" s="43" t="s">
        <v>1715</v>
      </c>
      <c r="L181" s="43" t="s">
        <v>259</v>
      </c>
      <c r="M181" s="43" t="s">
        <v>2764</v>
      </c>
      <c r="N181" s="43" t="s">
        <v>2765</v>
      </c>
      <c r="O181" s="43" t="s">
        <v>2766</v>
      </c>
      <c r="P181" s="43" t="s">
        <v>1296</v>
      </c>
      <c r="Q181" s="43" t="s">
        <v>2767</v>
      </c>
      <c r="S181" s="23">
        <v>44109</v>
      </c>
      <c r="T181" s="43" t="s">
        <v>311</v>
      </c>
      <c r="U181" s="43" t="s">
        <v>266</v>
      </c>
      <c r="V181" s="43" t="s">
        <v>267</v>
      </c>
      <c r="W181" s="43" t="s">
        <v>1718</v>
      </c>
      <c r="X181" s="43" t="s">
        <v>1719</v>
      </c>
      <c r="Y181">
        <v>8772802835</v>
      </c>
      <c r="Z181" s="43" t="s">
        <v>270</v>
      </c>
      <c r="AA181" s="43" t="s">
        <v>271</v>
      </c>
      <c r="AB181">
        <v>0</v>
      </c>
      <c r="AC181">
        <v>1320</v>
      </c>
      <c r="AD181">
        <v>124</v>
      </c>
      <c r="AE181" s="43" t="s">
        <v>301</v>
      </c>
      <c r="AF181">
        <v>1</v>
      </c>
      <c r="AG181" s="43" t="s">
        <v>275</v>
      </c>
      <c r="AJ181" s="23"/>
      <c r="AK181" s="43" t="s">
        <v>259</v>
      </c>
      <c r="AL181" s="43" t="s">
        <v>259</v>
      </c>
      <c r="AM181" s="23"/>
      <c r="AN181" s="23"/>
      <c r="AO181" s="23"/>
      <c r="AP181" s="23"/>
      <c r="AQ181" s="23"/>
      <c r="BB181" s="43"/>
      <c r="BC181" s="43" t="s">
        <v>259</v>
      </c>
      <c r="BD181" s="43" t="s">
        <v>259</v>
      </c>
      <c r="BE181" s="43" t="s">
        <v>259</v>
      </c>
      <c r="BF181" s="43" t="s">
        <v>259</v>
      </c>
      <c r="BG181" s="43" t="s">
        <v>259</v>
      </c>
      <c r="BH181" t="s">
        <v>259</v>
      </c>
      <c r="BI181" s="43" t="s">
        <v>259</v>
      </c>
      <c r="BJ181">
        <v>0</v>
      </c>
      <c r="BK181" s="23">
        <v>44109</v>
      </c>
      <c r="BL181" s="23">
        <v>44356</v>
      </c>
      <c r="BM181">
        <v>8505</v>
      </c>
      <c r="BN181">
        <v>8505</v>
      </c>
      <c r="BO181">
        <v>8505</v>
      </c>
      <c r="BP181">
        <v>25515</v>
      </c>
      <c r="BQ181">
        <v>3300</v>
      </c>
      <c r="BR181">
        <v>400</v>
      </c>
      <c r="BS181">
        <v>400</v>
      </c>
      <c r="BT181">
        <v>4100</v>
      </c>
      <c r="BU181">
        <v>2100</v>
      </c>
      <c r="BV181">
        <v>2100</v>
      </c>
      <c r="BW181">
        <v>2100</v>
      </c>
      <c r="BX181">
        <v>6300</v>
      </c>
      <c r="BY181">
        <v>1200</v>
      </c>
      <c r="BZ181">
        <v>1200</v>
      </c>
      <c r="CA181">
        <v>1200</v>
      </c>
      <c r="CB181">
        <v>3600</v>
      </c>
      <c r="CC181">
        <v>0</v>
      </c>
      <c r="CD181">
        <v>0</v>
      </c>
      <c r="CE181">
        <v>0</v>
      </c>
      <c r="CF181">
        <v>0</v>
      </c>
      <c r="CG181">
        <v>39515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1700</v>
      </c>
      <c r="CU181">
        <v>1700</v>
      </c>
      <c r="CV181">
        <v>1700</v>
      </c>
      <c r="CW181">
        <v>5100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5100</v>
      </c>
      <c r="EE181">
        <v>0</v>
      </c>
      <c r="EF181">
        <v>0</v>
      </c>
      <c r="EG181">
        <v>0</v>
      </c>
      <c r="EH181">
        <v>0</v>
      </c>
      <c r="EI181">
        <v>1154</v>
      </c>
      <c r="EJ181">
        <v>1154</v>
      </c>
      <c r="EK181">
        <v>1155</v>
      </c>
      <c r="EL181">
        <v>3500</v>
      </c>
      <c r="EM181">
        <v>37.065000000000005</v>
      </c>
      <c r="EN181">
        <v>660</v>
      </c>
      <c r="EO181">
        <v>660</v>
      </c>
      <c r="EP181">
        <v>660</v>
      </c>
      <c r="EQ181">
        <v>2000</v>
      </c>
      <c r="ER181">
        <v>21.18</v>
      </c>
      <c r="ES181">
        <v>0</v>
      </c>
      <c r="ET181">
        <v>0</v>
      </c>
      <c r="EU181">
        <v>0</v>
      </c>
      <c r="EV181">
        <v>0</v>
      </c>
      <c r="EW181">
        <v>0</v>
      </c>
      <c r="FA181">
        <v>0</v>
      </c>
      <c r="FE181">
        <v>0</v>
      </c>
      <c r="FI181">
        <v>0</v>
      </c>
      <c r="FJ181">
        <v>5441.7550000000001</v>
      </c>
      <c r="FK181">
        <v>34415</v>
      </c>
      <c r="FL181">
        <v>30254.840023390832</v>
      </c>
      <c r="FM181">
        <v>28973.244999999999</v>
      </c>
    </row>
    <row r="182" spans="1:169" x14ac:dyDescent="0.35">
      <c r="A182">
        <v>197096</v>
      </c>
      <c r="B182" s="43" t="s">
        <v>2768</v>
      </c>
      <c r="C182" s="43" t="s">
        <v>2769</v>
      </c>
      <c r="D182" s="43" t="s">
        <v>2770</v>
      </c>
      <c r="E182" s="43" t="s">
        <v>2771</v>
      </c>
      <c r="F182">
        <v>1</v>
      </c>
      <c r="H182" s="23"/>
      <c r="I182">
        <v>43804</v>
      </c>
      <c r="J182" s="43" t="s">
        <v>4240</v>
      </c>
      <c r="K182" s="43" t="s">
        <v>1715</v>
      </c>
      <c r="L182" s="43" t="s">
        <v>3204</v>
      </c>
      <c r="M182" s="43" t="s">
        <v>2772</v>
      </c>
      <c r="N182" s="43" t="s">
        <v>2773</v>
      </c>
      <c r="O182" s="43" t="s">
        <v>360</v>
      </c>
      <c r="P182" s="43" t="s">
        <v>342</v>
      </c>
      <c r="Q182" s="43" t="s">
        <v>2774</v>
      </c>
      <c r="S182" s="23">
        <v>44109</v>
      </c>
      <c r="T182" s="43" t="s">
        <v>311</v>
      </c>
      <c r="U182" s="43" t="s">
        <v>266</v>
      </c>
      <c r="V182" s="43" t="s">
        <v>267</v>
      </c>
      <c r="W182" s="43" t="s">
        <v>1718</v>
      </c>
      <c r="X182" s="43" t="s">
        <v>1719</v>
      </c>
      <c r="Y182">
        <v>8772802835</v>
      </c>
      <c r="Z182" s="43" t="s">
        <v>270</v>
      </c>
      <c r="AA182" s="43" t="s">
        <v>271</v>
      </c>
      <c r="AB182">
        <v>0</v>
      </c>
      <c r="AC182">
        <v>0</v>
      </c>
      <c r="AD182">
        <v>0</v>
      </c>
      <c r="AE182" s="43" t="s">
        <v>274</v>
      </c>
      <c r="AF182">
        <v>9</v>
      </c>
      <c r="AG182" s="43" t="s">
        <v>275</v>
      </c>
      <c r="AH182">
        <v>3472</v>
      </c>
      <c r="AI182">
        <v>3472</v>
      </c>
      <c r="AJ182" s="23">
        <v>43774</v>
      </c>
      <c r="AK182" s="43" t="s">
        <v>1715</v>
      </c>
      <c r="AL182" s="43" t="s">
        <v>259</v>
      </c>
      <c r="AM182" s="23"/>
      <c r="AN182" s="23"/>
      <c r="AO182" s="23"/>
      <c r="AP182" s="23"/>
      <c r="AQ182" s="23"/>
      <c r="BB182" s="43"/>
      <c r="BC182" s="43" t="s">
        <v>259</v>
      </c>
      <c r="BD182" s="43" t="s">
        <v>259</v>
      </c>
      <c r="BE182" s="43" t="s">
        <v>259</v>
      </c>
      <c r="BF182" s="43" t="s">
        <v>2018</v>
      </c>
      <c r="BG182" s="43" t="s">
        <v>2018</v>
      </c>
      <c r="BH182" t="s">
        <v>2018</v>
      </c>
      <c r="BI182" s="43" t="s">
        <v>259</v>
      </c>
      <c r="BJ182">
        <v>0</v>
      </c>
      <c r="BK182" s="23">
        <v>44109</v>
      </c>
      <c r="BL182" s="23">
        <v>44356</v>
      </c>
      <c r="BM182">
        <v>8505</v>
      </c>
      <c r="BN182">
        <v>8505</v>
      </c>
      <c r="BO182">
        <v>8505</v>
      </c>
      <c r="BP182">
        <v>25515</v>
      </c>
      <c r="BQ182">
        <v>3300</v>
      </c>
      <c r="BR182">
        <v>400</v>
      </c>
      <c r="BS182">
        <v>400</v>
      </c>
      <c r="BT182">
        <v>4100</v>
      </c>
      <c r="BU182">
        <v>2100</v>
      </c>
      <c r="BV182">
        <v>2100</v>
      </c>
      <c r="BW182">
        <v>2100</v>
      </c>
      <c r="BX182">
        <v>6300</v>
      </c>
      <c r="BY182">
        <v>1200</v>
      </c>
      <c r="BZ182">
        <v>1200</v>
      </c>
      <c r="CA182">
        <v>1200</v>
      </c>
      <c r="CB182">
        <v>3600</v>
      </c>
      <c r="CC182">
        <v>0</v>
      </c>
      <c r="CD182">
        <v>0</v>
      </c>
      <c r="CE182">
        <v>0</v>
      </c>
      <c r="CF182">
        <v>0</v>
      </c>
      <c r="CG182">
        <v>39515</v>
      </c>
      <c r="CH182">
        <v>0</v>
      </c>
      <c r="CI182">
        <v>0</v>
      </c>
      <c r="CJ182">
        <v>0</v>
      </c>
      <c r="CK182">
        <v>0</v>
      </c>
      <c r="CL182">
        <v>915</v>
      </c>
      <c r="CM182">
        <v>915</v>
      </c>
      <c r="CN182">
        <v>915</v>
      </c>
      <c r="CO182">
        <v>2745</v>
      </c>
      <c r="CP182">
        <v>500</v>
      </c>
      <c r="CQ182">
        <v>500</v>
      </c>
      <c r="CR182">
        <v>500</v>
      </c>
      <c r="CS182">
        <v>1500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4245</v>
      </c>
      <c r="EE182">
        <v>0</v>
      </c>
      <c r="EF182">
        <v>0</v>
      </c>
      <c r="EG182">
        <v>0</v>
      </c>
      <c r="EH182">
        <v>0</v>
      </c>
      <c r="EI182">
        <v>1154</v>
      </c>
      <c r="EJ182">
        <v>1154</v>
      </c>
      <c r="EK182">
        <v>1155</v>
      </c>
      <c r="EL182">
        <v>3500</v>
      </c>
      <c r="EM182">
        <v>37.065000000000005</v>
      </c>
      <c r="EN182">
        <v>660</v>
      </c>
      <c r="EO182">
        <v>660</v>
      </c>
      <c r="EP182">
        <v>660</v>
      </c>
      <c r="EQ182">
        <v>2000</v>
      </c>
      <c r="ER182">
        <v>21.18</v>
      </c>
      <c r="ES182">
        <v>0</v>
      </c>
      <c r="ET182">
        <v>0</v>
      </c>
      <c r="EU182">
        <v>0</v>
      </c>
      <c r="EV182">
        <v>0</v>
      </c>
      <c r="EW182">
        <v>0</v>
      </c>
      <c r="FA182">
        <v>0</v>
      </c>
      <c r="FE182">
        <v>0</v>
      </c>
      <c r="FI182">
        <v>0</v>
      </c>
      <c r="FJ182">
        <v>5441.7550000000001</v>
      </c>
      <c r="FK182">
        <v>35270</v>
      </c>
      <c r="FL182">
        <v>31147.659872185788</v>
      </c>
      <c r="FM182">
        <v>29828.244999999999</v>
      </c>
    </row>
    <row r="183" spans="1:169" x14ac:dyDescent="0.35">
      <c r="A183">
        <v>199577</v>
      </c>
      <c r="B183" s="43" t="s">
        <v>4069</v>
      </c>
      <c r="C183" s="43" t="s">
        <v>4070</v>
      </c>
      <c r="D183" s="43" t="s">
        <v>4071</v>
      </c>
      <c r="E183" s="43" t="s">
        <v>4072</v>
      </c>
      <c r="F183">
        <v>1</v>
      </c>
      <c r="H183" s="23"/>
      <c r="I183">
        <v>43804</v>
      </c>
      <c r="J183" s="43" t="s">
        <v>4240</v>
      </c>
      <c r="K183" s="43" t="s">
        <v>1715</v>
      </c>
      <c r="L183" s="43" t="s">
        <v>3204</v>
      </c>
      <c r="M183" s="43" t="s">
        <v>4073</v>
      </c>
      <c r="N183" s="43" t="s">
        <v>4074</v>
      </c>
      <c r="O183" s="43" t="s">
        <v>4075</v>
      </c>
      <c r="P183" s="43" t="s">
        <v>297</v>
      </c>
      <c r="Q183" s="43" t="s">
        <v>1085</v>
      </c>
      <c r="S183" s="23">
        <v>44109</v>
      </c>
      <c r="T183" s="43" t="s">
        <v>311</v>
      </c>
      <c r="U183" s="43" t="s">
        <v>312</v>
      </c>
      <c r="V183" s="43" t="s">
        <v>267</v>
      </c>
      <c r="W183" s="43" t="s">
        <v>1718</v>
      </c>
      <c r="X183" s="43" t="s">
        <v>1719</v>
      </c>
      <c r="Y183">
        <v>8772802835</v>
      </c>
      <c r="Z183" s="43" t="s">
        <v>270</v>
      </c>
      <c r="AA183" s="43" t="s">
        <v>271</v>
      </c>
      <c r="AB183">
        <v>13</v>
      </c>
      <c r="AC183">
        <v>0</v>
      </c>
      <c r="AD183">
        <v>91</v>
      </c>
      <c r="AE183" s="43" t="s">
        <v>416</v>
      </c>
      <c r="AF183">
        <v>5</v>
      </c>
      <c r="AG183" s="43" t="s">
        <v>3345</v>
      </c>
      <c r="AH183">
        <v>5785</v>
      </c>
      <c r="AI183">
        <v>5785</v>
      </c>
      <c r="AJ183" s="23">
        <v>43774</v>
      </c>
      <c r="AK183" s="43" t="s">
        <v>3208</v>
      </c>
      <c r="AL183" s="43" t="s">
        <v>3209</v>
      </c>
      <c r="AM183" s="23"/>
      <c r="AN183" s="23"/>
      <c r="AO183" s="23"/>
      <c r="AP183" s="23"/>
      <c r="AQ183" s="23"/>
      <c r="BB183" s="43"/>
      <c r="BC183" s="43" t="s">
        <v>2018</v>
      </c>
      <c r="BD183" s="43" t="s">
        <v>2018</v>
      </c>
      <c r="BE183" s="43" t="s">
        <v>2018</v>
      </c>
      <c r="BF183" s="43" t="s">
        <v>2018</v>
      </c>
      <c r="BG183" s="43" t="s">
        <v>2018</v>
      </c>
      <c r="BH183" t="s">
        <v>2018</v>
      </c>
      <c r="BI183" s="43" t="s">
        <v>2018</v>
      </c>
      <c r="BJ183">
        <v>0</v>
      </c>
      <c r="BK183" s="23">
        <v>44109</v>
      </c>
      <c r="BL183" s="23">
        <v>44356</v>
      </c>
      <c r="BM183">
        <v>8505</v>
      </c>
      <c r="BN183">
        <v>8505</v>
      </c>
      <c r="BO183">
        <v>8505</v>
      </c>
      <c r="BP183">
        <v>25515</v>
      </c>
      <c r="BQ183">
        <v>3300</v>
      </c>
      <c r="BR183">
        <v>400</v>
      </c>
      <c r="BS183">
        <v>400</v>
      </c>
      <c r="BT183">
        <v>4100</v>
      </c>
      <c r="BU183">
        <v>2100</v>
      </c>
      <c r="BV183">
        <v>2100</v>
      </c>
      <c r="BW183">
        <v>2100</v>
      </c>
      <c r="BX183">
        <v>6300</v>
      </c>
      <c r="BY183">
        <v>1200</v>
      </c>
      <c r="BZ183">
        <v>1200</v>
      </c>
      <c r="CA183">
        <v>1200</v>
      </c>
      <c r="CB183">
        <v>3600</v>
      </c>
      <c r="CC183">
        <v>0</v>
      </c>
      <c r="CD183">
        <v>0</v>
      </c>
      <c r="CE183">
        <v>0</v>
      </c>
      <c r="CF183">
        <v>0</v>
      </c>
      <c r="CG183">
        <v>39515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1000</v>
      </c>
      <c r="CU183">
        <v>1000</v>
      </c>
      <c r="CV183">
        <v>1000</v>
      </c>
      <c r="CW183">
        <v>3000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3000</v>
      </c>
      <c r="EE183">
        <v>0</v>
      </c>
      <c r="EF183">
        <v>0</v>
      </c>
      <c r="EG183">
        <v>0</v>
      </c>
      <c r="EH183">
        <v>0</v>
      </c>
      <c r="EI183">
        <v>1154</v>
      </c>
      <c r="EJ183">
        <v>1154</v>
      </c>
      <c r="EK183">
        <v>1155</v>
      </c>
      <c r="EL183">
        <v>3500</v>
      </c>
      <c r="EM183">
        <v>37.065000000000005</v>
      </c>
      <c r="EN183">
        <v>660</v>
      </c>
      <c r="EO183">
        <v>660</v>
      </c>
      <c r="EP183">
        <v>660</v>
      </c>
      <c r="EQ183">
        <v>2000</v>
      </c>
      <c r="ER183">
        <v>21.18</v>
      </c>
      <c r="ES183">
        <v>0</v>
      </c>
      <c r="ET183">
        <v>0</v>
      </c>
      <c r="EU183">
        <v>0</v>
      </c>
      <c r="EV183">
        <v>0</v>
      </c>
      <c r="EW183">
        <v>0</v>
      </c>
      <c r="FA183">
        <v>0</v>
      </c>
      <c r="FE183">
        <v>0</v>
      </c>
      <c r="FI183">
        <v>0</v>
      </c>
      <c r="FJ183">
        <v>5441.7550000000001</v>
      </c>
      <c r="FK183">
        <v>36515</v>
      </c>
      <c r="FL183">
        <v>32447.730880080198</v>
      </c>
      <c r="FM183">
        <v>31073.245000000003</v>
      </c>
    </row>
    <row r="184" spans="1:169" x14ac:dyDescent="0.35">
      <c r="A184">
        <v>196244</v>
      </c>
      <c r="B184" s="43" t="s">
        <v>2775</v>
      </c>
      <c r="C184" s="43" t="s">
        <v>1780</v>
      </c>
      <c r="D184" s="43" t="s">
        <v>2776</v>
      </c>
      <c r="E184" s="43" t="s">
        <v>2777</v>
      </c>
      <c r="F184">
        <v>1</v>
      </c>
      <c r="H184" s="23"/>
      <c r="I184">
        <v>43804</v>
      </c>
      <c r="J184" s="43" t="s">
        <v>4242</v>
      </c>
      <c r="K184" s="43" t="s">
        <v>1715</v>
      </c>
      <c r="L184" s="43" t="s">
        <v>259</v>
      </c>
      <c r="M184" s="43" t="s">
        <v>2778</v>
      </c>
      <c r="N184" s="43" t="s">
        <v>2779</v>
      </c>
      <c r="O184" s="43" t="s">
        <v>2780</v>
      </c>
      <c r="P184" s="43" t="s">
        <v>542</v>
      </c>
      <c r="Q184" s="43" t="s">
        <v>2781</v>
      </c>
      <c r="S184" s="23">
        <v>44109</v>
      </c>
      <c r="T184" s="43" t="s">
        <v>544</v>
      </c>
      <c r="U184" s="43" t="s">
        <v>266</v>
      </c>
      <c r="V184" s="43" t="s">
        <v>267</v>
      </c>
      <c r="W184" s="43" t="s">
        <v>1718</v>
      </c>
      <c r="X184" s="43" t="s">
        <v>1719</v>
      </c>
      <c r="Y184">
        <v>8772802835</v>
      </c>
      <c r="Z184" s="43" t="s">
        <v>270</v>
      </c>
      <c r="AA184" s="43" t="s">
        <v>271</v>
      </c>
      <c r="AB184">
        <v>30</v>
      </c>
      <c r="AC184">
        <v>0</v>
      </c>
      <c r="AD184">
        <v>0</v>
      </c>
      <c r="AE184" s="43" t="s">
        <v>376</v>
      </c>
      <c r="AF184">
        <v>7</v>
      </c>
      <c r="AG184" s="43" t="s">
        <v>275</v>
      </c>
      <c r="AJ184" s="23"/>
      <c r="AK184" s="43" t="s">
        <v>259</v>
      </c>
      <c r="AL184" s="43" t="s">
        <v>259</v>
      </c>
      <c r="AM184" s="23"/>
      <c r="AN184" s="23"/>
      <c r="AO184" s="23"/>
      <c r="AP184" s="23"/>
      <c r="AQ184" s="23"/>
      <c r="BB184" s="43"/>
      <c r="BC184" s="43" t="s">
        <v>259</v>
      </c>
      <c r="BD184" s="43" t="s">
        <v>259</v>
      </c>
      <c r="BE184" s="43" t="s">
        <v>259</v>
      </c>
      <c r="BF184" s="43" t="s">
        <v>259</v>
      </c>
      <c r="BG184" s="43" t="s">
        <v>259</v>
      </c>
      <c r="BH184" t="s">
        <v>259</v>
      </c>
      <c r="BI184" s="43" t="s">
        <v>259</v>
      </c>
      <c r="BJ184">
        <v>0</v>
      </c>
      <c r="BK184" s="23">
        <v>44109</v>
      </c>
      <c r="BL184" s="23">
        <v>44356</v>
      </c>
      <c r="BM184">
        <v>8505</v>
      </c>
      <c r="BN184">
        <v>8505</v>
      </c>
      <c r="BO184">
        <v>8505</v>
      </c>
      <c r="BP184">
        <v>25515</v>
      </c>
      <c r="BQ184">
        <v>3300</v>
      </c>
      <c r="BR184">
        <v>400</v>
      </c>
      <c r="BS184">
        <v>400</v>
      </c>
      <c r="BT184">
        <v>4100</v>
      </c>
      <c r="BU184">
        <v>2100</v>
      </c>
      <c r="BV184">
        <v>2100</v>
      </c>
      <c r="BW184">
        <v>2100</v>
      </c>
      <c r="BX184">
        <v>6300</v>
      </c>
      <c r="BY184">
        <v>1200</v>
      </c>
      <c r="BZ184">
        <v>1200</v>
      </c>
      <c r="CA184">
        <v>1200</v>
      </c>
      <c r="CB184">
        <v>3600</v>
      </c>
      <c r="CC184">
        <v>0</v>
      </c>
      <c r="CD184">
        <v>0</v>
      </c>
      <c r="CE184">
        <v>0</v>
      </c>
      <c r="CF184">
        <v>0</v>
      </c>
      <c r="CG184">
        <v>39515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3000</v>
      </c>
      <c r="CY184">
        <v>3000</v>
      </c>
      <c r="CZ184">
        <v>3000</v>
      </c>
      <c r="DA184">
        <v>9000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9000</v>
      </c>
      <c r="EE184">
        <v>0</v>
      </c>
      <c r="EF184">
        <v>0</v>
      </c>
      <c r="EG184">
        <v>0</v>
      </c>
      <c r="EH184">
        <v>0</v>
      </c>
      <c r="EI184">
        <v>1154</v>
      </c>
      <c r="EJ184">
        <v>1154</v>
      </c>
      <c r="EK184">
        <v>1155</v>
      </c>
      <c r="EL184">
        <v>3500</v>
      </c>
      <c r="EM184">
        <v>37.065000000000005</v>
      </c>
      <c r="EN184">
        <v>660</v>
      </c>
      <c r="EO184">
        <v>660</v>
      </c>
      <c r="EP184">
        <v>660</v>
      </c>
      <c r="EQ184">
        <v>2000</v>
      </c>
      <c r="ER184">
        <v>21.18</v>
      </c>
      <c r="ES184">
        <v>0</v>
      </c>
      <c r="ET184">
        <v>0</v>
      </c>
      <c r="EU184">
        <v>0</v>
      </c>
      <c r="EV184">
        <v>0</v>
      </c>
      <c r="EW184">
        <v>0</v>
      </c>
      <c r="FA184">
        <v>0</v>
      </c>
      <c r="FE184">
        <v>0</v>
      </c>
      <c r="FI184">
        <v>0</v>
      </c>
      <c r="FJ184">
        <v>5441.7550000000001</v>
      </c>
      <c r="FK184">
        <v>30515</v>
      </c>
      <c r="FL184">
        <v>26182.328432396305</v>
      </c>
      <c r="FM184">
        <v>25073.244999999999</v>
      </c>
    </row>
    <row r="185" spans="1:169" x14ac:dyDescent="0.35">
      <c r="A185">
        <v>198744</v>
      </c>
      <c r="B185" s="43" t="s">
        <v>3371</v>
      </c>
      <c r="C185" s="43" t="s">
        <v>3372</v>
      </c>
      <c r="D185" s="43" t="s">
        <v>3373</v>
      </c>
      <c r="E185" s="43" t="s">
        <v>3374</v>
      </c>
      <c r="F185">
        <v>1</v>
      </c>
      <c r="G185">
        <v>43787</v>
      </c>
      <c r="H185" s="23">
        <v>43788</v>
      </c>
      <c r="I185">
        <v>43788</v>
      </c>
      <c r="J185" s="43" t="s">
        <v>4255</v>
      </c>
      <c r="K185" s="43" t="s">
        <v>1715</v>
      </c>
      <c r="L185" s="43" t="s">
        <v>3204</v>
      </c>
      <c r="M185" s="43" t="s">
        <v>3375</v>
      </c>
      <c r="N185" s="43" t="s">
        <v>3376</v>
      </c>
      <c r="O185" s="43" t="s">
        <v>3377</v>
      </c>
      <c r="P185" s="43" t="s">
        <v>542</v>
      </c>
      <c r="Q185" s="43" t="s">
        <v>3378</v>
      </c>
      <c r="S185" s="23">
        <v>44109</v>
      </c>
      <c r="T185" s="43" t="s">
        <v>544</v>
      </c>
      <c r="U185" s="43" t="s">
        <v>266</v>
      </c>
      <c r="V185" s="43" t="s">
        <v>267</v>
      </c>
      <c r="W185" s="43" t="s">
        <v>1718</v>
      </c>
      <c r="X185" s="43" t="s">
        <v>1719</v>
      </c>
      <c r="Y185">
        <v>8772802835</v>
      </c>
      <c r="Z185" s="43" t="s">
        <v>508</v>
      </c>
      <c r="AA185" s="43" t="s">
        <v>271</v>
      </c>
      <c r="AB185">
        <v>25</v>
      </c>
      <c r="AC185">
        <v>0</v>
      </c>
      <c r="AD185">
        <v>113</v>
      </c>
      <c r="AE185" s="43" t="s">
        <v>301</v>
      </c>
      <c r="AF185">
        <v>1</v>
      </c>
      <c r="AG185" s="43" t="s">
        <v>3345</v>
      </c>
      <c r="AH185">
        <v>881</v>
      </c>
      <c r="AI185">
        <v>881</v>
      </c>
      <c r="AJ185" s="23">
        <v>43790</v>
      </c>
      <c r="AK185" s="43" t="s">
        <v>1715</v>
      </c>
      <c r="AL185" s="43" t="s">
        <v>259</v>
      </c>
      <c r="AM185" s="23"/>
      <c r="AN185" s="23"/>
      <c r="AO185" s="23">
        <v>43786</v>
      </c>
      <c r="AP185" s="23">
        <v>43787</v>
      </c>
      <c r="AQ185" s="23">
        <v>43787</v>
      </c>
      <c r="BB185" s="43"/>
      <c r="BC185" s="43" t="s">
        <v>259</v>
      </c>
      <c r="BD185" s="43" t="s">
        <v>259</v>
      </c>
      <c r="BE185" s="43" t="s">
        <v>259</v>
      </c>
      <c r="BF185" s="43" t="s">
        <v>259</v>
      </c>
      <c r="BG185" s="43" t="s">
        <v>259</v>
      </c>
      <c r="BH185" t="s">
        <v>259</v>
      </c>
      <c r="BI185" s="43" t="s">
        <v>259</v>
      </c>
      <c r="BJ185">
        <v>0.13043478260869568</v>
      </c>
      <c r="BK185" s="23">
        <v>44109</v>
      </c>
      <c r="BL185" s="23">
        <v>44356</v>
      </c>
      <c r="BM185">
        <v>8505</v>
      </c>
      <c r="BN185">
        <v>8505</v>
      </c>
      <c r="BO185">
        <v>8505</v>
      </c>
      <c r="BP185">
        <v>25515</v>
      </c>
      <c r="BQ185">
        <v>3300</v>
      </c>
      <c r="BR185">
        <v>400</v>
      </c>
      <c r="BS185">
        <v>400</v>
      </c>
      <c r="BT185">
        <v>4100</v>
      </c>
      <c r="BU185">
        <v>2100</v>
      </c>
      <c r="BV185">
        <v>2100</v>
      </c>
      <c r="BW185">
        <v>2100</v>
      </c>
      <c r="BX185">
        <v>6300</v>
      </c>
      <c r="BY185">
        <v>1200</v>
      </c>
      <c r="BZ185">
        <v>1200</v>
      </c>
      <c r="CA185">
        <v>1200</v>
      </c>
      <c r="CB185">
        <v>3600</v>
      </c>
      <c r="CC185">
        <v>0</v>
      </c>
      <c r="CD185">
        <v>0</v>
      </c>
      <c r="CE185">
        <v>0</v>
      </c>
      <c r="CF185">
        <v>0</v>
      </c>
      <c r="CG185">
        <v>39515</v>
      </c>
      <c r="CH185">
        <v>0</v>
      </c>
      <c r="CI185">
        <v>0</v>
      </c>
      <c r="CJ185">
        <v>0</v>
      </c>
      <c r="CK185">
        <v>0</v>
      </c>
      <c r="CL185">
        <v>1782</v>
      </c>
      <c r="CM185">
        <v>1782</v>
      </c>
      <c r="CN185">
        <v>1781</v>
      </c>
      <c r="CO185">
        <v>5345</v>
      </c>
      <c r="CP185">
        <v>500</v>
      </c>
      <c r="CQ185">
        <v>500</v>
      </c>
      <c r="CR185">
        <v>500</v>
      </c>
      <c r="CS185">
        <v>1500</v>
      </c>
      <c r="CT185">
        <v>1700</v>
      </c>
      <c r="CU185">
        <v>1700</v>
      </c>
      <c r="CV185">
        <v>1700</v>
      </c>
      <c r="CW185">
        <v>5100</v>
      </c>
      <c r="CX185">
        <v>3000</v>
      </c>
      <c r="CY185">
        <v>3000</v>
      </c>
      <c r="CZ185">
        <v>3000</v>
      </c>
      <c r="DA185">
        <v>9000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20945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M185">
        <v>0</v>
      </c>
      <c r="EN185">
        <v>660</v>
      </c>
      <c r="EO185">
        <v>660</v>
      </c>
      <c r="EP185">
        <v>660</v>
      </c>
      <c r="EQ185">
        <v>2000</v>
      </c>
      <c r="ER185">
        <v>21.18</v>
      </c>
      <c r="ES185">
        <v>0</v>
      </c>
      <c r="ET185">
        <v>0</v>
      </c>
      <c r="EU185">
        <v>0</v>
      </c>
      <c r="EW185">
        <v>0</v>
      </c>
      <c r="FA185">
        <v>0</v>
      </c>
      <c r="FE185">
        <v>0</v>
      </c>
      <c r="FI185">
        <v>0</v>
      </c>
      <c r="FJ185">
        <v>1978.82</v>
      </c>
      <c r="FK185">
        <v>18570</v>
      </c>
      <c r="FL185">
        <v>17325.069963660666</v>
      </c>
      <c r="FM185">
        <v>16591.18</v>
      </c>
    </row>
    <row r="186" spans="1:169" x14ac:dyDescent="0.35">
      <c r="A186">
        <v>198314</v>
      </c>
      <c r="B186" s="43" t="s">
        <v>3379</v>
      </c>
      <c r="C186" s="43" t="s">
        <v>1638</v>
      </c>
      <c r="D186" s="43" t="s">
        <v>3380</v>
      </c>
      <c r="E186" s="43" t="s">
        <v>3381</v>
      </c>
      <c r="F186">
        <v>1</v>
      </c>
      <c r="G186">
        <v>43802</v>
      </c>
      <c r="H186" s="23">
        <v>43802</v>
      </c>
      <c r="I186">
        <v>43802</v>
      </c>
      <c r="J186" s="43" t="s">
        <v>4230</v>
      </c>
      <c r="K186" s="43" t="s">
        <v>1715</v>
      </c>
      <c r="L186" s="43" t="s">
        <v>3204</v>
      </c>
      <c r="M186" s="43" t="s">
        <v>3382</v>
      </c>
      <c r="N186" s="43" t="s">
        <v>3383</v>
      </c>
      <c r="O186" s="43" t="s">
        <v>1755</v>
      </c>
      <c r="P186" s="43" t="s">
        <v>542</v>
      </c>
      <c r="Q186" s="43" t="s">
        <v>1756</v>
      </c>
      <c r="S186" s="23">
        <v>44109</v>
      </c>
      <c r="T186" s="43" t="s">
        <v>544</v>
      </c>
      <c r="U186" s="43" t="s">
        <v>266</v>
      </c>
      <c r="V186" s="43" t="s">
        <v>267</v>
      </c>
      <c r="W186" s="43" t="s">
        <v>1718</v>
      </c>
      <c r="X186" s="43" t="s">
        <v>1719</v>
      </c>
      <c r="Y186">
        <v>8772802835</v>
      </c>
      <c r="Z186" s="43" t="s">
        <v>270</v>
      </c>
      <c r="AA186" s="43" t="s">
        <v>271</v>
      </c>
      <c r="AB186">
        <v>18</v>
      </c>
      <c r="AC186">
        <v>0</v>
      </c>
      <c r="AD186">
        <v>84</v>
      </c>
      <c r="AE186" s="43" t="s">
        <v>354</v>
      </c>
      <c r="AF186">
        <v>6</v>
      </c>
      <c r="AG186" s="43" t="s">
        <v>3345</v>
      </c>
      <c r="AH186">
        <v>0</v>
      </c>
      <c r="AI186">
        <v>0</v>
      </c>
      <c r="AJ186" s="23">
        <v>43776</v>
      </c>
      <c r="AK186" s="43" t="s">
        <v>1715</v>
      </c>
      <c r="AL186" s="43" t="s">
        <v>259</v>
      </c>
      <c r="AM186" s="23"/>
      <c r="AN186" s="23"/>
      <c r="AO186" s="23">
        <v>43802</v>
      </c>
      <c r="AP186" s="23"/>
      <c r="AQ186" s="23"/>
      <c r="BB186" s="43"/>
      <c r="BC186" s="43" t="s">
        <v>259</v>
      </c>
      <c r="BD186" s="43" t="s">
        <v>259</v>
      </c>
      <c r="BE186" s="43" t="s">
        <v>259</v>
      </c>
      <c r="BF186" s="43" t="s">
        <v>259</v>
      </c>
      <c r="BG186" s="43" t="s">
        <v>259</v>
      </c>
      <c r="BH186" t="s">
        <v>259</v>
      </c>
      <c r="BI186" s="43" t="s">
        <v>259</v>
      </c>
      <c r="BJ186">
        <v>4.3478260869565188E-2</v>
      </c>
      <c r="BK186" s="23">
        <v>44109</v>
      </c>
      <c r="BL186" s="23">
        <v>44356</v>
      </c>
      <c r="BM186">
        <v>8505</v>
      </c>
      <c r="BN186">
        <v>8505</v>
      </c>
      <c r="BO186">
        <v>8505</v>
      </c>
      <c r="BP186">
        <v>25515</v>
      </c>
      <c r="BQ186">
        <v>3300</v>
      </c>
      <c r="BR186">
        <v>400</v>
      </c>
      <c r="BS186">
        <v>400</v>
      </c>
      <c r="BT186">
        <v>4100</v>
      </c>
      <c r="BU186">
        <v>2100</v>
      </c>
      <c r="BV186">
        <v>2100</v>
      </c>
      <c r="BW186">
        <v>2100</v>
      </c>
      <c r="BX186">
        <v>6300</v>
      </c>
      <c r="BY186">
        <v>1200</v>
      </c>
      <c r="BZ186">
        <v>1200</v>
      </c>
      <c r="CA186">
        <v>1200</v>
      </c>
      <c r="CB186">
        <v>3600</v>
      </c>
      <c r="CC186">
        <v>0</v>
      </c>
      <c r="CD186">
        <v>0</v>
      </c>
      <c r="CE186">
        <v>0</v>
      </c>
      <c r="CF186">
        <v>0</v>
      </c>
      <c r="CG186">
        <v>39515</v>
      </c>
      <c r="CH186">
        <v>0</v>
      </c>
      <c r="CI186">
        <v>0</v>
      </c>
      <c r="CJ186">
        <v>0</v>
      </c>
      <c r="CK186">
        <v>0</v>
      </c>
      <c r="CL186">
        <v>2065</v>
      </c>
      <c r="CM186">
        <v>2065</v>
      </c>
      <c r="CN186">
        <v>2065</v>
      </c>
      <c r="CO186">
        <v>6195</v>
      </c>
      <c r="CP186">
        <v>500</v>
      </c>
      <c r="CQ186">
        <v>500</v>
      </c>
      <c r="CR186">
        <v>500</v>
      </c>
      <c r="CS186">
        <v>1500</v>
      </c>
      <c r="CT186">
        <v>750</v>
      </c>
      <c r="CU186">
        <v>750</v>
      </c>
      <c r="CV186">
        <v>750</v>
      </c>
      <c r="CW186">
        <v>2250</v>
      </c>
      <c r="CX186">
        <v>3000</v>
      </c>
      <c r="CY186">
        <v>3000</v>
      </c>
      <c r="CZ186">
        <v>3000</v>
      </c>
      <c r="DA186">
        <v>9000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18945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M186">
        <v>0</v>
      </c>
      <c r="EN186">
        <v>660</v>
      </c>
      <c r="EO186">
        <v>660</v>
      </c>
      <c r="EP186">
        <v>660</v>
      </c>
      <c r="EQ186">
        <v>2000</v>
      </c>
      <c r="ER186">
        <v>21.18</v>
      </c>
      <c r="ES186">
        <v>0</v>
      </c>
      <c r="ET186">
        <v>0</v>
      </c>
      <c r="EU186">
        <v>0</v>
      </c>
      <c r="EW186">
        <v>0</v>
      </c>
      <c r="FA186">
        <v>0</v>
      </c>
      <c r="FE186">
        <v>0</v>
      </c>
      <c r="FI186">
        <v>0</v>
      </c>
      <c r="FJ186">
        <v>1978.82</v>
      </c>
      <c r="FK186">
        <v>20570</v>
      </c>
      <c r="FL186">
        <v>19413.537446221962</v>
      </c>
      <c r="FM186">
        <v>18591.18</v>
      </c>
    </row>
    <row r="187" spans="1:169" x14ac:dyDescent="0.35">
      <c r="A187">
        <v>195148</v>
      </c>
      <c r="B187" s="43" t="s">
        <v>2782</v>
      </c>
      <c r="C187" s="43" t="s">
        <v>406</v>
      </c>
      <c r="D187" s="43" t="s">
        <v>2783</v>
      </c>
      <c r="E187" s="43" t="s">
        <v>2784</v>
      </c>
      <c r="F187">
        <v>1</v>
      </c>
      <c r="H187" s="23"/>
      <c r="I187">
        <v>43804</v>
      </c>
      <c r="J187" s="43" t="s">
        <v>4240</v>
      </c>
      <c r="K187" s="43" t="s">
        <v>1715</v>
      </c>
      <c r="L187" s="43" t="s">
        <v>3204</v>
      </c>
      <c r="M187" s="43" t="s">
        <v>2785</v>
      </c>
      <c r="N187" s="43" t="s">
        <v>2786</v>
      </c>
      <c r="O187" s="43" t="s">
        <v>2787</v>
      </c>
      <c r="P187" s="43" t="s">
        <v>677</v>
      </c>
      <c r="Q187" s="43" t="s">
        <v>2788</v>
      </c>
      <c r="S187" s="23">
        <v>44109</v>
      </c>
      <c r="T187" s="43" t="s">
        <v>265</v>
      </c>
      <c r="U187" s="43" t="s">
        <v>266</v>
      </c>
      <c r="V187" s="43" t="s">
        <v>267</v>
      </c>
      <c r="W187" s="43" t="s">
        <v>1718</v>
      </c>
      <c r="X187" s="43" t="s">
        <v>1719</v>
      </c>
      <c r="Y187">
        <v>8772802835</v>
      </c>
      <c r="Z187" s="43" t="s">
        <v>270</v>
      </c>
      <c r="AA187" s="43" t="s">
        <v>271</v>
      </c>
      <c r="AB187">
        <v>23</v>
      </c>
      <c r="AC187">
        <v>0</v>
      </c>
      <c r="AD187">
        <v>109</v>
      </c>
      <c r="AE187" s="43" t="s">
        <v>289</v>
      </c>
      <c r="AF187">
        <v>2</v>
      </c>
      <c r="AG187" s="43" t="s">
        <v>275</v>
      </c>
      <c r="AH187">
        <v>21291</v>
      </c>
      <c r="AI187">
        <v>21291</v>
      </c>
      <c r="AJ187" s="23">
        <v>43774</v>
      </c>
      <c r="AK187" s="43" t="s">
        <v>3208</v>
      </c>
      <c r="AL187" s="43" t="s">
        <v>3209</v>
      </c>
      <c r="AM187" s="23"/>
      <c r="AN187" s="23"/>
      <c r="AO187" s="23"/>
      <c r="AP187" s="23"/>
      <c r="AQ187" s="23"/>
      <c r="BB187" s="43"/>
      <c r="BC187" s="43" t="s">
        <v>2018</v>
      </c>
      <c r="BD187" s="43" t="s">
        <v>2018</v>
      </c>
      <c r="BE187" s="43" t="s">
        <v>2018</v>
      </c>
      <c r="BF187" s="43" t="s">
        <v>2018</v>
      </c>
      <c r="BG187" s="43" t="s">
        <v>2018</v>
      </c>
      <c r="BH187" t="s">
        <v>2018</v>
      </c>
      <c r="BI187" s="43" t="s">
        <v>2018</v>
      </c>
      <c r="BJ187">
        <v>0</v>
      </c>
      <c r="BK187" s="23">
        <v>44109</v>
      </c>
      <c r="BL187" s="23">
        <v>44356</v>
      </c>
      <c r="BM187">
        <v>8505</v>
      </c>
      <c r="BN187">
        <v>8505</v>
      </c>
      <c r="BO187">
        <v>8505</v>
      </c>
      <c r="BP187">
        <v>25515</v>
      </c>
      <c r="BQ187">
        <v>3300</v>
      </c>
      <c r="BR187">
        <v>400</v>
      </c>
      <c r="BS187">
        <v>400</v>
      </c>
      <c r="BT187">
        <v>4100</v>
      </c>
      <c r="BU187">
        <v>2100</v>
      </c>
      <c r="BV187">
        <v>2100</v>
      </c>
      <c r="BW187">
        <v>2100</v>
      </c>
      <c r="BX187">
        <v>6300</v>
      </c>
      <c r="BY187">
        <v>1200</v>
      </c>
      <c r="BZ187">
        <v>1200</v>
      </c>
      <c r="CA187">
        <v>1200</v>
      </c>
      <c r="CB187">
        <v>3600</v>
      </c>
      <c r="CC187">
        <v>0</v>
      </c>
      <c r="CD187">
        <v>0</v>
      </c>
      <c r="CE187">
        <v>0</v>
      </c>
      <c r="CF187">
        <v>0</v>
      </c>
      <c r="CG187">
        <v>39515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1500</v>
      </c>
      <c r="CU187">
        <v>1500</v>
      </c>
      <c r="CV187">
        <v>1500</v>
      </c>
      <c r="CW187">
        <v>4500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4500</v>
      </c>
      <c r="EE187">
        <v>0</v>
      </c>
      <c r="EF187">
        <v>0</v>
      </c>
      <c r="EG187">
        <v>0</v>
      </c>
      <c r="EH187">
        <v>0</v>
      </c>
      <c r="EI187">
        <v>1154</v>
      </c>
      <c r="EJ187">
        <v>1154</v>
      </c>
      <c r="EK187">
        <v>1155</v>
      </c>
      <c r="EL187">
        <v>3500</v>
      </c>
      <c r="EM187">
        <v>37.065000000000005</v>
      </c>
      <c r="EN187">
        <v>660</v>
      </c>
      <c r="EO187">
        <v>660</v>
      </c>
      <c r="EP187">
        <v>660</v>
      </c>
      <c r="EQ187">
        <v>2000</v>
      </c>
      <c r="ER187">
        <v>21.18</v>
      </c>
      <c r="ES187">
        <v>0</v>
      </c>
      <c r="ET187">
        <v>0</v>
      </c>
      <c r="EU187">
        <v>0</v>
      </c>
      <c r="EV187">
        <v>0</v>
      </c>
      <c r="EW187">
        <v>0</v>
      </c>
      <c r="FA187">
        <v>0</v>
      </c>
      <c r="FE187">
        <v>0</v>
      </c>
      <c r="FI187">
        <v>0</v>
      </c>
      <c r="FJ187">
        <v>5441.7550000000001</v>
      </c>
      <c r="FK187">
        <v>35015</v>
      </c>
      <c r="FL187">
        <v>30881.380268159221</v>
      </c>
      <c r="FM187">
        <v>29573.244999999999</v>
      </c>
    </row>
    <row r="188" spans="1:169" x14ac:dyDescent="0.35">
      <c r="A188">
        <v>196296</v>
      </c>
      <c r="B188" s="43" t="s">
        <v>2789</v>
      </c>
      <c r="C188" s="43" t="s">
        <v>3722</v>
      </c>
      <c r="D188" s="43" t="s">
        <v>3723</v>
      </c>
      <c r="E188" s="43" t="s">
        <v>3724</v>
      </c>
      <c r="F188">
        <v>1</v>
      </c>
      <c r="H188" s="23"/>
      <c r="I188">
        <v>43804</v>
      </c>
      <c r="J188" s="43" t="s">
        <v>4242</v>
      </c>
      <c r="K188" s="43" t="s">
        <v>1715</v>
      </c>
      <c r="L188" s="43" t="s">
        <v>259</v>
      </c>
      <c r="M188" s="43" t="s">
        <v>3725</v>
      </c>
      <c r="N188" s="43" t="s">
        <v>3726</v>
      </c>
      <c r="O188" s="43" t="s">
        <v>3727</v>
      </c>
      <c r="P188" s="43" t="s">
        <v>1984</v>
      </c>
      <c r="Q188" s="43" t="s">
        <v>3728</v>
      </c>
      <c r="S188" s="23">
        <v>44109</v>
      </c>
      <c r="T188" s="43" t="s">
        <v>285</v>
      </c>
      <c r="U188" s="43" t="s">
        <v>266</v>
      </c>
      <c r="V188" s="43" t="s">
        <v>267</v>
      </c>
      <c r="W188" s="43" t="s">
        <v>1718</v>
      </c>
      <c r="X188" s="43" t="s">
        <v>1719</v>
      </c>
      <c r="Y188">
        <v>8772802835</v>
      </c>
      <c r="Z188" s="43" t="s">
        <v>270</v>
      </c>
      <c r="AA188" s="43" t="s">
        <v>271</v>
      </c>
      <c r="AB188">
        <v>0</v>
      </c>
      <c r="AC188">
        <v>1160</v>
      </c>
      <c r="AD188">
        <v>0</v>
      </c>
      <c r="AE188" s="43" t="s">
        <v>301</v>
      </c>
      <c r="AF188">
        <v>1</v>
      </c>
      <c r="AG188" s="43" t="s">
        <v>3345</v>
      </c>
      <c r="AJ188" s="23"/>
      <c r="AK188" s="43" t="s">
        <v>259</v>
      </c>
      <c r="AL188" s="43" t="s">
        <v>259</v>
      </c>
      <c r="AM188" s="23"/>
      <c r="AN188" s="23"/>
      <c r="AO188" s="23"/>
      <c r="AP188" s="23"/>
      <c r="AQ188" s="23"/>
      <c r="BB188" s="43"/>
      <c r="BC188" s="43" t="s">
        <v>259</v>
      </c>
      <c r="BD188" s="43" t="s">
        <v>259</v>
      </c>
      <c r="BE188" s="43" t="s">
        <v>259</v>
      </c>
      <c r="BF188" s="43" t="s">
        <v>259</v>
      </c>
      <c r="BG188" s="43" t="s">
        <v>259</v>
      </c>
      <c r="BH188" t="s">
        <v>259</v>
      </c>
      <c r="BI188" s="43" t="s">
        <v>259</v>
      </c>
      <c r="BJ188">
        <v>0</v>
      </c>
      <c r="BK188" s="23">
        <v>44109</v>
      </c>
      <c r="BL188" s="23">
        <v>44356</v>
      </c>
      <c r="BM188">
        <v>8505</v>
      </c>
      <c r="BN188">
        <v>8505</v>
      </c>
      <c r="BO188">
        <v>8505</v>
      </c>
      <c r="BP188">
        <v>25515</v>
      </c>
      <c r="BQ188">
        <v>3300</v>
      </c>
      <c r="BR188">
        <v>400</v>
      </c>
      <c r="BS188">
        <v>400</v>
      </c>
      <c r="BT188">
        <v>4100</v>
      </c>
      <c r="BU188">
        <v>2100</v>
      </c>
      <c r="BV188">
        <v>2100</v>
      </c>
      <c r="BW188">
        <v>2100</v>
      </c>
      <c r="BX188">
        <v>6300</v>
      </c>
      <c r="BY188">
        <v>1200</v>
      </c>
      <c r="BZ188">
        <v>1200</v>
      </c>
      <c r="CA188">
        <v>1200</v>
      </c>
      <c r="CB188">
        <v>3600</v>
      </c>
      <c r="CC188">
        <v>0</v>
      </c>
      <c r="CD188">
        <v>0</v>
      </c>
      <c r="CE188">
        <v>0</v>
      </c>
      <c r="CF188">
        <v>0</v>
      </c>
      <c r="CG188">
        <v>39515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1700</v>
      </c>
      <c r="CU188">
        <v>1700</v>
      </c>
      <c r="CV188">
        <v>1700</v>
      </c>
      <c r="CW188">
        <v>5100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5100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M188">
        <v>0</v>
      </c>
      <c r="EN188">
        <v>660</v>
      </c>
      <c r="EO188">
        <v>660</v>
      </c>
      <c r="EP188">
        <v>660</v>
      </c>
      <c r="EQ188">
        <v>2000</v>
      </c>
      <c r="ER188">
        <v>21.18</v>
      </c>
      <c r="ES188">
        <v>0</v>
      </c>
      <c r="ET188">
        <v>0</v>
      </c>
      <c r="EU188">
        <v>0</v>
      </c>
      <c r="EW188">
        <v>0</v>
      </c>
      <c r="FA188">
        <v>0</v>
      </c>
      <c r="FE188">
        <v>0</v>
      </c>
      <c r="FI188">
        <v>0</v>
      </c>
      <c r="FJ188">
        <v>1978.82</v>
      </c>
      <c r="FK188">
        <v>34415</v>
      </c>
      <c r="FL188">
        <v>33870.953594252533</v>
      </c>
      <c r="FM188">
        <v>32436.18</v>
      </c>
    </row>
    <row r="189" spans="1:169" x14ac:dyDescent="0.35">
      <c r="A189">
        <v>197866</v>
      </c>
      <c r="B189" s="43" t="s">
        <v>2789</v>
      </c>
      <c r="C189" s="43" t="s">
        <v>389</v>
      </c>
      <c r="D189" s="43" t="s">
        <v>2790</v>
      </c>
      <c r="E189" s="43" t="s">
        <v>2791</v>
      </c>
      <c r="F189">
        <v>1</v>
      </c>
      <c r="H189" s="23"/>
      <c r="I189">
        <v>43804</v>
      </c>
      <c r="J189" s="43" t="s">
        <v>4242</v>
      </c>
      <c r="K189" s="43" t="s">
        <v>1715</v>
      </c>
      <c r="L189" s="43" t="s">
        <v>259</v>
      </c>
      <c r="M189" s="43" t="s">
        <v>2792</v>
      </c>
      <c r="N189" s="43" t="s">
        <v>2793</v>
      </c>
      <c r="O189" s="43" t="s">
        <v>2794</v>
      </c>
      <c r="P189" s="43" t="s">
        <v>342</v>
      </c>
      <c r="Q189" s="43" t="s">
        <v>2795</v>
      </c>
      <c r="S189" s="23">
        <v>44109</v>
      </c>
      <c r="T189" s="43" t="s">
        <v>285</v>
      </c>
      <c r="U189" s="43" t="s">
        <v>266</v>
      </c>
      <c r="V189" s="43" t="s">
        <v>267</v>
      </c>
      <c r="W189" s="43" t="s">
        <v>1718</v>
      </c>
      <c r="X189" s="43" t="s">
        <v>1719</v>
      </c>
      <c r="Y189">
        <v>8772802835</v>
      </c>
      <c r="Z189" s="43" t="s">
        <v>270</v>
      </c>
      <c r="AA189" s="43" t="s">
        <v>271</v>
      </c>
      <c r="AB189">
        <v>25</v>
      </c>
      <c r="AC189">
        <v>1200</v>
      </c>
      <c r="AD189">
        <v>119</v>
      </c>
      <c r="AE189" s="43" t="s">
        <v>301</v>
      </c>
      <c r="AF189">
        <v>1</v>
      </c>
      <c r="AG189" s="43" t="s">
        <v>275</v>
      </c>
      <c r="AJ189" s="23"/>
      <c r="AK189" s="43" t="s">
        <v>259</v>
      </c>
      <c r="AL189" s="43" t="s">
        <v>259</v>
      </c>
      <c r="AM189" s="23"/>
      <c r="AN189" s="23"/>
      <c r="AO189" s="23"/>
      <c r="AP189" s="23"/>
      <c r="AQ189" s="23"/>
      <c r="BB189" s="43"/>
      <c r="BC189" s="43" t="s">
        <v>259</v>
      </c>
      <c r="BD189" s="43" t="s">
        <v>259</v>
      </c>
      <c r="BE189" s="43" t="s">
        <v>259</v>
      </c>
      <c r="BF189" s="43" t="s">
        <v>259</v>
      </c>
      <c r="BG189" s="43" t="s">
        <v>259</v>
      </c>
      <c r="BH189" t="s">
        <v>259</v>
      </c>
      <c r="BI189" s="43" t="s">
        <v>259</v>
      </c>
      <c r="BJ189">
        <v>0</v>
      </c>
      <c r="BK189" s="23">
        <v>44109</v>
      </c>
      <c r="BL189" s="23">
        <v>44356</v>
      </c>
      <c r="BM189">
        <v>8505</v>
      </c>
      <c r="BN189">
        <v>8505</v>
      </c>
      <c r="BO189">
        <v>8505</v>
      </c>
      <c r="BP189">
        <v>25515</v>
      </c>
      <c r="BQ189">
        <v>3300</v>
      </c>
      <c r="BR189">
        <v>400</v>
      </c>
      <c r="BS189">
        <v>400</v>
      </c>
      <c r="BT189">
        <v>4100</v>
      </c>
      <c r="BU189">
        <v>2100</v>
      </c>
      <c r="BV189">
        <v>2100</v>
      </c>
      <c r="BW189">
        <v>2100</v>
      </c>
      <c r="BX189">
        <v>6300</v>
      </c>
      <c r="BY189">
        <v>1200</v>
      </c>
      <c r="BZ189">
        <v>1200</v>
      </c>
      <c r="CA189">
        <v>1200</v>
      </c>
      <c r="CB189">
        <v>3600</v>
      </c>
      <c r="CC189">
        <v>0</v>
      </c>
      <c r="CD189">
        <v>0</v>
      </c>
      <c r="CE189">
        <v>0</v>
      </c>
      <c r="CF189">
        <v>0</v>
      </c>
      <c r="CG189">
        <v>39515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1700</v>
      </c>
      <c r="CU189">
        <v>1700</v>
      </c>
      <c r="CV189">
        <v>1700</v>
      </c>
      <c r="CW189">
        <v>5100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5100</v>
      </c>
      <c r="EE189">
        <v>0</v>
      </c>
      <c r="EF189">
        <v>0</v>
      </c>
      <c r="EG189">
        <v>0</v>
      </c>
      <c r="EH189">
        <v>0</v>
      </c>
      <c r="EI189">
        <v>1154</v>
      </c>
      <c r="EJ189">
        <v>1154</v>
      </c>
      <c r="EK189">
        <v>1155</v>
      </c>
      <c r="EL189">
        <v>3500</v>
      </c>
      <c r="EM189">
        <v>37.065000000000005</v>
      </c>
      <c r="EN189">
        <v>660</v>
      </c>
      <c r="EO189">
        <v>660</v>
      </c>
      <c r="EP189">
        <v>660</v>
      </c>
      <c r="EQ189">
        <v>2000</v>
      </c>
      <c r="ER189">
        <v>21.18</v>
      </c>
      <c r="ES189">
        <v>0</v>
      </c>
      <c r="ET189">
        <v>0</v>
      </c>
      <c r="EU189">
        <v>0</v>
      </c>
      <c r="EV189">
        <v>0</v>
      </c>
      <c r="EW189">
        <v>0</v>
      </c>
      <c r="FA189">
        <v>0</v>
      </c>
      <c r="FE189">
        <v>0</v>
      </c>
      <c r="FI189">
        <v>0</v>
      </c>
      <c r="FJ189">
        <v>5441.7550000000001</v>
      </c>
      <c r="FK189">
        <v>34415</v>
      </c>
      <c r="FL189">
        <v>30254.840023390832</v>
      </c>
      <c r="FM189">
        <v>28973.244999999999</v>
      </c>
    </row>
    <row r="190" spans="1:169" x14ac:dyDescent="0.35">
      <c r="A190">
        <v>198987</v>
      </c>
      <c r="B190" s="43" t="s">
        <v>3384</v>
      </c>
      <c r="C190" s="43" t="s">
        <v>3385</v>
      </c>
      <c r="D190" s="43" t="s">
        <v>3386</v>
      </c>
      <c r="E190" s="43" t="s">
        <v>3387</v>
      </c>
      <c r="F190">
        <v>1</v>
      </c>
      <c r="G190">
        <v>43802</v>
      </c>
      <c r="H190" s="23">
        <v>43802</v>
      </c>
      <c r="I190">
        <v>43802</v>
      </c>
      <c r="J190" s="43" t="s">
        <v>4231</v>
      </c>
      <c r="K190" s="43" t="s">
        <v>1715</v>
      </c>
      <c r="L190" s="43" t="s">
        <v>259</v>
      </c>
      <c r="M190" s="43" t="s">
        <v>3388</v>
      </c>
      <c r="N190" s="43" t="s">
        <v>3389</v>
      </c>
      <c r="O190" s="43" t="s">
        <v>3390</v>
      </c>
      <c r="P190" s="43" t="s">
        <v>265</v>
      </c>
      <c r="Q190" s="43" t="s">
        <v>3391</v>
      </c>
      <c r="S190" s="23">
        <v>44109</v>
      </c>
      <c r="T190" s="43" t="s">
        <v>311</v>
      </c>
      <c r="U190" s="43" t="s">
        <v>286</v>
      </c>
      <c r="V190" s="43" t="s">
        <v>893</v>
      </c>
      <c r="W190" s="43" t="s">
        <v>1718</v>
      </c>
      <c r="X190" s="43" t="s">
        <v>1719</v>
      </c>
      <c r="Y190">
        <v>8772802835</v>
      </c>
      <c r="Z190" s="43" t="s">
        <v>270</v>
      </c>
      <c r="AA190" s="43" t="s">
        <v>271</v>
      </c>
      <c r="AB190">
        <v>18</v>
      </c>
      <c r="AC190">
        <v>0</v>
      </c>
      <c r="AD190">
        <v>99</v>
      </c>
      <c r="AE190" s="43" t="s">
        <v>416</v>
      </c>
      <c r="AF190">
        <v>5</v>
      </c>
      <c r="AG190" s="43" t="s">
        <v>3345</v>
      </c>
      <c r="AJ190" s="23"/>
      <c r="AK190" s="43" t="s">
        <v>259</v>
      </c>
      <c r="AL190" s="43" t="s">
        <v>259</v>
      </c>
      <c r="AM190" s="23"/>
      <c r="AN190" s="23"/>
      <c r="AO190" s="23"/>
      <c r="AP190" s="23"/>
      <c r="AQ190" s="23"/>
      <c r="BB190" s="43"/>
      <c r="BC190" s="43" t="s">
        <v>259</v>
      </c>
      <c r="BD190" s="43" t="s">
        <v>259</v>
      </c>
      <c r="BE190" s="43" t="s">
        <v>259</v>
      </c>
      <c r="BF190" s="43" t="s">
        <v>259</v>
      </c>
      <c r="BG190" s="43" t="s">
        <v>259</v>
      </c>
      <c r="BH190" t="s">
        <v>259</v>
      </c>
      <c r="BI190" s="43" t="s">
        <v>259</v>
      </c>
      <c r="BJ190">
        <v>0</v>
      </c>
      <c r="BK190" s="23">
        <v>44109</v>
      </c>
      <c r="BL190" s="23">
        <v>44356</v>
      </c>
      <c r="BM190">
        <v>8505</v>
      </c>
      <c r="BN190">
        <v>8505</v>
      </c>
      <c r="BO190">
        <v>8505</v>
      </c>
      <c r="BP190">
        <v>25515</v>
      </c>
      <c r="BQ190">
        <v>3300</v>
      </c>
      <c r="BR190">
        <v>400</v>
      </c>
      <c r="BS190">
        <v>400</v>
      </c>
      <c r="BT190">
        <v>4100</v>
      </c>
      <c r="BU190">
        <v>2100</v>
      </c>
      <c r="BV190">
        <v>2100</v>
      </c>
      <c r="BW190">
        <v>2100</v>
      </c>
      <c r="BX190">
        <v>6300</v>
      </c>
      <c r="BY190">
        <v>1200</v>
      </c>
      <c r="BZ190">
        <v>1200</v>
      </c>
      <c r="CA190">
        <v>1200</v>
      </c>
      <c r="CB190">
        <v>3600</v>
      </c>
      <c r="CC190">
        <v>0</v>
      </c>
      <c r="CD190">
        <v>0</v>
      </c>
      <c r="CE190">
        <v>0</v>
      </c>
      <c r="CF190">
        <v>0</v>
      </c>
      <c r="CG190">
        <v>39515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1000</v>
      </c>
      <c r="CU190">
        <v>1000</v>
      </c>
      <c r="CV190">
        <v>1000</v>
      </c>
      <c r="CW190">
        <v>3000</v>
      </c>
      <c r="CX190">
        <v>0</v>
      </c>
      <c r="CY190">
        <v>0</v>
      </c>
      <c r="CZ190">
        <v>0</v>
      </c>
      <c r="DA190">
        <v>0</v>
      </c>
      <c r="DB190">
        <v>1000</v>
      </c>
      <c r="DC190">
        <v>1000</v>
      </c>
      <c r="DD190">
        <v>1000</v>
      </c>
      <c r="DE190">
        <v>3000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6000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M190">
        <v>0</v>
      </c>
      <c r="EN190">
        <v>660</v>
      </c>
      <c r="EO190">
        <v>660</v>
      </c>
      <c r="EP190">
        <v>660</v>
      </c>
      <c r="EQ190">
        <v>2000</v>
      </c>
      <c r="ER190">
        <v>21.18</v>
      </c>
      <c r="ES190">
        <v>0</v>
      </c>
      <c r="ET190">
        <v>0</v>
      </c>
      <c r="EU190">
        <v>0</v>
      </c>
      <c r="EW190">
        <v>0</v>
      </c>
      <c r="FA190">
        <v>0</v>
      </c>
      <c r="FE190">
        <v>0</v>
      </c>
      <c r="FI190">
        <v>0</v>
      </c>
      <c r="FJ190">
        <v>1978.82</v>
      </c>
      <c r="FK190">
        <v>33515</v>
      </c>
      <c r="FL190">
        <v>32931.14322709995</v>
      </c>
      <c r="FM190">
        <v>31536.18</v>
      </c>
    </row>
    <row r="191" spans="1:169" x14ac:dyDescent="0.35">
      <c r="A191">
        <v>196140</v>
      </c>
      <c r="B191" s="43" t="s">
        <v>2796</v>
      </c>
      <c r="C191" s="43" t="s">
        <v>2563</v>
      </c>
      <c r="D191" s="43" t="s">
        <v>2797</v>
      </c>
      <c r="E191" s="43" t="s">
        <v>2798</v>
      </c>
      <c r="F191">
        <v>1</v>
      </c>
      <c r="H191" s="23"/>
      <c r="I191">
        <v>43804</v>
      </c>
      <c r="J191" s="43" t="s">
        <v>4242</v>
      </c>
      <c r="K191" s="43" t="s">
        <v>1715</v>
      </c>
      <c r="L191" s="43" t="s">
        <v>259</v>
      </c>
      <c r="M191" s="43" t="s">
        <v>2799</v>
      </c>
      <c r="N191" s="43" t="s">
        <v>2800</v>
      </c>
      <c r="O191" s="43" t="s">
        <v>2801</v>
      </c>
      <c r="P191" s="43" t="s">
        <v>384</v>
      </c>
      <c r="Q191" s="43" t="s">
        <v>2802</v>
      </c>
      <c r="S191" s="23">
        <v>44109</v>
      </c>
      <c r="T191" s="43" t="s">
        <v>311</v>
      </c>
      <c r="U191" s="43" t="s">
        <v>266</v>
      </c>
      <c r="V191" s="43" t="s">
        <v>267</v>
      </c>
      <c r="W191" s="43" t="s">
        <v>1718</v>
      </c>
      <c r="X191" s="43" t="s">
        <v>1719</v>
      </c>
      <c r="Y191">
        <v>8772802835</v>
      </c>
      <c r="Z191" s="43" t="s">
        <v>270</v>
      </c>
      <c r="AA191" s="43" t="s">
        <v>271</v>
      </c>
      <c r="AB191">
        <v>19</v>
      </c>
      <c r="AC191">
        <v>0</v>
      </c>
      <c r="AD191">
        <v>86</v>
      </c>
      <c r="AE191" s="43" t="s">
        <v>274</v>
      </c>
      <c r="AF191">
        <v>9</v>
      </c>
      <c r="AG191" s="43" t="s">
        <v>275</v>
      </c>
      <c r="AJ191" s="23"/>
      <c r="AK191" s="43" t="s">
        <v>259</v>
      </c>
      <c r="AL191" s="43" t="s">
        <v>259</v>
      </c>
      <c r="AM191" s="23"/>
      <c r="AN191" s="23"/>
      <c r="AO191" s="23"/>
      <c r="AP191" s="23"/>
      <c r="AQ191" s="23"/>
      <c r="BB191" s="43"/>
      <c r="BC191" s="43" t="s">
        <v>259</v>
      </c>
      <c r="BD191" s="43" t="s">
        <v>259</v>
      </c>
      <c r="BE191" s="43" t="s">
        <v>259</v>
      </c>
      <c r="BF191" s="43" t="s">
        <v>259</v>
      </c>
      <c r="BG191" s="43" t="s">
        <v>259</v>
      </c>
      <c r="BH191" t="s">
        <v>259</v>
      </c>
      <c r="BI191" s="43" t="s">
        <v>259</v>
      </c>
      <c r="BJ191">
        <v>0</v>
      </c>
      <c r="BK191" s="23">
        <v>44109</v>
      </c>
      <c r="BL191" s="23">
        <v>44356</v>
      </c>
      <c r="BM191">
        <v>8505</v>
      </c>
      <c r="BN191">
        <v>8505</v>
      </c>
      <c r="BO191">
        <v>8505</v>
      </c>
      <c r="BP191">
        <v>25515</v>
      </c>
      <c r="BQ191">
        <v>3300</v>
      </c>
      <c r="BR191">
        <v>400</v>
      </c>
      <c r="BS191">
        <v>400</v>
      </c>
      <c r="BT191">
        <v>4100</v>
      </c>
      <c r="BU191">
        <v>2100</v>
      </c>
      <c r="BV191">
        <v>2100</v>
      </c>
      <c r="BW191">
        <v>2100</v>
      </c>
      <c r="BX191">
        <v>6300</v>
      </c>
      <c r="BY191">
        <v>1200</v>
      </c>
      <c r="BZ191">
        <v>1200</v>
      </c>
      <c r="CA191">
        <v>1200</v>
      </c>
      <c r="CB191">
        <v>3600</v>
      </c>
      <c r="CC191">
        <v>0</v>
      </c>
      <c r="CD191">
        <v>0</v>
      </c>
      <c r="CE191">
        <v>0</v>
      </c>
      <c r="CF191">
        <v>0</v>
      </c>
      <c r="CG191">
        <v>39515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1154</v>
      </c>
      <c r="EJ191">
        <v>1154</v>
      </c>
      <c r="EK191">
        <v>1155</v>
      </c>
      <c r="EL191">
        <v>3500</v>
      </c>
      <c r="EM191">
        <v>37.065000000000005</v>
      </c>
      <c r="EN191">
        <v>660</v>
      </c>
      <c r="EO191">
        <v>660</v>
      </c>
      <c r="EP191">
        <v>660</v>
      </c>
      <c r="EQ191">
        <v>2000</v>
      </c>
      <c r="ER191">
        <v>21.18</v>
      </c>
      <c r="ES191">
        <v>0</v>
      </c>
      <c r="ET191">
        <v>0</v>
      </c>
      <c r="EU191">
        <v>0</v>
      </c>
      <c r="EV191">
        <v>0</v>
      </c>
      <c r="EW191">
        <v>0</v>
      </c>
      <c r="FA191">
        <v>0</v>
      </c>
      <c r="FE191">
        <v>0</v>
      </c>
      <c r="FI191">
        <v>0</v>
      </c>
      <c r="FJ191">
        <v>5441.7550000000001</v>
      </c>
      <c r="FK191">
        <v>39515</v>
      </c>
      <c r="FL191">
        <v>35580.43210392214</v>
      </c>
      <c r="FM191">
        <v>34073.245000000003</v>
      </c>
    </row>
    <row r="192" spans="1:169" x14ac:dyDescent="0.35">
      <c r="A192">
        <v>196574</v>
      </c>
      <c r="B192" s="43" t="s">
        <v>4076</v>
      </c>
      <c r="C192" s="43" t="s">
        <v>4077</v>
      </c>
      <c r="D192" s="43" t="s">
        <v>4078</v>
      </c>
      <c r="E192" s="43" t="s">
        <v>4079</v>
      </c>
      <c r="F192">
        <v>1</v>
      </c>
      <c r="H192" s="23"/>
      <c r="I192">
        <v>43804</v>
      </c>
      <c r="J192" s="43" t="s">
        <v>4241</v>
      </c>
      <c r="K192" s="43" t="s">
        <v>1715</v>
      </c>
      <c r="L192" s="43" t="s">
        <v>259</v>
      </c>
      <c r="M192" s="43" t="s">
        <v>4080</v>
      </c>
      <c r="N192" s="43" t="s">
        <v>4081</v>
      </c>
      <c r="O192" s="43" t="s">
        <v>4082</v>
      </c>
      <c r="P192" s="43" t="s">
        <v>735</v>
      </c>
      <c r="Q192" s="43" t="s">
        <v>4083</v>
      </c>
      <c r="S192" s="23">
        <v>44109</v>
      </c>
      <c r="T192" s="43" t="s">
        <v>311</v>
      </c>
      <c r="U192" s="43" t="s">
        <v>286</v>
      </c>
      <c r="V192" s="43" t="s">
        <v>267</v>
      </c>
      <c r="W192" s="43" t="s">
        <v>1718</v>
      </c>
      <c r="X192" s="43" t="s">
        <v>1719</v>
      </c>
      <c r="Y192">
        <v>8772802835</v>
      </c>
      <c r="Z192" s="43" t="s">
        <v>270</v>
      </c>
      <c r="AA192" s="43" t="s">
        <v>271</v>
      </c>
      <c r="AB192">
        <v>0</v>
      </c>
      <c r="AC192">
        <v>0</v>
      </c>
      <c r="AD192">
        <v>0</v>
      </c>
      <c r="AE192" s="43" t="s">
        <v>416</v>
      </c>
      <c r="AF192">
        <v>5</v>
      </c>
      <c r="AG192" s="43" t="s">
        <v>3345</v>
      </c>
      <c r="AJ192" s="23"/>
      <c r="AK192" s="43" t="s">
        <v>259</v>
      </c>
      <c r="AL192" s="43" t="s">
        <v>259</v>
      </c>
      <c r="AM192" s="23"/>
      <c r="AN192" s="23"/>
      <c r="AO192" s="23"/>
      <c r="AP192" s="23"/>
      <c r="AQ192" s="23"/>
      <c r="BB192" s="43"/>
      <c r="BC192" s="43" t="s">
        <v>259</v>
      </c>
      <c r="BD192" s="43" t="s">
        <v>259</v>
      </c>
      <c r="BE192" s="43" t="s">
        <v>259</v>
      </c>
      <c r="BF192" s="43" t="s">
        <v>259</v>
      </c>
      <c r="BG192" s="43" t="s">
        <v>259</v>
      </c>
      <c r="BH192" t="s">
        <v>259</v>
      </c>
      <c r="BI192" s="43" t="s">
        <v>259</v>
      </c>
      <c r="BJ192">
        <v>0</v>
      </c>
      <c r="BK192" s="23">
        <v>44109</v>
      </c>
      <c r="BL192" s="23">
        <v>44356</v>
      </c>
      <c r="BM192">
        <v>8505</v>
      </c>
      <c r="BN192">
        <v>8505</v>
      </c>
      <c r="BO192">
        <v>8505</v>
      </c>
      <c r="BP192">
        <v>25515</v>
      </c>
      <c r="BQ192">
        <v>3300</v>
      </c>
      <c r="BR192">
        <v>400</v>
      </c>
      <c r="BS192">
        <v>400</v>
      </c>
      <c r="BT192">
        <v>4100</v>
      </c>
      <c r="BU192">
        <v>2100</v>
      </c>
      <c r="BV192">
        <v>2100</v>
      </c>
      <c r="BW192">
        <v>2100</v>
      </c>
      <c r="BX192">
        <v>6300</v>
      </c>
      <c r="BY192">
        <v>1200</v>
      </c>
      <c r="BZ192">
        <v>1200</v>
      </c>
      <c r="CA192">
        <v>1200</v>
      </c>
      <c r="CB192">
        <v>3600</v>
      </c>
      <c r="CC192">
        <v>0</v>
      </c>
      <c r="CD192">
        <v>0</v>
      </c>
      <c r="CE192">
        <v>0</v>
      </c>
      <c r="CF192">
        <v>0</v>
      </c>
      <c r="CG192">
        <v>39515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1000</v>
      </c>
      <c r="CU192">
        <v>1000</v>
      </c>
      <c r="CV192">
        <v>1000</v>
      </c>
      <c r="CW192">
        <v>3000</v>
      </c>
      <c r="CX192">
        <v>0</v>
      </c>
      <c r="CY192">
        <v>0</v>
      </c>
      <c r="CZ192">
        <v>0</v>
      </c>
      <c r="DA192">
        <v>0</v>
      </c>
      <c r="DB192">
        <v>1000</v>
      </c>
      <c r="DC192">
        <v>1000</v>
      </c>
      <c r="DD192">
        <v>1000</v>
      </c>
      <c r="DE192">
        <v>3000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6000</v>
      </c>
      <c r="EE192">
        <v>0</v>
      </c>
      <c r="EF192">
        <v>0</v>
      </c>
      <c r="EG192">
        <v>0</v>
      </c>
      <c r="EH192">
        <v>0</v>
      </c>
      <c r="EI192">
        <v>1154</v>
      </c>
      <c r="EJ192">
        <v>1154</v>
      </c>
      <c r="EK192">
        <v>1155</v>
      </c>
      <c r="EL192">
        <v>3500</v>
      </c>
      <c r="EM192">
        <v>37.065000000000005</v>
      </c>
      <c r="EN192">
        <v>660</v>
      </c>
      <c r="EO192">
        <v>660</v>
      </c>
      <c r="EP192">
        <v>660</v>
      </c>
      <c r="EQ192">
        <v>2000</v>
      </c>
      <c r="ER192">
        <v>21.18</v>
      </c>
      <c r="ES192">
        <v>0</v>
      </c>
      <c r="ET192">
        <v>0</v>
      </c>
      <c r="EU192">
        <v>0</v>
      </c>
      <c r="EV192">
        <v>0</v>
      </c>
      <c r="EW192">
        <v>0</v>
      </c>
      <c r="FA192">
        <v>0</v>
      </c>
      <c r="FE192">
        <v>0</v>
      </c>
      <c r="FI192">
        <v>0</v>
      </c>
      <c r="FJ192">
        <v>5441.7550000000001</v>
      </c>
      <c r="FK192">
        <v>33515</v>
      </c>
      <c r="FL192">
        <v>29315.02965623825</v>
      </c>
      <c r="FM192">
        <v>28073.244999999999</v>
      </c>
    </row>
    <row r="193" spans="1:169" x14ac:dyDescent="0.35">
      <c r="A193">
        <v>197977</v>
      </c>
      <c r="B193" s="43" t="s">
        <v>2803</v>
      </c>
      <c r="C193" s="43" t="s">
        <v>2804</v>
      </c>
      <c r="D193" s="43" t="s">
        <v>2805</v>
      </c>
      <c r="E193" s="43" t="s">
        <v>2806</v>
      </c>
      <c r="F193">
        <v>1</v>
      </c>
      <c r="H193" s="23"/>
      <c r="I193">
        <v>43804</v>
      </c>
      <c r="J193" s="43" t="s">
        <v>4242</v>
      </c>
      <c r="K193" s="43" t="s">
        <v>1715</v>
      </c>
      <c r="L193" s="43" t="s">
        <v>259</v>
      </c>
      <c r="M193" s="43" t="s">
        <v>2807</v>
      </c>
      <c r="N193" s="43" t="s">
        <v>2808</v>
      </c>
      <c r="O193" s="43" t="s">
        <v>2809</v>
      </c>
      <c r="P193" s="43" t="s">
        <v>596</v>
      </c>
      <c r="Q193" s="43" t="s">
        <v>2810</v>
      </c>
      <c r="S193" s="23">
        <v>44109</v>
      </c>
      <c r="T193" s="43" t="s">
        <v>311</v>
      </c>
      <c r="U193" s="43" t="s">
        <v>266</v>
      </c>
      <c r="V193" s="43" t="s">
        <v>267</v>
      </c>
      <c r="W193" s="43" t="s">
        <v>1718</v>
      </c>
      <c r="X193" s="43" t="s">
        <v>1719</v>
      </c>
      <c r="Y193">
        <v>8772802835</v>
      </c>
      <c r="Z193" s="43" t="s">
        <v>270</v>
      </c>
      <c r="AA193" s="43" t="s">
        <v>271</v>
      </c>
      <c r="AB193">
        <v>23</v>
      </c>
      <c r="AC193">
        <v>0</v>
      </c>
      <c r="AD193">
        <v>97</v>
      </c>
      <c r="AE193" s="43" t="s">
        <v>354</v>
      </c>
      <c r="AF193">
        <v>6</v>
      </c>
      <c r="AG193" s="43" t="s">
        <v>275</v>
      </c>
      <c r="AJ193" s="23"/>
      <c r="AK193" s="43" t="s">
        <v>259</v>
      </c>
      <c r="AL193" s="43" t="s">
        <v>259</v>
      </c>
      <c r="AM193" s="23"/>
      <c r="AN193" s="23"/>
      <c r="AO193" s="23"/>
      <c r="AP193" s="23"/>
      <c r="AQ193" s="23"/>
      <c r="BB193" s="43"/>
      <c r="BC193" s="43" t="s">
        <v>259</v>
      </c>
      <c r="BD193" s="43" t="s">
        <v>259</v>
      </c>
      <c r="BE193" s="43" t="s">
        <v>259</v>
      </c>
      <c r="BF193" s="43" t="s">
        <v>259</v>
      </c>
      <c r="BG193" s="43" t="s">
        <v>259</v>
      </c>
      <c r="BH193" t="s">
        <v>259</v>
      </c>
      <c r="BI193" s="43" t="s">
        <v>259</v>
      </c>
      <c r="BJ193">
        <v>0</v>
      </c>
      <c r="BK193" s="23">
        <v>44109</v>
      </c>
      <c r="BL193" s="23">
        <v>44356</v>
      </c>
      <c r="BM193">
        <v>8505</v>
      </c>
      <c r="BN193">
        <v>8505</v>
      </c>
      <c r="BO193">
        <v>8505</v>
      </c>
      <c r="BP193">
        <v>25515</v>
      </c>
      <c r="BQ193">
        <v>3300</v>
      </c>
      <c r="BR193">
        <v>400</v>
      </c>
      <c r="BS193">
        <v>400</v>
      </c>
      <c r="BT193">
        <v>4100</v>
      </c>
      <c r="BU193">
        <v>2100</v>
      </c>
      <c r="BV193">
        <v>2100</v>
      </c>
      <c r="BW193">
        <v>2100</v>
      </c>
      <c r="BX193">
        <v>6300</v>
      </c>
      <c r="BY193">
        <v>1200</v>
      </c>
      <c r="BZ193">
        <v>1200</v>
      </c>
      <c r="CA193">
        <v>1200</v>
      </c>
      <c r="CB193">
        <v>3600</v>
      </c>
      <c r="CC193">
        <v>0</v>
      </c>
      <c r="CD193">
        <v>0</v>
      </c>
      <c r="CE193">
        <v>0</v>
      </c>
      <c r="CF193">
        <v>0</v>
      </c>
      <c r="CG193">
        <v>39515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750</v>
      </c>
      <c r="CU193">
        <v>750</v>
      </c>
      <c r="CV193">
        <v>750</v>
      </c>
      <c r="CW193">
        <v>2250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2250</v>
      </c>
      <c r="EE193">
        <v>0</v>
      </c>
      <c r="EF193">
        <v>0</v>
      </c>
      <c r="EG193">
        <v>0</v>
      </c>
      <c r="EH193">
        <v>0</v>
      </c>
      <c r="EI193">
        <v>1154</v>
      </c>
      <c r="EJ193">
        <v>1154</v>
      </c>
      <c r="EK193">
        <v>1155</v>
      </c>
      <c r="EL193">
        <v>3500</v>
      </c>
      <c r="EM193">
        <v>37.065000000000005</v>
      </c>
      <c r="EN193">
        <v>660</v>
      </c>
      <c r="EO193">
        <v>660</v>
      </c>
      <c r="EP193">
        <v>660</v>
      </c>
      <c r="EQ193">
        <v>2000</v>
      </c>
      <c r="ER193">
        <v>21.18</v>
      </c>
      <c r="ES193">
        <v>0</v>
      </c>
      <c r="ET193">
        <v>0</v>
      </c>
      <c r="EU193">
        <v>0</v>
      </c>
      <c r="EV193">
        <v>0</v>
      </c>
      <c r="EW193">
        <v>0</v>
      </c>
      <c r="FA193">
        <v>0</v>
      </c>
      <c r="FE193">
        <v>0</v>
      </c>
      <c r="FI193">
        <v>0</v>
      </c>
      <c r="FJ193">
        <v>5441.7550000000001</v>
      </c>
      <c r="FK193">
        <v>37265</v>
      </c>
      <c r="FL193">
        <v>33230.906186040687</v>
      </c>
      <c r="FM193">
        <v>31823.245000000003</v>
      </c>
    </row>
    <row r="194" spans="1:169" x14ac:dyDescent="0.35">
      <c r="A194">
        <v>195706</v>
      </c>
      <c r="B194" s="43" t="s">
        <v>2811</v>
      </c>
      <c r="C194" s="43" t="s">
        <v>2812</v>
      </c>
      <c r="D194" s="43" t="s">
        <v>2813</v>
      </c>
      <c r="E194" s="43" t="s">
        <v>2814</v>
      </c>
      <c r="F194">
        <v>1</v>
      </c>
      <c r="H194" s="23"/>
      <c r="I194">
        <v>43804</v>
      </c>
      <c r="J194" s="43" t="s">
        <v>4240</v>
      </c>
      <c r="K194" s="43" t="s">
        <v>1715</v>
      </c>
      <c r="L194" s="43" t="s">
        <v>3204</v>
      </c>
      <c r="M194" s="43" t="s">
        <v>2815</v>
      </c>
      <c r="N194" s="43" t="s">
        <v>2816</v>
      </c>
      <c r="O194" s="43" t="s">
        <v>1426</v>
      </c>
      <c r="P194" s="43" t="s">
        <v>297</v>
      </c>
      <c r="Q194" s="43" t="s">
        <v>2817</v>
      </c>
      <c r="S194" s="23">
        <v>44109</v>
      </c>
      <c r="T194" s="43" t="s">
        <v>311</v>
      </c>
      <c r="U194" s="43" t="s">
        <v>266</v>
      </c>
      <c r="V194" s="43" t="s">
        <v>267</v>
      </c>
      <c r="W194" s="43" t="s">
        <v>1718</v>
      </c>
      <c r="X194" s="43" t="s">
        <v>1719</v>
      </c>
      <c r="Y194">
        <v>8772802835</v>
      </c>
      <c r="Z194" s="43" t="s">
        <v>270</v>
      </c>
      <c r="AA194" s="43" t="s">
        <v>271</v>
      </c>
      <c r="AB194">
        <v>0</v>
      </c>
      <c r="AC194">
        <v>1170</v>
      </c>
      <c r="AD194">
        <v>108</v>
      </c>
      <c r="AE194" s="43" t="s">
        <v>289</v>
      </c>
      <c r="AF194">
        <v>2</v>
      </c>
      <c r="AG194" s="43" t="s">
        <v>275</v>
      </c>
      <c r="AH194">
        <v>737</v>
      </c>
      <c r="AI194">
        <v>737</v>
      </c>
      <c r="AJ194" s="23">
        <v>43801</v>
      </c>
      <c r="AK194" s="43" t="s">
        <v>1715</v>
      </c>
      <c r="AL194" s="43" t="s">
        <v>259</v>
      </c>
      <c r="AM194" s="23"/>
      <c r="AN194" s="23"/>
      <c r="AO194" s="23"/>
      <c r="AP194" s="23"/>
      <c r="AQ194" s="23"/>
      <c r="BB194" s="43"/>
      <c r="BC194" s="43" t="s">
        <v>259</v>
      </c>
      <c r="BD194" s="43" t="s">
        <v>259</v>
      </c>
      <c r="BE194" s="43" t="s">
        <v>259</v>
      </c>
      <c r="BF194" s="43" t="s">
        <v>259</v>
      </c>
      <c r="BG194" s="43" t="s">
        <v>259</v>
      </c>
      <c r="BH194" t="s">
        <v>259</v>
      </c>
      <c r="BI194" s="43" t="s">
        <v>259</v>
      </c>
      <c r="BJ194">
        <v>0</v>
      </c>
      <c r="BK194" s="23">
        <v>44109</v>
      </c>
      <c r="BL194" s="23">
        <v>44356</v>
      </c>
      <c r="BM194">
        <v>8505</v>
      </c>
      <c r="BN194">
        <v>8505</v>
      </c>
      <c r="BO194">
        <v>8505</v>
      </c>
      <c r="BP194">
        <v>25515</v>
      </c>
      <c r="BQ194">
        <v>3300</v>
      </c>
      <c r="BR194">
        <v>400</v>
      </c>
      <c r="BS194">
        <v>400</v>
      </c>
      <c r="BT194">
        <v>4100</v>
      </c>
      <c r="BU194">
        <v>2100</v>
      </c>
      <c r="BV194">
        <v>2100</v>
      </c>
      <c r="BW194">
        <v>2100</v>
      </c>
      <c r="BX194">
        <v>6300</v>
      </c>
      <c r="BY194">
        <v>1200</v>
      </c>
      <c r="BZ194">
        <v>1200</v>
      </c>
      <c r="CA194">
        <v>1200</v>
      </c>
      <c r="CB194">
        <v>3600</v>
      </c>
      <c r="CC194">
        <v>0</v>
      </c>
      <c r="CD194">
        <v>0</v>
      </c>
      <c r="CE194">
        <v>0</v>
      </c>
      <c r="CF194">
        <v>0</v>
      </c>
      <c r="CG194">
        <v>39515</v>
      </c>
      <c r="CH194">
        <v>0</v>
      </c>
      <c r="CI194">
        <v>0</v>
      </c>
      <c r="CJ194">
        <v>0</v>
      </c>
      <c r="CK194">
        <v>0</v>
      </c>
      <c r="CL194">
        <v>1815</v>
      </c>
      <c r="CM194">
        <v>1815</v>
      </c>
      <c r="CN194">
        <v>1815</v>
      </c>
      <c r="CO194">
        <v>5445</v>
      </c>
      <c r="CP194">
        <v>500</v>
      </c>
      <c r="CQ194">
        <v>500</v>
      </c>
      <c r="CR194">
        <v>500</v>
      </c>
      <c r="CS194">
        <v>1500</v>
      </c>
      <c r="CT194">
        <v>1500</v>
      </c>
      <c r="CU194">
        <v>1500</v>
      </c>
      <c r="CV194">
        <v>1500</v>
      </c>
      <c r="CW194">
        <v>4500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11445</v>
      </c>
      <c r="EE194">
        <v>0</v>
      </c>
      <c r="EF194">
        <v>0</v>
      </c>
      <c r="EG194">
        <v>0</v>
      </c>
      <c r="EH194">
        <v>0</v>
      </c>
      <c r="EI194">
        <v>1154</v>
      </c>
      <c r="EJ194">
        <v>1154</v>
      </c>
      <c r="EK194">
        <v>1155</v>
      </c>
      <c r="EL194">
        <v>3500</v>
      </c>
      <c r="EM194">
        <v>37.065000000000005</v>
      </c>
      <c r="EN194">
        <v>660</v>
      </c>
      <c r="EO194">
        <v>660</v>
      </c>
      <c r="EP194">
        <v>660</v>
      </c>
      <c r="EQ194">
        <v>2000</v>
      </c>
      <c r="ER194">
        <v>21.18</v>
      </c>
      <c r="ES194">
        <v>0</v>
      </c>
      <c r="ET194">
        <v>0</v>
      </c>
      <c r="EU194">
        <v>0</v>
      </c>
      <c r="EV194">
        <v>0</v>
      </c>
      <c r="EW194">
        <v>0</v>
      </c>
      <c r="FA194">
        <v>0</v>
      </c>
      <c r="FE194">
        <v>0</v>
      </c>
      <c r="FI194">
        <v>0</v>
      </c>
      <c r="FJ194">
        <v>5441.7550000000001</v>
      </c>
      <c r="FK194">
        <v>28070</v>
      </c>
      <c r="FL194">
        <v>23629.176934965119</v>
      </c>
      <c r="FM194">
        <v>22628.244999999999</v>
      </c>
    </row>
    <row r="195" spans="1:169" x14ac:dyDescent="0.35">
      <c r="A195">
        <v>197649</v>
      </c>
      <c r="B195" s="43" t="s">
        <v>2818</v>
      </c>
      <c r="C195" s="43" t="s">
        <v>2819</v>
      </c>
      <c r="D195" s="43" t="s">
        <v>2820</v>
      </c>
      <c r="E195" s="43" t="s">
        <v>2821</v>
      </c>
      <c r="F195">
        <v>1</v>
      </c>
      <c r="H195" s="23"/>
      <c r="I195">
        <v>43804</v>
      </c>
      <c r="J195" s="43" t="s">
        <v>4242</v>
      </c>
      <c r="K195" s="43" t="s">
        <v>1715</v>
      </c>
      <c r="L195" s="43" t="s">
        <v>259</v>
      </c>
      <c r="M195" s="43" t="s">
        <v>2822</v>
      </c>
      <c r="N195" s="43" t="s">
        <v>2823</v>
      </c>
      <c r="O195" s="43" t="s">
        <v>2824</v>
      </c>
      <c r="P195" s="43" t="s">
        <v>687</v>
      </c>
      <c r="Q195" s="43" t="s">
        <v>2825</v>
      </c>
      <c r="S195" s="23">
        <v>44109</v>
      </c>
      <c r="T195" s="43" t="s">
        <v>285</v>
      </c>
      <c r="U195" s="43" t="s">
        <v>266</v>
      </c>
      <c r="V195" s="43" t="s">
        <v>267</v>
      </c>
      <c r="W195" s="43" t="s">
        <v>1718</v>
      </c>
      <c r="X195" s="43" t="s">
        <v>1719</v>
      </c>
      <c r="Y195">
        <v>8772802835</v>
      </c>
      <c r="Z195" s="43" t="s">
        <v>270</v>
      </c>
      <c r="AA195" s="43" t="s">
        <v>271</v>
      </c>
      <c r="AB195">
        <v>0</v>
      </c>
      <c r="AC195">
        <v>1150</v>
      </c>
      <c r="AD195">
        <v>112</v>
      </c>
      <c r="AE195" s="43" t="s">
        <v>445</v>
      </c>
      <c r="AF195">
        <v>4</v>
      </c>
      <c r="AG195" s="43" t="s">
        <v>275</v>
      </c>
      <c r="AJ195" s="23"/>
      <c r="AK195" s="43" t="s">
        <v>259</v>
      </c>
      <c r="AL195" s="43" t="s">
        <v>259</v>
      </c>
      <c r="AM195" s="23"/>
      <c r="AN195" s="23"/>
      <c r="AO195" s="23"/>
      <c r="AP195" s="23"/>
      <c r="AQ195" s="23"/>
      <c r="BB195" s="43"/>
      <c r="BC195" s="43" t="s">
        <v>259</v>
      </c>
      <c r="BD195" s="43" t="s">
        <v>259</v>
      </c>
      <c r="BE195" s="43" t="s">
        <v>259</v>
      </c>
      <c r="BF195" s="43" t="s">
        <v>259</v>
      </c>
      <c r="BG195" s="43" t="s">
        <v>259</v>
      </c>
      <c r="BH195" t="s">
        <v>259</v>
      </c>
      <c r="BI195" s="43" t="s">
        <v>259</v>
      </c>
      <c r="BJ195">
        <v>0</v>
      </c>
      <c r="BK195" s="23">
        <v>44109</v>
      </c>
      <c r="BL195" s="23">
        <v>44356</v>
      </c>
      <c r="BM195">
        <v>8505</v>
      </c>
      <c r="BN195">
        <v>8505</v>
      </c>
      <c r="BO195">
        <v>8505</v>
      </c>
      <c r="BP195">
        <v>25515</v>
      </c>
      <c r="BQ195">
        <v>3300</v>
      </c>
      <c r="BR195">
        <v>400</v>
      </c>
      <c r="BS195">
        <v>400</v>
      </c>
      <c r="BT195">
        <v>4100</v>
      </c>
      <c r="BU195">
        <v>2100</v>
      </c>
      <c r="BV195">
        <v>2100</v>
      </c>
      <c r="BW195">
        <v>2100</v>
      </c>
      <c r="BX195">
        <v>6300</v>
      </c>
      <c r="BY195">
        <v>1200</v>
      </c>
      <c r="BZ195">
        <v>1200</v>
      </c>
      <c r="CA195">
        <v>1200</v>
      </c>
      <c r="CB195">
        <v>3600</v>
      </c>
      <c r="CC195">
        <v>0</v>
      </c>
      <c r="CD195">
        <v>0</v>
      </c>
      <c r="CE195">
        <v>0</v>
      </c>
      <c r="CF195">
        <v>0</v>
      </c>
      <c r="CG195">
        <v>39515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1250</v>
      </c>
      <c r="CU195">
        <v>1250</v>
      </c>
      <c r="CV195">
        <v>1250</v>
      </c>
      <c r="CW195">
        <v>3750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3750</v>
      </c>
      <c r="EE195">
        <v>0</v>
      </c>
      <c r="EF195">
        <v>0</v>
      </c>
      <c r="EG195">
        <v>0</v>
      </c>
      <c r="EH195">
        <v>0</v>
      </c>
      <c r="EI195">
        <v>1154</v>
      </c>
      <c r="EJ195">
        <v>1154</v>
      </c>
      <c r="EK195">
        <v>1155</v>
      </c>
      <c r="EL195">
        <v>3500</v>
      </c>
      <c r="EM195">
        <v>37.065000000000005</v>
      </c>
      <c r="EN195">
        <v>660</v>
      </c>
      <c r="EO195">
        <v>660</v>
      </c>
      <c r="EP195">
        <v>660</v>
      </c>
      <c r="EQ195">
        <v>2000</v>
      </c>
      <c r="ER195">
        <v>21.18</v>
      </c>
      <c r="ES195">
        <v>0</v>
      </c>
      <c r="ET195">
        <v>0</v>
      </c>
      <c r="EU195">
        <v>0</v>
      </c>
      <c r="EV195">
        <v>0</v>
      </c>
      <c r="EW195">
        <v>0</v>
      </c>
      <c r="FA195">
        <v>0</v>
      </c>
      <c r="FE195">
        <v>0</v>
      </c>
      <c r="FI195">
        <v>0</v>
      </c>
      <c r="FJ195">
        <v>5441.7550000000001</v>
      </c>
      <c r="FK195">
        <v>35765</v>
      </c>
      <c r="FL195">
        <v>31664.555574119709</v>
      </c>
      <c r="FM195">
        <v>30323.244999999999</v>
      </c>
    </row>
    <row r="196" spans="1:169" x14ac:dyDescent="0.35">
      <c r="A196">
        <v>193634</v>
      </c>
      <c r="B196" s="43" t="s">
        <v>2826</v>
      </c>
      <c r="C196" s="43" t="s">
        <v>2827</v>
      </c>
      <c r="D196" s="43" t="s">
        <v>2828</v>
      </c>
      <c r="E196" s="43" t="s">
        <v>2829</v>
      </c>
      <c r="F196">
        <v>1</v>
      </c>
      <c r="H196" s="23"/>
      <c r="I196">
        <v>43804</v>
      </c>
      <c r="J196" s="43" t="s">
        <v>4245</v>
      </c>
      <c r="K196" s="43" t="s">
        <v>1715</v>
      </c>
      <c r="L196" s="43" t="s">
        <v>3204</v>
      </c>
      <c r="M196" s="43" t="s">
        <v>2830</v>
      </c>
      <c r="N196" s="43" t="s">
        <v>2831</v>
      </c>
      <c r="O196" s="43" t="s">
        <v>2832</v>
      </c>
      <c r="P196" s="43" t="s">
        <v>297</v>
      </c>
      <c r="Q196" s="43" t="s">
        <v>2833</v>
      </c>
      <c r="S196" s="23">
        <v>44109</v>
      </c>
      <c r="T196" s="43" t="s">
        <v>311</v>
      </c>
      <c r="U196" s="43" t="s">
        <v>266</v>
      </c>
      <c r="V196" s="43" t="s">
        <v>267</v>
      </c>
      <c r="W196" s="43" t="s">
        <v>1718</v>
      </c>
      <c r="X196" s="43" t="s">
        <v>1719</v>
      </c>
      <c r="Y196">
        <v>8772802835</v>
      </c>
      <c r="Z196" s="43" t="s">
        <v>270</v>
      </c>
      <c r="AA196" s="43" t="s">
        <v>271</v>
      </c>
      <c r="AB196">
        <v>0</v>
      </c>
      <c r="AC196">
        <v>1040</v>
      </c>
      <c r="AD196">
        <v>98</v>
      </c>
      <c r="AE196" s="43" t="s">
        <v>354</v>
      </c>
      <c r="AF196">
        <v>6</v>
      </c>
      <c r="AG196" s="43" t="s">
        <v>275</v>
      </c>
      <c r="AH196">
        <v>0</v>
      </c>
      <c r="AI196">
        <v>0</v>
      </c>
      <c r="AJ196" s="23">
        <v>43774</v>
      </c>
      <c r="AK196" s="43" t="s">
        <v>3208</v>
      </c>
      <c r="AL196" s="43" t="s">
        <v>3209</v>
      </c>
      <c r="AM196" s="23"/>
      <c r="AN196" s="23"/>
      <c r="AO196" s="23">
        <v>43789</v>
      </c>
      <c r="AP196" s="23">
        <v>43789</v>
      </c>
      <c r="AQ196" s="23">
        <v>43789</v>
      </c>
      <c r="BB196" s="43"/>
      <c r="BC196" s="43" t="s">
        <v>2018</v>
      </c>
      <c r="BD196" s="43" t="s">
        <v>2018</v>
      </c>
      <c r="BE196" s="43" t="s">
        <v>2018</v>
      </c>
      <c r="BF196" s="43" t="s">
        <v>2018</v>
      </c>
      <c r="BG196" s="43" t="s">
        <v>2018</v>
      </c>
      <c r="BH196" t="s">
        <v>2018</v>
      </c>
      <c r="BI196" s="43" t="s">
        <v>2018</v>
      </c>
      <c r="BJ196">
        <v>0.1875</v>
      </c>
      <c r="BK196" s="23">
        <v>44109</v>
      </c>
      <c r="BL196" s="23">
        <v>44356</v>
      </c>
      <c r="BM196">
        <v>8505</v>
      </c>
      <c r="BN196">
        <v>8505</v>
      </c>
      <c r="BO196">
        <v>8505</v>
      </c>
      <c r="BP196">
        <v>25515</v>
      </c>
      <c r="BQ196">
        <v>3300</v>
      </c>
      <c r="BR196">
        <v>400</v>
      </c>
      <c r="BS196">
        <v>400</v>
      </c>
      <c r="BT196">
        <v>4100</v>
      </c>
      <c r="BU196">
        <v>2100</v>
      </c>
      <c r="BV196">
        <v>2100</v>
      </c>
      <c r="BW196">
        <v>2100</v>
      </c>
      <c r="BX196">
        <v>6300</v>
      </c>
      <c r="BY196">
        <v>1200</v>
      </c>
      <c r="BZ196">
        <v>1200</v>
      </c>
      <c r="CA196">
        <v>1200</v>
      </c>
      <c r="CB196">
        <v>3600</v>
      </c>
      <c r="CC196">
        <v>0</v>
      </c>
      <c r="CD196">
        <v>0</v>
      </c>
      <c r="CE196">
        <v>0</v>
      </c>
      <c r="CF196">
        <v>0</v>
      </c>
      <c r="CG196">
        <v>39515</v>
      </c>
      <c r="CH196">
        <v>0</v>
      </c>
      <c r="CI196">
        <v>0</v>
      </c>
      <c r="CJ196">
        <v>0</v>
      </c>
      <c r="CK196">
        <v>0</v>
      </c>
      <c r="CL196">
        <v>2065</v>
      </c>
      <c r="CM196">
        <v>2065</v>
      </c>
      <c r="CN196">
        <v>2065</v>
      </c>
      <c r="CO196">
        <v>6195</v>
      </c>
      <c r="CP196">
        <v>500</v>
      </c>
      <c r="CQ196">
        <v>500</v>
      </c>
      <c r="CR196">
        <v>500</v>
      </c>
      <c r="CS196">
        <v>1500</v>
      </c>
      <c r="CT196">
        <v>750</v>
      </c>
      <c r="CU196">
        <v>750</v>
      </c>
      <c r="CV196">
        <v>750</v>
      </c>
      <c r="CW196">
        <v>2250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9945</v>
      </c>
      <c r="EE196">
        <v>0</v>
      </c>
      <c r="EF196">
        <v>0</v>
      </c>
      <c r="EG196">
        <v>0</v>
      </c>
      <c r="EH196">
        <v>0</v>
      </c>
      <c r="EI196">
        <v>1154</v>
      </c>
      <c r="EJ196">
        <v>1154</v>
      </c>
      <c r="EK196">
        <v>1155</v>
      </c>
      <c r="EL196">
        <v>3500</v>
      </c>
      <c r="EM196">
        <v>37.065000000000005</v>
      </c>
      <c r="EN196">
        <v>660</v>
      </c>
      <c r="EO196">
        <v>660</v>
      </c>
      <c r="EP196">
        <v>660</v>
      </c>
      <c r="EQ196">
        <v>2000</v>
      </c>
      <c r="ER196">
        <v>21.18</v>
      </c>
      <c r="ES196">
        <v>0</v>
      </c>
      <c r="ET196">
        <v>0</v>
      </c>
      <c r="EU196">
        <v>0</v>
      </c>
      <c r="EV196">
        <v>0</v>
      </c>
      <c r="EW196">
        <v>0</v>
      </c>
      <c r="FA196">
        <v>0</v>
      </c>
      <c r="FE196">
        <v>0</v>
      </c>
      <c r="FI196">
        <v>0</v>
      </c>
      <c r="FJ196">
        <v>5441.7550000000001</v>
      </c>
      <c r="FK196">
        <v>29570</v>
      </c>
      <c r="FL196">
        <v>25195.527546886093</v>
      </c>
      <c r="FM196">
        <v>24128.244999999999</v>
      </c>
    </row>
    <row r="197" spans="1:169" x14ac:dyDescent="0.35">
      <c r="A197">
        <v>191833</v>
      </c>
      <c r="B197" s="43" t="s">
        <v>2834</v>
      </c>
      <c r="C197" s="43" t="s">
        <v>1339</v>
      </c>
      <c r="D197" s="43" t="s">
        <v>2835</v>
      </c>
      <c r="E197" s="43" t="s">
        <v>2836</v>
      </c>
      <c r="F197">
        <v>1</v>
      </c>
      <c r="H197" s="23"/>
      <c r="I197">
        <v>43804</v>
      </c>
      <c r="J197" s="43" t="s">
        <v>4242</v>
      </c>
      <c r="K197" s="43" t="s">
        <v>1715</v>
      </c>
      <c r="L197" s="43" t="s">
        <v>259</v>
      </c>
      <c r="M197" s="43" t="s">
        <v>2837</v>
      </c>
      <c r="N197" s="43" t="s">
        <v>2838</v>
      </c>
      <c r="O197" s="43" t="s">
        <v>2839</v>
      </c>
      <c r="P197" s="43" t="s">
        <v>553</v>
      </c>
      <c r="Q197" s="43" t="s">
        <v>2840</v>
      </c>
      <c r="S197" s="23">
        <v>44109</v>
      </c>
      <c r="T197" s="43" t="s">
        <v>265</v>
      </c>
      <c r="U197" s="43" t="s">
        <v>266</v>
      </c>
      <c r="V197" s="43" t="s">
        <v>267</v>
      </c>
      <c r="W197" s="43" t="s">
        <v>1718</v>
      </c>
      <c r="X197" s="43" t="s">
        <v>1719</v>
      </c>
      <c r="Y197">
        <v>8772802835</v>
      </c>
      <c r="Z197" s="43" t="s">
        <v>270</v>
      </c>
      <c r="AA197" s="43" t="s">
        <v>271</v>
      </c>
      <c r="AB197">
        <v>24</v>
      </c>
      <c r="AC197">
        <v>0</v>
      </c>
      <c r="AD197">
        <v>113</v>
      </c>
      <c r="AE197" s="43" t="s">
        <v>289</v>
      </c>
      <c r="AF197">
        <v>2</v>
      </c>
      <c r="AG197" s="43" t="s">
        <v>275</v>
      </c>
      <c r="AJ197" s="23"/>
      <c r="AK197" s="43" t="s">
        <v>259</v>
      </c>
      <c r="AL197" s="43" t="s">
        <v>259</v>
      </c>
      <c r="AM197" s="23"/>
      <c r="AN197" s="23"/>
      <c r="AO197" s="23"/>
      <c r="AP197" s="23"/>
      <c r="AQ197" s="23"/>
      <c r="BB197" s="43"/>
      <c r="BC197" s="43" t="s">
        <v>259</v>
      </c>
      <c r="BD197" s="43" t="s">
        <v>259</v>
      </c>
      <c r="BE197" s="43" t="s">
        <v>259</v>
      </c>
      <c r="BF197" s="43" t="s">
        <v>259</v>
      </c>
      <c r="BG197" s="43" t="s">
        <v>259</v>
      </c>
      <c r="BH197" t="s">
        <v>259</v>
      </c>
      <c r="BI197" s="43" t="s">
        <v>259</v>
      </c>
      <c r="BJ197">
        <v>0</v>
      </c>
      <c r="BK197" s="23">
        <v>44109</v>
      </c>
      <c r="BL197" s="23">
        <v>44356</v>
      </c>
      <c r="BM197">
        <v>8505</v>
      </c>
      <c r="BN197">
        <v>8505</v>
      </c>
      <c r="BO197">
        <v>8505</v>
      </c>
      <c r="BP197">
        <v>25515</v>
      </c>
      <c r="BQ197">
        <v>3300</v>
      </c>
      <c r="BR197">
        <v>400</v>
      </c>
      <c r="BS197">
        <v>400</v>
      </c>
      <c r="BT197">
        <v>4100</v>
      </c>
      <c r="BU197">
        <v>2100</v>
      </c>
      <c r="BV197">
        <v>2100</v>
      </c>
      <c r="BW197">
        <v>2100</v>
      </c>
      <c r="BX197">
        <v>6300</v>
      </c>
      <c r="BY197">
        <v>1200</v>
      </c>
      <c r="BZ197">
        <v>1200</v>
      </c>
      <c r="CA197">
        <v>1200</v>
      </c>
      <c r="CB197">
        <v>3600</v>
      </c>
      <c r="CC197">
        <v>0</v>
      </c>
      <c r="CD197">
        <v>0</v>
      </c>
      <c r="CE197">
        <v>0</v>
      </c>
      <c r="CF197">
        <v>0</v>
      </c>
      <c r="CG197">
        <v>39515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1500</v>
      </c>
      <c r="CU197">
        <v>1500</v>
      </c>
      <c r="CV197">
        <v>1500</v>
      </c>
      <c r="CW197">
        <v>4500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4500</v>
      </c>
      <c r="EE197">
        <v>0</v>
      </c>
      <c r="EF197">
        <v>0</v>
      </c>
      <c r="EG197">
        <v>0</v>
      </c>
      <c r="EH197">
        <v>0</v>
      </c>
      <c r="EI197">
        <v>1154</v>
      </c>
      <c r="EJ197">
        <v>1154</v>
      </c>
      <c r="EK197">
        <v>1155</v>
      </c>
      <c r="EL197">
        <v>3500</v>
      </c>
      <c r="EM197">
        <v>37.065000000000005</v>
      </c>
      <c r="EN197">
        <v>660</v>
      </c>
      <c r="EO197">
        <v>660</v>
      </c>
      <c r="EP197">
        <v>660</v>
      </c>
      <c r="EQ197">
        <v>2000</v>
      </c>
      <c r="ER197">
        <v>21.18</v>
      </c>
      <c r="ES197">
        <v>0</v>
      </c>
      <c r="ET197">
        <v>0</v>
      </c>
      <c r="EU197">
        <v>0</v>
      </c>
      <c r="EV197">
        <v>0</v>
      </c>
      <c r="EW197">
        <v>0</v>
      </c>
      <c r="FA197">
        <v>0</v>
      </c>
      <c r="FE197">
        <v>0</v>
      </c>
      <c r="FI197">
        <v>0</v>
      </c>
      <c r="FJ197">
        <v>5441.7550000000001</v>
      </c>
      <c r="FK197">
        <v>35015</v>
      </c>
      <c r="FL197">
        <v>30881.380268159221</v>
      </c>
      <c r="FM197">
        <v>29573.244999999999</v>
      </c>
    </row>
    <row r="198" spans="1:169" x14ac:dyDescent="0.35">
      <c r="A198">
        <v>197382</v>
      </c>
      <c r="B198" s="43" t="s">
        <v>2834</v>
      </c>
      <c r="C198" s="43" t="s">
        <v>2841</v>
      </c>
      <c r="D198" s="43" t="s">
        <v>2842</v>
      </c>
      <c r="E198" s="43" t="s">
        <v>2843</v>
      </c>
      <c r="F198">
        <v>1</v>
      </c>
      <c r="H198" s="23"/>
      <c r="I198">
        <v>43804</v>
      </c>
      <c r="J198" s="43" t="s">
        <v>4241</v>
      </c>
      <c r="K198" s="43" t="s">
        <v>1715</v>
      </c>
      <c r="L198" s="43" t="s">
        <v>259</v>
      </c>
      <c r="M198" s="43" t="s">
        <v>2844</v>
      </c>
      <c r="N198" s="43" t="s">
        <v>2845</v>
      </c>
      <c r="O198" s="43" t="s">
        <v>2846</v>
      </c>
      <c r="P198" s="43" t="s">
        <v>442</v>
      </c>
      <c r="Q198" s="43" t="s">
        <v>2847</v>
      </c>
      <c r="S198" s="23">
        <v>44109</v>
      </c>
      <c r="T198" s="43" t="s">
        <v>285</v>
      </c>
      <c r="U198" s="43" t="s">
        <v>286</v>
      </c>
      <c r="V198" s="43" t="s">
        <v>267</v>
      </c>
      <c r="W198" s="43" t="s">
        <v>1718</v>
      </c>
      <c r="X198" s="43" t="s">
        <v>1719</v>
      </c>
      <c r="Y198">
        <v>8772802835</v>
      </c>
      <c r="Z198" s="43" t="s">
        <v>270</v>
      </c>
      <c r="AA198" s="43" t="s">
        <v>271</v>
      </c>
      <c r="AB198">
        <v>13</v>
      </c>
      <c r="AC198">
        <v>0</v>
      </c>
      <c r="AD198">
        <v>79</v>
      </c>
      <c r="AE198" s="43" t="s">
        <v>344</v>
      </c>
      <c r="AF198">
        <v>10</v>
      </c>
      <c r="AG198" s="43" t="s">
        <v>275</v>
      </c>
      <c r="AJ198" s="23"/>
      <c r="AK198" s="43" t="s">
        <v>259</v>
      </c>
      <c r="AL198" s="43" t="s">
        <v>259</v>
      </c>
      <c r="AM198" s="23"/>
      <c r="AN198" s="23"/>
      <c r="AO198" s="23"/>
      <c r="AP198" s="23"/>
      <c r="AQ198" s="23"/>
      <c r="BB198" s="43"/>
      <c r="BC198" s="43" t="s">
        <v>259</v>
      </c>
      <c r="BD198" s="43" t="s">
        <v>259</v>
      </c>
      <c r="BE198" s="43" t="s">
        <v>259</v>
      </c>
      <c r="BF198" s="43" t="s">
        <v>259</v>
      </c>
      <c r="BG198" s="43" t="s">
        <v>259</v>
      </c>
      <c r="BH198" t="s">
        <v>259</v>
      </c>
      <c r="BI198" s="43" t="s">
        <v>259</v>
      </c>
      <c r="BJ198">
        <v>0</v>
      </c>
      <c r="BK198" s="23">
        <v>44109</v>
      </c>
      <c r="BL198" s="23">
        <v>44356</v>
      </c>
      <c r="BM198">
        <v>8505</v>
      </c>
      <c r="BN198">
        <v>8505</v>
      </c>
      <c r="BO198">
        <v>8505</v>
      </c>
      <c r="BP198">
        <v>25515</v>
      </c>
      <c r="BQ198">
        <v>3300</v>
      </c>
      <c r="BR198">
        <v>400</v>
      </c>
      <c r="BS198">
        <v>400</v>
      </c>
      <c r="BT198">
        <v>4100</v>
      </c>
      <c r="BU198">
        <v>2100</v>
      </c>
      <c r="BV198">
        <v>2100</v>
      </c>
      <c r="BW198">
        <v>2100</v>
      </c>
      <c r="BX198">
        <v>6300</v>
      </c>
      <c r="BY198">
        <v>1200</v>
      </c>
      <c r="BZ198">
        <v>1200</v>
      </c>
      <c r="CA198">
        <v>1200</v>
      </c>
      <c r="CB198">
        <v>3600</v>
      </c>
      <c r="CC198">
        <v>0</v>
      </c>
      <c r="CD198">
        <v>0</v>
      </c>
      <c r="CE198">
        <v>0</v>
      </c>
      <c r="CF198">
        <v>0</v>
      </c>
      <c r="CG198">
        <v>39515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1000</v>
      </c>
      <c r="DC198">
        <v>1000</v>
      </c>
      <c r="DD198">
        <v>1000</v>
      </c>
      <c r="DE198">
        <v>3000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3000</v>
      </c>
      <c r="EE198">
        <v>0</v>
      </c>
      <c r="EF198">
        <v>0</v>
      </c>
      <c r="EG198">
        <v>0</v>
      </c>
      <c r="EH198">
        <v>0</v>
      </c>
      <c r="EI198">
        <v>1154</v>
      </c>
      <c r="EJ198">
        <v>1154</v>
      </c>
      <c r="EK198">
        <v>1155</v>
      </c>
      <c r="EL198">
        <v>3500</v>
      </c>
      <c r="EM198">
        <v>37.065000000000005</v>
      </c>
      <c r="EN198">
        <v>660</v>
      </c>
      <c r="EO198">
        <v>660</v>
      </c>
      <c r="EP198">
        <v>660</v>
      </c>
      <c r="EQ198">
        <v>2000</v>
      </c>
      <c r="ER198">
        <v>21.18</v>
      </c>
      <c r="ES198">
        <v>0</v>
      </c>
      <c r="ET198">
        <v>0</v>
      </c>
      <c r="EU198">
        <v>0</v>
      </c>
      <c r="EV198">
        <v>0</v>
      </c>
      <c r="EW198">
        <v>0</v>
      </c>
      <c r="FA198">
        <v>0</v>
      </c>
      <c r="FE198">
        <v>0</v>
      </c>
      <c r="FI198">
        <v>0</v>
      </c>
      <c r="FJ198">
        <v>5441.7550000000001</v>
      </c>
      <c r="FK198">
        <v>36515</v>
      </c>
      <c r="FL198">
        <v>32447.730880080198</v>
      </c>
      <c r="FM198">
        <v>31073.245000000003</v>
      </c>
    </row>
    <row r="199" spans="1:169" x14ac:dyDescent="0.35">
      <c r="A199">
        <v>189134</v>
      </c>
      <c r="B199" s="43" t="s">
        <v>3392</v>
      </c>
      <c r="C199" s="43" t="s">
        <v>3393</v>
      </c>
      <c r="D199" s="43" t="s">
        <v>3394</v>
      </c>
      <c r="E199" s="43" t="s">
        <v>3395</v>
      </c>
      <c r="F199">
        <v>1</v>
      </c>
      <c r="H199" s="23"/>
      <c r="I199">
        <v>43804</v>
      </c>
      <c r="J199" s="43" t="s">
        <v>4242</v>
      </c>
      <c r="K199" s="43" t="s">
        <v>1715</v>
      </c>
      <c r="L199" s="43" t="s">
        <v>259</v>
      </c>
      <c r="M199" s="43" t="s">
        <v>3396</v>
      </c>
      <c r="N199" s="43" t="s">
        <v>3397</v>
      </c>
      <c r="O199" s="43" t="s">
        <v>3398</v>
      </c>
      <c r="P199" s="43" t="s">
        <v>2279</v>
      </c>
      <c r="Q199" s="43" t="s">
        <v>3399</v>
      </c>
      <c r="S199" s="23">
        <v>44109</v>
      </c>
      <c r="T199" s="43" t="s">
        <v>311</v>
      </c>
      <c r="U199" s="43" t="s">
        <v>266</v>
      </c>
      <c r="V199" s="43" t="s">
        <v>267</v>
      </c>
      <c r="W199" s="43" t="s">
        <v>1718</v>
      </c>
      <c r="X199" s="43" t="s">
        <v>1719</v>
      </c>
      <c r="Y199">
        <v>8772802835</v>
      </c>
      <c r="Z199" s="43" t="s">
        <v>270</v>
      </c>
      <c r="AA199" s="43" t="s">
        <v>271</v>
      </c>
      <c r="AB199">
        <v>0</v>
      </c>
      <c r="AC199">
        <v>930</v>
      </c>
      <c r="AD199">
        <v>85</v>
      </c>
      <c r="AE199" s="43" t="s">
        <v>344</v>
      </c>
      <c r="AF199">
        <v>10</v>
      </c>
      <c r="AG199" s="43" t="s">
        <v>3345</v>
      </c>
      <c r="AJ199" s="23"/>
      <c r="AK199" s="43" t="s">
        <v>259</v>
      </c>
      <c r="AL199" s="43" t="s">
        <v>259</v>
      </c>
      <c r="AM199" s="23"/>
      <c r="AN199" s="23"/>
      <c r="AO199" s="23"/>
      <c r="AP199" s="23"/>
      <c r="AQ199" s="23"/>
      <c r="BB199" s="43"/>
      <c r="BC199" s="43" t="s">
        <v>259</v>
      </c>
      <c r="BD199" s="43" t="s">
        <v>259</v>
      </c>
      <c r="BE199" s="43" t="s">
        <v>259</v>
      </c>
      <c r="BF199" s="43" t="s">
        <v>259</v>
      </c>
      <c r="BG199" s="43" t="s">
        <v>259</v>
      </c>
      <c r="BH199" t="s">
        <v>259</v>
      </c>
      <c r="BI199" s="43" t="s">
        <v>259</v>
      </c>
      <c r="BJ199">
        <v>0</v>
      </c>
      <c r="BK199" s="23">
        <v>44109</v>
      </c>
      <c r="BL199" s="23">
        <v>44356</v>
      </c>
      <c r="BM199">
        <v>8505</v>
      </c>
      <c r="BN199">
        <v>8505</v>
      </c>
      <c r="BO199">
        <v>8505</v>
      </c>
      <c r="BP199">
        <v>25515</v>
      </c>
      <c r="BQ199">
        <v>3300</v>
      </c>
      <c r="BR199">
        <v>400</v>
      </c>
      <c r="BS199">
        <v>400</v>
      </c>
      <c r="BT199">
        <v>4100</v>
      </c>
      <c r="BU199">
        <v>2100</v>
      </c>
      <c r="BV199">
        <v>2100</v>
      </c>
      <c r="BW199">
        <v>2100</v>
      </c>
      <c r="BX199">
        <v>6300</v>
      </c>
      <c r="BY199">
        <v>1200</v>
      </c>
      <c r="BZ199">
        <v>1200</v>
      </c>
      <c r="CA199">
        <v>1200</v>
      </c>
      <c r="CB199">
        <v>3600</v>
      </c>
      <c r="CC199">
        <v>0</v>
      </c>
      <c r="CD199">
        <v>0</v>
      </c>
      <c r="CE199">
        <v>0</v>
      </c>
      <c r="CF199">
        <v>0</v>
      </c>
      <c r="CG199">
        <v>39515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M199">
        <v>0</v>
      </c>
      <c r="EN199">
        <v>660</v>
      </c>
      <c r="EO199">
        <v>660</v>
      </c>
      <c r="EP199">
        <v>660</v>
      </c>
      <c r="EQ199">
        <v>2000</v>
      </c>
      <c r="ER199">
        <v>21.18</v>
      </c>
      <c r="ES199">
        <v>0</v>
      </c>
      <c r="ET199">
        <v>0</v>
      </c>
      <c r="EU199">
        <v>0</v>
      </c>
      <c r="EW199">
        <v>0</v>
      </c>
      <c r="FA199">
        <v>0</v>
      </c>
      <c r="FE199">
        <v>0</v>
      </c>
      <c r="FI199">
        <v>0</v>
      </c>
      <c r="FJ199">
        <v>1978.82</v>
      </c>
      <c r="FK199">
        <v>39515</v>
      </c>
      <c r="FL199">
        <v>39196.54567478384</v>
      </c>
      <c r="FM199">
        <v>37536.18</v>
      </c>
    </row>
    <row r="200" spans="1:169" x14ac:dyDescent="0.35">
      <c r="A200">
        <v>196368</v>
      </c>
      <c r="B200" s="43" t="s">
        <v>2848</v>
      </c>
      <c r="C200" s="43" t="s">
        <v>1969</v>
      </c>
      <c r="D200" s="43" t="s">
        <v>2849</v>
      </c>
      <c r="E200" s="43" t="s">
        <v>2850</v>
      </c>
      <c r="F200">
        <v>1</v>
      </c>
      <c r="H200" s="23"/>
      <c r="I200">
        <v>43804</v>
      </c>
      <c r="J200" s="43" t="s">
        <v>4242</v>
      </c>
      <c r="K200" s="43" t="s">
        <v>1715</v>
      </c>
      <c r="L200" s="43" t="s">
        <v>259</v>
      </c>
      <c r="M200" s="43" t="s">
        <v>2851</v>
      </c>
      <c r="N200" s="43" t="s">
        <v>2852</v>
      </c>
      <c r="O200" s="43" t="s">
        <v>910</v>
      </c>
      <c r="P200" s="43" t="s">
        <v>911</v>
      </c>
      <c r="Q200" s="43" t="s">
        <v>912</v>
      </c>
      <c r="S200" s="23">
        <v>44109</v>
      </c>
      <c r="T200" s="43" t="s">
        <v>311</v>
      </c>
      <c r="U200" s="43" t="s">
        <v>266</v>
      </c>
      <c r="V200" s="43" t="s">
        <v>267</v>
      </c>
      <c r="W200" s="43" t="s">
        <v>1718</v>
      </c>
      <c r="X200" s="43" t="s">
        <v>1719</v>
      </c>
      <c r="Y200">
        <v>8772802835</v>
      </c>
      <c r="Z200" s="43" t="s">
        <v>270</v>
      </c>
      <c r="AA200" s="43" t="s">
        <v>271</v>
      </c>
      <c r="AB200">
        <v>0</v>
      </c>
      <c r="AC200">
        <v>1370</v>
      </c>
      <c r="AD200">
        <v>121</v>
      </c>
      <c r="AE200" s="43" t="s">
        <v>301</v>
      </c>
      <c r="AF200">
        <v>1</v>
      </c>
      <c r="AG200" s="43" t="s">
        <v>275</v>
      </c>
      <c r="AJ200" s="23"/>
      <c r="AK200" s="43" t="s">
        <v>259</v>
      </c>
      <c r="AL200" s="43" t="s">
        <v>259</v>
      </c>
      <c r="AM200" s="23"/>
      <c r="AN200" s="23"/>
      <c r="AO200" s="23"/>
      <c r="AP200" s="23"/>
      <c r="AQ200" s="23"/>
      <c r="BB200" s="43"/>
      <c r="BC200" s="43" t="s">
        <v>259</v>
      </c>
      <c r="BD200" s="43" t="s">
        <v>259</v>
      </c>
      <c r="BE200" s="43" t="s">
        <v>259</v>
      </c>
      <c r="BF200" s="43" t="s">
        <v>259</v>
      </c>
      <c r="BG200" s="43" t="s">
        <v>259</v>
      </c>
      <c r="BH200" t="s">
        <v>259</v>
      </c>
      <c r="BI200" s="43" t="s">
        <v>259</v>
      </c>
      <c r="BJ200">
        <v>0</v>
      </c>
      <c r="BK200" s="23">
        <v>44109</v>
      </c>
      <c r="BL200" s="23">
        <v>44356</v>
      </c>
      <c r="BM200">
        <v>8505</v>
      </c>
      <c r="BN200">
        <v>8505</v>
      </c>
      <c r="BO200">
        <v>8505</v>
      </c>
      <c r="BP200">
        <v>25515</v>
      </c>
      <c r="BQ200">
        <v>3300</v>
      </c>
      <c r="BR200">
        <v>400</v>
      </c>
      <c r="BS200">
        <v>400</v>
      </c>
      <c r="BT200">
        <v>4100</v>
      </c>
      <c r="BU200">
        <v>2100</v>
      </c>
      <c r="BV200">
        <v>2100</v>
      </c>
      <c r="BW200">
        <v>2100</v>
      </c>
      <c r="BX200">
        <v>6300</v>
      </c>
      <c r="BY200">
        <v>1200</v>
      </c>
      <c r="BZ200">
        <v>1200</v>
      </c>
      <c r="CA200">
        <v>1200</v>
      </c>
      <c r="CB200">
        <v>3600</v>
      </c>
      <c r="CC200">
        <v>0</v>
      </c>
      <c r="CD200">
        <v>0</v>
      </c>
      <c r="CE200">
        <v>0</v>
      </c>
      <c r="CF200">
        <v>0</v>
      </c>
      <c r="CG200">
        <v>39515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1700</v>
      </c>
      <c r="CU200">
        <v>1700</v>
      </c>
      <c r="CV200">
        <v>1700</v>
      </c>
      <c r="CW200">
        <v>5100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5100</v>
      </c>
      <c r="EE200">
        <v>0</v>
      </c>
      <c r="EF200">
        <v>0</v>
      </c>
      <c r="EG200">
        <v>0</v>
      </c>
      <c r="EH200">
        <v>0</v>
      </c>
      <c r="EI200">
        <v>1154</v>
      </c>
      <c r="EJ200">
        <v>1154</v>
      </c>
      <c r="EK200">
        <v>1155</v>
      </c>
      <c r="EL200">
        <v>3500</v>
      </c>
      <c r="EM200">
        <v>37.065000000000005</v>
      </c>
      <c r="EN200">
        <v>660</v>
      </c>
      <c r="EO200">
        <v>660</v>
      </c>
      <c r="EP200">
        <v>660</v>
      </c>
      <c r="EQ200">
        <v>2000</v>
      </c>
      <c r="ER200">
        <v>21.18</v>
      </c>
      <c r="ES200">
        <v>0</v>
      </c>
      <c r="ET200">
        <v>0</v>
      </c>
      <c r="EU200">
        <v>0</v>
      </c>
      <c r="EV200">
        <v>0</v>
      </c>
      <c r="EW200">
        <v>0</v>
      </c>
      <c r="FA200">
        <v>0</v>
      </c>
      <c r="FE200">
        <v>0</v>
      </c>
      <c r="FI200">
        <v>0</v>
      </c>
      <c r="FJ200">
        <v>5441.7550000000001</v>
      </c>
      <c r="FK200">
        <v>34415</v>
      </c>
      <c r="FL200">
        <v>30254.840023390832</v>
      </c>
      <c r="FM200">
        <v>28973.244999999999</v>
      </c>
    </row>
    <row r="201" spans="1:169" x14ac:dyDescent="0.35">
      <c r="A201">
        <v>198030</v>
      </c>
      <c r="B201" s="43" t="s">
        <v>2853</v>
      </c>
      <c r="C201" s="43" t="s">
        <v>629</v>
      </c>
      <c r="D201" s="43" t="s">
        <v>2854</v>
      </c>
      <c r="E201" s="43" t="s">
        <v>2855</v>
      </c>
      <c r="F201">
        <v>2</v>
      </c>
      <c r="G201">
        <v>43794</v>
      </c>
      <c r="H201" s="23">
        <v>43794</v>
      </c>
      <c r="I201">
        <v>43794</v>
      </c>
      <c r="J201" s="43" t="s">
        <v>3421</v>
      </c>
      <c r="K201" s="43" t="s">
        <v>1715</v>
      </c>
      <c r="L201" s="43" t="s">
        <v>3204</v>
      </c>
      <c r="M201" s="43" t="s">
        <v>2856</v>
      </c>
      <c r="N201" s="43" t="s">
        <v>2857</v>
      </c>
      <c r="O201" s="43" t="s">
        <v>2540</v>
      </c>
      <c r="P201" s="43" t="s">
        <v>342</v>
      </c>
      <c r="Q201" s="43" t="s">
        <v>2858</v>
      </c>
      <c r="S201" s="23">
        <v>44109</v>
      </c>
      <c r="T201" s="43" t="s">
        <v>311</v>
      </c>
      <c r="U201" s="43" t="s">
        <v>266</v>
      </c>
      <c r="V201" s="43" t="s">
        <v>267</v>
      </c>
      <c r="W201" s="43" t="s">
        <v>1718</v>
      </c>
      <c r="X201" s="43" t="s">
        <v>1719</v>
      </c>
      <c r="Y201">
        <v>8772802835</v>
      </c>
      <c r="Z201" s="43" t="s">
        <v>270</v>
      </c>
      <c r="AA201" s="43" t="s">
        <v>271</v>
      </c>
      <c r="AB201">
        <v>20</v>
      </c>
      <c r="AC201">
        <v>1040</v>
      </c>
      <c r="AD201">
        <v>108</v>
      </c>
      <c r="AE201" s="43" t="s">
        <v>289</v>
      </c>
      <c r="AF201">
        <v>2</v>
      </c>
      <c r="AG201" s="43" t="s">
        <v>275</v>
      </c>
      <c r="AH201">
        <v>0</v>
      </c>
      <c r="AI201">
        <v>0</v>
      </c>
      <c r="AJ201" s="23">
        <v>43804</v>
      </c>
      <c r="AK201" s="43" t="s">
        <v>3208</v>
      </c>
      <c r="AL201" s="43" t="s">
        <v>3209</v>
      </c>
      <c r="AM201" s="23">
        <v>43794</v>
      </c>
      <c r="AN201" s="23">
        <v>43794</v>
      </c>
      <c r="AO201" s="23">
        <v>43775</v>
      </c>
      <c r="AP201" s="23">
        <v>43775</v>
      </c>
      <c r="AQ201" s="23">
        <v>43775</v>
      </c>
      <c r="BB201" s="43"/>
      <c r="BC201" s="43" t="s">
        <v>2018</v>
      </c>
      <c r="BD201" s="43" t="s">
        <v>2018</v>
      </c>
      <c r="BE201" s="43" t="s">
        <v>2018</v>
      </c>
      <c r="BF201" s="43" t="s">
        <v>2018</v>
      </c>
      <c r="BG201" s="43" t="s">
        <v>2018</v>
      </c>
      <c r="BH201" t="s">
        <v>2018</v>
      </c>
      <c r="BI201" s="43" t="s">
        <v>2018</v>
      </c>
      <c r="BJ201">
        <v>0.3125</v>
      </c>
      <c r="BK201" s="23">
        <v>44109</v>
      </c>
      <c r="BL201" s="23">
        <v>44356</v>
      </c>
      <c r="BM201">
        <v>8505</v>
      </c>
      <c r="BN201">
        <v>8505</v>
      </c>
      <c r="BO201">
        <v>8505</v>
      </c>
      <c r="BP201">
        <v>25515</v>
      </c>
      <c r="BQ201">
        <v>3300</v>
      </c>
      <c r="BR201">
        <v>400</v>
      </c>
      <c r="BS201">
        <v>400</v>
      </c>
      <c r="BT201">
        <v>4100</v>
      </c>
      <c r="BU201">
        <v>2100</v>
      </c>
      <c r="BV201">
        <v>2100</v>
      </c>
      <c r="BW201">
        <v>2100</v>
      </c>
      <c r="BX201">
        <v>6300</v>
      </c>
      <c r="BY201">
        <v>1200</v>
      </c>
      <c r="BZ201">
        <v>1200</v>
      </c>
      <c r="CA201">
        <v>1200</v>
      </c>
      <c r="CB201">
        <v>3600</v>
      </c>
      <c r="CC201">
        <v>0</v>
      </c>
      <c r="CD201">
        <v>0</v>
      </c>
      <c r="CE201">
        <v>0</v>
      </c>
      <c r="CF201">
        <v>0</v>
      </c>
      <c r="CG201">
        <v>39515</v>
      </c>
      <c r="CH201">
        <v>0</v>
      </c>
      <c r="CI201">
        <v>0</v>
      </c>
      <c r="CJ201">
        <v>0</v>
      </c>
      <c r="CK201">
        <v>0</v>
      </c>
      <c r="CL201">
        <v>2065</v>
      </c>
      <c r="CM201">
        <v>2065</v>
      </c>
      <c r="CN201">
        <v>2065</v>
      </c>
      <c r="CO201">
        <v>6195</v>
      </c>
      <c r="CP201">
        <v>500</v>
      </c>
      <c r="CQ201">
        <v>500</v>
      </c>
      <c r="CR201">
        <v>500</v>
      </c>
      <c r="CS201">
        <v>1500</v>
      </c>
      <c r="CT201">
        <v>1500</v>
      </c>
      <c r="CU201">
        <v>1500</v>
      </c>
      <c r="CV201">
        <v>1500</v>
      </c>
      <c r="CW201">
        <v>4500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12195</v>
      </c>
      <c r="EE201">
        <v>0</v>
      </c>
      <c r="EF201">
        <v>0</v>
      </c>
      <c r="EG201">
        <v>0</v>
      </c>
      <c r="EH201">
        <v>0</v>
      </c>
      <c r="EI201">
        <v>1154</v>
      </c>
      <c r="EJ201">
        <v>1154</v>
      </c>
      <c r="EK201">
        <v>1155</v>
      </c>
      <c r="EL201">
        <v>3500</v>
      </c>
      <c r="EM201">
        <v>37.065000000000005</v>
      </c>
      <c r="EN201">
        <v>660</v>
      </c>
      <c r="EO201">
        <v>660</v>
      </c>
      <c r="EP201">
        <v>660</v>
      </c>
      <c r="EQ201">
        <v>2000</v>
      </c>
      <c r="ER201">
        <v>21.18</v>
      </c>
      <c r="ES201">
        <v>7306</v>
      </c>
      <c r="ET201">
        <v>7306</v>
      </c>
      <c r="EU201">
        <v>7306</v>
      </c>
      <c r="EV201">
        <v>22846</v>
      </c>
      <c r="EW201">
        <v>967.75656000000004</v>
      </c>
      <c r="FA201">
        <v>0</v>
      </c>
      <c r="FE201">
        <v>0</v>
      </c>
      <c r="FI201">
        <v>0</v>
      </c>
      <c r="FJ201">
        <v>27319.998439999999</v>
      </c>
      <c r="FK201">
        <v>27320</v>
      </c>
      <c r="FL201">
        <v>1.6290046370335952E-3</v>
      </c>
      <c r="FM201">
        <v>1.5600000006088521E-3</v>
      </c>
    </row>
    <row r="202" spans="1:169" x14ac:dyDescent="0.35">
      <c r="A202">
        <v>193345</v>
      </c>
      <c r="B202" s="43" t="s">
        <v>4084</v>
      </c>
      <c r="C202" s="43" t="s">
        <v>4085</v>
      </c>
      <c r="D202" s="43" t="s">
        <v>4086</v>
      </c>
      <c r="E202" s="43" t="s">
        <v>4087</v>
      </c>
      <c r="F202">
        <v>1</v>
      </c>
      <c r="H202" s="23"/>
      <c r="I202">
        <v>43804</v>
      </c>
      <c r="J202" s="43" t="s">
        <v>4240</v>
      </c>
      <c r="K202" s="43" t="s">
        <v>1715</v>
      </c>
      <c r="L202" s="43" t="s">
        <v>3204</v>
      </c>
      <c r="M202" s="43" t="s">
        <v>4088</v>
      </c>
      <c r="N202" s="43" t="s">
        <v>4089</v>
      </c>
      <c r="O202" s="43" t="s">
        <v>595</v>
      </c>
      <c r="P202" s="43" t="s">
        <v>596</v>
      </c>
      <c r="Q202" s="43" t="s">
        <v>4090</v>
      </c>
      <c r="S202" s="23">
        <v>44109</v>
      </c>
      <c r="T202" s="43" t="s">
        <v>311</v>
      </c>
      <c r="U202" s="43" t="s">
        <v>266</v>
      </c>
      <c r="V202" s="43" t="s">
        <v>267</v>
      </c>
      <c r="W202" s="43" t="s">
        <v>1718</v>
      </c>
      <c r="X202" s="43" t="s">
        <v>1719</v>
      </c>
      <c r="Y202">
        <v>8772802835</v>
      </c>
      <c r="Z202" s="43" t="s">
        <v>270</v>
      </c>
      <c r="AA202" s="43" t="s">
        <v>271</v>
      </c>
      <c r="AB202">
        <v>24</v>
      </c>
      <c r="AC202">
        <v>0</v>
      </c>
      <c r="AD202">
        <v>108</v>
      </c>
      <c r="AE202" s="43" t="s">
        <v>301</v>
      </c>
      <c r="AF202">
        <v>1</v>
      </c>
      <c r="AG202" s="43" t="s">
        <v>3345</v>
      </c>
      <c r="AH202">
        <v>1564</v>
      </c>
      <c r="AI202">
        <v>1564</v>
      </c>
      <c r="AJ202" s="23">
        <v>43790</v>
      </c>
      <c r="AK202" s="43" t="s">
        <v>3208</v>
      </c>
      <c r="AL202" s="43" t="s">
        <v>3209</v>
      </c>
      <c r="AM202" s="23"/>
      <c r="AN202" s="23"/>
      <c r="AO202" s="23"/>
      <c r="AP202" s="23"/>
      <c r="AQ202" s="23"/>
      <c r="BB202" s="43"/>
      <c r="BC202" s="43" t="s">
        <v>2018</v>
      </c>
      <c r="BD202" s="43" t="s">
        <v>2018</v>
      </c>
      <c r="BE202" s="43" t="s">
        <v>2018</v>
      </c>
      <c r="BF202" s="43" t="s">
        <v>2018</v>
      </c>
      <c r="BG202" s="43" t="s">
        <v>2018</v>
      </c>
      <c r="BH202" t="s">
        <v>2018</v>
      </c>
      <c r="BI202" s="43" t="s">
        <v>2018</v>
      </c>
      <c r="BJ202">
        <v>0</v>
      </c>
      <c r="BK202" s="23">
        <v>44109</v>
      </c>
      <c r="BL202" s="23">
        <v>44356</v>
      </c>
      <c r="BM202">
        <v>8505</v>
      </c>
      <c r="BN202">
        <v>8505</v>
      </c>
      <c r="BO202">
        <v>8505</v>
      </c>
      <c r="BP202">
        <v>25515</v>
      </c>
      <c r="BQ202">
        <v>3300</v>
      </c>
      <c r="BR202">
        <v>400</v>
      </c>
      <c r="BS202">
        <v>400</v>
      </c>
      <c r="BT202">
        <v>4100</v>
      </c>
      <c r="BU202">
        <v>2100</v>
      </c>
      <c r="BV202">
        <v>2100</v>
      </c>
      <c r="BW202">
        <v>2100</v>
      </c>
      <c r="BX202">
        <v>6300</v>
      </c>
      <c r="BY202">
        <v>1200</v>
      </c>
      <c r="BZ202">
        <v>1200</v>
      </c>
      <c r="CA202">
        <v>1200</v>
      </c>
      <c r="CB202">
        <v>3600</v>
      </c>
      <c r="CC202">
        <v>0</v>
      </c>
      <c r="CD202">
        <v>0</v>
      </c>
      <c r="CE202">
        <v>0</v>
      </c>
      <c r="CF202">
        <v>0</v>
      </c>
      <c r="CG202">
        <v>39515</v>
      </c>
      <c r="CH202">
        <v>0</v>
      </c>
      <c r="CI202">
        <v>0</v>
      </c>
      <c r="CJ202">
        <v>0</v>
      </c>
      <c r="CK202">
        <v>0</v>
      </c>
      <c r="CL202">
        <v>1549</v>
      </c>
      <c r="CM202">
        <v>1548</v>
      </c>
      <c r="CN202">
        <v>1548</v>
      </c>
      <c r="CO202">
        <v>4645</v>
      </c>
      <c r="CP202">
        <v>500</v>
      </c>
      <c r="CQ202">
        <v>500</v>
      </c>
      <c r="CR202">
        <v>500</v>
      </c>
      <c r="CS202">
        <v>1500</v>
      </c>
      <c r="CT202">
        <v>1700</v>
      </c>
      <c r="CU202">
        <v>1700</v>
      </c>
      <c r="CV202">
        <v>1700</v>
      </c>
      <c r="CW202">
        <v>5100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11245</v>
      </c>
      <c r="EE202">
        <v>0</v>
      </c>
      <c r="EF202">
        <v>0</v>
      </c>
      <c r="EG202">
        <v>0</v>
      </c>
      <c r="EH202">
        <v>0</v>
      </c>
      <c r="EI202">
        <v>1154</v>
      </c>
      <c r="EJ202">
        <v>1154</v>
      </c>
      <c r="EK202">
        <v>1155</v>
      </c>
      <c r="EL202">
        <v>3500</v>
      </c>
      <c r="EM202">
        <v>37.065000000000005</v>
      </c>
      <c r="EN202">
        <v>660</v>
      </c>
      <c r="EO202">
        <v>660</v>
      </c>
      <c r="EP202">
        <v>660</v>
      </c>
      <c r="EQ202">
        <v>2000</v>
      </c>
      <c r="ER202">
        <v>21.18</v>
      </c>
      <c r="ES202">
        <v>0</v>
      </c>
      <c r="ET202">
        <v>0</v>
      </c>
      <c r="EU202">
        <v>0</v>
      </c>
      <c r="EV202">
        <v>0</v>
      </c>
      <c r="EW202">
        <v>0</v>
      </c>
      <c r="FA202">
        <v>0</v>
      </c>
      <c r="FE202">
        <v>0</v>
      </c>
      <c r="FI202">
        <v>0</v>
      </c>
      <c r="FJ202">
        <v>5441.7550000000001</v>
      </c>
      <c r="FK202">
        <v>28270</v>
      </c>
      <c r="FL202">
        <v>23838.02368322125</v>
      </c>
      <c r="FM202">
        <v>22828.244999999999</v>
      </c>
    </row>
    <row r="203" spans="1:169" x14ac:dyDescent="0.35">
      <c r="A203">
        <v>196822</v>
      </c>
      <c r="B203" s="43" t="s">
        <v>2090</v>
      </c>
      <c r="C203" s="43" t="s">
        <v>2859</v>
      </c>
      <c r="D203" s="43" t="s">
        <v>2860</v>
      </c>
      <c r="E203" s="43" t="s">
        <v>2861</v>
      </c>
      <c r="F203">
        <v>1</v>
      </c>
      <c r="H203" s="23"/>
      <c r="I203">
        <v>43804</v>
      </c>
      <c r="J203" s="43" t="s">
        <v>4240</v>
      </c>
      <c r="K203" s="43" t="s">
        <v>1715</v>
      </c>
      <c r="L203" s="43" t="s">
        <v>3204</v>
      </c>
      <c r="M203" s="43" t="s">
        <v>2862</v>
      </c>
      <c r="N203" s="43" t="s">
        <v>2863</v>
      </c>
      <c r="O203" s="43" t="s">
        <v>2864</v>
      </c>
      <c r="P203" s="43" t="s">
        <v>332</v>
      </c>
      <c r="Q203" s="43" t="s">
        <v>2865</v>
      </c>
      <c r="S203" s="23">
        <v>44109</v>
      </c>
      <c r="T203" s="43" t="s">
        <v>311</v>
      </c>
      <c r="U203" s="43" t="s">
        <v>286</v>
      </c>
      <c r="V203" s="43" t="s">
        <v>267</v>
      </c>
      <c r="W203" s="43" t="s">
        <v>1718</v>
      </c>
      <c r="X203" s="43" t="s">
        <v>1719</v>
      </c>
      <c r="Y203">
        <v>8772802835</v>
      </c>
      <c r="Z203" s="43" t="s">
        <v>270</v>
      </c>
      <c r="AA203" s="43" t="s">
        <v>271</v>
      </c>
      <c r="AB203">
        <v>26</v>
      </c>
      <c r="AC203">
        <v>0</v>
      </c>
      <c r="AD203">
        <v>85</v>
      </c>
      <c r="AE203" s="43" t="s">
        <v>344</v>
      </c>
      <c r="AF203">
        <v>10</v>
      </c>
      <c r="AG203" s="43" t="s">
        <v>275</v>
      </c>
      <c r="AH203">
        <v>1084</v>
      </c>
      <c r="AI203">
        <v>1084</v>
      </c>
      <c r="AJ203" s="23">
        <v>43774</v>
      </c>
      <c r="AK203" s="43" t="s">
        <v>1715</v>
      </c>
      <c r="AL203" s="43" t="s">
        <v>259</v>
      </c>
      <c r="AM203" s="23"/>
      <c r="AN203" s="23"/>
      <c r="AO203" s="23"/>
      <c r="AP203" s="23"/>
      <c r="AQ203" s="23"/>
      <c r="BB203" s="43"/>
      <c r="BC203" s="43" t="s">
        <v>259</v>
      </c>
      <c r="BD203" s="43" t="s">
        <v>259</v>
      </c>
      <c r="BE203" s="43" t="s">
        <v>259</v>
      </c>
      <c r="BF203" s="43" t="s">
        <v>259</v>
      </c>
      <c r="BG203" s="43" t="s">
        <v>259</v>
      </c>
      <c r="BH203" t="s">
        <v>259</v>
      </c>
      <c r="BI203" s="43" t="s">
        <v>259</v>
      </c>
      <c r="BJ203">
        <v>0</v>
      </c>
      <c r="BK203" s="23">
        <v>44109</v>
      </c>
      <c r="BL203" s="23">
        <v>44356</v>
      </c>
      <c r="BM203">
        <v>8505</v>
      </c>
      <c r="BN203">
        <v>8505</v>
      </c>
      <c r="BO203">
        <v>8505</v>
      </c>
      <c r="BP203">
        <v>25515</v>
      </c>
      <c r="BQ203">
        <v>3300</v>
      </c>
      <c r="BR203">
        <v>400</v>
      </c>
      <c r="BS203">
        <v>400</v>
      </c>
      <c r="BT203">
        <v>4100</v>
      </c>
      <c r="BU203">
        <v>2100</v>
      </c>
      <c r="BV203">
        <v>2100</v>
      </c>
      <c r="BW203">
        <v>2100</v>
      </c>
      <c r="BX203">
        <v>6300</v>
      </c>
      <c r="BY203">
        <v>1200</v>
      </c>
      <c r="BZ203">
        <v>1200</v>
      </c>
      <c r="CA203">
        <v>1200</v>
      </c>
      <c r="CB203">
        <v>3600</v>
      </c>
      <c r="CC203">
        <v>0</v>
      </c>
      <c r="CD203">
        <v>0</v>
      </c>
      <c r="CE203">
        <v>0</v>
      </c>
      <c r="CF203">
        <v>0</v>
      </c>
      <c r="CG203">
        <v>39515</v>
      </c>
      <c r="CH203">
        <v>0</v>
      </c>
      <c r="CI203">
        <v>0</v>
      </c>
      <c r="CJ203">
        <v>0</v>
      </c>
      <c r="CK203">
        <v>0</v>
      </c>
      <c r="CL203">
        <v>1715</v>
      </c>
      <c r="CM203">
        <v>1715</v>
      </c>
      <c r="CN203">
        <v>1715</v>
      </c>
      <c r="CO203">
        <v>5145</v>
      </c>
      <c r="CP203">
        <v>500</v>
      </c>
      <c r="CQ203">
        <v>500</v>
      </c>
      <c r="CR203">
        <v>500</v>
      </c>
      <c r="CS203">
        <v>1500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1000</v>
      </c>
      <c r="DC203">
        <v>1000</v>
      </c>
      <c r="DD203">
        <v>1000</v>
      </c>
      <c r="DE203">
        <v>3000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9645</v>
      </c>
      <c r="EE203">
        <v>0</v>
      </c>
      <c r="EF203">
        <v>0</v>
      </c>
      <c r="EG203">
        <v>0</v>
      </c>
      <c r="EH203">
        <v>0</v>
      </c>
      <c r="EI203">
        <v>1154</v>
      </c>
      <c r="EJ203">
        <v>1154</v>
      </c>
      <c r="EK203">
        <v>1155</v>
      </c>
      <c r="EL203">
        <v>3500</v>
      </c>
      <c r="EM203">
        <v>37.065000000000005</v>
      </c>
      <c r="EN203">
        <v>660</v>
      </c>
      <c r="EO203">
        <v>660</v>
      </c>
      <c r="EP203">
        <v>660</v>
      </c>
      <c r="EQ203">
        <v>2000</v>
      </c>
      <c r="ER203">
        <v>21.18</v>
      </c>
      <c r="ES203">
        <v>0</v>
      </c>
      <c r="ET203">
        <v>0</v>
      </c>
      <c r="EU203">
        <v>0</v>
      </c>
      <c r="EV203">
        <v>0</v>
      </c>
      <c r="EW203">
        <v>0</v>
      </c>
      <c r="FA203">
        <v>0</v>
      </c>
      <c r="FE203">
        <v>0</v>
      </c>
      <c r="FI203">
        <v>0</v>
      </c>
      <c r="FJ203">
        <v>5441.7550000000001</v>
      </c>
      <c r="FK203">
        <v>29870</v>
      </c>
      <c r="FL203">
        <v>25508.797669270287</v>
      </c>
      <c r="FM203">
        <v>24428.244999999999</v>
      </c>
    </row>
    <row r="204" spans="1:169" x14ac:dyDescent="0.35">
      <c r="A204">
        <v>197644</v>
      </c>
      <c r="B204" s="43" t="s">
        <v>2866</v>
      </c>
      <c r="C204" s="43" t="s">
        <v>2867</v>
      </c>
      <c r="D204" s="43" t="s">
        <v>2868</v>
      </c>
      <c r="E204" s="43" t="s">
        <v>2869</v>
      </c>
      <c r="F204">
        <v>1</v>
      </c>
      <c r="G204">
        <v>43703</v>
      </c>
      <c r="H204" s="23">
        <v>43703</v>
      </c>
      <c r="I204">
        <v>43703</v>
      </c>
      <c r="J204" s="43" t="s">
        <v>2870</v>
      </c>
      <c r="K204" s="43" t="s">
        <v>1715</v>
      </c>
      <c r="L204" s="43" t="s">
        <v>301</v>
      </c>
      <c r="M204" s="43" t="s">
        <v>2871</v>
      </c>
      <c r="N204" s="43" t="s">
        <v>2872</v>
      </c>
      <c r="O204" s="43" t="s">
        <v>2873</v>
      </c>
      <c r="P204" s="43" t="s">
        <v>1370</v>
      </c>
      <c r="Q204" s="43" t="s">
        <v>2874</v>
      </c>
      <c r="S204" s="23">
        <v>44109</v>
      </c>
      <c r="T204" s="43" t="s">
        <v>265</v>
      </c>
      <c r="U204" s="43" t="s">
        <v>266</v>
      </c>
      <c r="V204" s="43" t="s">
        <v>267</v>
      </c>
      <c r="W204" s="43" t="s">
        <v>1718</v>
      </c>
      <c r="X204" s="43" t="s">
        <v>1719</v>
      </c>
      <c r="Y204">
        <v>8772802835</v>
      </c>
      <c r="Z204" s="43" t="s">
        <v>508</v>
      </c>
      <c r="AA204" s="43" t="s">
        <v>271</v>
      </c>
      <c r="AB204">
        <v>0</v>
      </c>
      <c r="AC204">
        <v>990</v>
      </c>
      <c r="AD204">
        <v>75</v>
      </c>
      <c r="AE204" s="43" t="s">
        <v>344</v>
      </c>
      <c r="AF204">
        <v>10</v>
      </c>
      <c r="AG204" s="43" t="s">
        <v>446</v>
      </c>
      <c r="AH204">
        <v>0</v>
      </c>
      <c r="AI204">
        <v>0</v>
      </c>
      <c r="AJ204" s="23">
        <v>43774</v>
      </c>
      <c r="AK204" s="43" t="s">
        <v>1715</v>
      </c>
      <c r="AL204" s="43" t="s">
        <v>259</v>
      </c>
      <c r="AM204" s="23"/>
      <c r="AN204" s="23"/>
      <c r="AO204" s="23">
        <v>43765</v>
      </c>
      <c r="AP204" s="23">
        <v>43765</v>
      </c>
      <c r="AQ204" s="23">
        <v>43765</v>
      </c>
      <c r="BB204" s="43"/>
      <c r="BC204" s="43" t="s">
        <v>259</v>
      </c>
      <c r="BD204" s="43" t="s">
        <v>259</v>
      </c>
      <c r="BE204" s="43" t="s">
        <v>259</v>
      </c>
      <c r="BF204" s="43" t="s">
        <v>2018</v>
      </c>
      <c r="BG204" s="43" t="s">
        <v>2018</v>
      </c>
      <c r="BH204" t="s">
        <v>2018</v>
      </c>
      <c r="BI204" s="43" t="s">
        <v>2018</v>
      </c>
      <c r="BJ204">
        <v>0.15789473684210531</v>
      </c>
      <c r="BK204" s="23">
        <v>44109</v>
      </c>
      <c r="BL204" s="23">
        <v>44356</v>
      </c>
      <c r="BM204">
        <v>8505</v>
      </c>
      <c r="BN204">
        <v>8505</v>
      </c>
      <c r="BO204">
        <v>8505</v>
      </c>
      <c r="BP204">
        <v>25515</v>
      </c>
      <c r="BQ204">
        <v>3300</v>
      </c>
      <c r="BR204">
        <v>400</v>
      </c>
      <c r="BS204">
        <v>400</v>
      </c>
      <c r="BT204">
        <v>4100</v>
      </c>
      <c r="BU204">
        <v>2100</v>
      </c>
      <c r="BV204">
        <v>2100</v>
      </c>
      <c r="BW204">
        <v>2100</v>
      </c>
      <c r="BX204">
        <v>6300</v>
      </c>
      <c r="BY204">
        <v>1200</v>
      </c>
      <c r="BZ204">
        <v>1200</v>
      </c>
      <c r="CA204">
        <v>1200</v>
      </c>
      <c r="CB204">
        <v>3600</v>
      </c>
      <c r="CC204">
        <v>0</v>
      </c>
      <c r="CD204">
        <v>0</v>
      </c>
      <c r="CE204">
        <v>0</v>
      </c>
      <c r="CF204">
        <v>0</v>
      </c>
      <c r="CG204">
        <v>39515</v>
      </c>
      <c r="CH204">
        <v>0</v>
      </c>
      <c r="CI204">
        <v>0</v>
      </c>
      <c r="CJ204">
        <v>0</v>
      </c>
      <c r="CK204">
        <v>0</v>
      </c>
      <c r="CL204">
        <v>2065</v>
      </c>
      <c r="CM204">
        <v>2065</v>
      </c>
      <c r="CN204">
        <v>2065</v>
      </c>
      <c r="CO204">
        <v>6195</v>
      </c>
      <c r="CP204">
        <v>500</v>
      </c>
      <c r="CQ204">
        <v>500</v>
      </c>
      <c r="CR204">
        <v>500</v>
      </c>
      <c r="CS204">
        <v>1500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7695</v>
      </c>
      <c r="EE204">
        <v>0</v>
      </c>
      <c r="EF204">
        <v>0</v>
      </c>
      <c r="EG204">
        <v>0</v>
      </c>
      <c r="EH204">
        <v>0</v>
      </c>
      <c r="EI204">
        <v>1154</v>
      </c>
      <c r="EJ204">
        <v>1154</v>
      </c>
      <c r="EK204">
        <v>1155</v>
      </c>
      <c r="EL204">
        <v>3500</v>
      </c>
      <c r="EM204">
        <v>37.065000000000005</v>
      </c>
      <c r="EN204">
        <v>1979</v>
      </c>
      <c r="EO204">
        <v>1979</v>
      </c>
      <c r="EP204">
        <v>1979</v>
      </c>
      <c r="EQ204">
        <v>6000</v>
      </c>
      <c r="ER204">
        <v>63.540000000000006</v>
      </c>
      <c r="ES204">
        <v>0</v>
      </c>
      <c r="ET204">
        <v>0</v>
      </c>
      <c r="EU204">
        <v>0</v>
      </c>
      <c r="EV204">
        <v>0</v>
      </c>
      <c r="EW204">
        <v>0</v>
      </c>
      <c r="FA204">
        <v>0</v>
      </c>
      <c r="FE204">
        <v>0</v>
      </c>
      <c r="FI204">
        <v>0</v>
      </c>
      <c r="FJ204">
        <v>9399.3950000000004</v>
      </c>
      <c r="FK204">
        <v>31820</v>
      </c>
      <c r="FL204">
        <v>23412.352240925607</v>
      </c>
      <c r="FM204">
        <v>22420.605</v>
      </c>
    </row>
    <row r="205" spans="1:169" x14ac:dyDescent="0.35">
      <c r="A205">
        <v>198394</v>
      </c>
      <c r="B205" s="43" t="s">
        <v>2875</v>
      </c>
      <c r="C205" s="43" t="s">
        <v>2876</v>
      </c>
      <c r="D205" s="43" t="s">
        <v>2877</v>
      </c>
      <c r="E205" s="43" t="s">
        <v>2878</v>
      </c>
      <c r="F205">
        <v>1</v>
      </c>
      <c r="H205" s="23"/>
      <c r="I205">
        <v>43804</v>
      </c>
      <c r="J205" s="43" t="s">
        <v>4242</v>
      </c>
      <c r="K205" s="43" t="s">
        <v>1715</v>
      </c>
      <c r="L205" s="43" t="s">
        <v>259</v>
      </c>
      <c r="M205" s="43" t="s">
        <v>2879</v>
      </c>
      <c r="N205" s="43" t="s">
        <v>2880</v>
      </c>
      <c r="O205" s="43" t="s">
        <v>2881</v>
      </c>
      <c r="P205" s="43" t="s">
        <v>831</v>
      </c>
      <c r="Q205" s="43" t="s">
        <v>2882</v>
      </c>
      <c r="S205" s="23">
        <v>44109</v>
      </c>
      <c r="T205" s="43" t="s">
        <v>311</v>
      </c>
      <c r="U205" s="43" t="s">
        <v>266</v>
      </c>
      <c r="V205" s="43" t="s">
        <v>267</v>
      </c>
      <c r="W205" s="43" t="s">
        <v>1718</v>
      </c>
      <c r="X205" s="43" t="s">
        <v>1719</v>
      </c>
      <c r="Y205">
        <v>8772802835</v>
      </c>
      <c r="Z205" s="43" t="s">
        <v>270</v>
      </c>
      <c r="AA205" s="43" t="s">
        <v>271</v>
      </c>
      <c r="AB205">
        <v>0</v>
      </c>
      <c r="AC205">
        <v>1470</v>
      </c>
      <c r="AD205">
        <v>134</v>
      </c>
      <c r="AE205" s="43" t="s">
        <v>301</v>
      </c>
      <c r="AF205">
        <v>1</v>
      </c>
      <c r="AG205" s="43" t="s">
        <v>275</v>
      </c>
      <c r="AJ205" s="23"/>
      <c r="AK205" s="43" t="s">
        <v>259</v>
      </c>
      <c r="AL205" s="43" t="s">
        <v>259</v>
      </c>
      <c r="AM205" s="23"/>
      <c r="AN205" s="23"/>
      <c r="AO205" s="23"/>
      <c r="AP205" s="23"/>
      <c r="AQ205" s="23"/>
      <c r="BB205" s="43"/>
      <c r="BC205" s="43" t="s">
        <v>259</v>
      </c>
      <c r="BD205" s="43" t="s">
        <v>259</v>
      </c>
      <c r="BE205" s="43" t="s">
        <v>259</v>
      </c>
      <c r="BF205" s="43" t="s">
        <v>259</v>
      </c>
      <c r="BG205" s="43" t="s">
        <v>259</v>
      </c>
      <c r="BH205" t="s">
        <v>259</v>
      </c>
      <c r="BI205" s="43" t="s">
        <v>259</v>
      </c>
      <c r="BJ205">
        <v>0</v>
      </c>
      <c r="BK205" s="23">
        <v>44109</v>
      </c>
      <c r="BL205" s="23">
        <v>44356</v>
      </c>
      <c r="BM205">
        <v>8505</v>
      </c>
      <c r="BN205">
        <v>8505</v>
      </c>
      <c r="BO205">
        <v>8505</v>
      </c>
      <c r="BP205">
        <v>25515</v>
      </c>
      <c r="BQ205">
        <v>3300</v>
      </c>
      <c r="BR205">
        <v>400</v>
      </c>
      <c r="BS205">
        <v>400</v>
      </c>
      <c r="BT205">
        <v>4100</v>
      </c>
      <c r="BU205">
        <v>2100</v>
      </c>
      <c r="BV205">
        <v>2100</v>
      </c>
      <c r="BW205">
        <v>2100</v>
      </c>
      <c r="BX205">
        <v>6300</v>
      </c>
      <c r="BY205">
        <v>1200</v>
      </c>
      <c r="BZ205">
        <v>1200</v>
      </c>
      <c r="CA205">
        <v>1200</v>
      </c>
      <c r="CB205">
        <v>3600</v>
      </c>
      <c r="CC205">
        <v>0</v>
      </c>
      <c r="CD205">
        <v>0</v>
      </c>
      <c r="CE205">
        <v>0</v>
      </c>
      <c r="CF205">
        <v>0</v>
      </c>
      <c r="CG205">
        <v>39515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1700</v>
      </c>
      <c r="CU205">
        <v>1700</v>
      </c>
      <c r="CV205">
        <v>1700</v>
      </c>
      <c r="CW205">
        <v>5100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5100</v>
      </c>
      <c r="EE205">
        <v>0</v>
      </c>
      <c r="EF205">
        <v>0</v>
      </c>
      <c r="EG205">
        <v>0</v>
      </c>
      <c r="EH205">
        <v>0</v>
      </c>
      <c r="EI205">
        <v>1154</v>
      </c>
      <c r="EJ205">
        <v>1154</v>
      </c>
      <c r="EK205">
        <v>1155</v>
      </c>
      <c r="EL205">
        <v>3500</v>
      </c>
      <c r="EM205">
        <v>37.065000000000005</v>
      </c>
      <c r="EN205">
        <v>660</v>
      </c>
      <c r="EO205">
        <v>660</v>
      </c>
      <c r="EP205">
        <v>660</v>
      </c>
      <c r="EQ205">
        <v>2000</v>
      </c>
      <c r="ER205">
        <v>21.18</v>
      </c>
      <c r="ES205">
        <v>0</v>
      </c>
      <c r="ET205">
        <v>0</v>
      </c>
      <c r="EU205">
        <v>0</v>
      </c>
      <c r="EV205">
        <v>0</v>
      </c>
      <c r="EW205">
        <v>0</v>
      </c>
      <c r="FA205">
        <v>0</v>
      </c>
      <c r="FE205">
        <v>0</v>
      </c>
      <c r="FI205">
        <v>0</v>
      </c>
      <c r="FJ205">
        <v>5441.7550000000001</v>
      </c>
      <c r="FK205">
        <v>34415</v>
      </c>
      <c r="FL205">
        <v>30254.840023390832</v>
      </c>
      <c r="FM205">
        <v>28973.244999999999</v>
      </c>
    </row>
    <row r="206" spans="1:169" x14ac:dyDescent="0.35">
      <c r="A206">
        <v>197544</v>
      </c>
      <c r="B206" s="43" t="s">
        <v>2883</v>
      </c>
      <c r="C206" s="43" t="s">
        <v>406</v>
      </c>
      <c r="D206" s="43" t="s">
        <v>2884</v>
      </c>
      <c r="E206" s="43" t="s">
        <v>2885</v>
      </c>
      <c r="F206">
        <v>1</v>
      </c>
      <c r="H206" s="23"/>
      <c r="I206">
        <v>43783</v>
      </c>
      <c r="J206" s="43" t="s">
        <v>3305</v>
      </c>
      <c r="K206" s="43" t="s">
        <v>1715</v>
      </c>
      <c r="L206" s="43" t="s">
        <v>3204</v>
      </c>
      <c r="M206" s="43" t="s">
        <v>2886</v>
      </c>
      <c r="N206" s="43" t="s">
        <v>2887</v>
      </c>
      <c r="O206" s="43" t="s">
        <v>2888</v>
      </c>
      <c r="P206" s="43" t="s">
        <v>542</v>
      </c>
      <c r="Q206" s="43" t="s">
        <v>2889</v>
      </c>
      <c r="S206" s="23">
        <v>44109</v>
      </c>
      <c r="T206" s="43" t="s">
        <v>544</v>
      </c>
      <c r="U206" s="43" t="s">
        <v>266</v>
      </c>
      <c r="V206" s="43" t="s">
        <v>267</v>
      </c>
      <c r="W206" s="43" t="s">
        <v>1718</v>
      </c>
      <c r="X206" s="43" t="s">
        <v>1719</v>
      </c>
      <c r="Y206">
        <v>8772802835</v>
      </c>
      <c r="Z206" s="43" t="s">
        <v>270</v>
      </c>
      <c r="AA206" s="43" t="s">
        <v>271</v>
      </c>
      <c r="AB206">
        <v>24</v>
      </c>
      <c r="AC206">
        <v>0</v>
      </c>
      <c r="AD206">
        <v>0</v>
      </c>
      <c r="AE206" s="43" t="s">
        <v>376</v>
      </c>
      <c r="AF206">
        <v>7</v>
      </c>
      <c r="AG206" s="43" t="s">
        <v>275</v>
      </c>
      <c r="AH206">
        <v>14768</v>
      </c>
      <c r="AI206">
        <v>14768</v>
      </c>
      <c r="AJ206" s="23">
        <v>43774</v>
      </c>
      <c r="AK206" s="43" t="s">
        <v>3208</v>
      </c>
      <c r="AL206" s="43" t="s">
        <v>3209</v>
      </c>
      <c r="AM206" s="23"/>
      <c r="AN206" s="23"/>
      <c r="AO206" s="23"/>
      <c r="AP206" s="23"/>
      <c r="AQ206" s="23"/>
      <c r="BB206" s="43"/>
      <c r="BC206" s="43" t="s">
        <v>2018</v>
      </c>
      <c r="BD206" s="43" t="s">
        <v>2018</v>
      </c>
      <c r="BE206" s="43" t="s">
        <v>2018</v>
      </c>
      <c r="BF206" s="43" t="s">
        <v>2018</v>
      </c>
      <c r="BG206" s="43" t="s">
        <v>2018</v>
      </c>
      <c r="BH206" t="s">
        <v>2018</v>
      </c>
      <c r="BI206" s="43" t="s">
        <v>2018</v>
      </c>
      <c r="BJ206">
        <v>0</v>
      </c>
      <c r="BK206" s="23">
        <v>44109</v>
      </c>
      <c r="BL206" s="23">
        <v>44356</v>
      </c>
      <c r="BM206">
        <v>8505</v>
      </c>
      <c r="BN206">
        <v>8505</v>
      </c>
      <c r="BO206">
        <v>8505</v>
      </c>
      <c r="BP206">
        <v>25515</v>
      </c>
      <c r="BQ206">
        <v>3300</v>
      </c>
      <c r="BR206">
        <v>400</v>
      </c>
      <c r="BS206">
        <v>400</v>
      </c>
      <c r="BT206">
        <v>4100</v>
      </c>
      <c r="BU206">
        <v>2100</v>
      </c>
      <c r="BV206">
        <v>2100</v>
      </c>
      <c r="BW206">
        <v>2100</v>
      </c>
      <c r="BX206">
        <v>6300</v>
      </c>
      <c r="BY206">
        <v>1200</v>
      </c>
      <c r="BZ206">
        <v>1200</v>
      </c>
      <c r="CA206">
        <v>1200</v>
      </c>
      <c r="CB206">
        <v>3600</v>
      </c>
      <c r="CC206">
        <v>0</v>
      </c>
      <c r="CD206">
        <v>0</v>
      </c>
      <c r="CE206">
        <v>0</v>
      </c>
      <c r="CF206">
        <v>0</v>
      </c>
      <c r="CG206">
        <v>39515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3000</v>
      </c>
      <c r="CY206">
        <v>3000</v>
      </c>
      <c r="CZ206">
        <v>3000</v>
      </c>
      <c r="DA206">
        <v>9000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9000</v>
      </c>
      <c r="EE206">
        <v>0</v>
      </c>
      <c r="EF206">
        <v>0</v>
      </c>
      <c r="EG206">
        <v>0</v>
      </c>
      <c r="EH206">
        <v>0</v>
      </c>
      <c r="EI206">
        <v>1154</v>
      </c>
      <c r="EJ206">
        <v>1154</v>
      </c>
      <c r="EK206">
        <v>1155</v>
      </c>
      <c r="EL206">
        <v>3500</v>
      </c>
      <c r="EM206">
        <v>37.065000000000005</v>
      </c>
      <c r="EN206">
        <v>660</v>
      </c>
      <c r="EO206">
        <v>660</v>
      </c>
      <c r="EP206">
        <v>660</v>
      </c>
      <c r="EQ206">
        <v>2000</v>
      </c>
      <c r="ER206">
        <v>21.18</v>
      </c>
      <c r="ES206">
        <v>0</v>
      </c>
      <c r="ET206">
        <v>0</v>
      </c>
      <c r="EU206">
        <v>0</v>
      </c>
      <c r="EV206">
        <v>0</v>
      </c>
      <c r="EW206">
        <v>0</v>
      </c>
      <c r="FA206">
        <v>0</v>
      </c>
      <c r="FE206">
        <v>0</v>
      </c>
      <c r="FI206">
        <v>0</v>
      </c>
      <c r="FJ206">
        <v>5441.7550000000001</v>
      </c>
      <c r="FK206">
        <v>30515</v>
      </c>
      <c r="FL206">
        <v>26182.328432396305</v>
      </c>
      <c r="FM206">
        <v>25073.244999999999</v>
      </c>
    </row>
    <row r="207" spans="1:169" x14ac:dyDescent="0.35">
      <c r="A207">
        <v>198706</v>
      </c>
      <c r="B207" s="43" t="s">
        <v>3400</v>
      </c>
      <c r="C207" s="43" t="s">
        <v>3401</v>
      </c>
      <c r="D207" s="43" t="s">
        <v>3402</v>
      </c>
      <c r="E207" s="43" t="s">
        <v>3403</v>
      </c>
      <c r="F207">
        <v>1</v>
      </c>
      <c r="H207" s="23"/>
      <c r="I207">
        <v>43804</v>
      </c>
      <c r="J207" s="43" t="s">
        <v>4240</v>
      </c>
      <c r="K207" s="43" t="s">
        <v>1715</v>
      </c>
      <c r="L207" s="43" t="s">
        <v>3204</v>
      </c>
      <c r="M207" s="43" t="s">
        <v>3404</v>
      </c>
      <c r="N207" s="43" t="s">
        <v>3405</v>
      </c>
      <c r="O207" s="43" t="s">
        <v>3406</v>
      </c>
      <c r="P207" s="43" t="s">
        <v>687</v>
      </c>
      <c r="Q207" s="43" t="s">
        <v>3407</v>
      </c>
      <c r="S207" s="23">
        <v>44109</v>
      </c>
      <c r="T207" s="43" t="s">
        <v>311</v>
      </c>
      <c r="U207" s="43" t="s">
        <v>286</v>
      </c>
      <c r="V207" s="43" t="s">
        <v>267</v>
      </c>
      <c r="W207" s="43" t="s">
        <v>1718</v>
      </c>
      <c r="X207" s="43" t="s">
        <v>1719</v>
      </c>
      <c r="Y207">
        <v>8772802835</v>
      </c>
      <c r="Z207" s="43" t="s">
        <v>270</v>
      </c>
      <c r="AA207" s="43" t="s">
        <v>271</v>
      </c>
      <c r="AB207">
        <v>0</v>
      </c>
      <c r="AC207">
        <v>1140</v>
      </c>
      <c r="AD207">
        <v>115</v>
      </c>
      <c r="AE207" s="43" t="s">
        <v>301</v>
      </c>
      <c r="AF207">
        <v>1</v>
      </c>
      <c r="AG207" s="43" t="s">
        <v>3345</v>
      </c>
      <c r="AH207">
        <v>54175</v>
      </c>
      <c r="AI207">
        <v>54175</v>
      </c>
      <c r="AJ207" s="23">
        <v>43774</v>
      </c>
      <c r="AK207" s="43" t="s">
        <v>3208</v>
      </c>
      <c r="AL207" s="43" t="s">
        <v>3209</v>
      </c>
      <c r="AM207" s="23"/>
      <c r="AN207" s="23"/>
      <c r="AO207" s="23"/>
      <c r="AP207" s="23"/>
      <c r="AQ207" s="23"/>
      <c r="BB207" s="43"/>
      <c r="BC207" s="43" t="s">
        <v>2018</v>
      </c>
      <c r="BD207" s="43" t="s">
        <v>2018</v>
      </c>
      <c r="BE207" s="43" t="s">
        <v>2018</v>
      </c>
      <c r="BF207" s="43" t="s">
        <v>2018</v>
      </c>
      <c r="BG207" s="43" t="s">
        <v>2018</v>
      </c>
      <c r="BH207" t="s">
        <v>2018</v>
      </c>
      <c r="BI207" s="43" t="s">
        <v>2018</v>
      </c>
      <c r="BJ207">
        <v>0</v>
      </c>
      <c r="BK207" s="23">
        <v>44109</v>
      </c>
      <c r="BL207" s="23">
        <v>44356</v>
      </c>
      <c r="BM207">
        <v>8505</v>
      </c>
      <c r="BN207">
        <v>8505</v>
      </c>
      <c r="BO207">
        <v>8505</v>
      </c>
      <c r="BP207">
        <v>25515</v>
      </c>
      <c r="BQ207">
        <v>3300</v>
      </c>
      <c r="BR207">
        <v>400</v>
      </c>
      <c r="BS207">
        <v>400</v>
      </c>
      <c r="BT207">
        <v>4100</v>
      </c>
      <c r="BU207">
        <v>2100</v>
      </c>
      <c r="BV207">
        <v>2100</v>
      </c>
      <c r="BW207">
        <v>2100</v>
      </c>
      <c r="BX207">
        <v>6300</v>
      </c>
      <c r="BY207">
        <v>1200</v>
      </c>
      <c r="BZ207">
        <v>1200</v>
      </c>
      <c r="CA207">
        <v>1200</v>
      </c>
      <c r="CB207">
        <v>3600</v>
      </c>
      <c r="CC207">
        <v>0</v>
      </c>
      <c r="CD207">
        <v>0</v>
      </c>
      <c r="CE207">
        <v>0</v>
      </c>
      <c r="CF207">
        <v>0</v>
      </c>
      <c r="CG207">
        <v>39515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1700</v>
      </c>
      <c r="CU207">
        <v>1700</v>
      </c>
      <c r="CV207">
        <v>1700</v>
      </c>
      <c r="CW207">
        <v>5100</v>
      </c>
      <c r="CX207">
        <v>0</v>
      </c>
      <c r="CY207">
        <v>0</v>
      </c>
      <c r="CZ207">
        <v>0</v>
      </c>
      <c r="DA207">
        <v>0</v>
      </c>
      <c r="DB207">
        <v>1000</v>
      </c>
      <c r="DC207">
        <v>1000</v>
      </c>
      <c r="DD207">
        <v>1000</v>
      </c>
      <c r="DE207">
        <v>3000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8100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M207">
        <v>0</v>
      </c>
      <c r="EN207">
        <v>660</v>
      </c>
      <c r="EO207">
        <v>660</v>
      </c>
      <c r="EP207">
        <v>660</v>
      </c>
      <c r="EQ207">
        <v>2000</v>
      </c>
      <c r="ER207">
        <v>21.18</v>
      </c>
      <c r="ES207">
        <v>0</v>
      </c>
      <c r="ET207">
        <v>0</v>
      </c>
      <c r="EU207">
        <v>0</v>
      </c>
      <c r="EW207">
        <v>0</v>
      </c>
      <c r="FA207">
        <v>0</v>
      </c>
      <c r="FE207">
        <v>0</v>
      </c>
      <c r="FI207">
        <v>0</v>
      </c>
      <c r="FJ207">
        <v>1978.82</v>
      </c>
      <c r="FK207">
        <v>31415</v>
      </c>
      <c r="FL207">
        <v>30738.252370410592</v>
      </c>
      <c r="FM207">
        <v>29436.18</v>
      </c>
    </row>
    <row r="208" spans="1:169" x14ac:dyDescent="0.35">
      <c r="A208">
        <v>195734</v>
      </c>
      <c r="B208" s="43" t="s">
        <v>2890</v>
      </c>
      <c r="C208" s="43" t="s">
        <v>954</v>
      </c>
      <c r="D208" s="43" t="s">
        <v>2891</v>
      </c>
      <c r="E208" s="43" t="s">
        <v>2892</v>
      </c>
      <c r="F208">
        <v>1</v>
      </c>
      <c r="G208">
        <v>43491</v>
      </c>
      <c r="H208" s="23">
        <v>43802</v>
      </c>
      <c r="I208">
        <v>43804</v>
      </c>
      <c r="J208" s="43" t="s">
        <v>4246</v>
      </c>
      <c r="K208" s="43" t="s">
        <v>1715</v>
      </c>
      <c r="L208" s="43" t="s">
        <v>3204</v>
      </c>
      <c r="M208" s="43" t="s">
        <v>2893</v>
      </c>
      <c r="N208" s="43" t="s">
        <v>2894</v>
      </c>
      <c r="O208" s="43" t="s">
        <v>2895</v>
      </c>
      <c r="P208" s="43" t="s">
        <v>542</v>
      </c>
      <c r="Q208" s="43" t="s">
        <v>2896</v>
      </c>
      <c r="S208" s="23">
        <v>44109</v>
      </c>
      <c r="T208" s="43" t="s">
        <v>265</v>
      </c>
      <c r="U208" s="43" t="s">
        <v>266</v>
      </c>
      <c r="V208" s="43" t="s">
        <v>893</v>
      </c>
      <c r="W208" s="43" t="s">
        <v>1718</v>
      </c>
      <c r="X208" s="43" t="s">
        <v>1719</v>
      </c>
      <c r="Y208">
        <v>8772802835</v>
      </c>
      <c r="Z208" s="43" t="s">
        <v>508</v>
      </c>
      <c r="AA208" s="43" t="s">
        <v>271</v>
      </c>
      <c r="AB208">
        <v>14</v>
      </c>
      <c r="AC208">
        <v>0</v>
      </c>
      <c r="AD208">
        <v>77</v>
      </c>
      <c r="AE208" s="43" t="s">
        <v>274</v>
      </c>
      <c r="AF208">
        <v>9</v>
      </c>
      <c r="AG208" s="43" t="s">
        <v>446</v>
      </c>
      <c r="AH208">
        <v>8371</v>
      </c>
      <c r="AI208">
        <v>8371</v>
      </c>
      <c r="AJ208" s="23">
        <v>43801</v>
      </c>
      <c r="AK208" s="43" t="s">
        <v>3208</v>
      </c>
      <c r="AL208" s="43" t="s">
        <v>3209</v>
      </c>
      <c r="AM208" s="23"/>
      <c r="AN208" s="23"/>
      <c r="AO208" s="23">
        <v>43795</v>
      </c>
      <c r="AP208" s="23">
        <v>43795</v>
      </c>
      <c r="AQ208" s="23">
        <v>43795</v>
      </c>
      <c r="BB208" s="43"/>
      <c r="BC208" s="43" t="s">
        <v>2018</v>
      </c>
      <c r="BD208" s="43" t="s">
        <v>2018</v>
      </c>
      <c r="BE208" s="43" t="s">
        <v>2018</v>
      </c>
      <c r="BF208" s="43" t="s">
        <v>2018</v>
      </c>
      <c r="BG208" s="43" t="s">
        <v>2018</v>
      </c>
      <c r="BH208" t="s">
        <v>2018</v>
      </c>
      <c r="BI208" s="43" t="s">
        <v>2018</v>
      </c>
      <c r="BJ208">
        <v>0.1875</v>
      </c>
      <c r="BK208" s="23">
        <v>44109</v>
      </c>
      <c r="BL208" s="23">
        <v>44356</v>
      </c>
      <c r="BM208">
        <v>8505</v>
      </c>
      <c r="BN208">
        <v>8505</v>
      </c>
      <c r="BO208">
        <v>8505</v>
      </c>
      <c r="BP208">
        <v>25515</v>
      </c>
      <c r="BQ208">
        <v>3300</v>
      </c>
      <c r="BR208">
        <v>400</v>
      </c>
      <c r="BS208">
        <v>400</v>
      </c>
      <c r="BT208">
        <v>4100</v>
      </c>
      <c r="BU208">
        <v>2100</v>
      </c>
      <c r="BV208">
        <v>2100</v>
      </c>
      <c r="BW208">
        <v>2100</v>
      </c>
      <c r="BX208">
        <v>6300</v>
      </c>
      <c r="BY208">
        <v>1200</v>
      </c>
      <c r="BZ208">
        <v>1200</v>
      </c>
      <c r="CA208">
        <v>1200</v>
      </c>
      <c r="CB208">
        <v>3600</v>
      </c>
      <c r="CC208">
        <v>0</v>
      </c>
      <c r="CD208">
        <v>0</v>
      </c>
      <c r="CE208">
        <v>0</v>
      </c>
      <c r="CF208">
        <v>0</v>
      </c>
      <c r="CG208">
        <v>39515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3000</v>
      </c>
      <c r="CY208">
        <v>3000</v>
      </c>
      <c r="CZ208">
        <v>3000</v>
      </c>
      <c r="DA208">
        <v>9000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9000</v>
      </c>
      <c r="EE208">
        <v>0</v>
      </c>
      <c r="EF208">
        <v>0</v>
      </c>
      <c r="EG208">
        <v>0</v>
      </c>
      <c r="EH208">
        <v>0</v>
      </c>
      <c r="EI208">
        <v>1154</v>
      </c>
      <c r="EJ208">
        <v>1154</v>
      </c>
      <c r="EK208">
        <v>1155</v>
      </c>
      <c r="EL208">
        <v>3500</v>
      </c>
      <c r="EM208">
        <v>37.065000000000005</v>
      </c>
      <c r="EN208">
        <v>660</v>
      </c>
      <c r="EO208">
        <v>660</v>
      </c>
      <c r="EP208">
        <v>660</v>
      </c>
      <c r="EQ208">
        <v>2000</v>
      </c>
      <c r="ER208">
        <v>21.18</v>
      </c>
      <c r="ES208">
        <v>0</v>
      </c>
      <c r="ET208">
        <v>0</v>
      </c>
      <c r="EU208">
        <v>0</v>
      </c>
      <c r="EV208">
        <v>0</v>
      </c>
      <c r="EW208">
        <v>0</v>
      </c>
      <c r="FA208">
        <v>0</v>
      </c>
      <c r="FE208">
        <v>0</v>
      </c>
      <c r="FI208">
        <v>0</v>
      </c>
      <c r="FJ208">
        <v>5441.7550000000001</v>
      </c>
      <c r="FK208">
        <v>30515</v>
      </c>
      <c r="FL208">
        <v>26182.328432396305</v>
      </c>
      <c r="FM208">
        <v>25073.244999999999</v>
      </c>
    </row>
    <row r="209" spans="1:169" x14ac:dyDescent="0.35">
      <c r="A209">
        <v>189129</v>
      </c>
      <c r="B209" s="43" t="s">
        <v>2897</v>
      </c>
      <c r="C209" s="43" t="s">
        <v>2898</v>
      </c>
      <c r="D209" s="43" t="s">
        <v>2899</v>
      </c>
      <c r="E209" s="43" t="s">
        <v>2900</v>
      </c>
      <c r="F209">
        <v>1</v>
      </c>
      <c r="G209">
        <v>43783</v>
      </c>
      <c r="H209" s="23">
        <v>43783</v>
      </c>
      <c r="I209">
        <v>43783</v>
      </c>
      <c r="J209" s="43" t="s">
        <v>3335</v>
      </c>
      <c r="K209" s="43" t="s">
        <v>1715</v>
      </c>
      <c r="L209" s="43" t="s">
        <v>3204</v>
      </c>
      <c r="M209" s="43" t="s">
        <v>2901</v>
      </c>
      <c r="N209" s="43" t="s">
        <v>2902</v>
      </c>
      <c r="O209" s="43" t="s">
        <v>2903</v>
      </c>
      <c r="P209" s="43" t="s">
        <v>542</v>
      </c>
      <c r="Q209" s="43" t="s">
        <v>2904</v>
      </c>
      <c r="S209" s="23">
        <v>44109</v>
      </c>
      <c r="T209" s="43" t="s">
        <v>265</v>
      </c>
      <c r="U209" s="43" t="s">
        <v>286</v>
      </c>
      <c r="V209" s="43" t="s">
        <v>1110</v>
      </c>
      <c r="W209" s="43" t="s">
        <v>1718</v>
      </c>
      <c r="X209" s="43" t="s">
        <v>1719</v>
      </c>
      <c r="Y209">
        <v>8772802835</v>
      </c>
      <c r="Z209" s="43" t="s">
        <v>270</v>
      </c>
      <c r="AA209" s="43" t="s">
        <v>271</v>
      </c>
      <c r="AB209">
        <v>16</v>
      </c>
      <c r="AC209">
        <v>0</v>
      </c>
      <c r="AD209">
        <v>92</v>
      </c>
      <c r="AE209" s="43" t="s">
        <v>354</v>
      </c>
      <c r="AF209">
        <v>6</v>
      </c>
      <c r="AG209" s="43" t="s">
        <v>275</v>
      </c>
      <c r="AH209">
        <v>2680</v>
      </c>
      <c r="AI209">
        <v>2680</v>
      </c>
      <c r="AJ209" s="23">
        <v>43774</v>
      </c>
      <c r="AK209" s="43" t="s">
        <v>3208</v>
      </c>
      <c r="AL209" s="43" t="s">
        <v>3209</v>
      </c>
      <c r="AM209" s="23"/>
      <c r="AN209" s="23"/>
      <c r="AO209" s="23"/>
      <c r="AP209" s="23"/>
      <c r="AQ209" s="23"/>
      <c r="BB209" s="43"/>
      <c r="BC209" s="43" t="s">
        <v>2018</v>
      </c>
      <c r="BD209" s="43" t="s">
        <v>2018</v>
      </c>
      <c r="BE209" s="43" t="s">
        <v>2018</v>
      </c>
      <c r="BF209" s="43" t="s">
        <v>2018</v>
      </c>
      <c r="BG209" s="43" t="s">
        <v>2018</v>
      </c>
      <c r="BH209" t="s">
        <v>2018</v>
      </c>
      <c r="BI209" s="43" t="s">
        <v>2018</v>
      </c>
      <c r="BJ209">
        <v>0</v>
      </c>
      <c r="BK209" s="23">
        <v>44109</v>
      </c>
      <c r="BL209" s="23">
        <v>44356</v>
      </c>
      <c r="BM209">
        <v>8505</v>
      </c>
      <c r="BN209">
        <v>8505</v>
      </c>
      <c r="BO209">
        <v>8505</v>
      </c>
      <c r="BP209">
        <v>25515</v>
      </c>
      <c r="BQ209">
        <v>3300</v>
      </c>
      <c r="BR209">
        <v>400</v>
      </c>
      <c r="BS209">
        <v>400</v>
      </c>
      <c r="BT209">
        <v>4100</v>
      </c>
      <c r="BU209">
        <v>2100</v>
      </c>
      <c r="BV209">
        <v>2100</v>
      </c>
      <c r="BW209">
        <v>2100</v>
      </c>
      <c r="BX209">
        <v>6300</v>
      </c>
      <c r="BY209">
        <v>1200</v>
      </c>
      <c r="BZ209">
        <v>1200</v>
      </c>
      <c r="CA209">
        <v>1200</v>
      </c>
      <c r="CB209">
        <v>3600</v>
      </c>
      <c r="CC209">
        <v>0</v>
      </c>
      <c r="CD209">
        <v>0</v>
      </c>
      <c r="CE209">
        <v>0</v>
      </c>
      <c r="CF209">
        <v>0</v>
      </c>
      <c r="CG209">
        <v>39515</v>
      </c>
      <c r="CH209">
        <v>0</v>
      </c>
      <c r="CI209">
        <v>0</v>
      </c>
      <c r="CJ209">
        <v>0</v>
      </c>
      <c r="CK209">
        <v>0</v>
      </c>
      <c r="CL209">
        <v>1182</v>
      </c>
      <c r="CM209">
        <v>1182</v>
      </c>
      <c r="CN209">
        <v>1181</v>
      </c>
      <c r="CO209">
        <v>3545</v>
      </c>
      <c r="CP209">
        <v>500</v>
      </c>
      <c r="CQ209">
        <v>500</v>
      </c>
      <c r="CR209">
        <v>500</v>
      </c>
      <c r="CS209">
        <v>1500</v>
      </c>
      <c r="CT209">
        <v>750</v>
      </c>
      <c r="CU209">
        <v>750</v>
      </c>
      <c r="CV209">
        <v>750</v>
      </c>
      <c r="CW209">
        <v>2250</v>
      </c>
      <c r="CX209">
        <v>3000</v>
      </c>
      <c r="CY209">
        <v>3000</v>
      </c>
      <c r="CZ209">
        <v>3000</v>
      </c>
      <c r="DA209">
        <v>9000</v>
      </c>
      <c r="DB209">
        <v>1000</v>
      </c>
      <c r="DC209">
        <v>1000</v>
      </c>
      <c r="DD209">
        <v>1000</v>
      </c>
      <c r="DE209">
        <v>3000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19295</v>
      </c>
      <c r="EE209">
        <v>0</v>
      </c>
      <c r="EF209">
        <v>0</v>
      </c>
      <c r="EG209">
        <v>0</v>
      </c>
      <c r="EH209">
        <v>0</v>
      </c>
      <c r="EI209">
        <v>1154</v>
      </c>
      <c r="EJ209">
        <v>1154</v>
      </c>
      <c r="EK209">
        <v>1155</v>
      </c>
      <c r="EL209">
        <v>3500</v>
      </c>
      <c r="EM209">
        <v>37.065000000000005</v>
      </c>
      <c r="EN209">
        <v>660</v>
      </c>
      <c r="EO209">
        <v>660</v>
      </c>
      <c r="EP209">
        <v>660</v>
      </c>
      <c r="EQ209">
        <v>2000</v>
      </c>
      <c r="ER209">
        <v>21.18</v>
      </c>
      <c r="ES209">
        <v>0</v>
      </c>
      <c r="ET209">
        <v>0</v>
      </c>
      <c r="EU209">
        <v>0</v>
      </c>
      <c r="EV209">
        <v>0</v>
      </c>
      <c r="EW209">
        <v>0</v>
      </c>
      <c r="FA209">
        <v>0</v>
      </c>
      <c r="FE209">
        <v>0</v>
      </c>
      <c r="FI209">
        <v>0</v>
      </c>
      <c r="FJ209">
        <v>5441.7550000000001</v>
      </c>
      <c r="FK209">
        <v>20220</v>
      </c>
      <c r="FL209">
        <v>15431.942065912031</v>
      </c>
      <c r="FM209">
        <v>14778.244999999999</v>
      </c>
    </row>
    <row r="210" spans="1:169" x14ac:dyDescent="0.35">
      <c r="A210">
        <v>196178</v>
      </c>
      <c r="B210" s="43" t="s">
        <v>2905</v>
      </c>
      <c r="C210" s="43" t="s">
        <v>537</v>
      </c>
      <c r="D210" s="43" t="s">
        <v>2906</v>
      </c>
      <c r="E210" s="43" t="s">
        <v>2907</v>
      </c>
      <c r="F210">
        <v>1</v>
      </c>
      <c r="H210" s="23"/>
      <c r="I210">
        <v>43781</v>
      </c>
      <c r="J210" s="43" t="s">
        <v>3304</v>
      </c>
      <c r="K210" s="43" t="s">
        <v>1715</v>
      </c>
      <c r="L210" s="43" t="s">
        <v>3204</v>
      </c>
      <c r="M210" s="43" t="s">
        <v>2908</v>
      </c>
      <c r="N210" s="43" t="s">
        <v>2909</v>
      </c>
      <c r="O210" s="43" t="s">
        <v>2910</v>
      </c>
      <c r="P210" s="43" t="s">
        <v>524</v>
      </c>
      <c r="Q210" s="43" t="s">
        <v>2911</v>
      </c>
      <c r="S210" s="23">
        <v>44109</v>
      </c>
      <c r="T210" s="43" t="s">
        <v>311</v>
      </c>
      <c r="U210" s="43" t="s">
        <v>266</v>
      </c>
      <c r="V210" s="43" t="s">
        <v>267</v>
      </c>
      <c r="W210" s="43" t="s">
        <v>1718</v>
      </c>
      <c r="X210" s="43" t="s">
        <v>1719</v>
      </c>
      <c r="Y210">
        <v>8772802835</v>
      </c>
      <c r="Z210" s="43" t="s">
        <v>270</v>
      </c>
      <c r="AA210" s="43" t="s">
        <v>271</v>
      </c>
      <c r="AB210">
        <v>27</v>
      </c>
      <c r="AC210">
        <v>0</v>
      </c>
      <c r="AD210">
        <v>105</v>
      </c>
      <c r="AE210" s="43" t="s">
        <v>364</v>
      </c>
      <c r="AF210">
        <v>3</v>
      </c>
      <c r="AG210" s="43" t="s">
        <v>275</v>
      </c>
      <c r="AH210">
        <v>0</v>
      </c>
      <c r="AI210">
        <v>0</v>
      </c>
      <c r="AJ210" s="23">
        <v>43774</v>
      </c>
      <c r="AK210" s="43" t="s">
        <v>3208</v>
      </c>
      <c r="AL210" s="43" t="s">
        <v>3209</v>
      </c>
      <c r="AM210" s="23"/>
      <c r="AN210" s="23"/>
      <c r="AO210" s="23">
        <v>43767</v>
      </c>
      <c r="AP210" s="23"/>
      <c r="AQ210" s="23"/>
      <c r="BB210" s="43"/>
      <c r="BC210" s="43" t="s">
        <v>2018</v>
      </c>
      <c r="BD210" s="43" t="s">
        <v>2018</v>
      </c>
      <c r="BE210" s="43" t="s">
        <v>2018</v>
      </c>
      <c r="BF210" s="43" t="s">
        <v>2018</v>
      </c>
      <c r="BG210" s="43" t="s">
        <v>2018</v>
      </c>
      <c r="BH210" t="s">
        <v>2018</v>
      </c>
      <c r="BI210" s="43" t="s">
        <v>2018</v>
      </c>
      <c r="BJ210">
        <v>6.25E-2</v>
      </c>
      <c r="BK210" s="23">
        <v>44109</v>
      </c>
      <c r="BL210" s="23">
        <v>44356</v>
      </c>
      <c r="BM210">
        <v>8505</v>
      </c>
      <c r="BN210">
        <v>8505</v>
      </c>
      <c r="BO210">
        <v>8505</v>
      </c>
      <c r="BP210">
        <v>25515</v>
      </c>
      <c r="BQ210">
        <v>3300</v>
      </c>
      <c r="BR210">
        <v>400</v>
      </c>
      <c r="BS210">
        <v>400</v>
      </c>
      <c r="BT210">
        <v>4100</v>
      </c>
      <c r="BU210">
        <v>2100</v>
      </c>
      <c r="BV210">
        <v>2100</v>
      </c>
      <c r="BW210">
        <v>2100</v>
      </c>
      <c r="BX210">
        <v>6300</v>
      </c>
      <c r="BY210">
        <v>1200</v>
      </c>
      <c r="BZ210">
        <v>1200</v>
      </c>
      <c r="CA210">
        <v>1200</v>
      </c>
      <c r="CB210">
        <v>3600</v>
      </c>
      <c r="CC210">
        <v>0</v>
      </c>
      <c r="CD210">
        <v>0</v>
      </c>
      <c r="CE210">
        <v>0</v>
      </c>
      <c r="CF210">
        <v>0</v>
      </c>
      <c r="CG210">
        <v>39515</v>
      </c>
      <c r="CH210">
        <v>0</v>
      </c>
      <c r="CI210">
        <v>0</v>
      </c>
      <c r="CJ210">
        <v>0</v>
      </c>
      <c r="CK210">
        <v>0</v>
      </c>
      <c r="CL210">
        <v>2065</v>
      </c>
      <c r="CM210">
        <v>2065</v>
      </c>
      <c r="CN210">
        <v>2065</v>
      </c>
      <c r="CO210">
        <v>6195</v>
      </c>
      <c r="CP210">
        <v>500</v>
      </c>
      <c r="CQ210">
        <v>500</v>
      </c>
      <c r="CR210">
        <v>500</v>
      </c>
      <c r="CS210">
        <v>1500</v>
      </c>
      <c r="CT210">
        <v>1300</v>
      </c>
      <c r="CU210">
        <v>1300</v>
      </c>
      <c r="CV210">
        <v>1300</v>
      </c>
      <c r="CW210">
        <v>3900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11595</v>
      </c>
      <c r="EE210">
        <v>0</v>
      </c>
      <c r="EF210">
        <v>0</v>
      </c>
      <c r="EG210">
        <v>0</v>
      </c>
      <c r="EH210">
        <v>0</v>
      </c>
      <c r="EI210">
        <v>1154</v>
      </c>
      <c r="EJ210">
        <v>1154</v>
      </c>
      <c r="EK210">
        <v>1155</v>
      </c>
      <c r="EL210">
        <v>3500</v>
      </c>
      <c r="EM210">
        <v>37.065000000000005</v>
      </c>
      <c r="EN210">
        <v>660</v>
      </c>
      <c r="EO210">
        <v>660</v>
      </c>
      <c r="EP210">
        <v>660</v>
      </c>
      <c r="EQ210">
        <v>2000</v>
      </c>
      <c r="ER210">
        <v>21.18</v>
      </c>
      <c r="ES210">
        <v>0</v>
      </c>
      <c r="ET210">
        <v>0</v>
      </c>
      <c r="EU210">
        <v>0</v>
      </c>
      <c r="EV210">
        <v>0</v>
      </c>
      <c r="EW210">
        <v>0</v>
      </c>
      <c r="FA210">
        <v>0</v>
      </c>
      <c r="FE210">
        <v>0</v>
      </c>
      <c r="FI210">
        <v>0</v>
      </c>
      <c r="FJ210">
        <v>5441.7550000000001</v>
      </c>
      <c r="FK210">
        <v>27920</v>
      </c>
      <c r="FL210">
        <v>23472.541873773022</v>
      </c>
      <c r="FM210">
        <v>22478.244999999999</v>
      </c>
    </row>
    <row r="211" spans="1:169" x14ac:dyDescent="0.35">
      <c r="A211">
        <v>192406</v>
      </c>
      <c r="B211" s="43" t="s">
        <v>2912</v>
      </c>
      <c r="C211" s="43" t="s">
        <v>2913</v>
      </c>
      <c r="D211" s="43" t="s">
        <v>2914</v>
      </c>
      <c r="E211" s="43" t="s">
        <v>2915</v>
      </c>
      <c r="F211">
        <v>1</v>
      </c>
      <c r="G211">
        <v>43781</v>
      </c>
      <c r="H211" s="23">
        <v>43781</v>
      </c>
      <c r="I211">
        <v>43781</v>
      </c>
      <c r="J211" s="43" t="s">
        <v>3335</v>
      </c>
      <c r="K211" s="43" t="s">
        <v>1715</v>
      </c>
      <c r="L211" s="43" t="s">
        <v>3204</v>
      </c>
      <c r="M211" s="43" t="s">
        <v>2916</v>
      </c>
      <c r="N211" s="43" t="s">
        <v>2917</v>
      </c>
      <c r="O211" s="43" t="s">
        <v>2918</v>
      </c>
      <c r="P211" s="43" t="s">
        <v>735</v>
      </c>
      <c r="Q211" s="43" t="s">
        <v>2919</v>
      </c>
      <c r="S211" s="23">
        <v>44109</v>
      </c>
      <c r="T211" s="43" t="s">
        <v>311</v>
      </c>
      <c r="U211" s="43" t="s">
        <v>266</v>
      </c>
      <c r="V211" s="43" t="s">
        <v>267</v>
      </c>
      <c r="W211" s="43" t="s">
        <v>1718</v>
      </c>
      <c r="X211" s="43" t="s">
        <v>1719</v>
      </c>
      <c r="Y211">
        <v>8772802835</v>
      </c>
      <c r="Z211" s="43" t="s">
        <v>270</v>
      </c>
      <c r="AA211" s="43" t="s">
        <v>271</v>
      </c>
      <c r="AB211">
        <v>0</v>
      </c>
      <c r="AC211">
        <v>0</v>
      </c>
      <c r="AD211">
        <v>0</v>
      </c>
      <c r="AE211" s="43" t="s">
        <v>416</v>
      </c>
      <c r="AF211">
        <v>5</v>
      </c>
      <c r="AG211" s="43" t="s">
        <v>275</v>
      </c>
      <c r="AH211">
        <v>648</v>
      </c>
      <c r="AI211">
        <v>648</v>
      </c>
      <c r="AJ211" s="23">
        <v>43774</v>
      </c>
      <c r="AK211" s="43" t="s">
        <v>1715</v>
      </c>
      <c r="AL211" s="43" t="s">
        <v>259</v>
      </c>
      <c r="AM211" s="23"/>
      <c r="AN211" s="23"/>
      <c r="AO211" s="23"/>
      <c r="AP211" s="23"/>
      <c r="AQ211" s="23"/>
      <c r="BB211" s="43"/>
      <c r="BC211" s="43" t="s">
        <v>259</v>
      </c>
      <c r="BD211" s="43" t="s">
        <v>259</v>
      </c>
      <c r="BE211" s="43" t="s">
        <v>259</v>
      </c>
      <c r="BF211" s="43" t="s">
        <v>2018</v>
      </c>
      <c r="BG211" s="43" t="s">
        <v>2018</v>
      </c>
      <c r="BH211">
        <v>43763</v>
      </c>
      <c r="BI211" s="43" t="s">
        <v>2018</v>
      </c>
      <c r="BJ211">
        <v>5.0000000000000044E-2</v>
      </c>
      <c r="BK211" s="23">
        <v>44109</v>
      </c>
      <c r="BL211" s="23">
        <v>44356</v>
      </c>
      <c r="BM211">
        <v>8505</v>
      </c>
      <c r="BN211">
        <v>8505</v>
      </c>
      <c r="BO211">
        <v>8505</v>
      </c>
      <c r="BP211">
        <v>25515</v>
      </c>
      <c r="BQ211">
        <v>3300</v>
      </c>
      <c r="BR211">
        <v>400</v>
      </c>
      <c r="BS211">
        <v>400</v>
      </c>
      <c r="BT211">
        <v>4100</v>
      </c>
      <c r="BU211">
        <v>2100</v>
      </c>
      <c r="BV211">
        <v>2100</v>
      </c>
      <c r="BW211">
        <v>2100</v>
      </c>
      <c r="BX211">
        <v>6300</v>
      </c>
      <c r="BY211">
        <v>1200</v>
      </c>
      <c r="BZ211">
        <v>1200</v>
      </c>
      <c r="CA211">
        <v>1200</v>
      </c>
      <c r="CB211">
        <v>3600</v>
      </c>
      <c r="CC211">
        <v>0</v>
      </c>
      <c r="CD211">
        <v>0</v>
      </c>
      <c r="CE211">
        <v>0</v>
      </c>
      <c r="CF211">
        <v>0</v>
      </c>
      <c r="CG211">
        <v>39515</v>
      </c>
      <c r="CH211">
        <v>0</v>
      </c>
      <c r="CI211">
        <v>0</v>
      </c>
      <c r="CJ211">
        <v>0</v>
      </c>
      <c r="CK211">
        <v>0</v>
      </c>
      <c r="CL211">
        <v>1849</v>
      </c>
      <c r="CM211">
        <v>1848</v>
      </c>
      <c r="CN211">
        <v>1848</v>
      </c>
      <c r="CO211">
        <v>5545</v>
      </c>
      <c r="CP211">
        <v>500</v>
      </c>
      <c r="CQ211">
        <v>500</v>
      </c>
      <c r="CR211">
        <v>500</v>
      </c>
      <c r="CS211">
        <v>1500</v>
      </c>
      <c r="CT211">
        <v>1000</v>
      </c>
      <c r="CU211">
        <v>1000</v>
      </c>
      <c r="CV211">
        <v>1000</v>
      </c>
      <c r="CW211">
        <v>3000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10045</v>
      </c>
      <c r="EE211">
        <v>0</v>
      </c>
      <c r="EF211">
        <v>0</v>
      </c>
      <c r="EG211">
        <v>0</v>
      </c>
      <c r="EH211">
        <v>0</v>
      </c>
      <c r="EI211">
        <v>1154</v>
      </c>
      <c r="EJ211">
        <v>1154</v>
      </c>
      <c r="EK211">
        <v>1155</v>
      </c>
      <c r="EL211">
        <v>3500</v>
      </c>
      <c r="EM211">
        <v>37.065000000000005</v>
      </c>
      <c r="EN211">
        <v>660</v>
      </c>
      <c r="EO211">
        <v>660</v>
      </c>
      <c r="EP211">
        <v>660</v>
      </c>
      <c r="EQ211">
        <v>2000</v>
      </c>
      <c r="ER211">
        <v>21.18</v>
      </c>
      <c r="ES211">
        <v>0</v>
      </c>
      <c r="ET211">
        <v>0</v>
      </c>
      <c r="EU211">
        <v>0</v>
      </c>
      <c r="EV211">
        <v>0</v>
      </c>
      <c r="EW211">
        <v>0</v>
      </c>
      <c r="FA211">
        <v>0</v>
      </c>
      <c r="FE211">
        <v>0</v>
      </c>
      <c r="FI211">
        <v>0</v>
      </c>
      <c r="FJ211">
        <v>5441.7550000000001</v>
      </c>
      <c r="FK211">
        <v>29470</v>
      </c>
      <c r="FL211">
        <v>25091.104172758027</v>
      </c>
      <c r="FM211">
        <v>24028.244999999999</v>
      </c>
    </row>
    <row r="212" spans="1:169" x14ac:dyDescent="0.35">
      <c r="A212">
        <v>197937</v>
      </c>
      <c r="B212" s="43" t="s">
        <v>4091</v>
      </c>
      <c r="C212" s="43" t="s">
        <v>4092</v>
      </c>
      <c r="D212" s="43" t="s">
        <v>4093</v>
      </c>
      <c r="E212" s="43" t="s">
        <v>4094</v>
      </c>
      <c r="F212">
        <v>1</v>
      </c>
      <c r="H212" s="23"/>
      <c r="I212">
        <v>43804</v>
      </c>
      <c r="J212" s="43" t="s">
        <v>4242</v>
      </c>
      <c r="K212" s="43" t="s">
        <v>1715</v>
      </c>
      <c r="L212" s="43" t="s">
        <v>259</v>
      </c>
      <c r="M212" s="43" t="s">
        <v>4095</v>
      </c>
      <c r="N212" s="43" t="s">
        <v>4096</v>
      </c>
      <c r="O212" s="43" t="s">
        <v>3713</v>
      </c>
      <c r="P212" s="43" t="s">
        <v>542</v>
      </c>
      <c r="Q212" s="43" t="s">
        <v>3465</v>
      </c>
      <c r="S212" s="23">
        <v>44109</v>
      </c>
      <c r="T212" s="43" t="s">
        <v>544</v>
      </c>
      <c r="U212" s="43" t="s">
        <v>286</v>
      </c>
      <c r="V212" s="43" t="s">
        <v>267</v>
      </c>
      <c r="W212" s="43" t="s">
        <v>1718</v>
      </c>
      <c r="X212" s="43" t="s">
        <v>1719</v>
      </c>
      <c r="Y212">
        <v>8772802835</v>
      </c>
      <c r="Z212" s="43" t="s">
        <v>270</v>
      </c>
      <c r="AA212" s="43" t="s">
        <v>271</v>
      </c>
      <c r="AB212">
        <v>20</v>
      </c>
      <c r="AC212">
        <v>0</v>
      </c>
      <c r="AD212">
        <v>94</v>
      </c>
      <c r="AE212" s="43" t="s">
        <v>354</v>
      </c>
      <c r="AF212">
        <v>6</v>
      </c>
      <c r="AG212" s="43" t="s">
        <v>3345</v>
      </c>
      <c r="AJ212" s="23"/>
      <c r="AK212" s="43" t="s">
        <v>259</v>
      </c>
      <c r="AL212" s="43" t="s">
        <v>259</v>
      </c>
      <c r="AM212" s="23"/>
      <c r="AN212" s="23"/>
      <c r="AO212" s="23"/>
      <c r="AP212" s="23"/>
      <c r="AQ212" s="23"/>
      <c r="BB212" s="43"/>
      <c r="BC212" s="43" t="s">
        <v>259</v>
      </c>
      <c r="BD212" s="43" t="s">
        <v>259</v>
      </c>
      <c r="BE212" s="43" t="s">
        <v>259</v>
      </c>
      <c r="BF212" s="43" t="s">
        <v>259</v>
      </c>
      <c r="BG212" s="43" t="s">
        <v>259</v>
      </c>
      <c r="BH212" t="s">
        <v>259</v>
      </c>
      <c r="BI212" s="43" t="s">
        <v>259</v>
      </c>
      <c r="BJ212">
        <v>0</v>
      </c>
      <c r="BK212" s="23">
        <v>44109</v>
      </c>
      <c r="BL212" s="23">
        <v>44356</v>
      </c>
      <c r="BM212">
        <v>8505</v>
      </c>
      <c r="BN212">
        <v>8505</v>
      </c>
      <c r="BO212">
        <v>8505</v>
      </c>
      <c r="BP212">
        <v>25515</v>
      </c>
      <c r="BQ212">
        <v>3300</v>
      </c>
      <c r="BR212">
        <v>400</v>
      </c>
      <c r="BS212">
        <v>400</v>
      </c>
      <c r="BT212">
        <v>4100</v>
      </c>
      <c r="BU212">
        <v>2100</v>
      </c>
      <c r="BV212">
        <v>2100</v>
      </c>
      <c r="BW212">
        <v>2100</v>
      </c>
      <c r="BX212">
        <v>6300</v>
      </c>
      <c r="BY212">
        <v>1200</v>
      </c>
      <c r="BZ212">
        <v>1200</v>
      </c>
      <c r="CA212">
        <v>1200</v>
      </c>
      <c r="CB212">
        <v>3600</v>
      </c>
      <c r="CC212">
        <v>0</v>
      </c>
      <c r="CD212">
        <v>0</v>
      </c>
      <c r="CE212">
        <v>0</v>
      </c>
      <c r="CF212">
        <v>0</v>
      </c>
      <c r="CG212">
        <v>39515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750</v>
      </c>
      <c r="CU212">
        <v>750</v>
      </c>
      <c r="CV212">
        <v>750</v>
      </c>
      <c r="CW212">
        <v>2250</v>
      </c>
      <c r="CX212">
        <v>3000</v>
      </c>
      <c r="CY212">
        <v>3000</v>
      </c>
      <c r="CZ212">
        <v>3000</v>
      </c>
      <c r="DA212">
        <v>9000</v>
      </c>
      <c r="DB212">
        <v>1000</v>
      </c>
      <c r="DC212">
        <v>1000</v>
      </c>
      <c r="DD212">
        <v>1000</v>
      </c>
      <c r="DE212">
        <v>3000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14250</v>
      </c>
      <c r="EE212">
        <v>0</v>
      </c>
      <c r="EF212">
        <v>0</v>
      </c>
      <c r="EG212">
        <v>0</v>
      </c>
      <c r="EH212">
        <v>0</v>
      </c>
      <c r="EI212">
        <v>1154</v>
      </c>
      <c r="EJ212">
        <v>1154</v>
      </c>
      <c r="EK212">
        <v>1155</v>
      </c>
      <c r="EL212">
        <v>3500</v>
      </c>
      <c r="EM212">
        <v>37.065000000000005</v>
      </c>
      <c r="EN212">
        <v>660</v>
      </c>
      <c r="EO212">
        <v>660</v>
      </c>
      <c r="EP212">
        <v>660</v>
      </c>
      <c r="EQ212">
        <v>2000</v>
      </c>
      <c r="ER212">
        <v>21.18</v>
      </c>
      <c r="ES212">
        <v>0</v>
      </c>
      <c r="ET212">
        <v>0</v>
      </c>
      <c r="EU212">
        <v>0</v>
      </c>
      <c r="EV212">
        <v>0</v>
      </c>
      <c r="EW212">
        <v>0</v>
      </c>
      <c r="FA212">
        <v>0</v>
      </c>
      <c r="FE212">
        <v>0</v>
      </c>
      <c r="FI212">
        <v>0</v>
      </c>
      <c r="FJ212">
        <v>5441.7550000000001</v>
      </c>
      <c r="FK212">
        <v>25265</v>
      </c>
      <c r="FL212">
        <v>20700.101290672901</v>
      </c>
      <c r="FM212">
        <v>19823.244999999999</v>
      </c>
    </row>
    <row r="213" spans="1:169" x14ac:dyDescent="0.35">
      <c r="A213">
        <v>199202</v>
      </c>
      <c r="B213" s="43" t="s">
        <v>768</v>
      </c>
      <c r="C213" s="43" t="s">
        <v>3729</v>
      </c>
      <c r="D213" s="43" t="s">
        <v>3730</v>
      </c>
      <c r="E213" s="43" t="s">
        <v>3731</v>
      </c>
      <c r="F213">
        <v>1</v>
      </c>
      <c r="H213" s="23"/>
      <c r="I213">
        <v>43804</v>
      </c>
      <c r="J213" s="43" t="s">
        <v>4241</v>
      </c>
      <c r="K213" s="43" t="s">
        <v>1715</v>
      </c>
      <c r="L213" s="43" t="s">
        <v>259</v>
      </c>
      <c r="M213" s="43" t="s">
        <v>3732</v>
      </c>
      <c r="N213" s="43" t="s">
        <v>3733</v>
      </c>
      <c r="O213" s="43" t="s">
        <v>3734</v>
      </c>
      <c r="P213" s="43" t="s">
        <v>1172</v>
      </c>
      <c r="Q213" s="43" t="s">
        <v>3735</v>
      </c>
      <c r="S213" s="23">
        <v>44109</v>
      </c>
      <c r="T213" s="43" t="s">
        <v>311</v>
      </c>
      <c r="U213" s="43" t="s">
        <v>286</v>
      </c>
      <c r="V213" s="43" t="s">
        <v>267</v>
      </c>
      <c r="W213" s="43" t="s">
        <v>1718</v>
      </c>
      <c r="X213" s="43" t="s">
        <v>1719</v>
      </c>
      <c r="Y213">
        <v>8772802835</v>
      </c>
      <c r="Z213" s="43" t="s">
        <v>270</v>
      </c>
      <c r="AA213" s="43" t="s">
        <v>271</v>
      </c>
      <c r="AB213">
        <v>18</v>
      </c>
      <c r="AC213">
        <v>0</v>
      </c>
      <c r="AD213">
        <v>106</v>
      </c>
      <c r="AE213" s="43" t="s">
        <v>301</v>
      </c>
      <c r="AF213">
        <v>1</v>
      </c>
      <c r="AG213" s="43" t="s">
        <v>3345</v>
      </c>
      <c r="AJ213" s="23"/>
      <c r="AK213" s="43" t="s">
        <v>259</v>
      </c>
      <c r="AL213" s="43" t="s">
        <v>259</v>
      </c>
      <c r="AM213" s="23"/>
      <c r="AN213" s="23"/>
      <c r="AO213" s="23"/>
      <c r="AP213" s="23"/>
      <c r="AQ213" s="23"/>
      <c r="BB213" s="43"/>
      <c r="BC213" s="43" t="s">
        <v>259</v>
      </c>
      <c r="BD213" s="43" t="s">
        <v>259</v>
      </c>
      <c r="BE213" s="43" t="s">
        <v>259</v>
      </c>
      <c r="BF213" s="43" t="s">
        <v>259</v>
      </c>
      <c r="BG213" s="43" t="s">
        <v>259</v>
      </c>
      <c r="BH213" t="s">
        <v>259</v>
      </c>
      <c r="BI213" s="43" t="s">
        <v>259</v>
      </c>
      <c r="BJ213">
        <v>0</v>
      </c>
      <c r="BK213" s="23">
        <v>44109</v>
      </c>
      <c r="BL213" s="23">
        <v>44356</v>
      </c>
      <c r="BM213">
        <v>8505</v>
      </c>
      <c r="BN213">
        <v>8505</v>
      </c>
      <c r="BO213">
        <v>8505</v>
      </c>
      <c r="BP213">
        <v>25515</v>
      </c>
      <c r="BQ213">
        <v>3300</v>
      </c>
      <c r="BR213">
        <v>400</v>
      </c>
      <c r="BS213">
        <v>400</v>
      </c>
      <c r="BT213">
        <v>4100</v>
      </c>
      <c r="BU213">
        <v>2100</v>
      </c>
      <c r="BV213">
        <v>2100</v>
      </c>
      <c r="BW213">
        <v>2100</v>
      </c>
      <c r="BX213">
        <v>6300</v>
      </c>
      <c r="BY213">
        <v>1200</v>
      </c>
      <c r="BZ213">
        <v>1200</v>
      </c>
      <c r="CA213">
        <v>1200</v>
      </c>
      <c r="CB213">
        <v>3600</v>
      </c>
      <c r="CC213">
        <v>0</v>
      </c>
      <c r="CD213">
        <v>0</v>
      </c>
      <c r="CE213">
        <v>0</v>
      </c>
      <c r="CF213">
        <v>0</v>
      </c>
      <c r="CG213">
        <v>39515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1700</v>
      </c>
      <c r="CU213">
        <v>1700</v>
      </c>
      <c r="CV213">
        <v>1700</v>
      </c>
      <c r="CW213">
        <v>5100</v>
      </c>
      <c r="CX213">
        <v>0</v>
      </c>
      <c r="CY213">
        <v>0</v>
      </c>
      <c r="CZ213">
        <v>0</v>
      </c>
      <c r="DA213">
        <v>0</v>
      </c>
      <c r="DB213">
        <v>1000</v>
      </c>
      <c r="DC213">
        <v>1000</v>
      </c>
      <c r="DD213">
        <v>1000</v>
      </c>
      <c r="DE213">
        <v>3000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8100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M213">
        <v>0</v>
      </c>
      <c r="EN213">
        <v>660</v>
      </c>
      <c r="EO213">
        <v>660</v>
      </c>
      <c r="EP213">
        <v>660</v>
      </c>
      <c r="EQ213">
        <v>2000</v>
      </c>
      <c r="ER213">
        <v>21.18</v>
      </c>
      <c r="ES213">
        <v>0</v>
      </c>
      <c r="ET213">
        <v>0</v>
      </c>
      <c r="EU213">
        <v>0</v>
      </c>
      <c r="EW213">
        <v>0</v>
      </c>
      <c r="FA213">
        <v>0</v>
      </c>
      <c r="FE213">
        <v>0</v>
      </c>
      <c r="FI213">
        <v>0</v>
      </c>
      <c r="FJ213">
        <v>1978.82</v>
      </c>
      <c r="FK213">
        <v>31415</v>
      </c>
      <c r="FL213">
        <v>30738.252370410592</v>
      </c>
      <c r="FM213">
        <v>29436.18</v>
      </c>
    </row>
    <row r="214" spans="1:169" x14ac:dyDescent="0.35">
      <c r="A214">
        <v>197683</v>
      </c>
      <c r="B214" s="43" t="s">
        <v>4097</v>
      </c>
      <c r="C214" s="43" t="s">
        <v>4098</v>
      </c>
      <c r="D214" s="43" t="s">
        <v>4099</v>
      </c>
      <c r="E214" s="43" t="s">
        <v>4100</v>
      </c>
      <c r="F214">
        <v>1</v>
      </c>
      <c r="H214" s="23"/>
      <c r="I214">
        <v>43804</v>
      </c>
      <c r="J214" s="43" t="s">
        <v>4241</v>
      </c>
      <c r="K214" s="43" t="s">
        <v>1715</v>
      </c>
      <c r="L214" s="43" t="s">
        <v>259</v>
      </c>
      <c r="M214" s="43" t="s">
        <v>4101</v>
      </c>
      <c r="N214" s="43" t="s">
        <v>4102</v>
      </c>
      <c r="O214" s="43" t="s">
        <v>4103</v>
      </c>
      <c r="P214" s="43" t="s">
        <v>454</v>
      </c>
      <c r="Q214" s="43" t="s">
        <v>4104</v>
      </c>
      <c r="S214" s="23">
        <v>44109</v>
      </c>
      <c r="T214" s="43" t="s">
        <v>311</v>
      </c>
      <c r="U214" s="43" t="s">
        <v>286</v>
      </c>
      <c r="V214" s="43" t="s">
        <v>267</v>
      </c>
      <c r="W214" s="43" t="s">
        <v>1718</v>
      </c>
      <c r="X214" s="43" t="s">
        <v>1719</v>
      </c>
      <c r="Y214">
        <v>8772802835</v>
      </c>
      <c r="Z214" s="43" t="s">
        <v>270</v>
      </c>
      <c r="AA214" s="43" t="s">
        <v>271</v>
      </c>
      <c r="AB214">
        <v>0</v>
      </c>
      <c r="AC214">
        <v>950</v>
      </c>
      <c r="AD214">
        <v>111</v>
      </c>
      <c r="AE214" s="43" t="s">
        <v>289</v>
      </c>
      <c r="AF214">
        <v>2</v>
      </c>
      <c r="AG214" s="43" t="s">
        <v>3345</v>
      </c>
      <c r="AJ214" s="23"/>
      <c r="AK214" s="43" t="s">
        <v>259</v>
      </c>
      <c r="AL214" s="43" t="s">
        <v>259</v>
      </c>
      <c r="AM214" s="23"/>
      <c r="AN214" s="23"/>
      <c r="AO214" s="23"/>
      <c r="AP214" s="23"/>
      <c r="AQ214" s="23"/>
      <c r="BB214" s="43"/>
      <c r="BC214" s="43" t="s">
        <v>259</v>
      </c>
      <c r="BD214" s="43" t="s">
        <v>259</v>
      </c>
      <c r="BE214" s="43" t="s">
        <v>259</v>
      </c>
      <c r="BF214" s="43" t="s">
        <v>259</v>
      </c>
      <c r="BG214" s="43" t="s">
        <v>259</v>
      </c>
      <c r="BH214" t="s">
        <v>259</v>
      </c>
      <c r="BI214" s="43" t="s">
        <v>259</v>
      </c>
      <c r="BJ214">
        <v>0</v>
      </c>
      <c r="BK214" s="23">
        <v>44109</v>
      </c>
      <c r="BL214" s="23">
        <v>44356</v>
      </c>
      <c r="BM214">
        <v>8505</v>
      </c>
      <c r="BN214">
        <v>8505</v>
      </c>
      <c r="BO214">
        <v>8505</v>
      </c>
      <c r="BP214">
        <v>25515</v>
      </c>
      <c r="BQ214">
        <v>3300</v>
      </c>
      <c r="BR214">
        <v>400</v>
      </c>
      <c r="BS214">
        <v>400</v>
      </c>
      <c r="BT214">
        <v>4100</v>
      </c>
      <c r="BU214">
        <v>2100</v>
      </c>
      <c r="BV214">
        <v>2100</v>
      </c>
      <c r="BW214">
        <v>2100</v>
      </c>
      <c r="BX214">
        <v>6300</v>
      </c>
      <c r="BY214">
        <v>1200</v>
      </c>
      <c r="BZ214">
        <v>1200</v>
      </c>
      <c r="CA214">
        <v>1200</v>
      </c>
      <c r="CB214">
        <v>3600</v>
      </c>
      <c r="CC214">
        <v>0</v>
      </c>
      <c r="CD214">
        <v>0</v>
      </c>
      <c r="CE214">
        <v>0</v>
      </c>
      <c r="CF214">
        <v>0</v>
      </c>
      <c r="CG214">
        <v>39515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1500</v>
      </c>
      <c r="CU214">
        <v>1500</v>
      </c>
      <c r="CV214">
        <v>1500</v>
      </c>
      <c r="CW214">
        <v>4500</v>
      </c>
      <c r="CX214">
        <v>0</v>
      </c>
      <c r="CY214">
        <v>0</v>
      </c>
      <c r="CZ214">
        <v>0</v>
      </c>
      <c r="DA214">
        <v>0</v>
      </c>
      <c r="DB214">
        <v>1000</v>
      </c>
      <c r="DC214">
        <v>1000</v>
      </c>
      <c r="DD214">
        <v>1000</v>
      </c>
      <c r="DE214">
        <v>3000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7500</v>
      </c>
      <c r="EE214">
        <v>0</v>
      </c>
      <c r="EF214">
        <v>0</v>
      </c>
      <c r="EG214">
        <v>0</v>
      </c>
      <c r="EH214">
        <v>0</v>
      </c>
      <c r="EI214">
        <v>1154</v>
      </c>
      <c r="EJ214">
        <v>1154</v>
      </c>
      <c r="EK214">
        <v>1155</v>
      </c>
      <c r="EL214">
        <v>3500</v>
      </c>
      <c r="EM214">
        <v>37.065000000000005</v>
      </c>
      <c r="EN214">
        <v>660</v>
      </c>
      <c r="EO214">
        <v>660</v>
      </c>
      <c r="EP214">
        <v>660</v>
      </c>
      <c r="EQ214">
        <v>2000</v>
      </c>
      <c r="ER214">
        <v>21.18</v>
      </c>
      <c r="ES214">
        <v>0</v>
      </c>
      <c r="ET214">
        <v>0</v>
      </c>
      <c r="EU214">
        <v>0</v>
      </c>
      <c r="EV214">
        <v>0</v>
      </c>
      <c r="EW214">
        <v>0</v>
      </c>
      <c r="FA214">
        <v>0</v>
      </c>
      <c r="FE214">
        <v>0</v>
      </c>
      <c r="FI214">
        <v>0</v>
      </c>
      <c r="FJ214">
        <v>5441.7550000000001</v>
      </c>
      <c r="FK214">
        <v>32015</v>
      </c>
      <c r="FL214">
        <v>27748.679044317276</v>
      </c>
      <c r="FM214">
        <v>26573.244999999999</v>
      </c>
    </row>
    <row r="215" spans="1:169" x14ac:dyDescent="0.35">
      <c r="A215">
        <v>196207</v>
      </c>
      <c r="B215" s="43" t="s">
        <v>4105</v>
      </c>
      <c r="C215" s="43" t="s">
        <v>4106</v>
      </c>
      <c r="D215" s="43" t="s">
        <v>4107</v>
      </c>
      <c r="E215" s="43" t="s">
        <v>4108</v>
      </c>
      <c r="F215">
        <v>1</v>
      </c>
      <c r="H215" s="23"/>
      <c r="I215">
        <v>43804</v>
      </c>
      <c r="J215" s="43" t="s">
        <v>4242</v>
      </c>
      <c r="K215" s="43" t="s">
        <v>1715</v>
      </c>
      <c r="L215" s="43" t="s">
        <v>259</v>
      </c>
      <c r="M215" s="43" t="s">
        <v>4109</v>
      </c>
      <c r="N215" s="43" t="s">
        <v>4110</v>
      </c>
      <c r="O215" s="43" t="s">
        <v>4111</v>
      </c>
      <c r="P215" s="43" t="s">
        <v>342</v>
      </c>
      <c r="Q215" s="43" t="s">
        <v>4112</v>
      </c>
      <c r="S215" s="23">
        <v>44109</v>
      </c>
      <c r="T215" s="43" t="s">
        <v>285</v>
      </c>
      <c r="U215" s="43" t="s">
        <v>266</v>
      </c>
      <c r="V215" s="43" t="s">
        <v>267</v>
      </c>
      <c r="W215" s="43" t="s">
        <v>1718</v>
      </c>
      <c r="X215" s="43" t="s">
        <v>1719</v>
      </c>
      <c r="Y215">
        <v>8772802835</v>
      </c>
      <c r="Z215" s="43" t="s">
        <v>270</v>
      </c>
      <c r="AA215" s="43" t="s">
        <v>271</v>
      </c>
      <c r="AB215">
        <v>0</v>
      </c>
      <c r="AC215">
        <v>1010</v>
      </c>
      <c r="AD215">
        <v>92</v>
      </c>
      <c r="AE215" s="43" t="s">
        <v>376</v>
      </c>
      <c r="AF215">
        <v>7</v>
      </c>
      <c r="AG215" s="43" t="s">
        <v>3345</v>
      </c>
      <c r="AJ215" s="23"/>
      <c r="AK215" s="43" t="s">
        <v>259</v>
      </c>
      <c r="AL215" s="43" t="s">
        <v>259</v>
      </c>
      <c r="AM215" s="23"/>
      <c r="AN215" s="23"/>
      <c r="AO215" s="23"/>
      <c r="AP215" s="23"/>
      <c r="AQ215" s="23"/>
      <c r="BB215" s="43"/>
      <c r="BC215" s="43" t="s">
        <v>259</v>
      </c>
      <c r="BD215" s="43" t="s">
        <v>259</v>
      </c>
      <c r="BE215" s="43" t="s">
        <v>259</v>
      </c>
      <c r="BF215" s="43" t="s">
        <v>259</v>
      </c>
      <c r="BG215" s="43" t="s">
        <v>259</v>
      </c>
      <c r="BH215" t="s">
        <v>259</v>
      </c>
      <c r="BI215" s="43" t="s">
        <v>259</v>
      </c>
      <c r="BJ215">
        <v>0</v>
      </c>
      <c r="BK215" s="23">
        <v>44109</v>
      </c>
      <c r="BL215" s="23">
        <v>44356</v>
      </c>
      <c r="BM215">
        <v>8505</v>
      </c>
      <c r="BN215">
        <v>8505</v>
      </c>
      <c r="BO215">
        <v>8505</v>
      </c>
      <c r="BP215">
        <v>25515</v>
      </c>
      <c r="BQ215">
        <v>3300</v>
      </c>
      <c r="BR215">
        <v>400</v>
      </c>
      <c r="BS215">
        <v>400</v>
      </c>
      <c r="BT215">
        <v>4100</v>
      </c>
      <c r="BU215">
        <v>2100</v>
      </c>
      <c r="BV215">
        <v>2100</v>
      </c>
      <c r="BW215">
        <v>2100</v>
      </c>
      <c r="BX215">
        <v>6300</v>
      </c>
      <c r="BY215">
        <v>1200</v>
      </c>
      <c r="BZ215">
        <v>1200</v>
      </c>
      <c r="CA215">
        <v>1200</v>
      </c>
      <c r="CB215">
        <v>3600</v>
      </c>
      <c r="CC215">
        <v>0</v>
      </c>
      <c r="CD215">
        <v>0</v>
      </c>
      <c r="CE215">
        <v>0</v>
      </c>
      <c r="CF215">
        <v>0</v>
      </c>
      <c r="CG215">
        <v>39515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1154</v>
      </c>
      <c r="EJ215">
        <v>1154</v>
      </c>
      <c r="EK215">
        <v>1155</v>
      </c>
      <c r="EL215">
        <v>3500</v>
      </c>
      <c r="EM215">
        <v>37.065000000000005</v>
      </c>
      <c r="EN215">
        <v>660</v>
      </c>
      <c r="EO215">
        <v>660</v>
      </c>
      <c r="EP215">
        <v>660</v>
      </c>
      <c r="EQ215">
        <v>2000</v>
      </c>
      <c r="ER215">
        <v>21.18</v>
      </c>
      <c r="ES215">
        <v>0</v>
      </c>
      <c r="ET215">
        <v>0</v>
      </c>
      <c r="EU215">
        <v>0</v>
      </c>
      <c r="EV215">
        <v>0</v>
      </c>
      <c r="EW215">
        <v>0</v>
      </c>
      <c r="FA215">
        <v>0</v>
      </c>
      <c r="FE215">
        <v>0</v>
      </c>
      <c r="FI215">
        <v>0</v>
      </c>
      <c r="FJ215">
        <v>5441.7550000000001</v>
      </c>
      <c r="FK215">
        <v>39515</v>
      </c>
      <c r="FL215">
        <v>35580.43210392214</v>
      </c>
      <c r="FM215">
        <v>34073.245000000003</v>
      </c>
    </row>
    <row r="216" spans="1:169" x14ac:dyDescent="0.35">
      <c r="A216">
        <v>195573</v>
      </c>
      <c r="B216" s="43" t="s">
        <v>2920</v>
      </c>
      <c r="C216" s="43" t="s">
        <v>2921</v>
      </c>
      <c r="D216" s="43" t="s">
        <v>2922</v>
      </c>
      <c r="E216" s="43" t="s">
        <v>2923</v>
      </c>
      <c r="F216">
        <v>1</v>
      </c>
      <c r="H216" s="23"/>
      <c r="I216">
        <v>43804</v>
      </c>
      <c r="J216" s="43" t="s">
        <v>4242</v>
      </c>
      <c r="K216" s="43" t="s">
        <v>1715</v>
      </c>
      <c r="L216" s="43" t="s">
        <v>259</v>
      </c>
      <c r="M216" s="43" t="s">
        <v>2924</v>
      </c>
      <c r="N216" s="43" t="s">
        <v>2925</v>
      </c>
      <c r="O216" s="43" t="s">
        <v>2926</v>
      </c>
      <c r="P216" s="43" t="s">
        <v>297</v>
      </c>
      <c r="Q216" s="43" t="s">
        <v>2927</v>
      </c>
      <c r="S216" s="23">
        <v>44109</v>
      </c>
      <c r="T216" s="43" t="s">
        <v>311</v>
      </c>
      <c r="U216" s="43" t="s">
        <v>286</v>
      </c>
      <c r="V216" s="43" t="s">
        <v>267</v>
      </c>
      <c r="W216" s="43" t="s">
        <v>1718</v>
      </c>
      <c r="X216" s="43" t="s">
        <v>1719</v>
      </c>
      <c r="Y216">
        <v>8772802835</v>
      </c>
      <c r="Z216" s="43" t="s">
        <v>270</v>
      </c>
      <c r="AA216" s="43" t="s">
        <v>271</v>
      </c>
      <c r="AB216">
        <v>15</v>
      </c>
      <c r="AC216">
        <v>0</v>
      </c>
      <c r="AD216">
        <v>97</v>
      </c>
      <c r="AE216" s="43" t="s">
        <v>445</v>
      </c>
      <c r="AF216">
        <v>4</v>
      </c>
      <c r="AG216" s="43" t="s">
        <v>275</v>
      </c>
      <c r="AJ216" s="23"/>
      <c r="AK216" s="43" t="s">
        <v>259</v>
      </c>
      <c r="AL216" s="43" t="s">
        <v>259</v>
      </c>
      <c r="AM216" s="23"/>
      <c r="AN216" s="23"/>
      <c r="AO216" s="23"/>
      <c r="AP216" s="23"/>
      <c r="AQ216" s="23"/>
      <c r="BB216" s="43"/>
      <c r="BC216" s="43" t="s">
        <v>259</v>
      </c>
      <c r="BD216" s="43" t="s">
        <v>259</v>
      </c>
      <c r="BE216" s="43" t="s">
        <v>259</v>
      </c>
      <c r="BF216" s="43" t="s">
        <v>259</v>
      </c>
      <c r="BG216" s="43" t="s">
        <v>259</v>
      </c>
      <c r="BH216" t="s">
        <v>259</v>
      </c>
      <c r="BI216" s="43" t="s">
        <v>259</v>
      </c>
      <c r="BJ216">
        <v>0</v>
      </c>
      <c r="BK216" s="23">
        <v>44109</v>
      </c>
      <c r="BL216" s="23">
        <v>44356</v>
      </c>
      <c r="BM216">
        <v>8505</v>
      </c>
      <c r="BN216">
        <v>8505</v>
      </c>
      <c r="BO216">
        <v>8505</v>
      </c>
      <c r="BP216">
        <v>25515</v>
      </c>
      <c r="BQ216">
        <v>3300</v>
      </c>
      <c r="BR216">
        <v>400</v>
      </c>
      <c r="BS216">
        <v>400</v>
      </c>
      <c r="BT216">
        <v>4100</v>
      </c>
      <c r="BU216">
        <v>2100</v>
      </c>
      <c r="BV216">
        <v>2100</v>
      </c>
      <c r="BW216">
        <v>2100</v>
      </c>
      <c r="BX216">
        <v>6300</v>
      </c>
      <c r="BY216">
        <v>1200</v>
      </c>
      <c r="BZ216">
        <v>1200</v>
      </c>
      <c r="CA216">
        <v>1200</v>
      </c>
      <c r="CB216">
        <v>3600</v>
      </c>
      <c r="CC216">
        <v>0</v>
      </c>
      <c r="CD216">
        <v>0</v>
      </c>
      <c r="CE216">
        <v>0</v>
      </c>
      <c r="CF216">
        <v>0</v>
      </c>
      <c r="CG216">
        <v>39515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1250</v>
      </c>
      <c r="CU216">
        <v>1250</v>
      </c>
      <c r="CV216">
        <v>1250</v>
      </c>
      <c r="CW216">
        <v>3750</v>
      </c>
      <c r="CX216">
        <v>0</v>
      </c>
      <c r="CY216">
        <v>0</v>
      </c>
      <c r="CZ216">
        <v>0</v>
      </c>
      <c r="DA216">
        <v>0</v>
      </c>
      <c r="DB216">
        <v>1000</v>
      </c>
      <c r="DC216">
        <v>1000</v>
      </c>
      <c r="DD216">
        <v>1000</v>
      </c>
      <c r="DE216">
        <v>3000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6750</v>
      </c>
      <c r="EE216">
        <v>0</v>
      </c>
      <c r="EF216">
        <v>0</v>
      </c>
      <c r="EG216">
        <v>0</v>
      </c>
      <c r="EH216">
        <v>0</v>
      </c>
      <c r="EI216">
        <v>1154</v>
      </c>
      <c r="EJ216">
        <v>1154</v>
      </c>
      <c r="EK216">
        <v>1155</v>
      </c>
      <c r="EL216">
        <v>3500</v>
      </c>
      <c r="EM216">
        <v>37.065000000000005</v>
      </c>
      <c r="EN216">
        <v>660</v>
      </c>
      <c r="EO216">
        <v>660</v>
      </c>
      <c r="EP216">
        <v>660</v>
      </c>
      <c r="EQ216">
        <v>2000</v>
      </c>
      <c r="ER216">
        <v>21.18</v>
      </c>
      <c r="ES216">
        <v>0</v>
      </c>
      <c r="ET216">
        <v>0</v>
      </c>
      <c r="EU216">
        <v>0</v>
      </c>
      <c r="EV216">
        <v>0</v>
      </c>
      <c r="EW216">
        <v>0</v>
      </c>
      <c r="FA216">
        <v>0</v>
      </c>
      <c r="FE216">
        <v>0</v>
      </c>
      <c r="FI216">
        <v>0</v>
      </c>
      <c r="FJ216">
        <v>5441.7550000000001</v>
      </c>
      <c r="FK216">
        <v>32765</v>
      </c>
      <c r="FL216">
        <v>28531.854350277765</v>
      </c>
      <c r="FM216">
        <v>27323.244999999999</v>
      </c>
    </row>
    <row r="217" spans="1:169" x14ac:dyDescent="0.35">
      <c r="A217">
        <v>198091</v>
      </c>
      <c r="B217" s="43" t="s">
        <v>2928</v>
      </c>
      <c r="C217" s="43" t="s">
        <v>2563</v>
      </c>
      <c r="D217" s="43" t="s">
        <v>2929</v>
      </c>
      <c r="E217" s="43" t="s">
        <v>2930</v>
      </c>
      <c r="F217">
        <v>1</v>
      </c>
      <c r="H217" s="23"/>
      <c r="I217">
        <v>43804</v>
      </c>
      <c r="J217" s="43" t="s">
        <v>4240</v>
      </c>
      <c r="K217" s="43" t="s">
        <v>1715</v>
      </c>
      <c r="L217" s="43" t="s">
        <v>3204</v>
      </c>
      <c r="M217" s="43" t="s">
        <v>2931</v>
      </c>
      <c r="N217" s="43" t="s">
        <v>2932</v>
      </c>
      <c r="O217" s="43" t="s">
        <v>2933</v>
      </c>
      <c r="P217" s="43" t="s">
        <v>372</v>
      </c>
      <c r="Q217" s="43" t="s">
        <v>2934</v>
      </c>
      <c r="S217" s="23">
        <v>44109</v>
      </c>
      <c r="T217" s="43" t="s">
        <v>311</v>
      </c>
      <c r="U217" s="43" t="s">
        <v>266</v>
      </c>
      <c r="V217" s="43" t="s">
        <v>267</v>
      </c>
      <c r="W217" s="43" t="s">
        <v>1718</v>
      </c>
      <c r="X217" s="43" t="s">
        <v>1719</v>
      </c>
      <c r="Y217">
        <v>8772802835</v>
      </c>
      <c r="Z217" s="43" t="s">
        <v>270</v>
      </c>
      <c r="AA217" s="43" t="s">
        <v>271</v>
      </c>
      <c r="AB217">
        <v>0</v>
      </c>
      <c r="AC217">
        <v>1330</v>
      </c>
      <c r="AD217">
        <v>128</v>
      </c>
      <c r="AE217" s="43" t="s">
        <v>301</v>
      </c>
      <c r="AF217">
        <v>1</v>
      </c>
      <c r="AG217" s="43" t="s">
        <v>446</v>
      </c>
      <c r="AH217">
        <v>78464</v>
      </c>
      <c r="AI217">
        <v>78464</v>
      </c>
      <c r="AJ217" s="23">
        <v>43774</v>
      </c>
      <c r="AK217" s="43" t="s">
        <v>3208</v>
      </c>
      <c r="AL217" s="43" t="s">
        <v>3209</v>
      </c>
      <c r="AM217" s="23"/>
      <c r="AN217" s="23"/>
      <c r="AO217" s="23"/>
      <c r="AP217" s="23"/>
      <c r="AQ217" s="23"/>
      <c r="BB217" s="43"/>
      <c r="BC217" s="43" t="s">
        <v>2018</v>
      </c>
      <c r="BD217" s="43" t="s">
        <v>2018</v>
      </c>
      <c r="BE217" s="43" t="s">
        <v>2018</v>
      </c>
      <c r="BF217" s="43" t="s">
        <v>2018</v>
      </c>
      <c r="BG217" s="43" t="s">
        <v>2018</v>
      </c>
      <c r="BH217" t="s">
        <v>2018</v>
      </c>
      <c r="BI217" s="43" t="s">
        <v>2018</v>
      </c>
      <c r="BJ217">
        <v>0</v>
      </c>
      <c r="BK217" s="23">
        <v>44109</v>
      </c>
      <c r="BL217" s="23">
        <v>44356</v>
      </c>
      <c r="BM217">
        <v>8505</v>
      </c>
      <c r="BN217">
        <v>8505</v>
      </c>
      <c r="BO217">
        <v>8505</v>
      </c>
      <c r="BP217">
        <v>25515</v>
      </c>
      <c r="BQ217">
        <v>3300</v>
      </c>
      <c r="BR217">
        <v>400</v>
      </c>
      <c r="BS217">
        <v>400</v>
      </c>
      <c r="BT217">
        <v>4100</v>
      </c>
      <c r="BU217">
        <v>2100</v>
      </c>
      <c r="BV217">
        <v>2100</v>
      </c>
      <c r="BW217">
        <v>2100</v>
      </c>
      <c r="BX217">
        <v>6300</v>
      </c>
      <c r="BY217">
        <v>1200</v>
      </c>
      <c r="BZ217">
        <v>1200</v>
      </c>
      <c r="CA217">
        <v>1200</v>
      </c>
      <c r="CB217">
        <v>3600</v>
      </c>
      <c r="CC217">
        <v>0</v>
      </c>
      <c r="CD217">
        <v>0</v>
      </c>
      <c r="CE217">
        <v>0</v>
      </c>
      <c r="CF217">
        <v>0</v>
      </c>
      <c r="CG217">
        <v>39515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1700</v>
      </c>
      <c r="CU217">
        <v>1700</v>
      </c>
      <c r="CV217">
        <v>1700</v>
      </c>
      <c r="CW217">
        <v>5100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5100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1814</v>
      </c>
      <c r="EO217">
        <v>1814</v>
      </c>
      <c r="EP217">
        <v>1814</v>
      </c>
      <c r="EQ217">
        <v>5500</v>
      </c>
      <c r="ER217">
        <v>58.245000000000005</v>
      </c>
      <c r="ES217">
        <v>0</v>
      </c>
      <c r="ET217">
        <v>0</v>
      </c>
      <c r="EU217">
        <v>0</v>
      </c>
      <c r="EV217">
        <v>0</v>
      </c>
      <c r="EW217">
        <v>0</v>
      </c>
      <c r="FA217">
        <v>0</v>
      </c>
      <c r="FE217">
        <v>0</v>
      </c>
      <c r="FI217">
        <v>0</v>
      </c>
      <c r="FJ217">
        <v>5441.7550000000001</v>
      </c>
      <c r="FK217">
        <v>34415</v>
      </c>
      <c r="FL217">
        <v>30254.840023390832</v>
      </c>
      <c r="FM217">
        <v>28973.244999999999</v>
      </c>
    </row>
    <row r="218" spans="1:169" x14ac:dyDescent="0.35">
      <c r="A218">
        <v>197677</v>
      </c>
      <c r="B218" s="43" t="s">
        <v>2935</v>
      </c>
      <c r="C218" s="43" t="s">
        <v>2936</v>
      </c>
      <c r="D218" s="43" t="s">
        <v>2937</v>
      </c>
      <c r="E218" s="43" t="s">
        <v>2938</v>
      </c>
      <c r="F218">
        <v>1</v>
      </c>
      <c r="G218">
        <v>43781</v>
      </c>
      <c r="H218" s="23">
        <v>43783</v>
      </c>
      <c r="I218">
        <v>43783</v>
      </c>
      <c r="J218" s="43" t="s">
        <v>3421</v>
      </c>
      <c r="K218" s="43" t="s">
        <v>1715</v>
      </c>
      <c r="L218" s="43" t="s">
        <v>3204</v>
      </c>
      <c r="M218" s="43" t="s">
        <v>2939</v>
      </c>
      <c r="N218" s="43" t="s">
        <v>2940</v>
      </c>
      <c r="O218" s="43" t="s">
        <v>2941</v>
      </c>
      <c r="P218" s="43" t="s">
        <v>1650</v>
      </c>
      <c r="Q218" s="43" t="s">
        <v>2942</v>
      </c>
      <c r="S218" s="23">
        <v>44109</v>
      </c>
      <c r="T218" s="43" t="s">
        <v>265</v>
      </c>
      <c r="U218" s="43" t="s">
        <v>266</v>
      </c>
      <c r="V218" s="43" t="s">
        <v>267</v>
      </c>
      <c r="W218" s="43" t="s">
        <v>1718</v>
      </c>
      <c r="X218" s="43" t="s">
        <v>1719</v>
      </c>
      <c r="Y218">
        <v>8772802835</v>
      </c>
      <c r="Z218" s="43" t="s">
        <v>270</v>
      </c>
      <c r="AA218" s="43" t="s">
        <v>271</v>
      </c>
      <c r="AB218">
        <v>0</v>
      </c>
      <c r="AC218">
        <v>690</v>
      </c>
      <c r="AD218">
        <v>92</v>
      </c>
      <c r="AE218" s="43" t="s">
        <v>376</v>
      </c>
      <c r="AF218">
        <v>7</v>
      </c>
      <c r="AG218" s="43" t="s">
        <v>275</v>
      </c>
      <c r="AH218">
        <v>1146</v>
      </c>
      <c r="AI218">
        <v>1146</v>
      </c>
      <c r="AJ218" s="23">
        <v>43774</v>
      </c>
      <c r="AK218" s="43" t="s">
        <v>1715</v>
      </c>
      <c r="AL218" s="43" t="s">
        <v>259</v>
      </c>
      <c r="AM218" s="23">
        <v>43783</v>
      </c>
      <c r="AN218" s="23">
        <v>43783</v>
      </c>
      <c r="AO218" s="23">
        <v>43782</v>
      </c>
      <c r="AP218" s="23"/>
      <c r="AQ218" s="23"/>
      <c r="BB218" s="43"/>
      <c r="BC218" s="43" t="s">
        <v>259</v>
      </c>
      <c r="BD218" s="43" t="s">
        <v>259</v>
      </c>
      <c r="BE218" s="43" t="s">
        <v>259</v>
      </c>
      <c r="BF218" s="43" t="s">
        <v>2018</v>
      </c>
      <c r="BG218" s="43" t="s">
        <v>2018</v>
      </c>
      <c r="BH218">
        <v>43761</v>
      </c>
      <c r="BI218" s="43" t="s">
        <v>2018</v>
      </c>
      <c r="BJ218">
        <v>0.19999999999999996</v>
      </c>
      <c r="BK218" s="23">
        <v>44109</v>
      </c>
      <c r="BL218" s="23">
        <v>44356</v>
      </c>
      <c r="BM218">
        <v>8505</v>
      </c>
      <c r="BN218">
        <v>8505</v>
      </c>
      <c r="BO218">
        <v>8505</v>
      </c>
      <c r="BP218">
        <v>25515</v>
      </c>
      <c r="BQ218">
        <v>3300</v>
      </c>
      <c r="BR218">
        <v>400</v>
      </c>
      <c r="BS218">
        <v>400</v>
      </c>
      <c r="BT218">
        <v>4100</v>
      </c>
      <c r="BU218">
        <v>2100</v>
      </c>
      <c r="BV218">
        <v>2100</v>
      </c>
      <c r="BW218">
        <v>2100</v>
      </c>
      <c r="BX218">
        <v>6300</v>
      </c>
      <c r="BY218">
        <v>1200</v>
      </c>
      <c r="BZ218">
        <v>1200</v>
      </c>
      <c r="CA218">
        <v>1200</v>
      </c>
      <c r="CB218">
        <v>3600</v>
      </c>
      <c r="CC218">
        <v>0</v>
      </c>
      <c r="CD218">
        <v>0</v>
      </c>
      <c r="CE218">
        <v>0</v>
      </c>
      <c r="CF218">
        <v>0</v>
      </c>
      <c r="CG218">
        <v>39515</v>
      </c>
      <c r="CH218">
        <v>0</v>
      </c>
      <c r="CI218">
        <v>0</v>
      </c>
      <c r="CJ218">
        <v>0</v>
      </c>
      <c r="CK218">
        <v>0</v>
      </c>
      <c r="CL218">
        <v>1682</v>
      </c>
      <c r="CM218">
        <v>1682</v>
      </c>
      <c r="CN218">
        <v>1681</v>
      </c>
      <c r="CO218">
        <v>5045</v>
      </c>
      <c r="CP218">
        <v>500</v>
      </c>
      <c r="CQ218">
        <v>500</v>
      </c>
      <c r="CR218">
        <v>500</v>
      </c>
      <c r="CS218">
        <v>1500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6545</v>
      </c>
      <c r="EE218">
        <v>0</v>
      </c>
      <c r="EF218">
        <v>0</v>
      </c>
      <c r="EG218">
        <v>0</v>
      </c>
      <c r="EH218">
        <v>0</v>
      </c>
      <c r="EI218">
        <v>1154</v>
      </c>
      <c r="EJ218">
        <v>1154</v>
      </c>
      <c r="EK218">
        <v>1155</v>
      </c>
      <c r="EL218">
        <v>3500</v>
      </c>
      <c r="EM218">
        <v>37.065000000000005</v>
      </c>
      <c r="EN218">
        <v>660</v>
      </c>
      <c r="EO218">
        <v>660</v>
      </c>
      <c r="EP218">
        <v>660</v>
      </c>
      <c r="EQ218">
        <v>2000</v>
      </c>
      <c r="ER218">
        <v>21.18</v>
      </c>
      <c r="ES218">
        <v>9193</v>
      </c>
      <c r="ET218">
        <v>9193</v>
      </c>
      <c r="EU218">
        <v>9193</v>
      </c>
      <c r="EV218">
        <v>28746</v>
      </c>
      <c r="EW218">
        <v>1217.68056</v>
      </c>
      <c r="FA218">
        <v>0</v>
      </c>
      <c r="FE218">
        <v>0</v>
      </c>
      <c r="FI218">
        <v>0</v>
      </c>
      <c r="FJ218">
        <v>32970.074439999997</v>
      </c>
      <c r="FK218">
        <v>32970</v>
      </c>
      <c r="FL218">
        <v>-7.7732759701268181E-2</v>
      </c>
      <c r="FM218">
        <v>-7.444000000032247E-2</v>
      </c>
    </row>
    <row r="219" spans="1:169" x14ac:dyDescent="0.35">
      <c r="A219">
        <v>198531</v>
      </c>
      <c r="B219" s="43" t="s">
        <v>2943</v>
      </c>
      <c r="C219" s="43" t="s">
        <v>602</v>
      </c>
      <c r="D219" s="43" t="s">
        <v>4113</v>
      </c>
      <c r="E219" s="43" t="s">
        <v>4114</v>
      </c>
      <c r="F219">
        <v>1</v>
      </c>
      <c r="H219" s="23"/>
      <c r="I219">
        <v>43804</v>
      </c>
      <c r="J219" s="43" t="s">
        <v>4256</v>
      </c>
      <c r="K219" s="43" t="s">
        <v>1715</v>
      </c>
      <c r="L219" s="43" t="s">
        <v>259</v>
      </c>
      <c r="M219" s="43" t="s">
        <v>4115</v>
      </c>
      <c r="N219" s="43" t="s">
        <v>4116</v>
      </c>
      <c r="O219" s="43" t="s">
        <v>4117</v>
      </c>
      <c r="P219" s="43" t="s">
        <v>372</v>
      </c>
      <c r="Q219" s="43" t="s">
        <v>4118</v>
      </c>
      <c r="S219" s="23">
        <v>44109</v>
      </c>
      <c r="T219" s="43" t="s">
        <v>311</v>
      </c>
      <c r="U219" s="43" t="s">
        <v>312</v>
      </c>
      <c r="V219" s="43" t="s">
        <v>267</v>
      </c>
      <c r="W219" s="43" t="s">
        <v>1718</v>
      </c>
      <c r="X219" s="43" t="s">
        <v>1719</v>
      </c>
      <c r="Y219">
        <v>8772802835</v>
      </c>
      <c r="Z219" s="43" t="s">
        <v>270</v>
      </c>
      <c r="AA219" s="43" t="s">
        <v>271</v>
      </c>
      <c r="AB219">
        <v>0</v>
      </c>
      <c r="AC219">
        <v>0</v>
      </c>
      <c r="AD219">
        <v>0</v>
      </c>
      <c r="AE219" s="43" t="s">
        <v>274</v>
      </c>
      <c r="AF219">
        <v>9</v>
      </c>
      <c r="AG219" s="43" t="s">
        <v>3345</v>
      </c>
      <c r="AJ219" s="23"/>
      <c r="AK219" s="43" t="s">
        <v>259</v>
      </c>
      <c r="AL219" s="43" t="s">
        <v>259</v>
      </c>
      <c r="AM219" s="23"/>
      <c r="AN219" s="23"/>
      <c r="AO219" s="23"/>
      <c r="AP219" s="23"/>
      <c r="AQ219" s="23"/>
      <c r="BB219" s="43"/>
      <c r="BC219" s="43" t="s">
        <v>259</v>
      </c>
      <c r="BD219" s="43" t="s">
        <v>259</v>
      </c>
      <c r="BE219" s="43" t="s">
        <v>259</v>
      </c>
      <c r="BF219" s="43" t="s">
        <v>259</v>
      </c>
      <c r="BG219" s="43" t="s">
        <v>259</v>
      </c>
      <c r="BH219" t="s">
        <v>259</v>
      </c>
      <c r="BI219" s="43" t="s">
        <v>259</v>
      </c>
      <c r="BJ219">
        <v>0</v>
      </c>
      <c r="BK219" s="23">
        <v>44109</v>
      </c>
      <c r="BL219" s="23">
        <v>44356</v>
      </c>
      <c r="BM219">
        <v>8505</v>
      </c>
      <c r="BN219">
        <v>8505</v>
      </c>
      <c r="BO219">
        <v>8505</v>
      </c>
      <c r="BP219">
        <v>25515</v>
      </c>
      <c r="BQ219">
        <v>3300</v>
      </c>
      <c r="BR219">
        <v>400</v>
      </c>
      <c r="BS219">
        <v>400</v>
      </c>
      <c r="BT219">
        <v>4100</v>
      </c>
      <c r="BU219">
        <v>2100</v>
      </c>
      <c r="BV219">
        <v>2100</v>
      </c>
      <c r="BW219">
        <v>2100</v>
      </c>
      <c r="BX219">
        <v>6300</v>
      </c>
      <c r="BY219">
        <v>1200</v>
      </c>
      <c r="BZ219">
        <v>1200</v>
      </c>
      <c r="CA219">
        <v>1200</v>
      </c>
      <c r="CB219">
        <v>3600</v>
      </c>
      <c r="CC219">
        <v>0</v>
      </c>
      <c r="CD219">
        <v>0</v>
      </c>
      <c r="CE219">
        <v>0</v>
      </c>
      <c r="CF219">
        <v>0</v>
      </c>
      <c r="CG219">
        <v>39515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1154</v>
      </c>
      <c r="EJ219">
        <v>1154</v>
      </c>
      <c r="EK219">
        <v>1155</v>
      </c>
      <c r="EL219">
        <v>3500</v>
      </c>
      <c r="EM219">
        <v>37.065000000000005</v>
      </c>
      <c r="EN219">
        <v>660</v>
      </c>
      <c r="EO219">
        <v>660</v>
      </c>
      <c r="EP219">
        <v>660</v>
      </c>
      <c r="EQ219">
        <v>2000</v>
      </c>
      <c r="ER219">
        <v>21.18</v>
      </c>
      <c r="ES219">
        <v>0</v>
      </c>
      <c r="ET219">
        <v>0</v>
      </c>
      <c r="EU219">
        <v>0</v>
      </c>
      <c r="EV219">
        <v>0</v>
      </c>
      <c r="EW219">
        <v>0</v>
      </c>
      <c r="FA219">
        <v>0</v>
      </c>
      <c r="FE219">
        <v>0</v>
      </c>
      <c r="FI219">
        <v>0</v>
      </c>
      <c r="FJ219">
        <v>5441.7550000000001</v>
      </c>
      <c r="FK219">
        <v>39515</v>
      </c>
      <c r="FL219">
        <v>35580.43210392214</v>
      </c>
      <c r="FM219">
        <v>34073.245000000003</v>
      </c>
    </row>
    <row r="220" spans="1:169" x14ac:dyDescent="0.35">
      <c r="A220">
        <v>199163</v>
      </c>
      <c r="B220" s="43" t="s">
        <v>4119</v>
      </c>
      <c r="C220" s="43" t="s">
        <v>1987</v>
      </c>
      <c r="D220" s="43" t="s">
        <v>4120</v>
      </c>
      <c r="E220" s="43" t="s">
        <v>4121</v>
      </c>
      <c r="F220">
        <v>1</v>
      </c>
      <c r="H220" s="23"/>
      <c r="I220">
        <v>43804</v>
      </c>
      <c r="J220" s="43" t="s">
        <v>4245</v>
      </c>
      <c r="K220" s="43" t="s">
        <v>1715</v>
      </c>
      <c r="L220" s="43" t="s">
        <v>3204</v>
      </c>
      <c r="M220" s="43" t="s">
        <v>4122</v>
      </c>
      <c r="N220" s="43" t="s">
        <v>4123</v>
      </c>
      <c r="O220" s="43" t="s">
        <v>4124</v>
      </c>
      <c r="P220" s="43" t="s">
        <v>542</v>
      </c>
      <c r="Q220" s="43" t="s">
        <v>4125</v>
      </c>
      <c r="S220" s="23">
        <v>44109</v>
      </c>
      <c r="T220" s="43" t="s">
        <v>311</v>
      </c>
      <c r="U220" s="43" t="s">
        <v>266</v>
      </c>
      <c r="V220" s="43" t="s">
        <v>893</v>
      </c>
      <c r="W220" s="43" t="s">
        <v>1718</v>
      </c>
      <c r="X220" s="43" t="s">
        <v>1719</v>
      </c>
      <c r="Y220">
        <v>8772802835</v>
      </c>
      <c r="Z220" s="43" t="s">
        <v>270</v>
      </c>
      <c r="AA220" s="43" t="s">
        <v>271</v>
      </c>
      <c r="AB220">
        <v>27</v>
      </c>
      <c r="AC220">
        <v>0</v>
      </c>
      <c r="AD220">
        <v>114</v>
      </c>
      <c r="AE220" s="43" t="s">
        <v>301</v>
      </c>
      <c r="AF220">
        <v>1</v>
      </c>
      <c r="AG220" s="43" t="s">
        <v>3345</v>
      </c>
      <c r="AH220">
        <v>17890</v>
      </c>
      <c r="AI220">
        <v>17890</v>
      </c>
      <c r="AJ220" s="23">
        <v>43774</v>
      </c>
      <c r="AK220" s="43" t="s">
        <v>3208</v>
      </c>
      <c r="AL220" s="43" t="s">
        <v>3209</v>
      </c>
      <c r="AM220" s="23"/>
      <c r="AN220" s="23"/>
      <c r="AO220" s="23">
        <v>43802</v>
      </c>
      <c r="AP220" s="23">
        <v>43802</v>
      </c>
      <c r="AQ220" s="23">
        <v>43802</v>
      </c>
      <c r="BB220" s="43"/>
      <c r="BC220" s="43" t="s">
        <v>2018</v>
      </c>
      <c r="BD220" s="43" t="s">
        <v>2018</v>
      </c>
      <c r="BE220" s="43" t="s">
        <v>2018</v>
      </c>
      <c r="BF220" s="43" t="s">
        <v>2018</v>
      </c>
      <c r="BG220" s="43" t="s">
        <v>2018</v>
      </c>
      <c r="BH220" t="s">
        <v>2018</v>
      </c>
      <c r="BI220" s="43" t="s">
        <v>2018</v>
      </c>
      <c r="BJ220">
        <v>0.1875</v>
      </c>
      <c r="BK220" s="23">
        <v>44109</v>
      </c>
      <c r="BL220" s="23">
        <v>44356</v>
      </c>
      <c r="BM220">
        <v>8505</v>
      </c>
      <c r="BN220">
        <v>8505</v>
      </c>
      <c r="BO220">
        <v>8505</v>
      </c>
      <c r="BP220">
        <v>25515</v>
      </c>
      <c r="BQ220">
        <v>3300</v>
      </c>
      <c r="BR220">
        <v>400</v>
      </c>
      <c r="BS220">
        <v>400</v>
      </c>
      <c r="BT220">
        <v>4100</v>
      </c>
      <c r="BU220">
        <v>2100</v>
      </c>
      <c r="BV220">
        <v>2100</v>
      </c>
      <c r="BW220">
        <v>2100</v>
      </c>
      <c r="BX220">
        <v>6300</v>
      </c>
      <c r="BY220">
        <v>1200</v>
      </c>
      <c r="BZ220">
        <v>1200</v>
      </c>
      <c r="CA220">
        <v>1200</v>
      </c>
      <c r="CB220">
        <v>3600</v>
      </c>
      <c r="CC220">
        <v>0</v>
      </c>
      <c r="CD220">
        <v>0</v>
      </c>
      <c r="CE220">
        <v>0</v>
      </c>
      <c r="CF220">
        <v>0</v>
      </c>
      <c r="CG220">
        <v>39515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1700</v>
      </c>
      <c r="CU220">
        <v>1700</v>
      </c>
      <c r="CV220">
        <v>1700</v>
      </c>
      <c r="CW220">
        <v>5100</v>
      </c>
      <c r="CX220">
        <v>3000</v>
      </c>
      <c r="CY220">
        <v>3000</v>
      </c>
      <c r="CZ220">
        <v>3000</v>
      </c>
      <c r="DA220">
        <v>9000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14100</v>
      </c>
      <c r="EE220">
        <v>0</v>
      </c>
      <c r="EF220">
        <v>0</v>
      </c>
      <c r="EG220">
        <v>0</v>
      </c>
      <c r="EH220">
        <v>0</v>
      </c>
      <c r="EI220">
        <v>1154</v>
      </c>
      <c r="EJ220">
        <v>1154</v>
      </c>
      <c r="EK220">
        <v>1155</v>
      </c>
      <c r="EL220">
        <v>3500</v>
      </c>
      <c r="EM220">
        <v>37.065000000000005</v>
      </c>
      <c r="EN220">
        <v>660</v>
      </c>
      <c r="EO220">
        <v>660</v>
      </c>
      <c r="EP220">
        <v>660</v>
      </c>
      <c r="EQ220">
        <v>2000</v>
      </c>
      <c r="ER220">
        <v>21.18</v>
      </c>
      <c r="ES220">
        <v>0</v>
      </c>
      <c r="ET220">
        <v>0</v>
      </c>
      <c r="EU220">
        <v>0</v>
      </c>
      <c r="EV220">
        <v>0</v>
      </c>
      <c r="EW220">
        <v>0</v>
      </c>
      <c r="FA220">
        <v>0</v>
      </c>
      <c r="FE220">
        <v>0</v>
      </c>
      <c r="FI220">
        <v>0</v>
      </c>
      <c r="FJ220">
        <v>5441.7550000000001</v>
      </c>
      <c r="FK220">
        <v>25415</v>
      </c>
      <c r="FL220">
        <v>20856.736351864998</v>
      </c>
      <c r="FM220">
        <v>19973.244999999999</v>
      </c>
    </row>
    <row r="221" spans="1:169" x14ac:dyDescent="0.35">
      <c r="A221">
        <v>198540</v>
      </c>
      <c r="B221" s="43" t="s">
        <v>2943</v>
      </c>
      <c r="C221" s="43" t="s">
        <v>2944</v>
      </c>
      <c r="D221" s="43" t="s">
        <v>2945</v>
      </c>
      <c r="E221" s="43" t="s">
        <v>2946</v>
      </c>
      <c r="F221">
        <v>1</v>
      </c>
      <c r="H221" s="23"/>
      <c r="I221">
        <v>43804</v>
      </c>
      <c r="J221" s="43" t="s">
        <v>4256</v>
      </c>
      <c r="K221" s="43" t="s">
        <v>1715</v>
      </c>
      <c r="L221" s="43" t="s">
        <v>259</v>
      </c>
      <c r="M221" s="43" t="s">
        <v>2947</v>
      </c>
      <c r="N221" s="43" t="s">
        <v>2948</v>
      </c>
      <c r="O221" s="43" t="s">
        <v>2949</v>
      </c>
      <c r="P221" s="43" t="s">
        <v>687</v>
      </c>
      <c r="Q221" s="43" t="s">
        <v>2950</v>
      </c>
      <c r="S221" s="23">
        <v>44109</v>
      </c>
      <c r="T221" s="43" t="s">
        <v>311</v>
      </c>
      <c r="U221" s="43" t="s">
        <v>312</v>
      </c>
      <c r="V221" s="43" t="s">
        <v>267</v>
      </c>
      <c r="W221" s="43" t="s">
        <v>1718</v>
      </c>
      <c r="X221" s="43" t="s">
        <v>1719</v>
      </c>
      <c r="Y221">
        <v>8772802835</v>
      </c>
      <c r="Z221" s="43" t="s">
        <v>270</v>
      </c>
      <c r="AA221" s="43" t="s">
        <v>271</v>
      </c>
      <c r="AB221">
        <v>0</v>
      </c>
      <c r="AC221">
        <v>0</v>
      </c>
      <c r="AD221">
        <v>0</v>
      </c>
      <c r="AE221" s="43" t="s">
        <v>376</v>
      </c>
      <c r="AF221">
        <v>7</v>
      </c>
      <c r="AG221" s="43" t="s">
        <v>275</v>
      </c>
      <c r="AJ221" s="23"/>
      <c r="AK221" s="43" t="s">
        <v>259</v>
      </c>
      <c r="AL221" s="43" t="s">
        <v>259</v>
      </c>
      <c r="AM221" s="23"/>
      <c r="AN221" s="23"/>
      <c r="AO221" s="23"/>
      <c r="AP221" s="23"/>
      <c r="AQ221" s="23"/>
      <c r="BB221" s="43"/>
      <c r="BC221" s="43" t="s">
        <v>259</v>
      </c>
      <c r="BD221" s="43" t="s">
        <v>259</v>
      </c>
      <c r="BE221" s="43" t="s">
        <v>259</v>
      </c>
      <c r="BF221" s="43" t="s">
        <v>259</v>
      </c>
      <c r="BG221" s="43" t="s">
        <v>259</v>
      </c>
      <c r="BH221" t="s">
        <v>259</v>
      </c>
      <c r="BI221" s="43" t="s">
        <v>259</v>
      </c>
      <c r="BJ221">
        <v>0</v>
      </c>
      <c r="BK221" s="23">
        <v>44109</v>
      </c>
      <c r="BL221" s="23">
        <v>44356</v>
      </c>
      <c r="BM221">
        <v>8505</v>
      </c>
      <c r="BN221">
        <v>8505</v>
      </c>
      <c r="BO221">
        <v>8505</v>
      </c>
      <c r="BP221">
        <v>25515</v>
      </c>
      <c r="BQ221">
        <v>3300</v>
      </c>
      <c r="BR221">
        <v>400</v>
      </c>
      <c r="BS221">
        <v>400</v>
      </c>
      <c r="BT221">
        <v>4100</v>
      </c>
      <c r="BU221">
        <v>2100</v>
      </c>
      <c r="BV221">
        <v>2100</v>
      </c>
      <c r="BW221">
        <v>2100</v>
      </c>
      <c r="BX221">
        <v>6300</v>
      </c>
      <c r="BY221">
        <v>1200</v>
      </c>
      <c r="BZ221">
        <v>1200</v>
      </c>
      <c r="CA221">
        <v>1200</v>
      </c>
      <c r="CB221">
        <v>3600</v>
      </c>
      <c r="CC221">
        <v>0</v>
      </c>
      <c r="CD221">
        <v>0</v>
      </c>
      <c r="CE221">
        <v>0</v>
      </c>
      <c r="CF221">
        <v>0</v>
      </c>
      <c r="CG221">
        <v>39515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1154</v>
      </c>
      <c r="EJ221">
        <v>1154</v>
      </c>
      <c r="EK221">
        <v>1155</v>
      </c>
      <c r="EL221">
        <v>3500</v>
      </c>
      <c r="EM221">
        <v>37.065000000000005</v>
      </c>
      <c r="EN221">
        <v>660</v>
      </c>
      <c r="EO221">
        <v>660</v>
      </c>
      <c r="EP221">
        <v>660</v>
      </c>
      <c r="EQ221">
        <v>2000</v>
      </c>
      <c r="ER221">
        <v>21.18</v>
      </c>
      <c r="ES221">
        <v>0</v>
      </c>
      <c r="ET221">
        <v>0</v>
      </c>
      <c r="EU221">
        <v>0</v>
      </c>
      <c r="EV221">
        <v>0</v>
      </c>
      <c r="EW221">
        <v>0</v>
      </c>
      <c r="FA221">
        <v>0</v>
      </c>
      <c r="FE221">
        <v>0</v>
      </c>
      <c r="FI221">
        <v>0</v>
      </c>
      <c r="FJ221">
        <v>5441.7550000000001</v>
      </c>
      <c r="FK221">
        <v>39515</v>
      </c>
      <c r="FL221">
        <v>35580.43210392214</v>
      </c>
      <c r="FM221">
        <v>34073.245000000003</v>
      </c>
    </row>
    <row r="222" spans="1:169" x14ac:dyDescent="0.35">
      <c r="A222">
        <v>198714</v>
      </c>
      <c r="B222" s="43" t="s">
        <v>2943</v>
      </c>
      <c r="C222" s="43" t="s">
        <v>2563</v>
      </c>
      <c r="D222" s="43" t="s">
        <v>2951</v>
      </c>
      <c r="E222" s="43" t="s">
        <v>2952</v>
      </c>
      <c r="F222">
        <v>1</v>
      </c>
      <c r="H222" s="23"/>
      <c r="I222">
        <v>43804</v>
      </c>
      <c r="J222" s="43" t="s">
        <v>4240</v>
      </c>
      <c r="K222" s="43" t="s">
        <v>1715</v>
      </c>
      <c r="L222" s="43" t="s">
        <v>3204</v>
      </c>
      <c r="M222" s="43" t="s">
        <v>2953</v>
      </c>
      <c r="N222" s="43" t="s">
        <v>2954</v>
      </c>
      <c r="O222" s="43" t="s">
        <v>2955</v>
      </c>
      <c r="P222" s="43" t="s">
        <v>309</v>
      </c>
      <c r="Q222" s="43" t="s">
        <v>2956</v>
      </c>
      <c r="S222" s="23">
        <v>44109</v>
      </c>
      <c r="T222" s="43" t="s">
        <v>311</v>
      </c>
      <c r="U222" s="43" t="s">
        <v>266</v>
      </c>
      <c r="V222" s="43" t="s">
        <v>267</v>
      </c>
      <c r="W222" s="43" t="s">
        <v>1718</v>
      </c>
      <c r="X222" s="43" t="s">
        <v>1719</v>
      </c>
      <c r="Y222">
        <v>8772802835</v>
      </c>
      <c r="Z222" s="43" t="s">
        <v>270</v>
      </c>
      <c r="AA222" s="43" t="s">
        <v>271</v>
      </c>
      <c r="AB222">
        <v>0</v>
      </c>
      <c r="AC222">
        <v>1240</v>
      </c>
      <c r="AD222">
        <v>119</v>
      </c>
      <c r="AE222" s="43" t="s">
        <v>301</v>
      </c>
      <c r="AF222">
        <v>1</v>
      </c>
      <c r="AG222" s="43" t="s">
        <v>275</v>
      </c>
      <c r="AH222">
        <v>892</v>
      </c>
      <c r="AI222">
        <v>892</v>
      </c>
      <c r="AJ222" s="23">
        <v>43774</v>
      </c>
      <c r="AK222" s="43" t="s">
        <v>1715</v>
      </c>
      <c r="AL222" s="43" t="s">
        <v>259</v>
      </c>
      <c r="AM222" s="23"/>
      <c r="AN222" s="23"/>
      <c r="AO222" s="23"/>
      <c r="AP222" s="23"/>
      <c r="AQ222" s="23"/>
      <c r="BB222" s="43"/>
      <c r="BC222" s="43" t="s">
        <v>259</v>
      </c>
      <c r="BD222" s="43" t="s">
        <v>259</v>
      </c>
      <c r="BE222" s="43" t="s">
        <v>259</v>
      </c>
      <c r="BF222" s="43" t="s">
        <v>2018</v>
      </c>
      <c r="BG222" s="43" t="s">
        <v>2018</v>
      </c>
      <c r="BH222">
        <v>43739</v>
      </c>
      <c r="BI222" s="43" t="s">
        <v>2018</v>
      </c>
      <c r="BJ222">
        <v>5.0000000000000044E-2</v>
      </c>
      <c r="BK222" s="23">
        <v>44109</v>
      </c>
      <c r="BL222" s="23">
        <v>44356</v>
      </c>
      <c r="BM222">
        <v>8505</v>
      </c>
      <c r="BN222">
        <v>8505</v>
      </c>
      <c r="BO222">
        <v>8505</v>
      </c>
      <c r="BP222">
        <v>25515</v>
      </c>
      <c r="BQ222">
        <v>3300</v>
      </c>
      <c r="BR222">
        <v>400</v>
      </c>
      <c r="BS222">
        <v>400</v>
      </c>
      <c r="BT222">
        <v>4100</v>
      </c>
      <c r="BU222">
        <v>2100</v>
      </c>
      <c r="BV222">
        <v>2100</v>
      </c>
      <c r="BW222">
        <v>2100</v>
      </c>
      <c r="BX222">
        <v>6300</v>
      </c>
      <c r="BY222">
        <v>1200</v>
      </c>
      <c r="BZ222">
        <v>1200</v>
      </c>
      <c r="CA222">
        <v>1200</v>
      </c>
      <c r="CB222">
        <v>3600</v>
      </c>
      <c r="CC222">
        <v>0</v>
      </c>
      <c r="CD222">
        <v>0</v>
      </c>
      <c r="CE222">
        <v>0</v>
      </c>
      <c r="CF222">
        <v>0</v>
      </c>
      <c r="CG222">
        <v>39515</v>
      </c>
      <c r="CH222">
        <v>0</v>
      </c>
      <c r="CI222">
        <v>0</v>
      </c>
      <c r="CJ222">
        <v>0</v>
      </c>
      <c r="CK222">
        <v>0</v>
      </c>
      <c r="CL222">
        <v>1782</v>
      </c>
      <c r="CM222">
        <v>1782</v>
      </c>
      <c r="CN222">
        <v>1781</v>
      </c>
      <c r="CO222">
        <v>5345</v>
      </c>
      <c r="CP222">
        <v>500</v>
      </c>
      <c r="CQ222">
        <v>500</v>
      </c>
      <c r="CR222">
        <v>500</v>
      </c>
      <c r="CS222">
        <v>1500</v>
      </c>
      <c r="CT222">
        <v>1700</v>
      </c>
      <c r="CU222">
        <v>1700</v>
      </c>
      <c r="CV222">
        <v>1700</v>
      </c>
      <c r="CW222">
        <v>5100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11945</v>
      </c>
      <c r="EE222">
        <v>0</v>
      </c>
      <c r="EF222">
        <v>0</v>
      </c>
      <c r="EG222">
        <v>0</v>
      </c>
      <c r="EH222">
        <v>0</v>
      </c>
      <c r="EI222">
        <v>1154</v>
      </c>
      <c r="EJ222">
        <v>1154</v>
      </c>
      <c r="EK222">
        <v>1155</v>
      </c>
      <c r="EL222">
        <v>3500</v>
      </c>
      <c r="EM222">
        <v>37.065000000000005</v>
      </c>
      <c r="EN222">
        <v>660</v>
      </c>
      <c r="EO222">
        <v>660</v>
      </c>
      <c r="EP222">
        <v>660</v>
      </c>
      <c r="EQ222">
        <v>2000</v>
      </c>
      <c r="ER222">
        <v>21.18</v>
      </c>
      <c r="ES222">
        <v>0</v>
      </c>
      <c r="ET222">
        <v>0</v>
      </c>
      <c r="EU222">
        <v>0</v>
      </c>
      <c r="EV222">
        <v>0</v>
      </c>
      <c r="EW222">
        <v>0</v>
      </c>
      <c r="FA222">
        <v>0</v>
      </c>
      <c r="FE222">
        <v>0</v>
      </c>
      <c r="FI222">
        <v>0</v>
      </c>
      <c r="FJ222">
        <v>5441.7550000000001</v>
      </c>
      <c r="FK222">
        <v>27570</v>
      </c>
      <c r="FL222">
        <v>23107.060064324796</v>
      </c>
      <c r="FM222">
        <v>22128.244999999999</v>
      </c>
    </row>
    <row r="223" spans="1:169" x14ac:dyDescent="0.35">
      <c r="A223">
        <v>196378</v>
      </c>
      <c r="B223" s="43" t="s">
        <v>2957</v>
      </c>
      <c r="C223" s="43" t="s">
        <v>2958</v>
      </c>
      <c r="D223" s="43" t="s">
        <v>2959</v>
      </c>
      <c r="E223" s="43" t="s">
        <v>2960</v>
      </c>
      <c r="F223">
        <v>1</v>
      </c>
      <c r="H223" s="23"/>
      <c r="I223">
        <v>43804</v>
      </c>
      <c r="J223" s="43" t="s">
        <v>4242</v>
      </c>
      <c r="K223" s="43" t="s">
        <v>1715</v>
      </c>
      <c r="L223" s="43" t="s">
        <v>259</v>
      </c>
      <c r="M223" s="43" t="s">
        <v>2961</v>
      </c>
      <c r="N223" s="43" t="s">
        <v>2962</v>
      </c>
      <c r="O223" s="43" t="s">
        <v>2963</v>
      </c>
      <c r="P223" s="43" t="s">
        <v>687</v>
      </c>
      <c r="Q223" s="43" t="s">
        <v>2964</v>
      </c>
      <c r="S223" s="23">
        <v>44109</v>
      </c>
      <c r="T223" s="43" t="s">
        <v>311</v>
      </c>
      <c r="U223" s="43" t="s">
        <v>266</v>
      </c>
      <c r="V223" s="43" t="s">
        <v>267</v>
      </c>
      <c r="W223" s="43" t="s">
        <v>1718</v>
      </c>
      <c r="X223" s="43" t="s">
        <v>1719</v>
      </c>
      <c r="Y223">
        <v>8772802835</v>
      </c>
      <c r="Z223" s="43" t="s">
        <v>270</v>
      </c>
      <c r="AA223" s="43" t="s">
        <v>271</v>
      </c>
      <c r="AB223">
        <v>0</v>
      </c>
      <c r="AC223">
        <v>1210</v>
      </c>
      <c r="AD223">
        <v>110</v>
      </c>
      <c r="AE223" s="43" t="s">
        <v>445</v>
      </c>
      <c r="AF223">
        <v>4</v>
      </c>
      <c r="AG223" s="43" t="s">
        <v>275</v>
      </c>
      <c r="AJ223" s="23"/>
      <c r="AK223" s="43" t="s">
        <v>259</v>
      </c>
      <c r="AL223" s="43" t="s">
        <v>259</v>
      </c>
      <c r="AM223" s="23"/>
      <c r="AN223" s="23"/>
      <c r="AO223" s="23"/>
      <c r="AP223" s="23"/>
      <c r="AQ223" s="23"/>
      <c r="BB223" s="43"/>
      <c r="BC223" s="43" t="s">
        <v>259</v>
      </c>
      <c r="BD223" s="43" t="s">
        <v>259</v>
      </c>
      <c r="BE223" s="43" t="s">
        <v>259</v>
      </c>
      <c r="BF223" s="43" t="s">
        <v>259</v>
      </c>
      <c r="BG223" s="43" t="s">
        <v>259</v>
      </c>
      <c r="BH223" t="s">
        <v>259</v>
      </c>
      <c r="BI223" s="43" t="s">
        <v>259</v>
      </c>
      <c r="BJ223">
        <v>0</v>
      </c>
      <c r="BK223" s="23">
        <v>44109</v>
      </c>
      <c r="BL223" s="23">
        <v>44356</v>
      </c>
      <c r="BM223">
        <v>8505</v>
      </c>
      <c r="BN223">
        <v>8505</v>
      </c>
      <c r="BO223">
        <v>8505</v>
      </c>
      <c r="BP223">
        <v>25515</v>
      </c>
      <c r="BQ223">
        <v>3300</v>
      </c>
      <c r="BR223">
        <v>400</v>
      </c>
      <c r="BS223">
        <v>400</v>
      </c>
      <c r="BT223">
        <v>4100</v>
      </c>
      <c r="BU223">
        <v>2100</v>
      </c>
      <c r="BV223">
        <v>2100</v>
      </c>
      <c r="BW223">
        <v>2100</v>
      </c>
      <c r="BX223">
        <v>6300</v>
      </c>
      <c r="BY223">
        <v>1200</v>
      </c>
      <c r="BZ223">
        <v>1200</v>
      </c>
      <c r="CA223">
        <v>1200</v>
      </c>
      <c r="CB223">
        <v>3600</v>
      </c>
      <c r="CC223">
        <v>0</v>
      </c>
      <c r="CD223">
        <v>0</v>
      </c>
      <c r="CE223">
        <v>0</v>
      </c>
      <c r="CF223">
        <v>0</v>
      </c>
      <c r="CG223">
        <v>39515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1250</v>
      </c>
      <c r="CU223">
        <v>1250</v>
      </c>
      <c r="CV223">
        <v>1250</v>
      </c>
      <c r="CW223">
        <v>3750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3750</v>
      </c>
      <c r="EE223">
        <v>0</v>
      </c>
      <c r="EF223">
        <v>0</v>
      </c>
      <c r="EG223">
        <v>0</v>
      </c>
      <c r="EH223">
        <v>0</v>
      </c>
      <c r="EI223">
        <v>1154</v>
      </c>
      <c r="EJ223">
        <v>1154</v>
      </c>
      <c r="EK223">
        <v>1155</v>
      </c>
      <c r="EL223">
        <v>3500</v>
      </c>
      <c r="EM223">
        <v>37.065000000000005</v>
      </c>
      <c r="EN223">
        <v>660</v>
      </c>
      <c r="EO223">
        <v>660</v>
      </c>
      <c r="EP223">
        <v>660</v>
      </c>
      <c r="EQ223">
        <v>2000</v>
      </c>
      <c r="ER223">
        <v>21.18</v>
      </c>
      <c r="ES223">
        <v>0</v>
      </c>
      <c r="ET223">
        <v>0</v>
      </c>
      <c r="EU223">
        <v>0</v>
      </c>
      <c r="EV223">
        <v>0</v>
      </c>
      <c r="EW223">
        <v>0</v>
      </c>
      <c r="FA223">
        <v>0</v>
      </c>
      <c r="FE223">
        <v>0</v>
      </c>
      <c r="FI223">
        <v>0</v>
      </c>
      <c r="FJ223">
        <v>5441.7550000000001</v>
      </c>
      <c r="FK223">
        <v>35765</v>
      </c>
      <c r="FL223">
        <v>31664.555574119709</v>
      </c>
      <c r="FM223">
        <v>30323.244999999999</v>
      </c>
    </row>
    <row r="224" spans="1:169" x14ac:dyDescent="0.35">
      <c r="A224">
        <v>199222</v>
      </c>
      <c r="B224" s="43" t="s">
        <v>2965</v>
      </c>
      <c r="C224" s="43" t="s">
        <v>2935</v>
      </c>
      <c r="D224" s="43" t="s">
        <v>3736</v>
      </c>
      <c r="E224" s="43" t="s">
        <v>3737</v>
      </c>
      <c r="F224">
        <v>1</v>
      </c>
      <c r="H224" s="23"/>
      <c r="I224">
        <v>43803</v>
      </c>
      <c r="J224" s="43" t="s">
        <v>4257</v>
      </c>
      <c r="K224" s="43" t="s">
        <v>1715</v>
      </c>
      <c r="L224" s="43" t="s">
        <v>3204</v>
      </c>
      <c r="M224" s="43" t="s">
        <v>3738</v>
      </c>
      <c r="N224" s="43" t="s">
        <v>3739</v>
      </c>
      <c r="O224" s="43" t="s">
        <v>3740</v>
      </c>
      <c r="P224" s="43" t="s">
        <v>542</v>
      </c>
      <c r="Q224" s="43" t="s">
        <v>3741</v>
      </c>
      <c r="S224" s="23">
        <v>44109</v>
      </c>
      <c r="T224" s="43" t="s">
        <v>544</v>
      </c>
      <c r="U224" s="43" t="s">
        <v>266</v>
      </c>
      <c r="V224" s="43" t="s">
        <v>1110</v>
      </c>
      <c r="W224" s="43" t="s">
        <v>1718</v>
      </c>
      <c r="X224" s="43" t="s">
        <v>1719</v>
      </c>
      <c r="Y224">
        <v>8772802835</v>
      </c>
      <c r="Z224" s="43" t="s">
        <v>270</v>
      </c>
      <c r="AA224" s="43" t="s">
        <v>271</v>
      </c>
      <c r="AB224">
        <v>19</v>
      </c>
      <c r="AC224">
        <v>0</v>
      </c>
      <c r="AD224">
        <v>95</v>
      </c>
      <c r="AE224" s="43" t="s">
        <v>376</v>
      </c>
      <c r="AF224">
        <v>7</v>
      </c>
      <c r="AG224" s="43" t="s">
        <v>3345</v>
      </c>
      <c r="AH224">
        <v>0</v>
      </c>
      <c r="AI224">
        <v>0</v>
      </c>
      <c r="AJ224" s="23">
        <v>43776</v>
      </c>
      <c r="AK224" s="43" t="s">
        <v>3208</v>
      </c>
      <c r="AL224" s="43" t="s">
        <v>3209</v>
      </c>
      <c r="AM224" s="23"/>
      <c r="AN224" s="23"/>
      <c r="AO224" s="23"/>
      <c r="AP224" s="23"/>
      <c r="AQ224" s="23"/>
      <c r="BB224" s="43"/>
      <c r="BC224" s="43" t="s">
        <v>2018</v>
      </c>
      <c r="BD224" s="43" t="s">
        <v>2018</v>
      </c>
      <c r="BE224" s="43" t="s">
        <v>2018</v>
      </c>
      <c r="BF224" s="43" t="s">
        <v>2018</v>
      </c>
      <c r="BG224" s="43" t="s">
        <v>2018</v>
      </c>
      <c r="BH224" t="s">
        <v>2018</v>
      </c>
      <c r="BI224" s="43" t="s">
        <v>2018</v>
      </c>
      <c r="BJ224">
        <v>0</v>
      </c>
      <c r="BK224" s="23">
        <v>44109</v>
      </c>
      <c r="BL224" s="23">
        <v>44356</v>
      </c>
      <c r="BM224">
        <v>8505</v>
      </c>
      <c r="BN224">
        <v>8505</v>
      </c>
      <c r="BO224">
        <v>8505</v>
      </c>
      <c r="BP224">
        <v>25515</v>
      </c>
      <c r="BQ224">
        <v>3300</v>
      </c>
      <c r="BR224">
        <v>400</v>
      </c>
      <c r="BS224">
        <v>400</v>
      </c>
      <c r="BT224">
        <v>4100</v>
      </c>
      <c r="BU224">
        <v>2100</v>
      </c>
      <c r="BV224">
        <v>2100</v>
      </c>
      <c r="BW224">
        <v>2100</v>
      </c>
      <c r="BX224">
        <v>6300</v>
      </c>
      <c r="BY224">
        <v>1200</v>
      </c>
      <c r="BZ224">
        <v>1200</v>
      </c>
      <c r="CA224">
        <v>1200</v>
      </c>
      <c r="CB224">
        <v>3600</v>
      </c>
      <c r="CC224">
        <v>0</v>
      </c>
      <c r="CD224">
        <v>0</v>
      </c>
      <c r="CE224">
        <v>0</v>
      </c>
      <c r="CF224">
        <v>0</v>
      </c>
      <c r="CG224">
        <v>39515</v>
      </c>
      <c r="CH224">
        <v>0</v>
      </c>
      <c r="CI224">
        <v>0</v>
      </c>
      <c r="CJ224">
        <v>0</v>
      </c>
      <c r="CK224">
        <v>0</v>
      </c>
      <c r="CL224">
        <v>2065</v>
      </c>
      <c r="CM224">
        <v>2065</v>
      </c>
      <c r="CN224">
        <v>2065</v>
      </c>
      <c r="CO224">
        <v>6195</v>
      </c>
      <c r="CP224">
        <v>500</v>
      </c>
      <c r="CQ224">
        <v>500</v>
      </c>
      <c r="CR224">
        <v>500</v>
      </c>
      <c r="CS224">
        <v>1500</v>
      </c>
      <c r="CT224">
        <v>0</v>
      </c>
      <c r="CU224">
        <v>0</v>
      </c>
      <c r="CV224">
        <v>0</v>
      </c>
      <c r="CW224">
        <v>0</v>
      </c>
      <c r="CX224">
        <v>3000</v>
      </c>
      <c r="CY224">
        <v>3000</v>
      </c>
      <c r="CZ224">
        <v>3000</v>
      </c>
      <c r="DA224">
        <v>9000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16695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M224">
        <v>0</v>
      </c>
      <c r="EN224">
        <v>660</v>
      </c>
      <c r="EO224">
        <v>660</v>
      </c>
      <c r="EP224">
        <v>660</v>
      </c>
      <c r="EQ224">
        <v>2000</v>
      </c>
      <c r="ER224">
        <v>21.18</v>
      </c>
      <c r="ES224">
        <v>0</v>
      </c>
      <c r="ET224">
        <v>0</v>
      </c>
      <c r="EU224">
        <v>0</v>
      </c>
      <c r="EW224">
        <v>0</v>
      </c>
      <c r="FA224">
        <v>0</v>
      </c>
      <c r="FE224">
        <v>0</v>
      </c>
      <c r="FI224">
        <v>0</v>
      </c>
      <c r="FJ224">
        <v>1978.82</v>
      </c>
      <c r="FK224">
        <v>22820</v>
      </c>
      <c r="FL224">
        <v>21763.063364103422</v>
      </c>
      <c r="FM224">
        <v>20841.18</v>
      </c>
    </row>
    <row r="225" spans="1:169" x14ac:dyDescent="0.35">
      <c r="A225">
        <v>192027</v>
      </c>
      <c r="B225" s="43" t="s">
        <v>2965</v>
      </c>
      <c r="C225" s="43" t="s">
        <v>2666</v>
      </c>
      <c r="D225" s="43" t="s">
        <v>2966</v>
      </c>
      <c r="E225" s="43" t="s">
        <v>2967</v>
      </c>
      <c r="F225">
        <v>1</v>
      </c>
      <c r="H225" s="23"/>
      <c r="I225">
        <v>43804</v>
      </c>
      <c r="J225" s="43" t="s">
        <v>4242</v>
      </c>
      <c r="K225" s="43" t="s">
        <v>1715</v>
      </c>
      <c r="L225" s="43" t="s">
        <v>259</v>
      </c>
      <c r="M225" s="43" t="s">
        <v>2968</v>
      </c>
      <c r="N225" s="43" t="s">
        <v>2969</v>
      </c>
      <c r="O225" s="43" t="s">
        <v>2970</v>
      </c>
      <c r="P225" s="43" t="s">
        <v>1018</v>
      </c>
      <c r="Q225" s="43" t="s">
        <v>2971</v>
      </c>
      <c r="S225" s="23">
        <v>44109</v>
      </c>
      <c r="T225" s="43" t="s">
        <v>285</v>
      </c>
      <c r="U225" s="43" t="s">
        <v>266</v>
      </c>
      <c r="V225" s="43" t="s">
        <v>267</v>
      </c>
      <c r="W225" s="43" t="s">
        <v>1718</v>
      </c>
      <c r="X225" s="43" t="s">
        <v>1719</v>
      </c>
      <c r="Y225">
        <v>8772802835</v>
      </c>
      <c r="Z225" s="43" t="s">
        <v>508</v>
      </c>
      <c r="AA225" s="43" t="s">
        <v>271</v>
      </c>
      <c r="AB225">
        <v>0</v>
      </c>
      <c r="AC225">
        <v>1080</v>
      </c>
      <c r="AD225">
        <v>99</v>
      </c>
      <c r="AE225" s="43" t="s">
        <v>354</v>
      </c>
      <c r="AF225">
        <v>6</v>
      </c>
      <c r="AG225" s="43" t="s">
        <v>275</v>
      </c>
      <c r="AJ225" s="23"/>
      <c r="AK225" s="43" t="s">
        <v>259</v>
      </c>
      <c r="AL225" s="43" t="s">
        <v>259</v>
      </c>
      <c r="AM225" s="23"/>
      <c r="AN225" s="23"/>
      <c r="AO225" s="23"/>
      <c r="AP225" s="23"/>
      <c r="AQ225" s="23"/>
      <c r="BB225" s="43"/>
      <c r="BC225" s="43" t="s">
        <v>259</v>
      </c>
      <c r="BD225" s="43" t="s">
        <v>259</v>
      </c>
      <c r="BE225" s="43" t="s">
        <v>259</v>
      </c>
      <c r="BF225" s="43" t="s">
        <v>259</v>
      </c>
      <c r="BG225" s="43" t="s">
        <v>259</v>
      </c>
      <c r="BH225" t="s">
        <v>259</v>
      </c>
      <c r="BI225" s="43" t="s">
        <v>259</v>
      </c>
      <c r="BJ225">
        <v>0</v>
      </c>
      <c r="BK225" s="23">
        <v>44109</v>
      </c>
      <c r="BL225" s="23">
        <v>44356</v>
      </c>
      <c r="BM225">
        <v>8505</v>
      </c>
      <c r="BN225">
        <v>8505</v>
      </c>
      <c r="BO225">
        <v>8505</v>
      </c>
      <c r="BP225">
        <v>25515</v>
      </c>
      <c r="BQ225">
        <v>3300</v>
      </c>
      <c r="BR225">
        <v>400</v>
      </c>
      <c r="BS225">
        <v>400</v>
      </c>
      <c r="BT225">
        <v>4100</v>
      </c>
      <c r="BU225">
        <v>2100</v>
      </c>
      <c r="BV225">
        <v>2100</v>
      </c>
      <c r="BW225">
        <v>2100</v>
      </c>
      <c r="BX225">
        <v>6300</v>
      </c>
      <c r="BY225">
        <v>1200</v>
      </c>
      <c r="BZ225">
        <v>1200</v>
      </c>
      <c r="CA225">
        <v>1200</v>
      </c>
      <c r="CB225">
        <v>3600</v>
      </c>
      <c r="CC225">
        <v>0</v>
      </c>
      <c r="CD225">
        <v>0</v>
      </c>
      <c r="CE225">
        <v>0</v>
      </c>
      <c r="CF225">
        <v>0</v>
      </c>
      <c r="CG225">
        <v>39515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750</v>
      </c>
      <c r="CU225">
        <v>750</v>
      </c>
      <c r="CV225">
        <v>750</v>
      </c>
      <c r="CW225">
        <v>2250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2250</v>
      </c>
      <c r="EE225">
        <v>0</v>
      </c>
      <c r="EF225">
        <v>0</v>
      </c>
      <c r="EG225">
        <v>0</v>
      </c>
      <c r="EH225">
        <v>0</v>
      </c>
      <c r="EI225">
        <v>1154</v>
      </c>
      <c r="EJ225">
        <v>1154</v>
      </c>
      <c r="EK225">
        <v>1155</v>
      </c>
      <c r="EL225">
        <v>3500</v>
      </c>
      <c r="EM225">
        <v>37.065000000000005</v>
      </c>
      <c r="EN225">
        <v>660</v>
      </c>
      <c r="EO225">
        <v>660</v>
      </c>
      <c r="EP225">
        <v>660</v>
      </c>
      <c r="EQ225">
        <v>2000</v>
      </c>
      <c r="ER225">
        <v>21.18</v>
      </c>
      <c r="ES225">
        <v>0</v>
      </c>
      <c r="ET225">
        <v>0</v>
      </c>
      <c r="EU225">
        <v>0</v>
      </c>
      <c r="EV225">
        <v>0</v>
      </c>
      <c r="EW225">
        <v>0</v>
      </c>
      <c r="FA225">
        <v>0</v>
      </c>
      <c r="FE225">
        <v>0</v>
      </c>
      <c r="FI225">
        <v>0</v>
      </c>
      <c r="FJ225">
        <v>5441.7550000000001</v>
      </c>
      <c r="FK225">
        <v>37265</v>
      </c>
      <c r="FL225">
        <v>33230.906186040687</v>
      </c>
      <c r="FM225">
        <v>31823.245000000003</v>
      </c>
    </row>
    <row r="226" spans="1:169" x14ac:dyDescent="0.35">
      <c r="A226">
        <v>197833</v>
      </c>
      <c r="B226" s="43" t="s">
        <v>389</v>
      </c>
      <c r="C226" s="43" t="s">
        <v>2972</v>
      </c>
      <c r="D226" s="43" t="s">
        <v>2973</v>
      </c>
      <c r="E226" s="43" t="s">
        <v>2974</v>
      </c>
      <c r="F226">
        <v>1</v>
      </c>
      <c r="G226">
        <v>43804</v>
      </c>
      <c r="H226" s="23">
        <v>43804</v>
      </c>
      <c r="I226">
        <v>43804</v>
      </c>
      <c r="J226" s="43" t="s">
        <v>4229</v>
      </c>
      <c r="K226" s="43" t="s">
        <v>1715</v>
      </c>
      <c r="L226" s="43" t="s">
        <v>3204</v>
      </c>
      <c r="M226" s="43" t="s">
        <v>2975</v>
      </c>
      <c r="N226" s="43" t="s">
        <v>2976</v>
      </c>
      <c r="O226" s="43" t="s">
        <v>2977</v>
      </c>
      <c r="P226" s="43" t="s">
        <v>1018</v>
      </c>
      <c r="Q226" s="43" t="s">
        <v>2978</v>
      </c>
      <c r="S226" s="23">
        <v>44109</v>
      </c>
      <c r="T226" s="43" t="s">
        <v>265</v>
      </c>
      <c r="U226" s="43" t="s">
        <v>266</v>
      </c>
      <c r="V226" s="43" t="s">
        <v>267</v>
      </c>
      <c r="W226" s="43" t="s">
        <v>1718</v>
      </c>
      <c r="X226" s="43" t="s">
        <v>1719</v>
      </c>
      <c r="Y226">
        <v>8772802835</v>
      </c>
      <c r="Z226" s="43" t="s">
        <v>270</v>
      </c>
      <c r="AA226" s="43" t="s">
        <v>271</v>
      </c>
      <c r="AB226">
        <v>0</v>
      </c>
      <c r="AC226">
        <v>1150</v>
      </c>
      <c r="AD226">
        <v>113</v>
      </c>
      <c r="AE226" s="43" t="s">
        <v>354</v>
      </c>
      <c r="AF226">
        <v>6</v>
      </c>
      <c r="AG226" s="43" t="s">
        <v>275</v>
      </c>
      <c r="AH226">
        <v>18501</v>
      </c>
      <c r="AI226">
        <v>18501</v>
      </c>
      <c r="AJ226" s="23">
        <v>43774</v>
      </c>
      <c r="AK226" s="43" t="s">
        <v>3208</v>
      </c>
      <c r="AL226" s="43" t="s">
        <v>3209</v>
      </c>
      <c r="AM226" s="23"/>
      <c r="AN226" s="23"/>
      <c r="AO226" s="23"/>
      <c r="AP226" s="23"/>
      <c r="AQ226" s="23"/>
      <c r="BB226" s="43"/>
      <c r="BC226" s="43" t="s">
        <v>2018</v>
      </c>
      <c r="BD226" s="43" t="s">
        <v>2018</v>
      </c>
      <c r="BE226" s="43" t="s">
        <v>2018</v>
      </c>
      <c r="BF226" s="43" t="s">
        <v>2018</v>
      </c>
      <c r="BG226" s="43" t="s">
        <v>2018</v>
      </c>
      <c r="BH226" t="s">
        <v>2018</v>
      </c>
      <c r="BI226" s="43" t="s">
        <v>2018</v>
      </c>
      <c r="BJ226">
        <v>0</v>
      </c>
      <c r="BK226" s="23">
        <v>44109</v>
      </c>
      <c r="BL226" s="23">
        <v>44356</v>
      </c>
      <c r="BM226">
        <v>8505</v>
      </c>
      <c r="BN226">
        <v>8505</v>
      </c>
      <c r="BO226">
        <v>8505</v>
      </c>
      <c r="BP226">
        <v>25515</v>
      </c>
      <c r="BQ226">
        <v>3300</v>
      </c>
      <c r="BR226">
        <v>400</v>
      </c>
      <c r="BS226">
        <v>400</v>
      </c>
      <c r="BT226">
        <v>4100</v>
      </c>
      <c r="BU226">
        <v>2100</v>
      </c>
      <c r="BV226">
        <v>2100</v>
      </c>
      <c r="BW226">
        <v>2100</v>
      </c>
      <c r="BX226">
        <v>6300</v>
      </c>
      <c r="BY226">
        <v>1200</v>
      </c>
      <c r="BZ226">
        <v>1200</v>
      </c>
      <c r="CA226">
        <v>1200</v>
      </c>
      <c r="CB226">
        <v>3600</v>
      </c>
      <c r="CC226">
        <v>0</v>
      </c>
      <c r="CD226">
        <v>0</v>
      </c>
      <c r="CE226">
        <v>0</v>
      </c>
      <c r="CF226">
        <v>0</v>
      </c>
      <c r="CG226">
        <v>39515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750</v>
      </c>
      <c r="CU226">
        <v>750</v>
      </c>
      <c r="CV226">
        <v>750</v>
      </c>
      <c r="CW226">
        <v>2250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2250</v>
      </c>
      <c r="EE226">
        <v>0</v>
      </c>
      <c r="EF226">
        <v>0</v>
      </c>
      <c r="EG226">
        <v>0</v>
      </c>
      <c r="EH226">
        <v>0</v>
      </c>
      <c r="EI226">
        <v>1154</v>
      </c>
      <c r="EJ226">
        <v>1154</v>
      </c>
      <c r="EK226">
        <v>1155</v>
      </c>
      <c r="EL226">
        <v>3500</v>
      </c>
      <c r="EM226">
        <v>37.065000000000005</v>
      </c>
      <c r="EN226">
        <v>660</v>
      </c>
      <c r="EO226">
        <v>660</v>
      </c>
      <c r="EP226">
        <v>660</v>
      </c>
      <c r="EQ226">
        <v>2000</v>
      </c>
      <c r="ER226">
        <v>21.18</v>
      </c>
      <c r="ES226">
        <v>0</v>
      </c>
      <c r="ET226">
        <v>0</v>
      </c>
      <c r="EU226">
        <v>0</v>
      </c>
      <c r="EV226">
        <v>0</v>
      </c>
      <c r="EW226">
        <v>0</v>
      </c>
      <c r="FA226">
        <v>0</v>
      </c>
      <c r="FE226">
        <v>0</v>
      </c>
      <c r="FI226">
        <v>0</v>
      </c>
      <c r="FJ226">
        <v>5441.7550000000001</v>
      </c>
      <c r="FK226">
        <v>37265</v>
      </c>
      <c r="FL226">
        <v>33230.906186040687</v>
      </c>
      <c r="FM226">
        <v>31823.245000000003</v>
      </c>
    </row>
    <row r="227" spans="1:169" x14ac:dyDescent="0.35">
      <c r="A227">
        <v>198365</v>
      </c>
      <c r="B227" s="43" t="s">
        <v>1457</v>
      </c>
      <c r="C227" s="43" t="s">
        <v>2979</v>
      </c>
      <c r="D227" s="43" t="s">
        <v>2980</v>
      </c>
      <c r="E227" s="43" t="s">
        <v>2981</v>
      </c>
      <c r="F227">
        <v>1</v>
      </c>
      <c r="H227" s="23"/>
      <c r="I227">
        <v>43804</v>
      </c>
      <c r="J227" s="43" t="s">
        <v>4241</v>
      </c>
      <c r="K227" s="43" t="s">
        <v>1715</v>
      </c>
      <c r="L227" s="43" t="s">
        <v>259</v>
      </c>
      <c r="M227" s="43" t="s">
        <v>2982</v>
      </c>
      <c r="N227" s="43" t="s">
        <v>2983</v>
      </c>
      <c r="O227" s="43" t="s">
        <v>2984</v>
      </c>
      <c r="P227" s="43" t="s">
        <v>735</v>
      </c>
      <c r="Q227" s="43" t="s">
        <v>2985</v>
      </c>
      <c r="S227" s="23">
        <v>44109</v>
      </c>
      <c r="T227" s="43" t="s">
        <v>311</v>
      </c>
      <c r="U227" s="43" t="s">
        <v>286</v>
      </c>
      <c r="V227" s="43" t="s">
        <v>267</v>
      </c>
      <c r="W227" s="43" t="s">
        <v>1718</v>
      </c>
      <c r="X227" s="43" t="s">
        <v>1719</v>
      </c>
      <c r="Y227">
        <v>8772802835</v>
      </c>
      <c r="Z227" s="43" t="s">
        <v>270</v>
      </c>
      <c r="AA227" s="43" t="s">
        <v>271</v>
      </c>
      <c r="AB227">
        <v>0</v>
      </c>
      <c r="AC227">
        <v>1000</v>
      </c>
      <c r="AD227">
        <v>97</v>
      </c>
      <c r="AE227" s="43" t="s">
        <v>289</v>
      </c>
      <c r="AF227">
        <v>2</v>
      </c>
      <c r="AG227" s="43" t="s">
        <v>275</v>
      </c>
      <c r="AJ227" s="23"/>
      <c r="AK227" s="43" t="s">
        <v>259</v>
      </c>
      <c r="AL227" s="43" t="s">
        <v>259</v>
      </c>
      <c r="AM227" s="23"/>
      <c r="AN227" s="23"/>
      <c r="AO227" s="23"/>
      <c r="AP227" s="23"/>
      <c r="AQ227" s="23"/>
      <c r="BB227" s="43"/>
      <c r="BC227" s="43" t="s">
        <v>259</v>
      </c>
      <c r="BD227" s="43" t="s">
        <v>259</v>
      </c>
      <c r="BE227" s="43" t="s">
        <v>259</v>
      </c>
      <c r="BF227" s="43" t="s">
        <v>259</v>
      </c>
      <c r="BG227" s="43" t="s">
        <v>259</v>
      </c>
      <c r="BH227" t="s">
        <v>259</v>
      </c>
      <c r="BI227" s="43" t="s">
        <v>259</v>
      </c>
      <c r="BJ227">
        <v>0</v>
      </c>
      <c r="BK227" s="23">
        <v>44109</v>
      </c>
      <c r="BL227" s="23">
        <v>44356</v>
      </c>
      <c r="BM227">
        <v>8505</v>
      </c>
      <c r="BN227">
        <v>8505</v>
      </c>
      <c r="BO227">
        <v>8505</v>
      </c>
      <c r="BP227">
        <v>25515</v>
      </c>
      <c r="BQ227">
        <v>3300</v>
      </c>
      <c r="BR227">
        <v>400</v>
      </c>
      <c r="BS227">
        <v>400</v>
      </c>
      <c r="BT227">
        <v>4100</v>
      </c>
      <c r="BU227">
        <v>2100</v>
      </c>
      <c r="BV227">
        <v>2100</v>
      </c>
      <c r="BW227">
        <v>2100</v>
      </c>
      <c r="BX227">
        <v>6300</v>
      </c>
      <c r="BY227">
        <v>1200</v>
      </c>
      <c r="BZ227">
        <v>1200</v>
      </c>
      <c r="CA227">
        <v>1200</v>
      </c>
      <c r="CB227">
        <v>3600</v>
      </c>
      <c r="CC227">
        <v>0</v>
      </c>
      <c r="CD227">
        <v>0</v>
      </c>
      <c r="CE227">
        <v>0</v>
      </c>
      <c r="CF227">
        <v>0</v>
      </c>
      <c r="CG227">
        <v>39515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1500</v>
      </c>
      <c r="CU227">
        <v>1500</v>
      </c>
      <c r="CV227">
        <v>1500</v>
      </c>
      <c r="CW227">
        <v>4500</v>
      </c>
      <c r="CX227">
        <v>0</v>
      </c>
      <c r="CY227">
        <v>0</v>
      </c>
      <c r="CZ227">
        <v>0</v>
      </c>
      <c r="DA227">
        <v>0</v>
      </c>
      <c r="DB227">
        <v>1000</v>
      </c>
      <c r="DC227">
        <v>1000</v>
      </c>
      <c r="DD227">
        <v>1000</v>
      </c>
      <c r="DE227">
        <v>3000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7500</v>
      </c>
      <c r="EE227">
        <v>0</v>
      </c>
      <c r="EF227">
        <v>0</v>
      </c>
      <c r="EG227">
        <v>0</v>
      </c>
      <c r="EH227">
        <v>0</v>
      </c>
      <c r="EI227">
        <v>1154</v>
      </c>
      <c r="EJ227">
        <v>1154</v>
      </c>
      <c r="EK227">
        <v>1155</v>
      </c>
      <c r="EL227">
        <v>3500</v>
      </c>
      <c r="EM227">
        <v>37.065000000000005</v>
      </c>
      <c r="EN227">
        <v>660</v>
      </c>
      <c r="EO227">
        <v>660</v>
      </c>
      <c r="EP227">
        <v>660</v>
      </c>
      <c r="EQ227">
        <v>2000</v>
      </c>
      <c r="ER227">
        <v>21.18</v>
      </c>
      <c r="ES227">
        <v>0</v>
      </c>
      <c r="ET227">
        <v>0</v>
      </c>
      <c r="EU227">
        <v>0</v>
      </c>
      <c r="EV227">
        <v>0</v>
      </c>
      <c r="EW227">
        <v>0</v>
      </c>
      <c r="FA227">
        <v>0</v>
      </c>
      <c r="FE227">
        <v>0</v>
      </c>
      <c r="FI227">
        <v>0</v>
      </c>
      <c r="FJ227">
        <v>5441.7550000000001</v>
      </c>
      <c r="FK227">
        <v>32015</v>
      </c>
      <c r="FL227">
        <v>27748.679044317276</v>
      </c>
      <c r="FM227">
        <v>26573.244999999999</v>
      </c>
    </row>
    <row r="228" spans="1:169" x14ac:dyDescent="0.35">
      <c r="A228">
        <v>195541</v>
      </c>
      <c r="B228" s="43" t="s">
        <v>2986</v>
      </c>
      <c r="C228" s="43" t="s">
        <v>1809</v>
      </c>
      <c r="D228" s="43" t="s">
        <v>2987</v>
      </c>
      <c r="E228" s="43" t="s">
        <v>2988</v>
      </c>
      <c r="F228">
        <v>1</v>
      </c>
      <c r="H228" s="23"/>
      <c r="I228">
        <v>43804</v>
      </c>
      <c r="J228" s="43" t="s">
        <v>4240</v>
      </c>
      <c r="K228" s="43" t="s">
        <v>1715</v>
      </c>
      <c r="L228" s="43" t="s">
        <v>3204</v>
      </c>
      <c r="M228" s="43" t="s">
        <v>2989</v>
      </c>
      <c r="N228" s="43" t="s">
        <v>2990</v>
      </c>
      <c r="O228" s="43" t="s">
        <v>350</v>
      </c>
      <c r="P228" s="43" t="s">
        <v>342</v>
      </c>
      <c r="Q228" s="43" t="s">
        <v>2991</v>
      </c>
      <c r="S228" s="23">
        <v>44109</v>
      </c>
      <c r="T228" s="43" t="s">
        <v>311</v>
      </c>
      <c r="U228" s="43" t="s">
        <v>266</v>
      </c>
      <c r="V228" s="43" t="s">
        <v>267</v>
      </c>
      <c r="W228" s="43" t="s">
        <v>1718</v>
      </c>
      <c r="X228" s="43" t="s">
        <v>1719</v>
      </c>
      <c r="Y228">
        <v>8772802835</v>
      </c>
      <c r="Z228" s="43" t="s">
        <v>270</v>
      </c>
      <c r="AA228" s="43" t="s">
        <v>271</v>
      </c>
      <c r="AB228">
        <v>0</v>
      </c>
      <c r="AC228">
        <v>1070</v>
      </c>
      <c r="AD228">
        <v>106</v>
      </c>
      <c r="AE228" s="43" t="s">
        <v>289</v>
      </c>
      <c r="AF228">
        <v>2</v>
      </c>
      <c r="AG228" s="43" t="s">
        <v>275</v>
      </c>
      <c r="AH228">
        <v>18977</v>
      </c>
      <c r="AI228">
        <v>18977</v>
      </c>
      <c r="AJ228" s="23">
        <v>43783</v>
      </c>
      <c r="AK228" s="43" t="s">
        <v>3208</v>
      </c>
      <c r="AL228" s="43" t="s">
        <v>3209</v>
      </c>
      <c r="AM228" s="23"/>
      <c r="AN228" s="23"/>
      <c r="AO228" s="23"/>
      <c r="AP228" s="23"/>
      <c r="AQ228" s="23"/>
      <c r="BB228" s="43"/>
      <c r="BC228" s="43" t="s">
        <v>2018</v>
      </c>
      <c r="BD228" s="43" t="s">
        <v>2018</v>
      </c>
      <c r="BE228" s="43" t="s">
        <v>2018</v>
      </c>
      <c r="BF228" s="43" t="s">
        <v>2018</v>
      </c>
      <c r="BG228" s="43" t="s">
        <v>2018</v>
      </c>
      <c r="BH228" t="s">
        <v>2018</v>
      </c>
      <c r="BI228" s="43" t="s">
        <v>2018</v>
      </c>
      <c r="BJ228">
        <v>0</v>
      </c>
      <c r="BK228" s="23">
        <v>44109</v>
      </c>
      <c r="BL228" s="23">
        <v>44356</v>
      </c>
      <c r="BM228">
        <v>8505</v>
      </c>
      <c r="BN228">
        <v>8505</v>
      </c>
      <c r="BO228">
        <v>8505</v>
      </c>
      <c r="BP228">
        <v>25515</v>
      </c>
      <c r="BQ228">
        <v>3300</v>
      </c>
      <c r="BR228">
        <v>400</v>
      </c>
      <c r="BS228">
        <v>400</v>
      </c>
      <c r="BT228">
        <v>4100</v>
      </c>
      <c r="BU228">
        <v>2100</v>
      </c>
      <c r="BV228">
        <v>2100</v>
      </c>
      <c r="BW228">
        <v>2100</v>
      </c>
      <c r="BX228">
        <v>6300</v>
      </c>
      <c r="BY228">
        <v>1200</v>
      </c>
      <c r="BZ228">
        <v>1200</v>
      </c>
      <c r="CA228">
        <v>1200</v>
      </c>
      <c r="CB228">
        <v>3600</v>
      </c>
      <c r="CC228">
        <v>0</v>
      </c>
      <c r="CD228">
        <v>0</v>
      </c>
      <c r="CE228">
        <v>0</v>
      </c>
      <c r="CF228">
        <v>0</v>
      </c>
      <c r="CG228">
        <v>39515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1500</v>
      </c>
      <c r="CU228">
        <v>1500</v>
      </c>
      <c r="CV228">
        <v>1500</v>
      </c>
      <c r="CW228">
        <v>4500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4500</v>
      </c>
      <c r="EE228">
        <v>0</v>
      </c>
      <c r="EF228">
        <v>0</v>
      </c>
      <c r="EG228">
        <v>0</v>
      </c>
      <c r="EH228">
        <v>0</v>
      </c>
      <c r="EI228">
        <v>1154</v>
      </c>
      <c r="EJ228">
        <v>1154</v>
      </c>
      <c r="EK228">
        <v>1155</v>
      </c>
      <c r="EL228">
        <v>3500</v>
      </c>
      <c r="EM228">
        <v>37.065000000000005</v>
      </c>
      <c r="EN228">
        <v>660</v>
      </c>
      <c r="EO228">
        <v>660</v>
      </c>
      <c r="EP228">
        <v>660</v>
      </c>
      <c r="EQ228">
        <v>2000</v>
      </c>
      <c r="ER228">
        <v>21.18</v>
      </c>
      <c r="ES228">
        <v>0</v>
      </c>
      <c r="ET228">
        <v>0</v>
      </c>
      <c r="EU228">
        <v>0</v>
      </c>
      <c r="EV228">
        <v>0</v>
      </c>
      <c r="EW228">
        <v>0</v>
      </c>
      <c r="FA228">
        <v>0</v>
      </c>
      <c r="FE228">
        <v>0</v>
      </c>
      <c r="FI228">
        <v>0</v>
      </c>
      <c r="FJ228">
        <v>5441.7550000000001</v>
      </c>
      <c r="FK228">
        <v>35015</v>
      </c>
      <c r="FL228">
        <v>30881.380268159221</v>
      </c>
      <c r="FM228">
        <v>29573.244999999999</v>
      </c>
    </row>
    <row r="229" spans="1:169" x14ac:dyDescent="0.35">
      <c r="A229">
        <v>198271</v>
      </c>
      <c r="B229" s="43" t="s">
        <v>2986</v>
      </c>
      <c r="C229" s="43" t="s">
        <v>3408</v>
      </c>
      <c r="D229" s="43" t="s">
        <v>3409</v>
      </c>
      <c r="E229" s="43" t="s">
        <v>3410</v>
      </c>
      <c r="F229">
        <v>1</v>
      </c>
      <c r="H229" s="23"/>
      <c r="I229">
        <v>43803</v>
      </c>
      <c r="J229" s="43" t="s">
        <v>3304</v>
      </c>
      <c r="K229" s="43" t="s">
        <v>1715</v>
      </c>
      <c r="L229" s="43" t="s">
        <v>3204</v>
      </c>
      <c r="M229" s="43" t="s">
        <v>3411</v>
      </c>
      <c r="N229" s="43" t="s">
        <v>3412</v>
      </c>
      <c r="O229" s="43" t="s">
        <v>3413</v>
      </c>
      <c r="P229" s="43" t="s">
        <v>297</v>
      </c>
      <c r="Q229" s="43" t="s">
        <v>3414</v>
      </c>
      <c r="S229" s="23">
        <v>44109</v>
      </c>
      <c r="T229" s="43" t="s">
        <v>265</v>
      </c>
      <c r="U229" s="43" t="s">
        <v>312</v>
      </c>
      <c r="V229" s="43" t="s">
        <v>267</v>
      </c>
      <c r="W229" s="43" t="s">
        <v>1718</v>
      </c>
      <c r="X229" s="43" t="s">
        <v>1719</v>
      </c>
      <c r="Y229">
        <v>8772802835</v>
      </c>
      <c r="Z229" s="43" t="s">
        <v>270</v>
      </c>
      <c r="AA229" s="43" t="s">
        <v>271</v>
      </c>
      <c r="AB229">
        <v>0</v>
      </c>
      <c r="AC229">
        <v>0</v>
      </c>
      <c r="AD229">
        <v>0</v>
      </c>
      <c r="AE229" s="43" t="s">
        <v>445</v>
      </c>
      <c r="AF229">
        <v>4</v>
      </c>
      <c r="AG229" s="43" t="s">
        <v>3345</v>
      </c>
      <c r="AH229">
        <v>7174</v>
      </c>
      <c r="AI229">
        <v>7174</v>
      </c>
      <c r="AJ229" s="23">
        <v>43804</v>
      </c>
      <c r="AK229" s="43" t="s">
        <v>3208</v>
      </c>
      <c r="AL229" s="43" t="s">
        <v>3209</v>
      </c>
      <c r="AM229" s="23"/>
      <c r="AN229" s="23"/>
      <c r="AO229" s="23">
        <v>43799</v>
      </c>
      <c r="AP229" s="23"/>
      <c r="AQ229" s="23"/>
      <c r="BB229" s="43"/>
      <c r="BC229" s="43" t="s">
        <v>2018</v>
      </c>
      <c r="BD229" s="43" t="s">
        <v>2018</v>
      </c>
      <c r="BE229" s="43" t="s">
        <v>2018</v>
      </c>
      <c r="BF229" s="43" t="s">
        <v>2018</v>
      </c>
      <c r="BG229" s="43" t="s">
        <v>2018</v>
      </c>
      <c r="BH229" t="s">
        <v>2018</v>
      </c>
      <c r="BI229" s="43" t="s">
        <v>2018</v>
      </c>
      <c r="BJ229">
        <v>6.25E-2</v>
      </c>
      <c r="BK229" s="23">
        <v>44109</v>
      </c>
      <c r="BL229" s="23">
        <v>44356</v>
      </c>
      <c r="BM229">
        <v>8505</v>
      </c>
      <c r="BN229">
        <v>8505</v>
      </c>
      <c r="BO229">
        <v>8505</v>
      </c>
      <c r="BP229">
        <v>25515</v>
      </c>
      <c r="BQ229">
        <v>3300</v>
      </c>
      <c r="BR229">
        <v>400</v>
      </c>
      <c r="BS229">
        <v>400</v>
      </c>
      <c r="BT229">
        <v>4100</v>
      </c>
      <c r="BU229">
        <v>2100</v>
      </c>
      <c r="BV229">
        <v>2100</v>
      </c>
      <c r="BW229">
        <v>2100</v>
      </c>
      <c r="BX229">
        <v>6300</v>
      </c>
      <c r="BY229">
        <v>1200</v>
      </c>
      <c r="BZ229">
        <v>1200</v>
      </c>
      <c r="CA229">
        <v>1200</v>
      </c>
      <c r="CB229">
        <v>3600</v>
      </c>
      <c r="CC229">
        <v>0</v>
      </c>
      <c r="CD229">
        <v>0</v>
      </c>
      <c r="CE229">
        <v>0</v>
      </c>
      <c r="CF229">
        <v>0</v>
      </c>
      <c r="CG229">
        <v>39515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1250</v>
      </c>
      <c r="CU229">
        <v>1250</v>
      </c>
      <c r="CV229">
        <v>1250</v>
      </c>
      <c r="CW229">
        <v>3750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3750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M229">
        <v>0</v>
      </c>
      <c r="EN229">
        <v>660</v>
      </c>
      <c r="EO229">
        <v>660</v>
      </c>
      <c r="EP229">
        <v>660</v>
      </c>
      <c r="EQ229">
        <v>2000</v>
      </c>
      <c r="ER229">
        <v>21.18</v>
      </c>
      <c r="ES229">
        <v>0</v>
      </c>
      <c r="ET229">
        <v>0</v>
      </c>
      <c r="EU229">
        <v>0</v>
      </c>
      <c r="EW229">
        <v>0</v>
      </c>
      <c r="FA229">
        <v>0</v>
      </c>
      <c r="FE229">
        <v>0</v>
      </c>
      <c r="FI229">
        <v>0</v>
      </c>
      <c r="FJ229">
        <v>1978.82</v>
      </c>
      <c r="FK229">
        <v>35765</v>
      </c>
      <c r="FL229">
        <v>35280.66914498141</v>
      </c>
      <c r="FM229">
        <v>33786.18</v>
      </c>
    </row>
    <row r="230" spans="1:169" x14ac:dyDescent="0.35">
      <c r="A230">
        <v>195732</v>
      </c>
      <c r="B230" s="43" t="s">
        <v>2992</v>
      </c>
      <c r="C230" s="43" t="s">
        <v>2993</v>
      </c>
      <c r="D230" s="43" t="s">
        <v>2994</v>
      </c>
      <c r="E230" s="43" t="s">
        <v>2995</v>
      </c>
      <c r="F230">
        <v>1</v>
      </c>
      <c r="H230" s="23"/>
      <c r="I230">
        <v>43804</v>
      </c>
      <c r="J230" s="43" t="s">
        <v>4242</v>
      </c>
      <c r="K230" s="43" t="s">
        <v>1715</v>
      </c>
      <c r="L230" s="43" t="s">
        <v>259</v>
      </c>
      <c r="M230" s="43" t="s">
        <v>2996</v>
      </c>
      <c r="N230" s="43" t="s">
        <v>2997</v>
      </c>
      <c r="O230" s="43" t="s">
        <v>2998</v>
      </c>
      <c r="P230" s="43" t="s">
        <v>677</v>
      </c>
      <c r="Q230" s="43" t="s">
        <v>2999</v>
      </c>
      <c r="S230" s="23">
        <v>44109</v>
      </c>
      <c r="T230" s="43" t="s">
        <v>265</v>
      </c>
      <c r="U230" s="43" t="s">
        <v>266</v>
      </c>
      <c r="V230" s="43" t="s">
        <v>267</v>
      </c>
      <c r="W230" s="43" t="s">
        <v>1718</v>
      </c>
      <c r="X230" s="43" t="s">
        <v>1719</v>
      </c>
      <c r="Y230">
        <v>8772802835</v>
      </c>
      <c r="Z230" s="43" t="s">
        <v>270</v>
      </c>
      <c r="AA230" s="43" t="s">
        <v>271</v>
      </c>
      <c r="AB230">
        <v>25</v>
      </c>
      <c r="AC230">
        <v>0</v>
      </c>
      <c r="AD230">
        <v>97</v>
      </c>
      <c r="AE230" s="43" t="s">
        <v>354</v>
      </c>
      <c r="AF230">
        <v>6</v>
      </c>
      <c r="AG230" s="43" t="s">
        <v>275</v>
      </c>
      <c r="AJ230" s="23"/>
      <c r="AK230" s="43" t="s">
        <v>259</v>
      </c>
      <c r="AL230" s="43" t="s">
        <v>259</v>
      </c>
      <c r="AM230" s="23"/>
      <c r="AN230" s="23"/>
      <c r="AO230" s="23"/>
      <c r="AP230" s="23"/>
      <c r="AQ230" s="23"/>
      <c r="BB230" s="43"/>
      <c r="BC230" s="43" t="s">
        <v>259</v>
      </c>
      <c r="BD230" s="43" t="s">
        <v>259</v>
      </c>
      <c r="BE230" s="43" t="s">
        <v>259</v>
      </c>
      <c r="BF230" s="43" t="s">
        <v>259</v>
      </c>
      <c r="BG230" s="43" t="s">
        <v>259</v>
      </c>
      <c r="BH230" t="s">
        <v>259</v>
      </c>
      <c r="BI230" s="43" t="s">
        <v>259</v>
      </c>
      <c r="BJ230">
        <v>0</v>
      </c>
      <c r="BK230" s="23">
        <v>44109</v>
      </c>
      <c r="BL230" s="23">
        <v>44356</v>
      </c>
      <c r="BM230">
        <v>8505</v>
      </c>
      <c r="BN230">
        <v>8505</v>
      </c>
      <c r="BO230">
        <v>8505</v>
      </c>
      <c r="BP230">
        <v>25515</v>
      </c>
      <c r="BQ230">
        <v>3300</v>
      </c>
      <c r="BR230">
        <v>400</v>
      </c>
      <c r="BS230">
        <v>400</v>
      </c>
      <c r="BT230">
        <v>4100</v>
      </c>
      <c r="BU230">
        <v>2100</v>
      </c>
      <c r="BV230">
        <v>2100</v>
      </c>
      <c r="BW230">
        <v>2100</v>
      </c>
      <c r="BX230">
        <v>6300</v>
      </c>
      <c r="BY230">
        <v>1200</v>
      </c>
      <c r="BZ230">
        <v>1200</v>
      </c>
      <c r="CA230">
        <v>1200</v>
      </c>
      <c r="CB230">
        <v>3600</v>
      </c>
      <c r="CC230">
        <v>0</v>
      </c>
      <c r="CD230">
        <v>0</v>
      </c>
      <c r="CE230">
        <v>0</v>
      </c>
      <c r="CF230">
        <v>0</v>
      </c>
      <c r="CG230">
        <v>39515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750</v>
      </c>
      <c r="CU230">
        <v>750</v>
      </c>
      <c r="CV230">
        <v>750</v>
      </c>
      <c r="CW230">
        <v>2250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2250</v>
      </c>
      <c r="EE230">
        <v>0</v>
      </c>
      <c r="EF230">
        <v>0</v>
      </c>
      <c r="EG230">
        <v>0</v>
      </c>
      <c r="EH230">
        <v>0</v>
      </c>
      <c r="EI230">
        <v>1154</v>
      </c>
      <c r="EJ230">
        <v>1154</v>
      </c>
      <c r="EK230">
        <v>1155</v>
      </c>
      <c r="EL230">
        <v>3500</v>
      </c>
      <c r="EM230">
        <v>37.065000000000005</v>
      </c>
      <c r="EN230">
        <v>660</v>
      </c>
      <c r="EO230">
        <v>660</v>
      </c>
      <c r="EP230">
        <v>660</v>
      </c>
      <c r="EQ230">
        <v>2000</v>
      </c>
      <c r="ER230">
        <v>21.18</v>
      </c>
      <c r="ES230">
        <v>0</v>
      </c>
      <c r="ET230">
        <v>0</v>
      </c>
      <c r="EU230">
        <v>0</v>
      </c>
      <c r="EV230">
        <v>0</v>
      </c>
      <c r="EW230">
        <v>0</v>
      </c>
      <c r="FA230">
        <v>0</v>
      </c>
      <c r="FE230">
        <v>0</v>
      </c>
      <c r="FI230">
        <v>0</v>
      </c>
      <c r="FJ230">
        <v>5441.7550000000001</v>
      </c>
      <c r="FK230">
        <v>37265</v>
      </c>
      <c r="FL230">
        <v>33230.906186040687</v>
      </c>
      <c r="FM230">
        <v>31823.245000000003</v>
      </c>
    </row>
    <row r="231" spans="1:169" x14ac:dyDescent="0.35">
      <c r="A231">
        <v>197956</v>
      </c>
      <c r="B231" s="43" t="s">
        <v>3000</v>
      </c>
      <c r="C231" s="43" t="s">
        <v>3001</v>
      </c>
      <c r="D231" s="43" t="s">
        <v>3002</v>
      </c>
      <c r="E231" s="43" t="s">
        <v>3003</v>
      </c>
      <c r="F231">
        <v>1</v>
      </c>
      <c r="H231" s="23"/>
      <c r="I231">
        <v>43804</v>
      </c>
      <c r="J231" s="43" t="s">
        <v>4240</v>
      </c>
      <c r="K231" s="43" t="s">
        <v>1715</v>
      </c>
      <c r="L231" s="43" t="s">
        <v>3204</v>
      </c>
      <c r="M231" s="43" t="s">
        <v>3004</v>
      </c>
      <c r="N231" s="43" t="s">
        <v>3005</v>
      </c>
      <c r="O231" s="43" t="s">
        <v>3006</v>
      </c>
      <c r="P231" s="43" t="s">
        <v>412</v>
      </c>
      <c r="Q231" s="43" t="s">
        <v>3007</v>
      </c>
      <c r="S231" s="23">
        <v>44109</v>
      </c>
      <c r="T231" s="43" t="s">
        <v>265</v>
      </c>
      <c r="U231" s="43" t="s">
        <v>266</v>
      </c>
      <c r="V231" s="43" t="s">
        <v>267</v>
      </c>
      <c r="W231" s="43" t="s">
        <v>1718</v>
      </c>
      <c r="X231" s="43" t="s">
        <v>1719</v>
      </c>
      <c r="Y231">
        <v>8772802835</v>
      </c>
      <c r="Z231" s="43" t="s">
        <v>270</v>
      </c>
      <c r="AA231" s="43" t="s">
        <v>271</v>
      </c>
      <c r="AB231">
        <v>0</v>
      </c>
      <c r="AC231">
        <v>1070</v>
      </c>
      <c r="AD231">
        <v>118</v>
      </c>
      <c r="AE231" s="43" t="s">
        <v>301</v>
      </c>
      <c r="AF231">
        <v>1</v>
      </c>
      <c r="AG231" s="43" t="s">
        <v>275</v>
      </c>
      <c r="AH231">
        <v>0</v>
      </c>
      <c r="AI231">
        <v>0</v>
      </c>
      <c r="AJ231" s="23">
        <v>43774</v>
      </c>
      <c r="AK231" s="43" t="s">
        <v>1715</v>
      </c>
      <c r="AL231" s="43" t="s">
        <v>259</v>
      </c>
      <c r="AM231" s="23"/>
      <c r="AN231" s="23"/>
      <c r="AO231" s="23"/>
      <c r="AP231" s="23"/>
      <c r="AQ231" s="23"/>
      <c r="BB231" s="43"/>
      <c r="BC231" s="43" t="s">
        <v>259</v>
      </c>
      <c r="BD231" s="43" t="s">
        <v>259</v>
      </c>
      <c r="BE231" s="43" t="s">
        <v>259</v>
      </c>
      <c r="BF231" s="43" t="s">
        <v>2018</v>
      </c>
      <c r="BG231" s="43" t="s">
        <v>2018</v>
      </c>
      <c r="BH231" t="s">
        <v>2018</v>
      </c>
      <c r="BI231" s="43" t="s">
        <v>259</v>
      </c>
      <c r="BJ231">
        <v>0</v>
      </c>
      <c r="BK231" s="23">
        <v>44109</v>
      </c>
      <c r="BL231" s="23">
        <v>44356</v>
      </c>
      <c r="BM231">
        <v>8505</v>
      </c>
      <c r="BN231">
        <v>8505</v>
      </c>
      <c r="BO231">
        <v>8505</v>
      </c>
      <c r="BP231">
        <v>25515</v>
      </c>
      <c r="BQ231">
        <v>3300</v>
      </c>
      <c r="BR231">
        <v>400</v>
      </c>
      <c r="BS231">
        <v>400</v>
      </c>
      <c r="BT231">
        <v>4100</v>
      </c>
      <c r="BU231">
        <v>2100</v>
      </c>
      <c r="BV231">
        <v>2100</v>
      </c>
      <c r="BW231">
        <v>2100</v>
      </c>
      <c r="BX231">
        <v>6300</v>
      </c>
      <c r="BY231">
        <v>1200</v>
      </c>
      <c r="BZ231">
        <v>1200</v>
      </c>
      <c r="CA231">
        <v>1200</v>
      </c>
      <c r="CB231">
        <v>3600</v>
      </c>
      <c r="CC231">
        <v>0</v>
      </c>
      <c r="CD231">
        <v>0</v>
      </c>
      <c r="CE231">
        <v>0</v>
      </c>
      <c r="CF231">
        <v>0</v>
      </c>
      <c r="CG231">
        <v>39515</v>
      </c>
      <c r="CH231">
        <v>0</v>
      </c>
      <c r="CI231">
        <v>0</v>
      </c>
      <c r="CJ231">
        <v>0</v>
      </c>
      <c r="CK231">
        <v>0</v>
      </c>
      <c r="CL231">
        <v>2065</v>
      </c>
      <c r="CM231">
        <v>2065</v>
      </c>
      <c r="CN231">
        <v>2065</v>
      </c>
      <c r="CO231">
        <v>6195</v>
      </c>
      <c r="CP231">
        <v>500</v>
      </c>
      <c r="CQ231">
        <v>500</v>
      </c>
      <c r="CR231">
        <v>500</v>
      </c>
      <c r="CS231">
        <v>1500</v>
      </c>
      <c r="CT231">
        <v>1700</v>
      </c>
      <c r="CU231">
        <v>1700</v>
      </c>
      <c r="CV231">
        <v>1700</v>
      </c>
      <c r="CW231">
        <v>5100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12795</v>
      </c>
      <c r="EE231">
        <v>0</v>
      </c>
      <c r="EF231">
        <v>0</v>
      </c>
      <c r="EG231">
        <v>0</v>
      </c>
      <c r="EH231">
        <v>0</v>
      </c>
      <c r="EI231">
        <v>1154</v>
      </c>
      <c r="EJ231">
        <v>1154</v>
      </c>
      <c r="EK231">
        <v>1155</v>
      </c>
      <c r="EL231">
        <v>3500</v>
      </c>
      <c r="EM231">
        <v>37.065000000000005</v>
      </c>
      <c r="EN231">
        <v>660</v>
      </c>
      <c r="EO231">
        <v>660</v>
      </c>
      <c r="EP231">
        <v>660</v>
      </c>
      <c r="EQ231">
        <v>2000</v>
      </c>
      <c r="ER231">
        <v>21.18</v>
      </c>
      <c r="ES231">
        <v>0</v>
      </c>
      <c r="ET231">
        <v>0</v>
      </c>
      <c r="EU231">
        <v>0</v>
      </c>
      <c r="EV231">
        <v>0</v>
      </c>
      <c r="EW231">
        <v>0</v>
      </c>
      <c r="FA231">
        <v>0</v>
      </c>
      <c r="FE231">
        <v>0</v>
      </c>
      <c r="FI231">
        <v>0</v>
      </c>
      <c r="FJ231">
        <v>5441.7550000000001</v>
      </c>
      <c r="FK231">
        <v>26720</v>
      </c>
      <c r="FL231">
        <v>22219.461384236245</v>
      </c>
      <c r="FM231">
        <v>21278.244999999999</v>
      </c>
    </row>
    <row r="232" spans="1:169" x14ac:dyDescent="0.35">
      <c r="A232">
        <v>198565</v>
      </c>
      <c r="B232" s="43" t="s">
        <v>3008</v>
      </c>
      <c r="C232" s="43" t="s">
        <v>3009</v>
      </c>
      <c r="D232" s="43" t="s">
        <v>3010</v>
      </c>
      <c r="E232" s="43" t="s">
        <v>3011</v>
      </c>
      <c r="F232">
        <v>1</v>
      </c>
      <c r="H232" s="23"/>
      <c r="I232">
        <v>43804</v>
      </c>
      <c r="J232" s="43" t="s">
        <v>4240</v>
      </c>
      <c r="K232" s="43" t="s">
        <v>1715</v>
      </c>
      <c r="L232" s="43" t="s">
        <v>3204</v>
      </c>
      <c r="M232" s="43" t="s">
        <v>3012</v>
      </c>
      <c r="N232" s="43" t="s">
        <v>3013</v>
      </c>
      <c r="O232" s="43" t="s">
        <v>3014</v>
      </c>
      <c r="P232" s="43" t="s">
        <v>2591</v>
      </c>
      <c r="Q232" s="43" t="s">
        <v>3015</v>
      </c>
      <c r="S232" s="23">
        <v>44109</v>
      </c>
      <c r="T232" s="43" t="s">
        <v>311</v>
      </c>
      <c r="U232" s="43" t="s">
        <v>286</v>
      </c>
      <c r="V232" s="43" t="s">
        <v>267</v>
      </c>
      <c r="W232" s="43" t="s">
        <v>1718</v>
      </c>
      <c r="X232" s="43" t="s">
        <v>1719</v>
      </c>
      <c r="Y232">
        <v>8772802835</v>
      </c>
      <c r="Z232" s="43" t="s">
        <v>270</v>
      </c>
      <c r="AA232" s="43" t="s">
        <v>271</v>
      </c>
      <c r="AB232">
        <v>18</v>
      </c>
      <c r="AC232">
        <v>1050</v>
      </c>
      <c r="AD232">
        <v>109</v>
      </c>
      <c r="AE232" s="43" t="s">
        <v>289</v>
      </c>
      <c r="AF232">
        <v>2</v>
      </c>
      <c r="AG232" s="43" t="s">
        <v>275</v>
      </c>
      <c r="AH232">
        <v>8538</v>
      </c>
      <c r="AI232">
        <v>8538</v>
      </c>
      <c r="AJ232" s="23">
        <v>43774</v>
      </c>
      <c r="AK232" s="43" t="s">
        <v>3208</v>
      </c>
      <c r="AL232" s="43" t="s">
        <v>3209</v>
      </c>
      <c r="AM232" s="23"/>
      <c r="AN232" s="23"/>
      <c r="AO232" s="23"/>
      <c r="AP232" s="23"/>
      <c r="AQ232" s="23"/>
      <c r="BB232" s="43"/>
      <c r="BC232" s="43" t="s">
        <v>2018</v>
      </c>
      <c r="BD232" s="43" t="s">
        <v>2018</v>
      </c>
      <c r="BE232" s="43" t="s">
        <v>2018</v>
      </c>
      <c r="BF232" s="43" t="s">
        <v>2018</v>
      </c>
      <c r="BG232" s="43" t="s">
        <v>2018</v>
      </c>
      <c r="BH232" t="s">
        <v>2018</v>
      </c>
      <c r="BI232" s="43" t="s">
        <v>2018</v>
      </c>
      <c r="BJ232">
        <v>0</v>
      </c>
      <c r="BK232" s="23">
        <v>44109</v>
      </c>
      <c r="BL232" s="23">
        <v>44356</v>
      </c>
      <c r="BM232">
        <v>8505</v>
      </c>
      <c r="BN232">
        <v>8505</v>
      </c>
      <c r="BO232">
        <v>8505</v>
      </c>
      <c r="BP232">
        <v>25515</v>
      </c>
      <c r="BQ232">
        <v>3300</v>
      </c>
      <c r="BR232">
        <v>400</v>
      </c>
      <c r="BS232">
        <v>400</v>
      </c>
      <c r="BT232">
        <v>4100</v>
      </c>
      <c r="BU232">
        <v>2100</v>
      </c>
      <c r="BV232">
        <v>2100</v>
      </c>
      <c r="BW232">
        <v>2100</v>
      </c>
      <c r="BX232">
        <v>6300</v>
      </c>
      <c r="BY232">
        <v>1200</v>
      </c>
      <c r="BZ232">
        <v>1200</v>
      </c>
      <c r="CA232">
        <v>1200</v>
      </c>
      <c r="CB232">
        <v>3600</v>
      </c>
      <c r="CC232">
        <v>0</v>
      </c>
      <c r="CD232">
        <v>0</v>
      </c>
      <c r="CE232">
        <v>0</v>
      </c>
      <c r="CF232">
        <v>0</v>
      </c>
      <c r="CG232">
        <v>39515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1500</v>
      </c>
      <c r="CU232">
        <v>1500</v>
      </c>
      <c r="CV232">
        <v>1500</v>
      </c>
      <c r="CW232">
        <v>4500</v>
      </c>
      <c r="CX232">
        <v>0</v>
      </c>
      <c r="CY232">
        <v>0</v>
      </c>
      <c r="CZ232">
        <v>0</v>
      </c>
      <c r="DA232">
        <v>0</v>
      </c>
      <c r="DB232">
        <v>1000</v>
      </c>
      <c r="DC232">
        <v>1000</v>
      </c>
      <c r="DD232">
        <v>1000</v>
      </c>
      <c r="DE232">
        <v>3000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7500</v>
      </c>
      <c r="EE232">
        <v>0</v>
      </c>
      <c r="EF232">
        <v>0</v>
      </c>
      <c r="EG232">
        <v>0</v>
      </c>
      <c r="EH232">
        <v>0</v>
      </c>
      <c r="EI232">
        <v>1154</v>
      </c>
      <c r="EJ232">
        <v>1154</v>
      </c>
      <c r="EK232">
        <v>1155</v>
      </c>
      <c r="EL232">
        <v>3500</v>
      </c>
      <c r="EM232">
        <v>37.065000000000005</v>
      </c>
      <c r="EN232">
        <v>660</v>
      </c>
      <c r="EO232">
        <v>660</v>
      </c>
      <c r="EP232">
        <v>660</v>
      </c>
      <c r="EQ232">
        <v>2000</v>
      </c>
      <c r="ER232">
        <v>21.18</v>
      </c>
      <c r="ES232">
        <v>0</v>
      </c>
      <c r="ET232">
        <v>0</v>
      </c>
      <c r="EU232">
        <v>0</v>
      </c>
      <c r="EV232">
        <v>0</v>
      </c>
      <c r="EW232">
        <v>0</v>
      </c>
      <c r="FA232">
        <v>0</v>
      </c>
      <c r="FE232">
        <v>0</v>
      </c>
      <c r="FI232">
        <v>0</v>
      </c>
      <c r="FJ232">
        <v>5441.7550000000001</v>
      </c>
      <c r="FK232">
        <v>32015</v>
      </c>
      <c r="FL232">
        <v>27748.679044317276</v>
      </c>
      <c r="FM232">
        <v>26573.244999999999</v>
      </c>
    </row>
    <row r="233" spans="1:169" x14ac:dyDescent="0.35">
      <c r="A233">
        <v>195167</v>
      </c>
      <c r="B233" s="43" t="s">
        <v>3016</v>
      </c>
      <c r="C233" s="43" t="s">
        <v>3017</v>
      </c>
      <c r="D233" s="43" t="s">
        <v>3018</v>
      </c>
      <c r="E233" s="43" t="s">
        <v>3019</v>
      </c>
      <c r="F233">
        <v>1</v>
      </c>
      <c r="H233" s="23"/>
      <c r="I233">
        <v>43804</v>
      </c>
      <c r="J233" s="43" t="s">
        <v>4242</v>
      </c>
      <c r="K233" s="43" t="s">
        <v>1715</v>
      </c>
      <c r="L233" s="43" t="s">
        <v>259</v>
      </c>
      <c r="M233" s="43" t="s">
        <v>3020</v>
      </c>
      <c r="N233" s="43" t="s">
        <v>3021</v>
      </c>
      <c r="O233" s="43" t="s">
        <v>3022</v>
      </c>
      <c r="P233" s="43" t="s">
        <v>384</v>
      </c>
      <c r="Q233" s="43" t="s">
        <v>3023</v>
      </c>
      <c r="S233" s="23">
        <v>44109</v>
      </c>
      <c r="T233" s="43" t="s">
        <v>311</v>
      </c>
      <c r="U233" s="43" t="s">
        <v>266</v>
      </c>
      <c r="V233" s="43" t="s">
        <v>267</v>
      </c>
      <c r="W233" s="43" t="s">
        <v>1718</v>
      </c>
      <c r="X233" s="43" t="s">
        <v>1719</v>
      </c>
      <c r="Y233">
        <v>8772802835</v>
      </c>
      <c r="Z233" s="43" t="s">
        <v>270</v>
      </c>
      <c r="AA233" s="43" t="s">
        <v>271</v>
      </c>
      <c r="AB233">
        <v>27</v>
      </c>
      <c r="AC233">
        <v>0</v>
      </c>
      <c r="AD233">
        <v>114</v>
      </c>
      <c r="AE233" s="43" t="s">
        <v>301</v>
      </c>
      <c r="AF233">
        <v>1</v>
      </c>
      <c r="AG233" s="43" t="s">
        <v>275</v>
      </c>
      <c r="AJ233" s="23"/>
      <c r="AK233" s="43" t="s">
        <v>259</v>
      </c>
      <c r="AL233" s="43" t="s">
        <v>259</v>
      </c>
      <c r="AM233" s="23"/>
      <c r="AN233" s="23"/>
      <c r="AO233" s="23"/>
      <c r="AP233" s="23"/>
      <c r="AQ233" s="23"/>
      <c r="BB233" s="43"/>
      <c r="BC233" s="43" t="s">
        <v>259</v>
      </c>
      <c r="BD233" s="43" t="s">
        <v>259</v>
      </c>
      <c r="BE233" s="43" t="s">
        <v>259</v>
      </c>
      <c r="BF233" s="43" t="s">
        <v>259</v>
      </c>
      <c r="BG233" s="43" t="s">
        <v>259</v>
      </c>
      <c r="BH233" t="s">
        <v>259</v>
      </c>
      <c r="BI233" s="43" t="s">
        <v>259</v>
      </c>
      <c r="BJ233">
        <v>0</v>
      </c>
      <c r="BK233" s="23">
        <v>44109</v>
      </c>
      <c r="BL233" s="23">
        <v>44356</v>
      </c>
      <c r="BM233">
        <v>8505</v>
      </c>
      <c r="BN233">
        <v>8505</v>
      </c>
      <c r="BO233">
        <v>8505</v>
      </c>
      <c r="BP233">
        <v>25515</v>
      </c>
      <c r="BQ233">
        <v>3300</v>
      </c>
      <c r="BR233">
        <v>400</v>
      </c>
      <c r="BS233">
        <v>400</v>
      </c>
      <c r="BT233">
        <v>4100</v>
      </c>
      <c r="BU233">
        <v>2100</v>
      </c>
      <c r="BV233">
        <v>2100</v>
      </c>
      <c r="BW233">
        <v>2100</v>
      </c>
      <c r="BX233">
        <v>6300</v>
      </c>
      <c r="BY233">
        <v>1200</v>
      </c>
      <c r="BZ233">
        <v>1200</v>
      </c>
      <c r="CA233">
        <v>1200</v>
      </c>
      <c r="CB233">
        <v>3600</v>
      </c>
      <c r="CC233">
        <v>0</v>
      </c>
      <c r="CD233">
        <v>0</v>
      </c>
      <c r="CE233">
        <v>0</v>
      </c>
      <c r="CF233">
        <v>0</v>
      </c>
      <c r="CG233">
        <v>39515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1700</v>
      </c>
      <c r="CU233">
        <v>1700</v>
      </c>
      <c r="CV233">
        <v>1700</v>
      </c>
      <c r="CW233">
        <v>5100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5100</v>
      </c>
      <c r="EE233">
        <v>0</v>
      </c>
      <c r="EF233">
        <v>0</v>
      </c>
      <c r="EG233">
        <v>0</v>
      </c>
      <c r="EH233">
        <v>0</v>
      </c>
      <c r="EI233">
        <v>1154</v>
      </c>
      <c r="EJ233">
        <v>1154</v>
      </c>
      <c r="EK233">
        <v>1155</v>
      </c>
      <c r="EL233">
        <v>3500</v>
      </c>
      <c r="EM233">
        <v>37.065000000000005</v>
      </c>
      <c r="EN233">
        <v>660</v>
      </c>
      <c r="EO233">
        <v>660</v>
      </c>
      <c r="EP233">
        <v>660</v>
      </c>
      <c r="EQ233">
        <v>2000</v>
      </c>
      <c r="ER233">
        <v>21.18</v>
      </c>
      <c r="ES233">
        <v>0</v>
      </c>
      <c r="ET233">
        <v>0</v>
      </c>
      <c r="EU233">
        <v>0</v>
      </c>
      <c r="EV233">
        <v>0</v>
      </c>
      <c r="EW233">
        <v>0</v>
      </c>
      <c r="FA233">
        <v>0</v>
      </c>
      <c r="FE233">
        <v>0</v>
      </c>
      <c r="FI233">
        <v>0</v>
      </c>
      <c r="FJ233">
        <v>5441.7550000000001</v>
      </c>
      <c r="FK233">
        <v>34415</v>
      </c>
      <c r="FL233">
        <v>30254.840023390832</v>
      </c>
      <c r="FM233">
        <v>28973.244999999999</v>
      </c>
    </row>
    <row r="234" spans="1:169" x14ac:dyDescent="0.35">
      <c r="A234">
        <v>198508</v>
      </c>
      <c r="B234" s="43" t="s">
        <v>3016</v>
      </c>
      <c r="C234" s="43" t="s">
        <v>1032</v>
      </c>
      <c r="D234" s="43" t="s">
        <v>3024</v>
      </c>
      <c r="E234" s="43" t="s">
        <v>3025</v>
      </c>
      <c r="F234">
        <v>1</v>
      </c>
      <c r="H234" s="23"/>
      <c r="I234">
        <v>43804</v>
      </c>
      <c r="J234" s="43" t="s">
        <v>4240</v>
      </c>
      <c r="K234" s="43" t="s">
        <v>1715</v>
      </c>
      <c r="L234" s="43" t="s">
        <v>3204</v>
      </c>
      <c r="M234" s="43" t="s">
        <v>3026</v>
      </c>
      <c r="N234" s="43" t="s">
        <v>3027</v>
      </c>
      <c r="O234" s="43" t="s">
        <v>3028</v>
      </c>
      <c r="P234" s="43" t="s">
        <v>309</v>
      </c>
      <c r="Q234" s="43" t="s">
        <v>3029</v>
      </c>
      <c r="S234" s="23">
        <v>44109</v>
      </c>
      <c r="T234" s="43" t="s">
        <v>265</v>
      </c>
      <c r="U234" s="43" t="s">
        <v>266</v>
      </c>
      <c r="V234" s="43" t="s">
        <v>267</v>
      </c>
      <c r="W234" s="43" t="s">
        <v>1718</v>
      </c>
      <c r="X234" s="43" t="s">
        <v>1719</v>
      </c>
      <c r="Y234">
        <v>8772802835</v>
      </c>
      <c r="Z234" s="43" t="s">
        <v>270</v>
      </c>
      <c r="AA234" s="43" t="s">
        <v>271</v>
      </c>
      <c r="AB234">
        <v>0</v>
      </c>
      <c r="AC234">
        <v>1080</v>
      </c>
      <c r="AD234">
        <v>86</v>
      </c>
      <c r="AE234" s="43" t="s">
        <v>274</v>
      </c>
      <c r="AF234">
        <v>9</v>
      </c>
      <c r="AG234" s="43" t="s">
        <v>446</v>
      </c>
      <c r="AH234">
        <v>29207</v>
      </c>
      <c r="AI234">
        <v>29207</v>
      </c>
      <c r="AJ234" s="23">
        <v>43774</v>
      </c>
      <c r="AK234" s="43" t="s">
        <v>3208</v>
      </c>
      <c r="AL234" s="43" t="s">
        <v>3209</v>
      </c>
      <c r="AM234" s="23"/>
      <c r="AN234" s="23"/>
      <c r="AO234" s="23"/>
      <c r="AP234" s="23"/>
      <c r="AQ234" s="23"/>
      <c r="BB234" s="43"/>
      <c r="BC234" s="43" t="s">
        <v>2018</v>
      </c>
      <c r="BD234" s="43" t="s">
        <v>2018</v>
      </c>
      <c r="BE234" s="43" t="s">
        <v>2018</v>
      </c>
      <c r="BF234" s="43" t="s">
        <v>2018</v>
      </c>
      <c r="BG234" s="43" t="s">
        <v>2018</v>
      </c>
      <c r="BH234" t="s">
        <v>2018</v>
      </c>
      <c r="BI234" s="43" t="s">
        <v>2018</v>
      </c>
      <c r="BJ234">
        <v>0</v>
      </c>
      <c r="BK234" s="23">
        <v>44109</v>
      </c>
      <c r="BL234" s="23">
        <v>44356</v>
      </c>
      <c r="BM234">
        <v>8505</v>
      </c>
      <c r="BN234">
        <v>8505</v>
      </c>
      <c r="BO234">
        <v>8505</v>
      </c>
      <c r="BP234">
        <v>25515</v>
      </c>
      <c r="BQ234">
        <v>3300</v>
      </c>
      <c r="BR234">
        <v>400</v>
      </c>
      <c r="BS234">
        <v>400</v>
      </c>
      <c r="BT234">
        <v>4100</v>
      </c>
      <c r="BU234">
        <v>2100</v>
      </c>
      <c r="BV234">
        <v>2100</v>
      </c>
      <c r="BW234">
        <v>2100</v>
      </c>
      <c r="BX234">
        <v>6300</v>
      </c>
      <c r="BY234">
        <v>1200</v>
      </c>
      <c r="BZ234">
        <v>1200</v>
      </c>
      <c r="CA234">
        <v>1200</v>
      </c>
      <c r="CB234">
        <v>3600</v>
      </c>
      <c r="CC234">
        <v>0</v>
      </c>
      <c r="CD234">
        <v>0</v>
      </c>
      <c r="CE234">
        <v>0</v>
      </c>
      <c r="CF234">
        <v>0</v>
      </c>
      <c r="CG234">
        <v>39515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1154</v>
      </c>
      <c r="EJ234">
        <v>1154</v>
      </c>
      <c r="EK234">
        <v>1155</v>
      </c>
      <c r="EL234">
        <v>3500</v>
      </c>
      <c r="EM234">
        <v>37.065000000000005</v>
      </c>
      <c r="EN234">
        <v>660</v>
      </c>
      <c r="EO234">
        <v>660</v>
      </c>
      <c r="EP234">
        <v>660</v>
      </c>
      <c r="EQ234">
        <v>2000</v>
      </c>
      <c r="ER234">
        <v>21.18</v>
      </c>
      <c r="ES234">
        <v>0</v>
      </c>
      <c r="ET234">
        <v>0</v>
      </c>
      <c r="EU234">
        <v>0</v>
      </c>
      <c r="EV234">
        <v>0</v>
      </c>
      <c r="EW234">
        <v>0</v>
      </c>
      <c r="FA234">
        <v>0</v>
      </c>
      <c r="FE234">
        <v>0</v>
      </c>
      <c r="FI234">
        <v>0</v>
      </c>
      <c r="FJ234">
        <v>5441.7550000000001</v>
      </c>
      <c r="FK234">
        <v>39515</v>
      </c>
      <c r="FL234">
        <v>35580.43210392214</v>
      </c>
      <c r="FM234">
        <v>34073.245000000003</v>
      </c>
    </row>
    <row r="235" spans="1:169" x14ac:dyDescent="0.35">
      <c r="A235">
        <v>197661</v>
      </c>
      <c r="B235" s="43" t="s">
        <v>3030</v>
      </c>
      <c r="C235" s="43" t="s">
        <v>3031</v>
      </c>
      <c r="D235" s="43" t="s">
        <v>3032</v>
      </c>
      <c r="E235" s="43" t="s">
        <v>3033</v>
      </c>
      <c r="F235">
        <v>1</v>
      </c>
      <c r="H235" s="23"/>
      <c r="I235">
        <v>43804</v>
      </c>
      <c r="J235" s="43" t="s">
        <v>4240</v>
      </c>
      <c r="K235" s="43" t="s">
        <v>1715</v>
      </c>
      <c r="L235" s="43" t="s">
        <v>3204</v>
      </c>
      <c r="M235" s="43" t="s">
        <v>3034</v>
      </c>
      <c r="N235" s="43" t="s">
        <v>4232</v>
      </c>
      <c r="O235" s="43" t="s">
        <v>3035</v>
      </c>
      <c r="P235" s="43" t="s">
        <v>1018</v>
      </c>
      <c r="Q235" s="43" t="s">
        <v>3036</v>
      </c>
      <c r="S235" s="23">
        <v>44109</v>
      </c>
      <c r="T235" s="43" t="s">
        <v>285</v>
      </c>
      <c r="U235" s="43" t="s">
        <v>286</v>
      </c>
      <c r="V235" s="43" t="s">
        <v>267</v>
      </c>
      <c r="W235" s="43" t="s">
        <v>1718</v>
      </c>
      <c r="X235" s="43" t="s">
        <v>1719</v>
      </c>
      <c r="Y235">
        <v>8772802835</v>
      </c>
      <c r="Z235" s="43" t="s">
        <v>270</v>
      </c>
      <c r="AA235" s="43" t="s">
        <v>271</v>
      </c>
      <c r="AB235">
        <v>0</v>
      </c>
      <c r="AC235">
        <v>0</v>
      </c>
      <c r="AD235">
        <v>0</v>
      </c>
      <c r="AE235" s="43" t="s">
        <v>301</v>
      </c>
      <c r="AF235">
        <v>1</v>
      </c>
      <c r="AG235" s="43" t="s">
        <v>275</v>
      </c>
      <c r="AH235">
        <v>4020</v>
      </c>
      <c r="AI235">
        <v>4020</v>
      </c>
      <c r="AJ235" s="23">
        <v>43776</v>
      </c>
      <c r="AK235" s="43" t="s">
        <v>1715</v>
      </c>
      <c r="AL235" s="43" t="s">
        <v>259</v>
      </c>
      <c r="AM235" s="23"/>
      <c r="AN235" s="23"/>
      <c r="AO235" s="23"/>
      <c r="AP235" s="23"/>
      <c r="AQ235" s="23"/>
      <c r="BB235" s="43"/>
      <c r="BC235" s="43" t="s">
        <v>259</v>
      </c>
      <c r="BD235" s="43" t="s">
        <v>259</v>
      </c>
      <c r="BE235" s="43" t="s">
        <v>259</v>
      </c>
      <c r="BF235" s="43" t="s">
        <v>259</v>
      </c>
      <c r="BG235" s="43" t="s">
        <v>259</v>
      </c>
      <c r="BH235" t="s">
        <v>259</v>
      </c>
      <c r="BI235" s="43" t="s">
        <v>259</v>
      </c>
      <c r="BJ235">
        <v>0</v>
      </c>
      <c r="BK235" s="23">
        <v>44109</v>
      </c>
      <c r="BL235" s="23">
        <v>44356</v>
      </c>
      <c r="BM235">
        <v>8505</v>
      </c>
      <c r="BN235">
        <v>8505</v>
      </c>
      <c r="BO235">
        <v>8505</v>
      </c>
      <c r="BP235">
        <v>25515</v>
      </c>
      <c r="BQ235">
        <v>3300</v>
      </c>
      <c r="BR235">
        <v>400</v>
      </c>
      <c r="BS235">
        <v>400</v>
      </c>
      <c r="BT235">
        <v>4100</v>
      </c>
      <c r="BU235">
        <v>2100</v>
      </c>
      <c r="BV235">
        <v>2100</v>
      </c>
      <c r="BW235">
        <v>2100</v>
      </c>
      <c r="BX235">
        <v>6300</v>
      </c>
      <c r="BY235">
        <v>1200</v>
      </c>
      <c r="BZ235">
        <v>1200</v>
      </c>
      <c r="CA235">
        <v>1200</v>
      </c>
      <c r="CB235">
        <v>3600</v>
      </c>
      <c r="CC235">
        <v>0</v>
      </c>
      <c r="CD235">
        <v>0</v>
      </c>
      <c r="CE235">
        <v>0</v>
      </c>
      <c r="CF235">
        <v>0</v>
      </c>
      <c r="CG235">
        <v>39515</v>
      </c>
      <c r="CH235">
        <v>0</v>
      </c>
      <c r="CI235">
        <v>0</v>
      </c>
      <c r="CJ235">
        <v>0</v>
      </c>
      <c r="CK235">
        <v>0</v>
      </c>
      <c r="CL235">
        <v>715</v>
      </c>
      <c r="CM235">
        <v>715</v>
      </c>
      <c r="CN235">
        <v>715</v>
      </c>
      <c r="CO235">
        <v>2145</v>
      </c>
      <c r="CP235">
        <v>500</v>
      </c>
      <c r="CQ235">
        <v>500</v>
      </c>
      <c r="CR235">
        <v>500</v>
      </c>
      <c r="CS235">
        <v>1500</v>
      </c>
      <c r="CT235">
        <v>1700</v>
      </c>
      <c r="CU235">
        <v>1700</v>
      </c>
      <c r="CV235">
        <v>1700</v>
      </c>
      <c r="CW235">
        <v>5100</v>
      </c>
      <c r="CX235">
        <v>0</v>
      </c>
      <c r="CY235">
        <v>0</v>
      </c>
      <c r="CZ235">
        <v>0</v>
      </c>
      <c r="DA235">
        <v>0</v>
      </c>
      <c r="DB235">
        <v>1000</v>
      </c>
      <c r="DC235">
        <v>1000</v>
      </c>
      <c r="DD235">
        <v>1000</v>
      </c>
      <c r="DE235">
        <v>3000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11745</v>
      </c>
      <c r="EE235">
        <v>0</v>
      </c>
      <c r="EF235">
        <v>0</v>
      </c>
      <c r="EG235">
        <v>0</v>
      </c>
      <c r="EH235">
        <v>0</v>
      </c>
      <c r="EI235">
        <v>1154</v>
      </c>
      <c r="EJ235">
        <v>1154</v>
      </c>
      <c r="EK235">
        <v>1155</v>
      </c>
      <c r="EL235">
        <v>3500</v>
      </c>
      <c r="EM235">
        <v>37.065000000000005</v>
      </c>
      <c r="EN235">
        <v>660</v>
      </c>
      <c r="EO235">
        <v>660</v>
      </c>
      <c r="EP235">
        <v>660</v>
      </c>
      <c r="EQ235">
        <v>2000</v>
      </c>
      <c r="ER235">
        <v>21.18</v>
      </c>
      <c r="ES235">
        <v>0</v>
      </c>
      <c r="ET235">
        <v>0</v>
      </c>
      <c r="EU235">
        <v>0</v>
      </c>
      <c r="EV235">
        <v>0</v>
      </c>
      <c r="EW235">
        <v>0</v>
      </c>
      <c r="FA235">
        <v>0</v>
      </c>
      <c r="FE235">
        <v>0</v>
      </c>
      <c r="FI235">
        <v>0</v>
      </c>
      <c r="FJ235">
        <v>5441.7550000000001</v>
      </c>
      <c r="FK235">
        <v>27770</v>
      </c>
      <c r="FL235">
        <v>23315.906812580924</v>
      </c>
      <c r="FM235">
        <v>22328.244999999999</v>
      </c>
    </row>
    <row r="236" spans="1:169" x14ac:dyDescent="0.35">
      <c r="A236">
        <v>199456</v>
      </c>
      <c r="B236" s="43" t="s">
        <v>3037</v>
      </c>
      <c r="C236" s="43" t="s">
        <v>4126</v>
      </c>
      <c r="D236" s="43" t="s">
        <v>4127</v>
      </c>
      <c r="E236" s="43" t="s">
        <v>4128</v>
      </c>
      <c r="F236">
        <v>1</v>
      </c>
      <c r="H236" s="23"/>
      <c r="I236">
        <v>43804</v>
      </c>
      <c r="J236" s="43" t="s">
        <v>4240</v>
      </c>
      <c r="K236" s="43" t="s">
        <v>1715</v>
      </c>
      <c r="L236" s="43" t="s">
        <v>3204</v>
      </c>
      <c r="M236" s="43" t="s">
        <v>4129</v>
      </c>
      <c r="N236" s="43" t="s">
        <v>4130</v>
      </c>
      <c r="O236" s="43" t="s">
        <v>4131</v>
      </c>
      <c r="P236" s="43" t="s">
        <v>297</v>
      </c>
      <c r="Q236" s="43" t="s">
        <v>4132</v>
      </c>
      <c r="S236" s="23">
        <v>44109</v>
      </c>
      <c r="T236" s="43" t="s">
        <v>311</v>
      </c>
      <c r="U236" s="43" t="s">
        <v>266</v>
      </c>
      <c r="V236" s="43" t="s">
        <v>267</v>
      </c>
      <c r="W236" s="43" t="s">
        <v>1718</v>
      </c>
      <c r="X236" s="43" t="s">
        <v>1719</v>
      </c>
      <c r="Y236">
        <v>8772802835</v>
      </c>
      <c r="Z236" s="43" t="s">
        <v>270</v>
      </c>
      <c r="AA236" s="43" t="s">
        <v>271</v>
      </c>
      <c r="AB236">
        <v>0</v>
      </c>
      <c r="AC236">
        <v>950</v>
      </c>
      <c r="AD236">
        <v>101</v>
      </c>
      <c r="AE236" s="43" t="s">
        <v>301</v>
      </c>
      <c r="AF236">
        <v>1</v>
      </c>
      <c r="AG236" s="43" t="s">
        <v>3345</v>
      </c>
      <c r="AH236">
        <v>32264</v>
      </c>
      <c r="AI236">
        <v>32264</v>
      </c>
      <c r="AJ236" s="23">
        <v>43801</v>
      </c>
      <c r="AK236" s="43" t="s">
        <v>1715</v>
      </c>
      <c r="AL236" s="43" t="s">
        <v>259</v>
      </c>
      <c r="AM236" s="23"/>
      <c r="AN236" s="23"/>
      <c r="AO236" s="23"/>
      <c r="AP236" s="23"/>
      <c r="AQ236" s="23"/>
      <c r="BB236" s="43"/>
      <c r="BC236" s="43" t="s">
        <v>259</v>
      </c>
      <c r="BD236" s="43" t="s">
        <v>259</v>
      </c>
      <c r="BE236" s="43" t="s">
        <v>259</v>
      </c>
      <c r="BF236" s="43" t="s">
        <v>259</v>
      </c>
      <c r="BG236" s="43" t="s">
        <v>259</v>
      </c>
      <c r="BH236" t="s">
        <v>259</v>
      </c>
      <c r="BI236" s="43" t="s">
        <v>259</v>
      </c>
      <c r="BJ236">
        <v>0</v>
      </c>
      <c r="BK236" s="23">
        <v>44109</v>
      </c>
      <c r="BL236" s="23">
        <v>44356</v>
      </c>
      <c r="BM236">
        <v>8505</v>
      </c>
      <c r="BN236">
        <v>8505</v>
      </c>
      <c r="BO236">
        <v>8505</v>
      </c>
      <c r="BP236">
        <v>25515</v>
      </c>
      <c r="BQ236">
        <v>3300</v>
      </c>
      <c r="BR236">
        <v>400</v>
      </c>
      <c r="BS236">
        <v>400</v>
      </c>
      <c r="BT236">
        <v>4100</v>
      </c>
      <c r="BU236">
        <v>2100</v>
      </c>
      <c r="BV236">
        <v>2100</v>
      </c>
      <c r="BW236">
        <v>2100</v>
      </c>
      <c r="BX236">
        <v>6300</v>
      </c>
      <c r="BY236">
        <v>1200</v>
      </c>
      <c r="BZ236">
        <v>1200</v>
      </c>
      <c r="CA236">
        <v>1200</v>
      </c>
      <c r="CB236">
        <v>3600</v>
      </c>
      <c r="CC236">
        <v>0</v>
      </c>
      <c r="CD236">
        <v>0</v>
      </c>
      <c r="CE236">
        <v>0</v>
      </c>
      <c r="CF236">
        <v>0</v>
      </c>
      <c r="CG236">
        <v>39515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1700</v>
      </c>
      <c r="CU236">
        <v>1700</v>
      </c>
      <c r="CV236">
        <v>1700</v>
      </c>
      <c r="CW236">
        <v>5100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5100</v>
      </c>
      <c r="EE236">
        <v>0</v>
      </c>
      <c r="EF236">
        <v>0</v>
      </c>
      <c r="EG236">
        <v>0</v>
      </c>
      <c r="EH236">
        <v>0</v>
      </c>
      <c r="EI236">
        <v>1154</v>
      </c>
      <c r="EJ236">
        <v>1154</v>
      </c>
      <c r="EK236">
        <v>1155</v>
      </c>
      <c r="EL236">
        <v>3500</v>
      </c>
      <c r="EM236">
        <v>37.065000000000005</v>
      </c>
      <c r="EN236">
        <v>660</v>
      </c>
      <c r="EO236">
        <v>660</v>
      </c>
      <c r="EP236">
        <v>660</v>
      </c>
      <c r="EQ236">
        <v>2000</v>
      </c>
      <c r="ER236">
        <v>21.18</v>
      </c>
      <c r="ES236">
        <v>0</v>
      </c>
      <c r="ET236">
        <v>0</v>
      </c>
      <c r="EU236">
        <v>0</v>
      </c>
      <c r="EV236">
        <v>0</v>
      </c>
      <c r="EW236">
        <v>0</v>
      </c>
      <c r="FA236">
        <v>0</v>
      </c>
      <c r="FE236">
        <v>0</v>
      </c>
      <c r="FI236">
        <v>0</v>
      </c>
      <c r="FJ236">
        <v>5441.7550000000001</v>
      </c>
      <c r="FK236">
        <v>34415</v>
      </c>
      <c r="FL236">
        <v>30254.840023390832</v>
      </c>
      <c r="FM236">
        <v>28973.244999999999</v>
      </c>
    </row>
    <row r="237" spans="1:169" x14ac:dyDescent="0.35">
      <c r="A237">
        <v>196370</v>
      </c>
      <c r="B237" s="43" t="s">
        <v>3037</v>
      </c>
      <c r="C237" s="43" t="s">
        <v>690</v>
      </c>
      <c r="D237" s="43" t="s">
        <v>3038</v>
      </c>
      <c r="E237" s="43" t="s">
        <v>3039</v>
      </c>
      <c r="F237">
        <v>1</v>
      </c>
      <c r="H237" s="23"/>
      <c r="I237">
        <v>43804</v>
      </c>
      <c r="J237" s="43" t="s">
        <v>4245</v>
      </c>
      <c r="K237" s="43" t="s">
        <v>1715</v>
      </c>
      <c r="L237" s="43" t="s">
        <v>3204</v>
      </c>
      <c r="M237" s="43" t="s">
        <v>3040</v>
      </c>
      <c r="N237" s="43" t="s">
        <v>3041</v>
      </c>
      <c r="O237" s="43" t="s">
        <v>3042</v>
      </c>
      <c r="P237" s="43" t="s">
        <v>332</v>
      </c>
      <c r="Q237" s="43" t="s">
        <v>3043</v>
      </c>
      <c r="S237" s="23">
        <v>44109</v>
      </c>
      <c r="T237" s="43" t="s">
        <v>285</v>
      </c>
      <c r="U237" s="43" t="s">
        <v>266</v>
      </c>
      <c r="V237" s="43" t="s">
        <v>267</v>
      </c>
      <c r="W237" s="43" t="s">
        <v>1718</v>
      </c>
      <c r="X237" s="43" t="s">
        <v>1719</v>
      </c>
      <c r="Y237">
        <v>8772802835</v>
      </c>
      <c r="Z237" s="43" t="s">
        <v>270</v>
      </c>
      <c r="AA237" s="43" t="s">
        <v>271</v>
      </c>
      <c r="AB237">
        <v>23</v>
      </c>
      <c r="AC237">
        <v>0</v>
      </c>
      <c r="AD237">
        <v>109</v>
      </c>
      <c r="AE237" s="43" t="s">
        <v>445</v>
      </c>
      <c r="AF237">
        <v>4</v>
      </c>
      <c r="AG237" s="43" t="s">
        <v>446</v>
      </c>
      <c r="AH237">
        <v>2450</v>
      </c>
      <c r="AI237">
        <v>2450</v>
      </c>
      <c r="AJ237" s="23">
        <v>43783</v>
      </c>
      <c r="AK237" s="43" t="s">
        <v>3208</v>
      </c>
      <c r="AL237" s="43" t="s">
        <v>3209</v>
      </c>
      <c r="AM237" s="23"/>
      <c r="AN237" s="23"/>
      <c r="AO237" s="23">
        <v>43778</v>
      </c>
      <c r="AP237" s="23">
        <v>43778</v>
      </c>
      <c r="AQ237" s="23">
        <v>43778</v>
      </c>
      <c r="BB237" s="43"/>
      <c r="BC237" s="43" t="s">
        <v>2018</v>
      </c>
      <c r="BD237" s="43" t="s">
        <v>2018</v>
      </c>
      <c r="BE237" s="43" t="s">
        <v>2018</v>
      </c>
      <c r="BF237" s="43" t="s">
        <v>2018</v>
      </c>
      <c r="BG237" s="43" t="s">
        <v>2018</v>
      </c>
      <c r="BH237" t="s">
        <v>2018</v>
      </c>
      <c r="BI237" s="43" t="s">
        <v>2018</v>
      </c>
      <c r="BJ237">
        <v>0.1875</v>
      </c>
      <c r="BK237" s="23">
        <v>44109</v>
      </c>
      <c r="BL237" s="23">
        <v>44356</v>
      </c>
      <c r="BM237">
        <v>8505</v>
      </c>
      <c r="BN237">
        <v>8505</v>
      </c>
      <c r="BO237">
        <v>8505</v>
      </c>
      <c r="BP237">
        <v>25515</v>
      </c>
      <c r="BQ237">
        <v>3300</v>
      </c>
      <c r="BR237">
        <v>400</v>
      </c>
      <c r="BS237">
        <v>400</v>
      </c>
      <c r="BT237">
        <v>4100</v>
      </c>
      <c r="BU237">
        <v>2100</v>
      </c>
      <c r="BV237">
        <v>2100</v>
      </c>
      <c r="BW237">
        <v>2100</v>
      </c>
      <c r="BX237">
        <v>6300</v>
      </c>
      <c r="BY237">
        <v>1200</v>
      </c>
      <c r="BZ237">
        <v>1200</v>
      </c>
      <c r="CA237">
        <v>1200</v>
      </c>
      <c r="CB237">
        <v>3600</v>
      </c>
      <c r="CC237">
        <v>0</v>
      </c>
      <c r="CD237">
        <v>0</v>
      </c>
      <c r="CE237">
        <v>0</v>
      </c>
      <c r="CF237">
        <v>0</v>
      </c>
      <c r="CG237">
        <v>39515</v>
      </c>
      <c r="CH237">
        <v>0</v>
      </c>
      <c r="CI237">
        <v>0</v>
      </c>
      <c r="CJ237">
        <v>0</v>
      </c>
      <c r="CK237">
        <v>0</v>
      </c>
      <c r="CL237">
        <v>1249</v>
      </c>
      <c r="CM237">
        <v>1248</v>
      </c>
      <c r="CN237">
        <v>1248</v>
      </c>
      <c r="CO237">
        <v>3745</v>
      </c>
      <c r="CP237">
        <v>500</v>
      </c>
      <c r="CQ237">
        <v>500</v>
      </c>
      <c r="CR237">
        <v>500</v>
      </c>
      <c r="CS237">
        <v>1500</v>
      </c>
      <c r="CT237">
        <v>1250</v>
      </c>
      <c r="CU237">
        <v>1250</v>
      </c>
      <c r="CV237">
        <v>1250</v>
      </c>
      <c r="CW237">
        <v>3750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8995</v>
      </c>
      <c r="EE237">
        <v>0</v>
      </c>
      <c r="EF237">
        <v>0</v>
      </c>
      <c r="EG237">
        <v>0</v>
      </c>
      <c r="EH237">
        <v>0</v>
      </c>
      <c r="EI237">
        <v>1154</v>
      </c>
      <c r="EJ237">
        <v>1154</v>
      </c>
      <c r="EK237">
        <v>1155</v>
      </c>
      <c r="EL237">
        <v>3500</v>
      </c>
      <c r="EM237">
        <v>37.065000000000005</v>
      </c>
      <c r="EN237">
        <v>660</v>
      </c>
      <c r="EO237">
        <v>660</v>
      </c>
      <c r="EP237">
        <v>660</v>
      </c>
      <c r="EQ237">
        <v>2000</v>
      </c>
      <c r="ER237">
        <v>21.18</v>
      </c>
      <c r="ES237">
        <v>0</v>
      </c>
      <c r="ET237">
        <v>0</v>
      </c>
      <c r="EU237">
        <v>0</v>
      </c>
      <c r="EV237">
        <v>0</v>
      </c>
      <c r="EW237">
        <v>0</v>
      </c>
      <c r="FA237">
        <v>0</v>
      </c>
      <c r="FE237">
        <v>0</v>
      </c>
      <c r="FI237">
        <v>0</v>
      </c>
      <c r="FJ237">
        <v>5441.7550000000001</v>
      </c>
      <c r="FK237">
        <v>30520</v>
      </c>
      <c r="FL237">
        <v>26187.54960110271</v>
      </c>
      <c r="FM237">
        <v>25078.244999999999</v>
      </c>
    </row>
    <row r="238" spans="1:169" x14ac:dyDescent="0.35">
      <c r="A238">
        <v>198259</v>
      </c>
      <c r="B238" s="43" t="s">
        <v>4133</v>
      </c>
      <c r="C238" s="43" t="s">
        <v>406</v>
      </c>
      <c r="D238" s="43" t="s">
        <v>4134</v>
      </c>
      <c r="E238" s="43" t="s">
        <v>4135</v>
      </c>
      <c r="F238">
        <v>1</v>
      </c>
      <c r="H238" s="23"/>
      <c r="I238">
        <v>43804</v>
      </c>
      <c r="J238" s="43" t="s">
        <v>4240</v>
      </c>
      <c r="K238" s="43" t="s">
        <v>1715</v>
      </c>
      <c r="L238" s="43" t="s">
        <v>3204</v>
      </c>
      <c r="M238" s="43" t="s">
        <v>4136</v>
      </c>
      <c r="N238" s="43" t="s">
        <v>4137</v>
      </c>
      <c r="O238" s="43" t="s">
        <v>4138</v>
      </c>
      <c r="P238" s="43" t="s">
        <v>297</v>
      </c>
      <c r="Q238" s="43" t="s">
        <v>4139</v>
      </c>
      <c r="S238" s="23">
        <v>44109</v>
      </c>
      <c r="T238" s="43" t="s">
        <v>285</v>
      </c>
      <c r="U238" s="43" t="s">
        <v>266</v>
      </c>
      <c r="V238" s="43" t="s">
        <v>267</v>
      </c>
      <c r="W238" s="43" t="s">
        <v>1718</v>
      </c>
      <c r="X238" s="43" t="s">
        <v>1719</v>
      </c>
      <c r="Y238">
        <v>8772802835</v>
      </c>
      <c r="Z238" s="43" t="s">
        <v>270</v>
      </c>
      <c r="AA238" s="43" t="s">
        <v>271</v>
      </c>
      <c r="AB238">
        <v>0</v>
      </c>
      <c r="AC238">
        <v>0</v>
      </c>
      <c r="AD238">
        <v>0</v>
      </c>
      <c r="AE238" s="43" t="s">
        <v>445</v>
      </c>
      <c r="AF238">
        <v>4</v>
      </c>
      <c r="AG238" s="43" t="s">
        <v>3345</v>
      </c>
      <c r="AH238">
        <v>27694</v>
      </c>
      <c r="AI238">
        <v>27694</v>
      </c>
      <c r="AJ238" s="23">
        <v>43774</v>
      </c>
      <c r="AK238" s="43" t="s">
        <v>3208</v>
      </c>
      <c r="AL238" s="43" t="s">
        <v>3209</v>
      </c>
      <c r="AM238" s="23"/>
      <c r="AN238" s="23"/>
      <c r="AO238" s="23"/>
      <c r="AP238" s="23"/>
      <c r="AQ238" s="23"/>
      <c r="BB238" s="43"/>
      <c r="BC238" s="43" t="s">
        <v>2018</v>
      </c>
      <c r="BD238" s="43" t="s">
        <v>2018</v>
      </c>
      <c r="BE238" s="43" t="s">
        <v>2018</v>
      </c>
      <c r="BF238" s="43" t="s">
        <v>2018</v>
      </c>
      <c r="BG238" s="43" t="s">
        <v>2018</v>
      </c>
      <c r="BH238" t="s">
        <v>2018</v>
      </c>
      <c r="BI238" s="43" t="s">
        <v>2018</v>
      </c>
      <c r="BJ238">
        <v>0</v>
      </c>
      <c r="BK238" s="23">
        <v>44109</v>
      </c>
      <c r="BL238" s="23">
        <v>44356</v>
      </c>
      <c r="BM238">
        <v>8505</v>
      </c>
      <c r="BN238">
        <v>8505</v>
      </c>
      <c r="BO238">
        <v>8505</v>
      </c>
      <c r="BP238">
        <v>25515</v>
      </c>
      <c r="BQ238">
        <v>3300</v>
      </c>
      <c r="BR238">
        <v>400</v>
      </c>
      <c r="BS238">
        <v>400</v>
      </c>
      <c r="BT238">
        <v>4100</v>
      </c>
      <c r="BU238">
        <v>2100</v>
      </c>
      <c r="BV238">
        <v>2100</v>
      </c>
      <c r="BW238">
        <v>2100</v>
      </c>
      <c r="BX238">
        <v>6300</v>
      </c>
      <c r="BY238">
        <v>1200</v>
      </c>
      <c r="BZ238">
        <v>1200</v>
      </c>
      <c r="CA238">
        <v>1200</v>
      </c>
      <c r="CB238">
        <v>3600</v>
      </c>
      <c r="CC238">
        <v>0</v>
      </c>
      <c r="CD238">
        <v>0</v>
      </c>
      <c r="CE238">
        <v>0</v>
      </c>
      <c r="CF238">
        <v>0</v>
      </c>
      <c r="CG238">
        <v>39515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1250</v>
      </c>
      <c r="CU238">
        <v>1250</v>
      </c>
      <c r="CV238">
        <v>1250</v>
      </c>
      <c r="CW238">
        <v>3750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3750</v>
      </c>
      <c r="EE238">
        <v>0</v>
      </c>
      <c r="EF238">
        <v>0</v>
      </c>
      <c r="EG238">
        <v>0</v>
      </c>
      <c r="EH238">
        <v>0</v>
      </c>
      <c r="EI238">
        <v>1154</v>
      </c>
      <c r="EJ238">
        <v>1154</v>
      </c>
      <c r="EK238">
        <v>1155</v>
      </c>
      <c r="EL238">
        <v>3500</v>
      </c>
      <c r="EM238">
        <v>37.065000000000005</v>
      </c>
      <c r="EN238">
        <v>660</v>
      </c>
      <c r="EO238">
        <v>660</v>
      </c>
      <c r="EP238">
        <v>660</v>
      </c>
      <c r="EQ238">
        <v>2000</v>
      </c>
      <c r="ER238">
        <v>21.18</v>
      </c>
      <c r="ES238">
        <v>0</v>
      </c>
      <c r="ET238">
        <v>0</v>
      </c>
      <c r="EU238">
        <v>0</v>
      </c>
      <c r="EV238">
        <v>0</v>
      </c>
      <c r="EW238">
        <v>0</v>
      </c>
      <c r="FA238">
        <v>0</v>
      </c>
      <c r="FE238">
        <v>0</v>
      </c>
      <c r="FI238">
        <v>0</v>
      </c>
      <c r="FJ238">
        <v>5441.7550000000001</v>
      </c>
      <c r="FK238">
        <v>35765</v>
      </c>
      <c r="FL238">
        <v>31664.555574119709</v>
      </c>
      <c r="FM238">
        <v>30323.244999999999</v>
      </c>
    </row>
    <row r="239" spans="1:169" x14ac:dyDescent="0.35">
      <c r="A239">
        <v>193495</v>
      </c>
      <c r="B239" s="43" t="s">
        <v>3044</v>
      </c>
      <c r="C239" s="43" t="s">
        <v>3045</v>
      </c>
      <c r="D239" s="43" t="s">
        <v>3046</v>
      </c>
      <c r="E239" s="43" t="s">
        <v>3047</v>
      </c>
      <c r="F239">
        <v>1</v>
      </c>
      <c r="H239" s="23"/>
      <c r="I239">
        <v>43804</v>
      </c>
      <c r="J239" s="43" t="s">
        <v>4245</v>
      </c>
      <c r="K239" s="43" t="s">
        <v>1715</v>
      </c>
      <c r="L239" s="43" t="s">
        <v>3204</v>
      </c>
      <c r="M239" s="43" t="s">
        <v>3048</v>
      </c>
      <c r="N239" s="43" t="s">
        <v>3049</v>
      </c>
      <c r="O239" s="43" t="s">
        <v>3050</v>
      </c>
      <c r="P239" s="43" t="s">
        <v>442</v>
      </c>
      <c r="Q239" s="43" t="s">
        <v>3051</v>
      </c>
      <c r="S239" s="23">
        <v>44109</v>
      </c>
      <c r="T239" s="43" t="s">
        <v>311</v>
      </c>
      <c r="U239" s="43" t="s">
        <v>286</v>
      </c>
      <c r="V239" s="43" t="s">
        <v>267</v>
      </c>
      <c r="W239" s="43" t="s">
        <v>1718</v>
      </c>
      <c r="X239" s="43" t="s">
        <v>1719</v>
      </c>
      <c r="Y239">
        <v>8772802835</v>
      </c>
      <c r="Z239" s="43" t="s">
        <v>270</v>
      </c>
      <c r="AA239" s="43" t="s">
        <v>271</v>
      </c>
      <c r="AB239">
        <v>29</v>
      </c>
      <c r="AC239">
        <v>0</v>
      </c>
      <c r="AD239">
        <v>129</v>
      </c>
      <c r="AE239" s="43" t="s">
        <v>301</v>
      </c>
      <c r="AF239">
        <v>1</v>
      </c>
      <c r="AG239" s="43" t="s">
        <v>275</v>
      </c>
      <c r="AH239">
        <v>0</v>
      </c>
      <c r="AI239">
        <v>0</v>
      </c>
      <c r="AJ239" s="23">
        <v>43774</v>
      </c>
      <c r="AK239" s="43" t="s">
        <v>3208</v>
      </c>
      <c r="AL239" s="43" t="s">
        <v>3209</v>
      </c>
      <c r="AM239" s="23"/>
      <c r="AN239" s="23"/>
      <c r="AO239" s="23">
        <v>43774</v>
      </c>
      <c r="AP239" s="23">
        <v>43774</v>
      </c>
      <c r="AQ239" s="23">
        <v>43774</v>
      </c>
      <c r="BB239" s="43"/>
      <c r="BC239" s="43" t="s">
        <v>2018</v>
      </c>
      <c r="BD239" s="43" t="s">
        <v>2018</v>
      </c>
      <c r="BE239" s="43" t="s">
        <v>2018</v>
      </c>
      <c r="BF239" s="43" t="s">
        <v>2018</v>
      </c>
      <c r="BG239" s="43" t="s">
        <v>2018</v>
      </c>
      <c r="BH239" t="s">
        <v>2018</v>
      </c>
      <c r="BI239" s="43" t="s">
        <v>2018</v>
      </c>
      <c r="BJ239">
        <v>0.1875</v>
      </c>
      <c r="BK239" s="23">
        <v>44109</v>
      </c>
      <c r="BL239" s="23">
        <v>44356</v>
      </c>
      <c r="BM239">
        <v>8505</v>
      </c>
      <c r="BN239">
        <v>8505</v>
      </c>
      <c r="BO239">
        <v>8505</v>
      </c>
      <c r="BP239">
        <v>25515</v>
      </c>
      <c r="BQ239">
        <v>3300</v>
      </c>
      <c r="BR239">
        <v>400</v>
      </c>
      <c r="BS239">
        <v>400</v>
      </c>
      <c r="BT239">
        <v>4100</v>
      </c>
      <c r="BU239">
        <v>2100</v>
      </c>
      <c r="BV239">
        <v>2100</v>
      </c>
      <c r="BW239">
        <v>2100</v>
      </c>
      <c r="BX239">
        <v>6300</v>
      </c>
      <c r="BY239">
        <v>1200</v>
      </c>
      <c r="BZ239">
        <v>1200</v>
      </c>
      <c r="CA239">
        <v>1200</v>
      </c>
      <c r="CB239">
        <v>3600</v>
      </c>
      <c r="CC239">
        <v>0</v>
      </c>
      <c r="CD239">
        <v>0</v>
      </c>
      <c r="CE239">
        <v>0</v>
      </c>
      <c r="CF239">
        <v>0</v>
      </c>
      <c r="CG239">
        <v>39515</v>
      </c>
      <c r="CH239">
        <v>0</v>
      </c>
      <c r="CI239">
        <v>0</v>
      </c>
      <c r="CJ239">
        <v>0</v>
      </c>
      <c r="CK239">
        <v>0</v>
      </c>
      <c r="CL239">
        <v>2065</v>
      </c>
      <c r="CM239">
        <v>2065</v>
      </c>
      <c r="CN239">
        <v>2065</v>
      </c>
      <c r="CO239">
        <v>6195</v>
      </c>
      <c r="CP239">
        <v>500</v>
      </c>
      <c r="CQ239">
        <v>500</v>
      </c>
      <c r="CR239">
        <v>500</v>
      </c>
      <c r="CS239">
        <v>1500</v>
      </c>
      <c r="CT239">
        <v>1700</v>
      </c>
      <c r="CU239">
        <v>1700</v>
      </c>
      <c r="CV239">
        <v>1700</v>
      </c>
      <c r="CW239">
        <v>5100</v>
      </c>
      <c r="CX239">
        <v>0</v>
      </c>
      <c r="CY239">
        <v>0</v>
      </c>
      <c r="CZ239">
        <v>0</v>
      </c>
      <c r="DA239">
        <v>0</v>
      </c>
      <c r="DB239">
        <v>1000</v>
      </c>
      <c r="DC239">
        <v>1000</v>
      </c>
      <c r="DD239">
        <v>1000</v>
      </c>
      <c r="DE239">
        <v>3000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15795</v>
      </c>
      <c r="EE239">
        <v>0</v>
      </c>
      <c r="EF239">
        <v>0</v>
      </c>
      <c r="EG239">
        <v>0</v>
      </c>
      <c r="EH239">
        <v>0</v>
      </c>
      <c r="EI239">
        <v>1154</v>
      </c>
      <c r="EJ239">
        <v>1154</v>
      </c>
      <c r="EK239">
        <v>1155</v>
      </c>
      <c r="EL239">
        <v>3500</v>
      </c>
      <c r="EM239">
        <v>37.065000000000005</v>
      </c>
      <c r="EN239">
        <v>660</v>
      </c>
      <c r="EO239">
        <v>660</v>
      </c>
      <c r="EP239">
        <v>660</v>
      </c>
      <c r="EQ239">
        <v>2000</v>
      </c>
      <c r="ER239">
        <v>21.18</v>
      </c>
      <c r="ES239">
        <v>0</v>
      </c>
      <c r="ET239">
        <v>0</v>
      </c>
      <c r="EU239">
        <v>0</v>
      </c>
      <c r="EV239">
        <v>0</v>
      </c>
      <c r="EW239">
        <v>0</v>
      </c>
      <c r="FA239">
        <v>0</v>
      </c>
      <c r="FE239">
        <v>0</v>
      </c>
      <c r="FI239">
        <v>0</v>
      </c>
      <c r="FJ239">
        <v>5441.7550000000001</v>
      </c>
      <c r="FK239">
        <v>23720</v>
      </c>
      <c r="FL239">
        <v>19086.7601603943</v>
      </c>
      <c r="FM239">
        <v>18278.244999999999</v>
      </c>
    </row>
    <row r="240" spans="1:169" x14ac:dyDescent="0.35">
      <c r="A240">
        <v>198604</v>
      </c>
      <c r="B240" s="43" t="s">
        <v>3052</v>
      </c>
      <c r="C240" s="43" t="s">
        <v>3053</v>
      </c>
      <c r="D240" s="43" t="s">
        <v>3054</v>
      </c>
      <c r="E240" s="43" t="s">
        <v>3055</v>
      </c>
      <c r="F240">
        <v>1</v>
      </c>
      <c r="H240" s="23"/>
      <c r="I240">
        <v>43804</v>
      </c>
      <c r="J240" s="43" t="s">
        <v>4242</v>
      </c>
      <c r="K240" s="43" t="s">
        <v>1715</v>
      </c>
      <c r="L240" s="43" t="s">
        <v>259</v>
      </c>
      <c r="M240" s="43" t="s">
        <v>3056</v>
      </c>
      <c r="N240" s="43" t="s">
        <v>3057</v>
      </c>
      <c r="O240" s="43" t="s">
        <v>1382</v>
      </c>
      <c r="P240" s="43" t="s">
        <v>705</v>
      </c>
      <c r="Q240" s="43" t="s">
        <v>3058</v>
      </c>
      <c r="S240" s="23">
        <v>44109</v>
      </c>
      <c r="T240" s="43" t="s">
        <v>311</v>
      </c>
      <c r="U240" s="43" t="s">
        <v>286</v>
      </c>
      <c r="V240" s="43" t="s">
        <v>267</v>
      </c>
      <c r="W240" s="43" t="s">
        <v>1718</v>
      </c>
      <c r="X240" s="43" t="s">
        <v>1719</v>
      </c>
      <c r="Y240">
        <v>8772802835</v>
      </c>
      <c r="Z240" s="43" t="s">
        <v>270</v>
      </c>
      <c r="AA240" s="43" t="s">
        <v>271</v>
      </c>
      <c r="AB240">
        <v>0</v>
      </c>
      <c r="AC240">
        <v>960</v>
      </c>
      <c r="AD240">
        <v>103</v>
      </c>
      <c r="AE240" s="43" t="s">
        <v>445</v>
      </c>
      <c r="AF240">
        <v>4</v>
      </c>
      <c r="AG240" s="43" t="s">
        <v>275</v>
      </c>
      <c r="AJ240" s="23"/>
      <c r="AK240" s="43" t="s">
        <v>259</v>
      </c>
      <c r="AL240" s="43" t="s">
        <v>259</v>
      </c>
      <c r="AM240" s="23"/>
      <c r="AN240" s="23"/>
      <c r="AO240" s="23"/>
      <c r="AP240" s="23"/>
      <c r="AQ240" s="23"/>
      <c r="BB240" s="43"/>
      <c r="BC240" s="43" t="s">
        <v>259</v>
      </c>
      <c r="BD240" s="43" t="s">
        <v>259</v>
      </c>
      <c r="BE240" s="43" t="s">
        <v>259</v>
      </c>
      <c r="BF240" s="43" t="s">
        <v>259</v>
      </c>
      <c r="BG240" s="43" t="s">
        <v>259</v>
      </c>
      <c r="BH240" t="s">
        <v>259</v>
      </c>
      <c r="BI240" s="43" t="s">
        <v>259</v>
      </c>
      <c r="BJ240">
        <v>0</v>
      </c>
      <c r="BK240" s="23">
        <v>44109</v>
      </c>
      <c r="BL240" s="23">
        <v>44356</v>
      </c>
      <c r="BM240">
        <v>8505</v>
      </c>
      <c r="BN240">
        <v>8505</v>
      </c>
      <c r="BO240">
        <v>8505</v>
      </c>
      <c r="BP240">
        <v>25515</v>
      </c>
      <c r="BQ240">
        <v>3300</v>
      </c>
      <c r="BR240">
        <v>400</v>
      </c>
      <c r="BS240">
        <v>400</v>
      </c>
      <c r="BT240">
        <v>4100</v>
      </c>
      <c r="BU240">
        <v>2100</v>
      </c>
      <c r="BV240">
        <v>2100</v>
      </c>
      <c r="BW240">
        <v>2100</v>
      </c>
      <c r="BX240">
        <v>6300</v>
      </c>
      <c r="BY240">
        <v>1200</v>
      </c>
      <c r="BZ240">
        <v>1200</v>
      </c>
      <c r="CA240">
        <v>1200</v>
      </c>
      <c r="CB240">
        <v>3600</v>
      </c>
      <c r="CC240">
        <v>0</v>
      </c>
      <c r="CD240">
        <v>0</v>
      </c>
      <c r="CE240">
        <v>0</v>
      </c>
      <c r="CF240">
        <v>0</v>
      </c>
      <c r="CG240">
        <v>39515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1250</v>
      </c>
      <c r="CU240">
        <v>1250</v>
      </c>
      <c r="CV240">
        <v>1250</v>
      </c>
      <c r="CW240">
        <v>3750</v>
      </c>
      <c r="CX240">
        <v>0</v>
      </c>
      <c r="CY240">
        <v>0</v>
      </c>
      <c r="CZ240">
        <v>0</v>
      </c>
      <c r="DA240">
        <v>0</v>
      </c>
      <c r="DB240">
        <v>1000</v>
      </c>
      <c r="DC240">
        <v>1000</v>
      </c>
      <c r="DD240">
        <v>1000</v>
      </c>
      <c r="DE240">
        <v>3000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6750</v>
      </c>
      <c r="EE240">
        <v>0</v>
      </c>
      <c r="EF240">
        <v>0</v>
      </c>
      <c r="EG240">
        <v>0</v>
      </c>
      <c r="EH240">
        <v>0</v>
      </c>
      <c r="EI240">
        <v>1154</v>
      </c>
      <c r="EJ240">
        <v>1154</v>
      </c>
      <c r="EK240">
        <v>1155</v>
      </c>
      <c r="EL240">
        <v>3500</v>
      </c>
      <c r="EM240">
        <v>37.065000000000005</v>
      </c>
      <c r="EN240">
        <v>660</v>
      </c>
      <c r="EO240">
        <v>660</v>
      </c>
      <c r="EP240">
        <v>660</v>
      </c>
      <c r="EQ240">
        <v>2000</v>
      </c>
      <c r="ER240">
        <v>21.18</v>
      </c>
      <c r="ES240">
        <v>0</v>
      </c>
      <c r="ET240">
        <v>0</v>
      </c>
      <c r="EU240">
        <v>0</v>
      </c>
      <c r="EV240">
        <v>0</v>
      </c>
      <c r="EW240">
        <v>0</v>
      </c>
      <c r="FA240">
        <v>0</v>
      </c>
      <c r="FE240">
        <v>0</v>
      </c>
      <c r="FI240">
        <v>0</v>
      </c>
      <c r="FJ240">
        <v>5441.7550000000001</v>
      </c>
      <c r="FK240">
        <v>32765</v>
      </c>
      <c r="FL240">
        <v>28531.854350277765</v>
      </c>
      <c r="FM240">
        <v>27323.244999999999</v>
      </c>
    </row>
    <row r="241" spans="1:169" x14ac:dyDescent="0.35">
      <c r="A241">
        <v>199399</v>
      </c>
      <c r="B241" s="43" t="s">
        <v>4140</v>
      </c>
      <c r="C241" s="43" t="s">
        <v>4141</v>
      </c>
      <c r="D241" s="43" t="s">
        <v>4142</v>
      </c>
      <c r="E241" s="43" t="s">
        <v>4143</v>
      </c>
      <c r="F241">
        <v>1</v>
      </c>
      <c r="H241" s="23"/>
      <c r="I241">
        <v>43804</v>
      </c>
      <c r="J241" s="43" t="s">
        <v>4240</v>
      </c>
      <c r="K241" s="43" t="s">
        <v>1715</v>
      </c>
      <c r="L241" s="43" t="s">
        <v>3204</v>
      </c>
      <c r="M241" s="43" t="s">
        <v>4144</v>
      </c>
      <c r="N241" s="43" t="s">
        <v>4145</v>
      </c>
      <c r="O241" s="43" t="s">
        <v>4146</v>
      </c>
      <c r="P241" s="43" t="s">
        <v>1091</v>
      </c>
      <c r="Q241" s="43" t="s">
        <v>4147</v>
      </c>
      <c r="S241" s="23">
        <v>44109</v>
      </c>
      <c r="T241" s="43" t="s">
        <v>265</v>
      </c>
      <c r="U241" s="43" t="s">
        <v>266</v>
      </c>
      <c r="V241" s="43" t="s">
        <v>267</v>
      </c>
      <c r="W241" s="43" t="s">
        <v>1718</v>
      </c>
      <c r="X241" s="43" t="s">
        <v>1719</v>
      </c>
      <c r="Y241">
        <v>8772802835</v>
      </c>
      <c r="Z241" s="43" t="s">
        <v>270</v>
      </c>
      <c r="AA241" s="43" t="s">
        <v>271</v>
      </c>
      <c r="AB241">
        <v>23</v>
      </c>
      <c r="AC241">
        <v>0</v>
      </c>
      <c r="AD241">
        <v>108</v>
      </c>
      <c r="AE241" s="43" t="s">
        <v>445</v>
      </c>
      <c r="AF241">
        <v>4</v>
      </c>
      <c r="AG241" s="43" t="s">
        <v>3345</v>
      </c>
      <c r="AH241">
        <v>28076</v>
      </c>
      <c r="AI241">
        <v>28076</v>
      </c>
      <c r="AJ241" s="23">
        <v>43776</v>
      </c>
      <c r="AK241" s="43" t="s">
        <v>3208</v>
      </c>
      <c r="AL241" s="43" t="s">
        <v>3209</v>
      </c>
      <c r="AM241" s="23"/>
      <c r="AN241" s="23"/>
      <c r="AO241" s="23"/>
      <c r="AP241" s="23"/>
      <c r="AQ241" s="23"/>
      <c r="BB241" s="43"/>
      <c r="BC241" s="43" t="s">
        <v>2018</v>
      </c>
      <c r="BD241" s="43" t="s">
        <v>2018</v>
      </c>
      <c r="BE241" s="43" t="s">
        <v>2018</v>
      </c>
      <c r="BF241" s="43" t="s">
        <v>2018</v>
      </c>
      <c r="BG241" s="43" t="s">
        <v>2018</v>
      </c>
      <c r="BH241" t="s">
        <v>2018</v>
      </c>
      <c r="BI241" s="43" t="s">
        <v>2018</v>
      </c>
      <c r="BJ241">
        <v>0</v>
      </c>
      <c r="BK241" s="23">
        <v>44109</v>
      </c>
      <c r="BL241" s="23">
        <v>44356</v>
      </c>
      <c r="BM241">
        <v>8505</v>
      </c>
      <c r="BN241">
        <v>8505</v>
      </c>
      <c r="BO241">
        <v>8505</v>
      </c>
      <c r="BP241">
        <v>25515</v>
      </c>
      <c r="BQ241">
        <v>3300</v>
      </c>
      <c r="BR241">
        <v>400</v>
      </c>
      <c r="BS241">
        <v>400</v>
      </c>
      <c r="BT241">
        <v>4100</v>
      </c>
      <c r="BU241">
        <v>2100</v>
      </c>
      <c r="BV241">
        <v>2100</v>
      </c>
      <c r="BW241">
        <v>2100</v>
      </c>
      <c r="BX241">
        <v>6300</v>
      </c>
      <c r="BY241">
        <v>1200</v>
      </c>
      <c r="BZ241">
        <v>1200</v>
      </c>
      <c r="CA241">
        <v>1200</v>
      </c>
      <c r="CB241">
        <v>3600</v>
      </c>
      <c r="CC241">
        <v>0</v>
      </c>
      <c r="CD241">
        <v>0</v>
      </c>
      <c r="CE241">
        <v>0</v>
      </c>
      <c r="CF241">
        <v>0</v>
      </c>
      <c r="CG241">
        <v>39515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1250</v>
      </c>
      <c r="CU241">
        <v>1250</v>
      </c>
      <c r="CV241">
        <v>1250</v>
      </c>
      <c r="CW241">
        <v>3750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3750</v>
      </c>
      <c r="EE241">
        <v>0</v>
      </c>
      <c r="EF241">
        <v>0</v>
      </c>
      <c r="EG241">
        <v>0</v>
      </c>
      <c r="EH241">
        <v>0</v>
      </c>
      <c r="EI241">
        <v>1154</v>
      </c>
      <c r="EJ241">
        <v>1154</v>
      </c>
      <c r="EK241">
        <v>1155</v>
      </c>
      <c r="EL241">
        <v>3500</v>
      </c>
      <c r="EM241">
        <v>37.065000000000005</v>
      </c>
      <c r="EN241">
        <v>660</v>
      </c>
      <c r="EO241">
        <v>660</v>
      </c>
      <c r="EP241">
        <v>660</v>
      </c>
      <c r="EQ241">
        <v>2000</v>
      </c>
      <c r="ER241">
        <v>21.18</v>
      </c>
      <c r="ES241">
        <v>0</v>
      </c>
      <c r="ET241">
        <v>0</v>
      </c>
      <c r="EU241">
        <v>0</v>
      </c>
      <c r="EV241">
        <v>0</v>
      </c>
      <c r="EW241">
        <v>0</v>
      </c>
      <c r="FA241">
        <v>0</v>
      </c>
      <c r="FE241">
        <v>0</v>
      </c>
      <c r="FI241">
        <v>0</v>
      </c>
      <c r="FJ241">
        <v>5441.7550000000001</v>
      </c>
      <c r="FK241">
        <v>35765</v>
      </c>
      <c r="FL241">
        <v>31664.555574119709</v>
      </c>
      <c r="FM241">
        <v>30323.244999999999</v>
      </c>
    </row>
    <row r="242" spans="1:169" x14ac:dyDescent="0.35">
      <c r="A242">
        <v>196576</v>
      </c>
      <c r="B242" s="43" t="s">
        <v>3059</v>
      </c>
      <c r="C242" s="43" t="s">
        <v>457</v>
      </c>
      <c r="D242" s="43" t="s">
        <v>3060</v>
      </c>
      <c r="E242" s="43" t="s">
        <v>3061</v>
      </c>
      <c r="F242">
        <v>1</v>
      </c>
      <c r="H242" s="23"/>
      <c r="I242">
        <v>43804</v>
      </c>
      <c r="J242" s="43" t="s">
        <v>4240</v>
      </c>
      <c r="K242" s="43" t="s">
        <v>1715</v>
      </c>
      <c r="L242" s="43" t="s">
        <v>3204</v>
      </c>
      <c r="M242" s="43" t="s">
        <v>3062</v>
      </c>
      <c r="N242" s="43" t="s">
        <v>3063</v>
      </c>
      <c r="O242" s="43" t="s">
        <v>667</v>
      </c>
      <c r="P242" s="43" t="s">
        <v>342</v>
      </c>
      <c r="Q242" s="43" t="s">
        <v>3064</v>
      </c>
      <c r="S242" s="23">
        <v>44109</v>
      </c>
      <c r="T242" s="43" t="s">
        <v>311</v>
      </c>
      <c r="U242" s="43" t="s">
        <v>266</v>
      </c>
      <c r="V242" s="43" t="s">
        <v>267</v>
      </c>
      <c r="W242" s="43" t="s">
        <v>1718</v>
      </c>
      <c r="X242" s="43" t="s">
        <v>1719</v>
      </c>
      <c r="Y242">
        <v>8772802835</v>
      </c>
      <c r="Z242" s="43" t="s">
        <v>270</v>
      </c>
      <c r="AA242" s="43" t="s">
        <v>271</v>
      </c>
      <c r="AB242">
        <v>0</v>
      </c>
      <c r="AC242">
        <v>1210</v>
      </c>
      <c r="AD242">
        <v>124</v>
      </c>
      <c r="AE242" s="43" t="s">
        <v>301</v>
      </c>
      <c r="AF242">
        <v>1</v>
      </c>
      <c r="AG242" s="43" t="s">
        <v>275</v>
      </c>
      <c r="AH242">
        <v>11502</v>
      </c>
      <c r="AI242">
        <v>11502</v>
      </c>
      <c r="AJ242" s="23">
        <v>43804</v>
      </c>
      <c r="AK242" s="43" t="s">
        <v>3208</v>
      </c>
      <c r="AL242" s="43" t="s">
        <v>3209</v>
      </c>
      <c r="AM242" s="23"/>
      <c r="AN242" s="23"/>
      <c r="AO242" s="23"/>
      <c r="AP242" s="23"/>
      <c r="AQ242" s="23"/>
      <c r="BB242" s="43"/>
      <c r="BC242" s="43" t="s">
        <v>2018</v>
      </c>
      <c r="BD242" s="43" t="s">
        <v>2018</v>
      </c>
      <c r="BE242" s="43" t="s">
        <v>2018</v>
      </c>
      <c r="BF242" s="43" t="s">
        <v>2018</v>
      </c>
      <c r="BG242" s="43" t="s">
        <v>2018</v>
      </c>
      <c r="BH242" t="s">
        <v>2018</v>
      </c>
      <c r="BI242" s="43" t="s">
        <v>2018</v>
      </c>
      <c r="BJ242">
        <v>0</v>
      </c>
      <c r="BK242" s="23">
        <v>44109</v>
      </c>
      <c r="BL242" s="23">
        <v>44356</v>
      </c>
      <c r="BM242">
        <v>8505</v>
      </c>
      <c r="BN242">
        <v>8505</v>
      </c>
      <c r="BO242">
        <v>8505</v>
      </c>
      <c r="BP242">
        <v>25515</v>
      </c>
      <c r="BQ242">
        <v>3300</v>
      </c>
      <c r="BR242">
        <v>400</v>
      </c>
      <c r="BS242">
        <v>400</v>
      </c>
      <c r="BT242">
        <v>4100</v>
      </c>
      <c r="BU242">
        <v>2100</v>
      </c>
      <c r="BV242">
        <v>2100</v>
      </c>
      <c r="BW242">
        <v>2100</v>
      </c>
      <c r="BX242">
        <v>6300</v>
      </c>
      <c r="BY242">
        <v>1200</v>
      </c>
      <c r="BZ242">
        <v>1200</v>
      </c>
      <c r="CA242">
        <v>1200</v>
      </c>
      <c r="CB242">
        <v>3600</v>
      </c>
      <c r="CC242">
        <v>0</v>
      </c>
      <c r="CD242">
        <v>0</v>
      </c>
      <c r="CE242">
        <v>0</v>
      </c>
      <c r="CF242">
        <v>0</v>
      </c>
      <c r="CG242">
        <v>39515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1700</v>
      </c>
      <c r="CU242">
        <v>1700</v>
      </c>
      <c r="CV242">
        <v>1700</v>
      </c>
      <c r="CW242">
        <v>5100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5100</v>
      </c>
      <c r="EE242">
        <v>0</v>
      </c>
      <c r="EF242">
        <v>0</v>
      </c>
      <c r="EG242">
        <v>0</v>
      </c>
      <c r="EH242">
        <v>0</v>
      </c>
      <c r="EI242">
        <v>1154</v>
      </c>
      <c r="EJ242">
        <v>1154</v>
      </c>
      <c r="EK242">
        <v>1155</v>
      </c>
      <c r="EL242">
        <v>3500</v>
      </c>
      <c r="EM242">
        <v>37.065000000000005</v>
      </c>
      <c r="EN242">
        <v>660</v>
      </c>
      <c r="EO242">
        <v>660</v>
      </c>
      <c r="EP242">
        <v>660</v>
      </c>
      <c r="EQ242">
        <v>2000</v>
      </c>
      <c r="ER242">
        <v>21.18</v>
      </c>
      <c r="ES242">
        <v>0</v>
      </c>
      <c r="ET242">
        <v>0</v>
      </c>
      <c r="EU242">
        <v>0</v>
      </c>
      <c r="EV242">
        <v>0</v>
      </c>
      <c r="EW242">
        <v>0</v>
      </c>
      <c r="FA242">
        <v>0</v>
      </c>
      <c r="FE242">
        <v>0</v>
      </c>
      <c r="FI242">
        <v>0</v>
      </c>
      <c r="FJ242">
        <v>5441.7550000000001</v>
      </c>
      <c r="FK242">
        <v>34415</v>
      </c>
      <c r="FL242">
        <v>30254.840023390832</v>
      </c>
      <c r="FM242">
        <v>28973.244999999999</v>
      </c>
    </row>
    <row r="243" spans="1:169" x14ac:dyDescent="0.35">
      <c r="A243">
        <v>196422</v>
      </c>
      <c r="B243" s="43" t="s">
        <v>3065</v>
      </c>
      <c r="C243" s="43" t="s">
        <v>2804</v>
      </c>
      <c r="D243" s="43" t="s">
        <v>3066</v>
      </c>
      <c r="E243" s="43" t="s">
        <v>3067</v>
      </c>
      <c r="F243">
        <v>1</v>
      </c>
      <c r="H243" s="23"/>
      <c r="I243">
        <v>43804</v>
      </c>
      <c r="J243" s="43" t="s">
        <v>4240</v>
      </c>
      <c r="K243" s="43" t="s">
        <v>1715</v>
      </c>
      <c r="L243" s="43" t="s">
        <v>3204</v>
      </c>
      <c r="M243" s="43" t="s">
        <v>3068</v>
      </c>
      <c r="N243" s="43" t="s">
        <v>3069</v>
      </c>
      <c r="O243" s="43" t="s">
        <v>3070</v>
      </c>
      <c r="P243" s="43" t="s">
        <v>442</v>
      </c>
      <c r="Q243" s="43" t="s">
        <v>3071</v>
      </c>
      <c r="S243" s="23">
        <v>44109</v>
      </c>
      <c r="T243" s="43" t="s">
        <v>265</v>
      </c>
      <c r="U243" s="43" t="s">
        <v>266</v>
      </c>
      <c r="V243" s="43" t="s">
        <v>267</v>
      </c>
      <c r="W243" s="43" t="s">
        <v>1718</v>
      </c>
      <c r="X243" s="43" t="s">
        <v>1719</v>
      </c>
      <c r="Y243">
        <v>8772802835</v>
      </c>
      <c r="Z243" s="43" t="s">
        <v>270</v>
      </c>
      <c r="AA243" s="43" t="s">
        <v>271</v>
      </c>
      <c r="AB243">
        <v>35</v>
      </c>
      <c r="AC243">
        <v>0</v>
      </c>
      <c r="AD243">
        <v>138</v>
      </c>
      <c r="AE243" s="43" t="s">
        <v>301</v>
      </c>
      <c r="AF243">
        <v>1</v>
      </c>
      <c r="AG243" s="43" t="s">
        <v>275</v>
      </c>
      <c r="AH243">
        <v>40795</v>
      </c>
      <c r="AI243">
        <v>40795</v>
      </c>
      <c r="AJ243" s="23">
        <v>43774</v>
      </c>
      <c r="AK243" s="43" t="s">
        <v>3208</v>
      </c>
      <c r="AL243" s="43" t="s">
        <v>3209</v>
      </c>
      <c r="AM243" s="23"/>
      <c r="AN243" s="23"/>
      <c r="AO243" s="23"/>
      <c r="AP243" s="23"/>
      <c r="AQ243" s="23"/>
      <c r="BB243" s="43"/>
      <c r="BC243" s="43" t="s">
        <v>2018</v>
      </c>
      <c r="BD243" s="43" t="s">
        <v>2018</v>
      </c>
      <c r="BE243" s="43" t="s">
        <v>2018</v>
      </c>
      <c r="BF243" s="43" t="s">
        <v>2018</v>
      </c>
      <c r="BG243" s="43" t="s">
        <v>2018</v>
      </c>
      <c r="BH243" t="s">
        <v>2018</v>
      </c>
      <c r="BI243" s="43" t="s">
        <v>2018</v>
      </c>
      <c r="BJ243">
        <v>0</v>
      </c>
      <c r="BK243" s="23">
        <v>44109</v>
      </c>
      <c r="BL243" s="23">
        <v>44356</v>
      </c>
      <c r="BM243">
        <v>8505</v>
      </c>
      <c r="BN243">
        <v>8505</v>
      </c>
      <c r="BO243">
        <v>8505</v>
      </c>
      <c r="BP243">
        <v>25515</v>
      </c>
      <c r="BQ243">
        <v>3300</v>
      </c>
      <c r="BR243">
        <v>400</v>
      </c>
      <c r="BS243">
        <v>400</v>
      </c>
      <c r="BT243">
        <v>4100</v>
      </c>
      <c r="BU243">
        <v>2100</v>
      </c>
      <c r="BV243">
        <v>2100</v>
      </c>
      <c r="BW243">
        <v>2100</v>
      </c>
      <c r="BX243">
        <v>6300</v>
      </c>
      <c r="BY243">
        <v>1200</v>
      </c>
      <c r="BZ243">
        <v>1200</v>
      </c>
      <c r="CA243">
        <v>1200</v>
      </c>
      <c r="CB243">
        <v>3600</v>
      </c>
      <c r="CC243">
        <v>0</v>
      </c>
      <c r="CD243">
        <v>0</v>
      </c>
      <c r="CE243">
        <v>0</v>
      </c>
      <c r="CF243">
        <v>0</v>
      </c>
      <c r="CG243">
        <v>39515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1700</v>
      </c>
      <c r="CU243">
        <v>1700</v>
      </c>
      <c r="CV243">
        <v>1700</v>
      </c>
      <c r="CW243">
        <v>5100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5100</v>
      </c>
      <c r="EE243">
        <v>0</v>
      </c>
      <c r="EF243">
        <v>0</v>
      </c>
      <c r="EG243">
        <v>0</v>
      </c>
      <c r="EH243">
        <v>0</v>
      </c>
      <c r="EI243">
        <v>1154</v>
      </c>
      <c r="EJ243">
        <v>1154</v>
      </c>
      <c r="EK243">
        <v>1155</v>
      </c>
      <c r="EL243">
        <v>3500</v>
      </c>
      <c r="EM243">
        <v>37.065000000000005</v>
      </c>
      <c r="EN243">
        <v>660</v>
      </c>
      <c r="EO243">
        <v>660</v>
      </c>
      <c r="EP243">
        <v>660</v>
      </c>
      <c r="EQ243">
        <v>2000</v>
      </c>
      <c r="ER243">
        <v>21.18</v>
      </c>
      <c r="ES243">
        <v>0</v>
      </c>
      <c r="ET243">
        <v>0</v>
      </c>
      <c r="EU243">
        <v>0</v>
      </c>
      <c r="EV243">
        <v>0</v>
      </c>
      <c r="EW243">
        <v>0</v>
      </c>
      <c r="FA243">
        <v>0</v>
      </c>
      <c r="FE243">
        <v>0</v>
      </c>
      <c r="FI243">
        <v>0</v>
      </c>
      <c r="FJ243">
        <v>5441.7550000000001</v>
      </c>
      <c r="FK243">
        <v>34415</v>
      </c>
      <c r="FL243">
        <v>30254.840023390832</v>
      </c>
      <c r="FM243">
        <v>28973.244999999999</v>
      </c>
    </row>
    <row r="244" spans="1:169" x14ac:dyDescent="0.35">
      <c r="A244">
        <v>196623</v>
      </c>
      <c r="B244" s="43" t="s">
        <v>4148</v>
      </c>
      <c r="C244" s="43" t="s">
        <v>1323</v>
      </c>
      <c r="D244" s="43" t="s">
        <v>4149</v>
      </c>
      <c r="E244" s="43" t="s">
        <v>4150</v>
      </c>
      <c r="F244">
        <v>1</v>
      </c>
      <c r="H244" s="23"/>
      <c r="I244">
        <v>43804</v>
      </c>
      <c r="J244" s="43" t="s">
        <v>4242</v>
      </c>
      <c r="K244" s="43" t="s">
        <v>1715</v>
      </c>
      <c r="L244" s="43" t="s">
        <v>259</v>
      </c>
      <c r="M244" s="43" t="s">
        <v>4151</v>
      </c>
      <c r="N244" s="43" t="s">
        <v>4152</v>
      </c>
      <c r="O244" s="43" t="s">
        <v>4153</v>
      </c>
      <c r="P244" s="43" t="s">
        <v>542</v>
      </c>
      <c r="Q244" s="43" t="s">
        <v>4154</v>
      </c>
      <c r="S244" s="23">
        <v>44109</v>
      </c>
      <c r="T244" s="43" t="s">
        <v>265</v>
      </c>
      <c r="U244" s="43" t="s">
        <v>266</v>
      </c>
      <c r="V244" s="43" t="s">
        <v>267</v>
      </c>
      <c r="W244" s="43" t="s">
        <v>1718</v>
      </c>
      <c r="X244" s="43" t="s">
        <v>1719</v>
      </c>
      <c r="Y244">
        <v>8772802835</v>
      </c>
      <c r="Z244" s="43" t="s">
        <v>270</v>
      </c>
      <c r="AA244" s="43" t="s">
        <v>271</v>
      </c>
      <c r="AB244">
        <v>30</v>
      </c>
      <c r="AC244">
        <v>0</v>
      </c>
      <c r="AD244">
        <v>122</v>
      </c>
      <c r="AE244" s="43" t="s">
        <v>301</v>
      </c>
      <c r="AF244">
        <v>1</v>
      </c>
      <c r="AG244" s="43" t="s">
        <v>3345</v>
      </c>
      <c r="AJ244" s="23"/>
      <c r="AK244" s="43" t="s">
        <v>259</v>
      </c>
      <c r="AL244" s="43" t="s">
        <v>259</v>
      </c>
      <c r="AM244" s="23"/>
      <c r="AN244" s="23"/>
      <c r="AO244" s="23"/>
      <c r="AP244" s="23"/>
      <c r="AQ244" s="23"/>
      <c r="BB244" s="43"/>
      <c r="BC244" s="43" t="s">
        <v>259</v>
      </c>
      <c r="BD244" s="43" t="s">
        <v>259</v>
      </c>
      <c r="BE244" s="43" t="s">
        <v>259</v>
      </c>
      <c r="BF244" s="43" t="s">
        <v>259</v>
      </c>
      <c r="BG244" s="43" t="s">
        <v>259</v>
      </c>
      <c r="BH244" t="s">
        <v>259</v>
      </c>
      <c r="BI244" s="43" t="s">
        <v>259</v>
      </c>
      <c r="BJ244">
        <v>0</v>
      </c>
      <c r="BK244" s="23">
        <v>44109</v>
      </c>
      <c r="BL244" s="23">
        <v>44356</v>
      </c>
      <c r="BM244">
        <v>8505</v>
      </c>
      <c r="BN244">
        <v>8505</v>
      </c>
      <c r="BO244">
        <v>8505</v>
      </c>
      <c r="BP244">
        <v>25515</v>
      </c>
      <c r="BQ244">
        <v>3300</v>
      </c>
      <c r="BR244">
        <v>400</v>
      </c>
      <c r="BS244">
        <v>400</v>
      </c>
      <c r="BT244">
        <v>4100</v>
      </c>
      <c r="BU244">
        <v>2100</v>
      </c>
      <c r="BV244">
        <v>2100</v>
      </c>
      <c r="BW244">
        <v>2100</v>
      </c>
      <c r="BX244">
        <v>6300</v>
      </c>
      <c r="BY244">
        <v>1200</v>
      </c>
      <c r="BZ244">
        <v>1200</v>
      </c>
      <c r="CA244">
        <v>1200</v>
      </c>
      <c r="CB244">
        <v>3600</v>
      </c>
      <c r="CC244">
        <v>0</v>
      </c>
      <c r="CD244">
        <v>0</v>
      </c>
      <c r="CE244">
        <v>0</v>
      </c>
      <c r="CF244">
        <v>0</v>
      </c>
      <c r="CG244">
        <v>39515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1700</v>
      </c>
      <c r="CU244">
        <v>1700</v>
      </c>
      <c r="CV244">
        <v>1700</v>
      </c>
      <c r="CW244">
        <v>5100</v>
      </c>
      <c r="CX244">
        <v>3000</v>
      </c>
      <c r="CY244">
        <v>3000</v>
      </c>
      <c r="CZ244">
        <v>3000</v>
      </c>
      <c r="DA244">
        <v>9000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14100</v>
      </c>
      <c r="EE244">
        <v>0</v>
      </c>
      <c r="EF244">
        <v>0</v>
      </c>
      <c r="EG244">
        <v>0</v>
      </c>
      <c r="EH244">
        <v>0</v>
      </c>
      <c r="EI244">
        <v>1154</v>
      </c>
      <c r="EJ244">
        <v>1154</v>
      </c>
      <c r="EK244">
        <v>1155</v>
      </c>
      <c r="EL244">
        <v>3500</v>
      </c>
      <c r="EM244">
        <v>37.065000000000005</v>
      </c>
      <c r="EN244">
        <v>660</v>
      </c>
      <c r="EO244">
        <v>660</v>
      </c>
      <c r="EP244">
        <v>660</v>
      </c>
      <c r="EQ244">
        <v>2000</v>
      </c>
      <c r="ER244">
        <v>21.18</v>
      </c>
      <c r="ES244">
        <v>0</v>
      </c>
      <c r="ET244">
        <v>0</v>
      </c>
      <c r="EU244">
        <v>0</v>
      </c>
      <c r="EV244">
        <v>0</v>
      </c>
      <c r="EW244">
        <v>0</v>
      </c>
      <c r="FA244">
        <v>0</v>
      </c>
      <c r="FE244">
        <v>0</v>
      </c>
      <c r="FI244">
        <v>0</v>
      </c>
      <c r="FJ244">
        <v>5441.7550000000001</v>
      </c>
      <c r="FK244">
        <v>25415</v>
      </c>
      <c r="FL244">
        <v>20856.736351864998</v>
      </c>
      <c r="FM244">
        <v>19973.244999999999</v>
      </c>
    </row>
    <row r="245" spans="1:169" x14ac:dyDescent="0.35">
      <c r="A245">
        <v>196258</v>
      </c>
      <c r="B245" s="43" t="s">
        <v>3072</v>
      </c>
      <c r="C245" s="43" t="s">
        <v>3073</v>
      </c>
      <c r="D245" s="43" t="s">
        <v>3074</v>
      </c>
      <c r="E245" s="43" t="s">
        <v>3075</v>
      </c>
      <c r="F245">
        <v>1</v>
      </c>
      <c r="H245" s="23"/>
      <c r="I245">
        <v>43804</v>
      </c>
      <c r="J245" s="43" t="s">
        <v>4242</v>
      </c>
      <c r="K245" s="43" t="s">
        <v>1715</v>
      </c>
      <c r="L245" s="43" t="s">
        <v>259</v>
      </c>
      <c r="M245" s="43" t="s">
        <v>3076</v>
      </c>
      <c r="N245" s="43" t="s">
        <v>3077</v>
      </c>
      <c r="O245" s="43" t="s">
        <v>3078</v>
      </c>
      <c r="P245" s="43" t="s">
        <v>403</v>
      </c>
      <c r="Q245" s="43" t="s">
        <v>3079</v>
      </c>
      <c r="S245" s="23">
        <v>44109</v>
      </c>
      <c r="T245" s="43" t="s">
        <v>311</v>
      </c>
      <c r="U245" s="43" t="s">
        <v>266</v>
      </c>
      <c r="V245" s="43" t="s">
        <v>267</v>
      </c>
      <c r="W245" s="43" t="s">
        <v>1718</v>
      </c>
      <c r="X245" s="43" t="s">
        <v>1719</v>
      </c>
      <c r="Y245">
        <v>8772802835</v>
      </c>
      <c r="Z245" s="43" t="s">
        <v>270</v>
      </c>
      <c r="AA245" s="43" t="s">
        <v>271</v>
      </c>
      <c r="AB245">
        <v>0</v>
      </c>
      <c r="AC245">
        <v>1210</v>
      </c>
      <c r="AD245">
        <v>99</v>
      </c>
      <c r="AE245" s="43" t="s">
        <v>376</v>
      </c>
      <c r="AF245">
        <v>7</v>
      </c>
      <c r="AG245" s="43" t="s">
        <v>275</v>
      </c>
      <c r="AJ245" s="23"/>
      <c r="AK245" s="43" t="s">
        <v>259</v>
      </c>
      <c r="AL245" s="43" t="s">
        <v>259</v>
      </c>
      <c r="AM245" s="23"/>
      <c r="AN245" s="23"/>
      <c r="AO245" s="23"/>
      <c r="AP245" s="23"/>
      <c r="AQ245" s="23"/>
      <c r="BB245" s="43"/>
      <c r="BC245" s="43" t="s">
        <v>259</v>
      </c>
      <c r="BD245" s="43" t="s">
        <v>259</v>
      </c>
      <c r="BE245" s="43" t="s">
        <v>259</v>
      </c>
      <c r="BF245" s="43" t="s">
        <v>259</v>
      </c>
      <c r="BG245" s="43" t="s">
        <v>259</v>
      </c>
      <c r="BH245" t="s">
        <v>259</v>
      </c>
      <c r="BI245" s="43" t="s">
        <v>259</v>
      </c>
      <c r="BJ245">
        <v>0</v>
      </c>
      <c r="BK245" s="23">
        <v>44109</v>
      </c>
      <c r="BL245" s="23">
        <v>44356</v>
      </c>
      <c r="BM245">
        <v>8505</v>
      </c>
      <c r="BN245">
        <v>8505</v>
      </c>
      <c r="BO245">
        <v>8505</v>
      </c>
      <c r="BP245">
        <v>25515</v>
      </c>
      <c r="BQ245">
        <v>3300</v>
      </c>
      <c r="BR245">
        <v>400</v>
      </c>
      <c r="BS245">
        <v>400</v>
      </c>
      <c r="BT245">
        <v>4100</v>
      </c>
      <c r="BU245">
        <v>2100</v>
      </c>
      <c r="BV245">
        <v>2100</v>
      </c>
      <c r="BW245">
        <v>2100</v>
      </c>
      <c r="BX245">
        <v>6300</v>
      </c>
      <c r="BY245">
        <v>1200</v>
      </c>
      <c r="BZ245">
        <v>1200</v>
      </c>
      <c r="CA245">
        <v>1200</v>
      </c>
      <c r="CB245">
        <v>3600</v>
      </c>
      <c r="CC245">
        <v>0</v>
      </c>
      <c r="CD245">
        <v>0</v>
      </c>
      <c r="CE245">
        <v>0</v>
      </c>
      <c r="CF245">
        <v>0</v>
      </c>
      <c r="CG245">
        <v>39515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1154</v>
      </c>
      <c r="EJ245">
        <v>1154</v>
      </c>
      <c r="EK245">
        <v>1155</v>
      </c>
      <c r="EL245">
        <v>3500</v>
      </c>
      <c r="EM245">
        <v>37.065000000000005</v>
      </c>
      <c r="EN245">
        <v>660</v>
      </c>
      <c r="EO245">
        <v>660</v>
      </c>
      <c r="EP245">
        <v>660</v>
      </c>
      <c r="EQ245">
        <v>2000</v>
      </c>
      <c r="ER245">
        <v>21.18</v>
      </c>
      <c r="ES245">
        <v>0</v>
      </c>
      <c r="ET245">
        <v>0</v>
      </c>
      <c r="EU245">
        <v>0</v>
      </c>
      <c r="EV245">
        <v>0</v>
      </c>
      <c r="EW245">
        <v>0</v>
      </c>
      <c r="FA245">
        <v>0</v>
      </c>
      <c r="FE245">
        <v>0</v>
      </c>
      <c r="FI245">
        <v>0</v>
      </c>
      <c r="FJ245">
        <v>5441.7550000000001</v>
      </c>
      <c r="FK245">
        <v>39515</v>
      </c>
      <c r="FL245">
        <v>35580.43210392214</v>
      </c>
      <c r="FM245">
        <v>34073.245000000003</v>
      </c>
    </row>
    <row r="246" spans="1:169" x14ac:dyDescent="0.35">
      <c r="A246">
        <v>198359</v>
      </c>
      <c r="B246" s="43" t="s">
        <v>821</v>
      </c>
      <c r="C246" s="43" t="s">
        <v>3080</v>
      </c>
      <c r="D246" s="43" t="s">
        <v>3081</v>
      </c>
      <c r="E246" s="43" t="s">
        <v>3082</v>
      </c>
      <c r="F246">
        <v>1</v>
      </c>
      <c r="H246" s="23"/>
      <c r="I246">
        <v>43804</v>
      </c>
      <c r="J246" s="43" t="s">
        <v>4242</v>
      </c>
      <c r="K246" s="43" t="s">
        <v>1715</v>
      </c>
      <c r="L246" s="43" t="s">
        <v>259</v>
      </c>
      <c r="M246" s="43" t="s">
        <v>3083</v>
      </c>
      <c r="N246" s="43" t="s">
        <v>3084</v>
      </c>
      <c r="O246" s="43" t="s">
        <v>3085</v>
      </c>
      <c r="P246" s="43" t="s">
        <v>263</v>
      </c>
      <c r="Q246" s="43" t="s">
        <v>3086</v>
      </c>
      <c r="S246" s="23">
        <v>44109</v>
      </c>
      <c r="T246" s="43" t="s">
        <v>265</v>
      </c>
      <c r="U246" s="43" t="s">
        <v>266</v>
      </c>
      <c r="V246" s="43" t="s">
        <v>267</v>
      </c>
      <c r="W246" s="43" t="s">
        <v>1718</v>
      </c>
      <c r="X246" s="43" t="s">
        <v>1719</v>
      </c>
      <c r="Y246">
        <v>8772802835</v>
      </c>
      <c r="Z246" s="43" t="s">
        <v>270</v>
      </c>
      <c r="AA246" s="43" t="s">
        <v>271</v>
      </c>
      <c r="AB246">
        <v>0</v>
      </c>
      <c r="AC246">
        <v>0</v>
      </c>
      <c r="AD246">
        <v>0</v>
      </c>
      <c r="AE246" s="43" t="s">
        <v>344</v>
      </c>
      <c r="AF246">
        <v>10</v>
      </c>
      <c r="AG246" s="43" t="s">
        <v>275</v>
      </c>
      <c r="AJ246" s="23"/>
      <c r="AK246" s="43" t="s">
        <v>259</v>
      </c>
      <c r="AL246" s="43" t="s">
        <v>259</v>
      </c>
      <c r="AM246" s="23"/>
      <c r="AN246" s="23"/>
      <c r="AO246" s="23"/>
      <c r="AP246" s="23"/>
      <c r="AQ246" s="23"/>
      <c r="BB246" s="43"/>
      <c r="BC246" s="43" t="s">
        <v>259</v>
      </c>
      <c r="BD246" s="43" t="s">
        <v>259</v>
      </c>
      <c r="BE246" s="43" t="s">
        <v>259</v>
      </c>
      <c r="BF246" s="43" t="s">
        <v>259</v>
      </c>
      <c r="BG246" s="43" t="s">
        <v>259</v>
      </c>
      <c r="BH246" t="s">
        <v>259</v>
      </c>
      <c r="BI246" s="43" t="s">
        <v>259</v>
      </c>
      <c r="BJ246">
        <v>0</v>
      </c>
      <c r="BK246" s="23">
        <v>44109</v>
      </c>
      <c r="BL246" s="23">
        <v>44356</v>
      </c>
      <c r="BM246">
        <v>8505</v>
      </c>
      <c r="BN246">
        <v>8505</v>
      </c>
      <c r="BO246">
        <v>8505</v>
      </c>
      <c r="BP246">
        <v>25515</v>
      </c>
      <c r="BQ246">
        <v>3300</v>
      </c>
      <c r="BR246">
        <v>400</v>
      </c>
      <c r="BS246">
        <v>400</v>
      </c>
      <c r="BT246">
        <v>4100</v>
      </c>
      <c r="BU246">
        <v>2100</v>
      </c>
      <c r="BV246">
        <v>2100</v>
      </c>
      <c r="BW246">
        <v>2100</v>
      </c>
      <c r="BX246">
        <v>6300</v>
      </c>
      <c r="BY246">
        <v>1200</v>
      </c>
      <c r="BZ246">
        <v>1200</v>
      </c>
      <c r="CA246">
        <v>1200</v>
      </c>
      <c r="CB246">
        <v>3600</v>
      </c>
      <c r="CC246">
        <v>0</v>
      </c>
      <c r="CD246">
        <v>0</v>
      </c>
      <c r="CE246">
        <v>0</v>
      </c>
      <c r="CF246">
        <v>0</v>
      </c>
      <c r="CG246">
        <v>39515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1154</v>
      </c>
      <c r="EJ246">
        <v>1154</v>
      </c>
      <c r="EK246">
        <v>1155</v>
      </c>
      <c r="EL246">
        <v>3500</v>
      </c>
      <c r="EM246">
        <v>37.065000000000005</v>
      </c>
      <c r="EN246">
        <v>660</v>
      </c>
      <c r="EO246">
        <v>660</v>
      </c>
      <c r="EP246">
        <v>660</v>
      </c>
      <c r="EQ246">
        <v>2000</v>
      </c>
      <c r="ER246">
        <v>21.18</v>
      </c>
      <c r="ES246">
        <v>0</v>
      </c>
      <c r="ET246">
        <v>0</v>
      </c>
      <c r="EU246">
        <v>0</v>
      </c>
      <c r="EV246">
        <v>0</v>
      </c>
      <c r="EW246">
        <v>0</v>
      </c>
      <c r="FA246">
        <v>0</v>
      </c>
      <c r="FE246">
        <v>0</v>
      </c>
      <c r="FI246">
        <v>0</v>
      </c>
      <c r="FJ246">
        <v>5441.7550000000001</v>
      </c>
      <c r="FK246">
        <v>39515</v>
      </c>
      <c r="FL246">
        <v>35580.43210392214</v>
      </c>
      <c r="FM246">
        <v>34073.245000000003</v>
      </c>
    </row>
    <row r="247" spans="1:169" x14ac:dyDescent="0.35">
      <c r="A247">
        <v>196211</v>
      </c>
      <c r="B247" s="43" t="s">
        <v>3087</v>
      </c>
      <c r="C247" s="43" t="s">
        <v>3088</v>
      </c>
      <c r="D247" s="43" t="s">
        <v>3089</v>
      </c>
      <c r="E247" s="43" t="s">
        <v>3090</v>
      </c>
      <c r="F247">
        <v>1</v>
      </c>
      <c r="H247" s="23"/>
      <c r="I247">
        <v>43802</v>
      </c>
      <c r="J247" s="43" t="s">
        <v>3304</v>
      </c>
      <c r="K247" s="43" t="s">
        <v>1715</v>
      </c>
      <c r="L247" s="43" t="s">
        <v>3204</v>
      </c>
      <c r="M247" s="43" t="s">
        <v>3091</v>
      </c>
      <c r="N247" s="43" t="s">
        <v>3092</v>
      </c>
      <c r="O247" s="43" t="s">
        <v>3093</v>
      </c>
      <c r="P247" s="43" t="s">
        <v>342</v>
      </c>
      <c r="Q247" s="43" t="s">
        <v>3094</v>
      </c>
      <c r="S247" s="23">
        <v>44109</v>
      </c>
      <c r="T247" s="43" t="s">
        <v>311</v>
      </c>
      <c r="U247" s="43" t="s">
        <v>286</v>
      </c>
      <c r="V247" s="43" t="s">
        <v>267</v>
      </c>
      <c r="W247" s="43" t="s">
        <v>1718</v>
      </c>
      <c r="X247" s="43" t="s">
        <v>1719</v>
      </c>
      <c r="Y247">
        <v>8772802835</v>
      </c>
      <c r="Z247" s="43" t="s">
        <v>270</v>
      </c>
      <c r="AA247" s="43" t="s">
        <v>271</v>
      </c>
      <c r="AB247">
        <v>0</v>
      </c>
      <c r="AC247">
        <v>1180</v>
      </c>
      <c r="AD247">
        <v>121</v>
      </c>
      <c r="AE247" s="43" t="s">
        <v>301</v>
      </c>
      <c r="AF247">
        <v>1</v>
      </c>
      <c r="AG247" s="43" t="s">
        <v>275</v>
      </c>
      <c r="AH247">
        <v>17544</v>
      </c>
      <c r="AI247">
        <v>17544</v>
      </c>
      <c r="AJ247" s="23">
        <v>43774</v>
      </c>
      <c r="AK247" s="43" t="s">
        <v>3208</v>
      </c>
      <c r="AL247" s="43" t="s">
        <v>3209</v>
      </c>
      <c r="AM247" s="23"/>
      <c r="AN247" s="23"/>
      <c r="AO247" s="23"/>
      <c r="AP247" s="23"/>
      <c r="AQ247" s="23"/>
      <c r="BB247" s="43"/>
      <c r="BC247" s="43" t="s">
        <v>2018</v>
      </c>
      <c r="BD247" s="43" t="s">
        <v>2018</v>
      </c>
      <c r="BE247" s="43" t="s">
        <v>2018</v>
      </c>
      <c r="BF247" s="43" t="s">
        <v>2018</v>
      </c>
      <c r="BG247" s="43" t="s">
        <v>2018</v>
      </c>
      <c r="BH247" t="s">
        <v>2018</v>
      </c>
      <c r="BI247" s="43" t="s">
        <v>2018</v>
      </c>
      <c r="BJ247">
        <v>0</v>
      </c>
      <c r="BK247" s="23">
        <v>44109</v>
      </c>
      <c r="BL247" s="23">
        <v>44356</v>
      </c>
      <c r="BM247">
        <v>8505</v>
      </c>
      <c r="BN247">
        <v>8505</v>
      </c>
      <c r="BO247">
        <v>8505</v>
      </c>
      <c r="BP247">
        <v>25515</v>
      </c>
      <c r="BQ247">
        <v>3300</v>
      </c>
      <c r="BR247">
        <v>400</v>
      </c>
      <c r="BS247">
        <v>400</v>
      </c>
      <c r="BT247">
        <v>4100</v>
      </c>
      <c r="BU247">
        <v>2100</v>
      </c>
      <c r="BV247">
        <v>2100</v>
      </c>
      <c r="BW247">
        <v>2100</v>
      </c>
      <c r="BX247">
        <v>6300</v>
      </c>
      <c r="BY247">
        <v>1200</v>
      </c>
      <c r="BZ247">
        <v>1200</v>
      </c>
      <c r="CA247">
        <v>1200</v>
      </c>
      <c r="CB247">
        <v>3600</v>
      </c>
      <c r="CC247">
        <v>0</v>
      </c>
      <c r="CD247">
        <v>0</v>
      </c>
      <c r="CE247">
        <v>0</v>
      </c>
      <c r="CF247">
        <v>0</v>
      </c>
      <c r="CG247">
        <v>39515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1700</v>
      </c>
      <c r="CU247">
        <v>1700</v>
      </c>
      <c r="CV247">
        <v>1700</v>
      </c>
      <c r="CW247">
        <v>5100</v>
      </c>
      <c r="CX247">
        <v>0</v>
      </c>
      <c r="CY247">
        <v>0</v>
      </c>
      <c r="CZ247">
        <v>0</v>
      </c>
      <c r="DA247">
        <v>0</v>
      </c>
      <c r="DB247">
        <v>1000</v>
      </c>
      <c r="DC247">
        <v>1000</v>
      </c>
      <c r="DD247">
        <v>1000</v>
      </c>
      <c r="DE247">
        <v>3000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8100</v>
      </c>
      <c r="EE247">
        <v>0</v>
      </c>
      <c r="EF247">
        <v>0</v>
      </c>
      <c r="EG247">
        <v>0</v>
      </c>
      <c r="EH247">
        <v>0</v>
      </c>
      <c r="EI247">
        <v>1154</v>
      </c>
      <c r="EJ247">
        <v>1154</v>
      </c>
      <c r="EK247">
        <v>1155</v>
      </c>
      <c r="EL247">
        <v>3500</v>
      </c>
      <c r="EM247">
        <v>37.065000000000005</v>
      </c>
      <c r="EN247">
        <v>660</v>
      </c>
      <c r="EO247">
        <v>660</v>
      </c>
      <c r="EP247">
        <v>660</v>
      </c>
      <c r="EQ247">
        <v>2000</v>
      </c>
      <c r="ER247">
        <v>21.18</v>
      </c>
      <c r="ES247">
        <v>0</v>
      </c>
      <c r="ET247">
        <v>0</v>
      </c>
      <c r="EU247">
        <v>0</v>
      </c>
      <c r="EV247">
        <v>0</v>
      </c>
      <c r="EW247">
        <v>0</v>
      </c>
      <c r="FA247">
        <v>0</v>
      </c>
      <c r="FE247">
        <v>0</v>
      </c>
      <c r="FI247">
        <v>0</v>
      </c>
      <c r="FJ247">
        <v>5441.7550000000001</v>
      </c>
      <c r="FK247">
        <v>31415</v>
      </c>
      <c r="FL247">
        <v>27122.138799548888</v>
      </c>
      <c r="FM247">
        <v>25973.244999999999</v>
      </c>
    </row>
    <row r="248" spans="1:169" x14ac:dyDescent="0.35">
      <c r="A248">
        <v>197603</v>
      </c>
      <c r="B248" s="43" t="s">
        <v>3095</v>
      </c>
      <c r="C248" s="43" t="s">
        <v>3096</v>
      </c>
      <c r="D248" s="43" t="s">
        <v>3097</v>
      </c>
      <c r="E248" s="43" t="s">
        <v>3098</v>
      </c>
      <c r="F248">
        <v>1</v>
      </c>
      <c r="G248">
        <v>43780</v>
      </c>
      <c r="H248" s="23">
        <v>43781</v>
      </c>
      <c r="I248">
        <v>43781</v>
      </c>
      <c r="J248" s="43" t="s">
        <v>3335</v>
      </c>
      <c r="K248" s="43" t="s">
        <v>3307</v>
      </c>
      <c r="L248" s="43" t="s">
        <v>3204</v>
      </c>
      <c r="M248" s="43" t="s">
        <v>3099</v>
      </c>
      <c r="N248" s="43" t="s">
        <v>3100</v>
      </c>
      <c r="O248" s="43" t="s">
        <v>3101</v>
      </c>
      <c r="P248" s="43" t="s">
        <v>442</v>
      </c>
      <c r="Q248" s="43" t="s">
        <v>3102</v>
      </c>
      <c r="S248" s="23">
        <v>44109</v>
      </c>
      <c r="T248" s="43" t="s">
        <v>265</v>
      </c>
      <c r="U248" s="43" t="s">
        <v>286</v>
      </c>
      <c r="V248" s="43" t="s">
        <v>267</v>
      </c>
      <c r="W248" s="43" t="s">
        <v>1718</v>
      </c>
      <c r="X248" s="43" t="s">
        <v>1719</v>
      </c>
      <c r="Y248">
        <v>8772802835</v>
      </c>
      <c r="Z248" s="43" t="s">
        <v>270</v>
      </c>
      <c r="AA248" s="43" t="s">
        <v>271</v>
      </c>
      <c r="AB248">
        <v>29</v>
      </c>
      <c r="AC248">
        <v>0</v>
      </c>
      <c r="AD248">
        <v>124</v>
      </c>
      <c r="AE248" s="43" t="s">
        <v>301</v>
      </c>
      <c r="AF248">
        <v>1</v>
      </c>
      <c r="AG248" s="43" t="s">
        <v>275</v>
      </c>
      <c r="AH248">
        <v>0</v>
      </c>
      <c r="AI248">
        <v>0</v>
      </c>
      <c r="AJ248" s="23">
        <v>43774</v>
      </c>
      <c r="AK248" s="43" t="s">
        <v>1715</v>
      </c>
      <c r="AL248" s="43" t="s">
        <v>259</v>
      </c>
      <c r="AM248" s="23"/>
      <c r="AN248" s="23"/>
      <c r="AO248" s="23"/>
      <c r="AP248" s="23"/>
      <c r="AQ248" s="23"/>
      <c r="BB248" s="43"/>
      <c r="BC248" s="43" t="s">
        <v>259</v>
      </c>
      <c r="BD248" s="43" t="s">
        <v>259</v>
      </c>
      <c r="BE248" s="43" t="s">
        <v>259</v>
      </c>
      <c r="BF248" s="43" t="s">
        <v>2018</v>
      </c>
      <c r="BG248" s="43" t="s">
        <v>2018</v>
      </c>
      <c r="BH248">
        <v>43757</v>
      </c>
      <c r="BI248" s="43" t="s">
        <v>2018</v>
      </c>
      <c r="BJ248">
        <v>5.0000000000000044E-2</v>
      </c>
      <c r="BK248" s="23">
        <v>44109</v>
      </c>
      <c r="BL248" s="23">
        <v>44356</v>
      </c>
      <c r="BM248">
        <v>8505</v>
      </c>
      <c r="BN248">
        <v>8505</v>
      </c>
      <c r="BO248">
        <v>8505</v>
      </c>
      <c r="BP248">
        <v>25515</v>
      </c>
      <c r="BQ248">
        <v>3300</v>
      </c>
      <c r="BR248">
        <v>400</v>
      </c>
      <c r="BS248">
        <v>400</v>
      </c>
      <c r="BT248">
        <v>4100</v>
      </c>
      <c r="BU248">
        <v>2100</v>
      </c>
      <c r="BV248">
        <v>2100</v>
      </c>
      <c r="BW248">
        <v>2100</v>
      </c>
      <c r="BX248">
        <v>6300</v>
      </c>
      <c r="BY248">
        <v>1200</v>
      </c>
      <c r="BZ248">
        <v>1200</v>
      </c>
      <c r="CA248">
        <v>1200</v>
      </c>
      <c r="CB248">
        <v>3600</v>
      </c>
      <c r="CC248">
        <v>0</v>
      </c>
      <c r="CD248">
        <v>0</v>
      </c>
      <c r="CE248">
        <v>0</v>
      </c>
      <c r="CF248">
        <v>0</v>
      </c>
      <c r="CG248">
        <v>39515</v>
      </c>
      <c r="CH248">
        <v>0</v>
      </c>
      <c r="CI248">
        <v>0</v>
      </c>
      <c r="CJ248">
        <v>0</v>
      </c>
      <c r="CK248">
        <v>0</v>
      </c>
      <c r="CL248">
        <v>2065</v>
      </c>
      <c r="CM248">
        <v>2065</v>
      </c>
      <c r="CN248">
        <v>2065</v>
      </c>
      <c r="CO248">
        <v>6195</v>
      </c>
      <c r="CP248">
        <v>500</v>
      </c>
      <c r="CQ248">
        <v>500</v>
      </c>
      <c r="CR248">
        <v>500</v>
      </c>
      <c r="CS248">
        <v>1500</v>
      </c>
      <c r="CT248">
        <v>1700</v>
      </c>
      <c r="CU248">
        <v>1700</v>
      </c>
      <c r="CV248">
        <v>1700</v>
      </c>
      <c r="CW248">
        <v>5100</v>
      </c>
      <c r="CX248">
        <v>0</v>
      </c>
      <c r="CY248">
        <v>0</v>
      </c>
      <c r="CZ248">
        <v>0</v>
      </c>
      <c r="DA248">
        <v>0</v>
      </c>
      <c r="DB248">
        <v>1000</v>
      </c>
      <c r="DC248">
        <v>1000</v>
      </c>
      <c r="DD248">
        <v>1000</v>
      </c>
      <c r="DE248">
        <v>3000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15795</v>
      </c>
      <c r="EE248">
        <v>0</v>
      </c>
      <c r="EF248">
        <v>0</v>
      </c>
      <c r="EG248">
        <v>0</v>
      </c>
      <c r="EH248">
        <v>0</v>
      </c>
      <c r="EI248">
        <v>1154</v>
      </c>
      <c r="EJ248">
        <v>1154</v>
      </c>
      <c r="EK248">
        <v>1155</v>
      </c>
      <c r="EL248">
        <v>3500</v>
      </c>
      <c r="EM248">
        <v>37.065000000000005</v>
      </c>
      <c r="EN248">
        <v>660</v>
      </c>
      <c r="EO248">
        <v>660</v>
      </c>
      <c r="EP248">
        <v>660</v>
      </c>
      <c r="EQ248">
        <v>2000</v>
      </c>
      <c r="ER248">
        <v>21.18</v>
      </c>
      <c r="ES248">
        <v>0</v>
      </c>
      <c r="ET248">
        <v>0</v>
      </c>
      <c r="EU248">
        <v>0</v>
      </c>
      <c r="EV248">
        <v>0</v>
      </c>
      <c r="EW248">
        <v>0</v>
      </c>
      <c r="FA248">
        <v>0</v>
      </c>
      <c r="FE248">
        <v>0</v>
      </c>
      <c r="FI248">
        <v>0</v>
      </c>
      <c r="FJ248">
        <v>5441.7550000000001</v>
      </c>
      <c r="FK248">
        <v>23720</v>
      </c>
      <c r="FL248">
        <v>19086.7601603943</v>
      </c>
      <c r="FM248">
        <v>18278.244999999999</v>
      </c>
    </row>
    <row r="249" spans="1:169" x14ac:dyDescent="0.35">
      <c r="A249">
        <v>195554</v>
      </c>
      <c r="B249" s="43" t="s">
        <v>3103</v>
      </c>
      <c r="C249" s="43" t="s">
        <v>3104</v>
      </c>
      <c r="D249" s="43" t="s">
        <v>3105</v>
      </c>
      <c r="E249" s="43" t="s">
        <v>3106</v>
      </c>
      <c r="F249">
        <v>1</v>
      </c>
      <c r="H249" s="23"/>
      <c r="I249">
        <v>43804</v>
      </c>
      <c r="J249" s="43" t="s">
        <v>4240</v>
      </c>
      <c r="K249" s="43" t="s">
        <v>1715</v>
      </c>
      <c r="L249" s="43" t="s">
        <v>301</v>
      </c>
      <c r="M249" s="43" t="s">
        <v>3107</v>
      </c>
      <c r="N249" s="43" t="s">
        <v>3108</v>
      </c>
      <c r="O249" s="43" t="s">
        <v>3109</v>
      </c>
      <c r="P249" s="43" t="s">
        <v>596</v>
      </c>
      <c r="Q249" s="43" t="s">
        <v>3110</v>
      </c>
      <c r="S249" s="23">
        <v>44109</v>
      </c>
      <c r="T249" s="43" t="s">
        <v>311</v>
      </c>
      <c r="U249" s="43" t="s">
        <v>266</v>
      </c>
      <c r="V249" s="43" t="s">
        <v>267</v>
      </c>
      <c r="W249" s="43" t="s">
        <v>1718</v>
      </c>
      <c r="X249" s="43" t="s">
        <v>1719</v>
      </c>
      <c r="Y249">
        <v>8772802835</v>
      </c>
      <c r="Z249" s="43" t="s">
        <v>270</v>
      </c>
      <c r="AA249" s="43" t="s">
        <v>271</v>
      </c>
      <c r="AB249">
        <v>21</v>
      </c>
      <c r="AC249">
        <v>0</v>
      </c>
      <c r="AD249">
        <v>97</v>
      </c>
      <c r="AE249" s="43" t="s">
        <v>354</v>
      </c>
      <c r="AF249">
        <v>6</v>
      </c>
      <c r="AG249" s="43" t="s">
        <v>275</v>
      </c>
      <c r="AH249">
        <v>0</v>
      </c>
      <c r="AI249">
        <v>0</v>
      </c>
      <c r="AJ249" s="23">
        <v>43801</v>
      </c>
      <c r="AK249" s="43" t="s">
        <v>3208</v>
      </c>
      <c r="AL249" s="43" t="s">
        <v>3209</v>
      </c>
      <c r="AM249" s="23"/>
      <c r="AN249" s="23"/>
      <c r="AO249" s="23"/>
      <c r="AP249" s="23"/>
      <c r="AQ249" s="23"/>
      <c r="BB249" s="43"/>
      <c r="BC249" s="43" t="s">
        <v>2018</v>
      </c>
      <c r="BD249" s="43" t="s">
        <v>2018</v>
      </c>
      <c r="BE249" s="43" t="s">
        <v>2018</v>
      </c>
      <c r="BF249" s="43" t="s">
        <v>2018</v>
      </c>
      <c r="BG249" s="43" t="s">
        <v>2018</v>
      </c>
      <c r="BH249" t="s">
        <v>2018</v>
      </c>
      <c r="BI249" s="43" t="s">
        <v>2018</v>
      </c>
      <c r="BJ249">
        <v>0</v>
      </c>
      <c r="BK249" s="23">
        <v>44109</v>
      </c>
      <c r="BL249" s="23">
        <v>44356</v>
      </c>
      <c r="BM249">
        <v>8505</v>
      </c>
      <c r="BN249">
        <v>8505</v>
      </c>
      <c r="BO249">
        <v>8505</v>
      </c>
      <c r="BP249">
        <v>25515</v>
      </c>
      <c r="BQ249">
        <v>3300</v>
      </c>
      <c r="BR249">
        <v>400</v>
      </c>
      <c r="BS249">
        <v>400</v>
      </c>
      <c r="BT249">
        <v>4100</v>
      </c>
      <c r="BU249">
        <v>2100</v>
      </c>
      <c r="BV249">
        <v>2100</v>
      </c>
      <c r="BW249">
        <v>2100</v>
      </c>
      <c r="BX249">
        <v>6300</v>
      </c>
      <c r="BY249">
        <v>1200</v>
      </c>
      <c r="BZ249">
        <v>1200</v>
      </c>
      <c r="CA249">
        <v>1200</v>
      </c>
      <c r="CB249">
        <v>3600</v>
      </c>
      <c r="CC249">
        <v>0</v>
      </c>
      <c r="CD249">
        <v>0</v>
      </c>
      <c r="CE249">
        <v>0</v>
      </c>
      <c r="CF249">
        <v>0</v>
      </c>
      <c r="CG249">
        <v>39515</v>
      </c>
      <c r="CH249">
        <v>0</v>
      </c>
      <c r="CI249">
        <v>0</v>
      </c>
      <c r="CJ249">
        <v>0</v>
      </c>
      <c r="CK249">
        <v>0</v>
      </c>
      <c r="CL249">
        <v>2065</v>
      </c>
      <c r="CM249">
        <v>2065</v>
      </c>
      <c r="CN249">
        <v>2065</v>
      </c>
      <c r="CO249">
        <v>6195</v>
      </c>
      <c r="CP249">
        <v>500</v>
      </c>
      <c r="CQ249">
        <v>500</v>
      </c>
      <c r="CR249">
        <v>500</v>
      </c>
      <c r="CS249">
        <v>1500</v>
      </c>
      <c r="CT249">
        <v>750</v>
      </c>
      <c r="CU249">
        <v>750</v>
      </c>
      <c r="CV249">
        <v>750</v>
      </c>
      <c r="CW249">
        <v>2250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9945</v>
      </c>
      <c r="EE249">
        <v>0</v>
      </c>
      <c r="EF249">
        <v>0</v>
      </c>
      <c r="EG249">
        <v>0</v>
      </c>
      <c r="EH249">
        <v>0</v>
      </c>
      <c r="EI249">
        <v>1154</v>
      </c>
      <c r="EJ249">
        <v>1154</v>
      </c>
      <c r="EK249">
        <v>1155</v>
      </c>
      <c r="EL249">
        <v>3500</v>
      </c>
      <c r="EM249">
        <v>37.065000000000005</v>
      </c>
      <c r="EN249">
        <v>1979</v>
      </c>
      <c r="EO249">
        <v>1979</v>
      </c>
      <c r="EP249">
        <v>1979</v>
      </c>
      <c r="EQ249">
        <v>6000</v>
      </c>
      <c r="ER249">
        <v>63.540000000000006</v>
      </c>
      <c r="ES249">
        <v>0</v>
      </c>
      <c r="ET249">
        <v>0</v>
      </c>
      <c r="EU249">
        <v>0</v>
      </c>
      <c r="EV249">
        <v>0</v>
      </c>
      <c r="EW249">
        <v>0</v>
      </c>
      <c r="FA249">
        <v>0</v>
      </c>
      <c r="FE249">
        <v>0</v>
      </c>
      <c r="FI249">
        <v>0</v>
      </c>
      <c r="FJ249">
        <v>9399.3950000000004</v>
      </c>
      <c r="FK249">
        <v>29570</v>
      </c>
      <c r="FL249">
        <v>21062.826323044148</v>
      </c>
      <c r="FM249">
        <v>20170.605</v>
      </c>
    </row>
    <row r="250" spans="1:169" x14ac:dyDescent="0.35">
      <c r="A250">
        <v>198280</v>
      </c>
      <c r="B250" s="43" t="s">
        <v>3111</v>
      </c>
      <c r="C250" s="43" t="s">
        <v>3112</v>
      </c>
      <c r="D250" s="43" t="s">
        <v>3113</v>
      </c>
      <c r="E250" s="43" t="s">
        <v>3114</v>
      </c>
      <c r="F250">
        <v>1</v>
      </c>
      <c r="H250" s="23"/>
      <c r="I250">
        <v>43804</v>
      </c>
      <c r="J250" s="43" t="s">
        <v>4240</v>
      </c>
      <c r="K250" s="43" t="s">
        <v>1715</v>
      </c>
      <c r="L250" s="43" t="s">
        <v>3204</v>
      </c>
      <c r="M250" s="43" t="s">
        <v>3115</v>
      </c>
      <c r="N250" s="43" t="s">
        <v>3116</v>
      </c>
      <c r="O250" s="43" t="s">
        <v>3117</v>
      </c>
      <c r="P250" s="43" t="s">
        <v>342</v>
      </c>
      <c r="Q250" s="43" t="s">
        <v>3118</v>
      </c>
      <c r="S250" s="23">
        <v>44109</v>
      </c>
      <c r="T250" s="43" t="s">
        <v>265</v>
      </c>
      <c r="U250" s="43" t="s">
        <v>266</v>
      </c>
      <c r="V250" s="43" t="s">
        <v>267</v>
      </c>
      <c r="W250" s="43" t="s">
        <v>1718</v>
      </c>
      <c r="X250" s="43" t="s">
        <v>1719</v>
      </c>
      <c r="Y250">
        <v>8772802835</v>
      </c>
      <c r="Z250" s="43" t="s">
        <v>270</v>
      </c>
      <c r="AA250" s="43" t="s">
        <v>271</v>
      </c>
      <c r="AB250">
        <v>0</v>
      </c>
      <c r="AC250">
        <v>1220</v>
      </c>
      <c r="AD250">
        <v>110</v>
      </c>
      <c r="AE250" s="43" t="s">
        <v>364</v>
      </c>
      <c r="AF250">
        <v>3</v>
      </c>
      <c r="AG250" s="43" t="s">
        <v>275</v>
      </c>
      <c r="AH250">
        <v>36975</v>
      </c>
      <c r="AI250">
        <v>36975</v>
      </c>
      <c r="AJ250" s="23">
        <v>43776</v>
      </c>
      <c r="AK250" s="43" t="s">
        <v>3208</v>
      </c>
      <c r="AL250" s="43" t="s">
        <v>3209</v>
      </c>
      <c r="AM250" s="23"/>
      <c r="AN250" s="23"/>
      <c r="AO250" s="23"/>
      <c r="AP250" s="23"/>
      <c r="AQ250" s="23"/>
      <c r="BB250" s="43"/>
      <c r="BC250" s="43" t="s">
        <v>2018</v>
      </c>
      <c r="BD250" s="43" t="s">
        <v>2018</v>
      </c>
      <c r="BE250" s="43" t="s">
        <v>2018</v>
      </c>
      <c r="BF250" s="43" t="s">
        <v>2018</v>
      </c>
      <c r="BG250" s="43" t="s">
        <v>2018</v>
      </c>
      <c r="BH250" t="s">
        <v>2018</v>
      </c>
      <c r="BI250" s="43" t="s">
        <v>2018</v>
      </c>
      <c r="BJ250">
        <v>0</v>
      </c>
      <c r="BK250" s="23">
        <v>44109</v>
      </c>
      <c r="BL250" s="23">
        <v>44356</v>
      </c>
      <c r="BM250">
        <v>8505</v>
      </c>
      <c r="BN250">
        <v>8505</v>
      </c>
      <c r="BO250">
        <v>8505</v>
      </c>
      <c r="BP250">
        <v>25515</v>
      </c>
      <c r="BQ250">
        <v>3300</v>
      </c>
      <c r="BR250">
        <v>400</v>
      </c>
      <c r="BS250">
        <v>400</v>
      </c>
      <c r="BT250">
        <v>4100</v>
      </c>
      <c r="BU250">
        <v>2100</v>
      </c>
      <c r="BV250">
        <v>2100</v>
      </c>
      <c r="BW250">
        <v>2100</v>
      </c>
      <c r="BX250">
        <v>6300</v>
      </c>
      <c r="BY250">
        <v>1200</v>
      </c>
      <c r="BZ250">
        <v>1200</v>
      </c>
      <c r="CA250">
        <v>1200</v>
      </c>
      <c r="CB250">
        <v>3600</v>
      </c>
      <c r="CC250">
        <v>0</v>
      </c>
      <c r="CD250">
        <v>0</v>
      </c>
      <c r="CE250">
        <v>0</v>
      </c>
      <c r="CF250">
        <v>0</v>
      </c>
      <c r="CG250">
        <v>39515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1300</v>
      </c>
      <c r="CU250">
        <v>1300</v>
      </c>
      <c r="CV250">
        <v>1300</v>
      </c>
      <c r="CW250">
        <v>3900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3900</v>
      </c>
      <c r="EE250">
        <v>0</v>
      </c>
      <c r="EF250">
        <v>0</v>
      </c>
      <c r="EG250">
        <v>0</v>
      </c>
      <c r="EH250">
        <v>0</v>
      </c>
      <c r="EI250">
        <v>1154</v>
      </c>
      <c r="EJ250">
        <v>1154</v>
      </c>
      <c r="EK250">
        <v>1155</v>
      </c>
      <c r="EL250">
        <v>3500</v>
      </c>
      <c r="EM250">
        <v>37.065000000000005</v>
      </c>
      <c r="EN250">
        <v>660</v>
      </c>
      <c r="EO250">
        <v>660</v>
      </c>
      <c r="EP250">
        <v>660</v>
      </c>
      <c r="EQ250">
        <v>2000</v>
      </c>
      <c r="ER250">
        <v>21.18</v>
      </c>
      <c r="ES250">
        <v>0</v>
      </c>
      <c r="ET250">
        <v>0</v>
      </c>
      <c r="EU250">
        <v>0</v>
      </c>
      <c r="EV250">
        <v>0</v>
      </c>
      <c r="EW250">
        <v>0</v>
      </c>
      <c r="FA250">
        <v>0</v>
      </c>
      <c r="FE250">
        <v>0</v>
      </c>
      <c r="FI250">
        <v>0</v>
      </c>
      <c r="FJ250">
        <v>5441.7550000000001</v>
      </c>
      <c r="FK250">
        <v>35615</v>
      </c>
      <c r="FL250">
        <v>31507.920512927612</v>
      </c>
      <c r="FM250">
        <v>30173.244999999999</v>
      </c>
    </row>
    <row r="251" spans="1:169" x14ac:dyDescent="0.35">
      <c r="A251">
        <v>197552</v>
      </c>
      <c r="B251" s="43" t="s">
        <v>3119</v>
      </c>
      <c r="C251" s="43" t="s">
        <v>3120</v>
      </c>
      <c r="D251" s="43" t="s">
        <v>3121</v>
      </c>
      <c r="E251" s="43" t="s">
        <v>3122</v>
      </c>
      <c r="F251">
        <v>1</v>
      </c>
      <c r="H251" s="23"/>
      <c r="I251">
        <v>43804</v>
      </c>
      <c r="J251" s="43" t="s">
        <v>4240</v>
      </c>
      <c r="K251" s="43" t="s">
        <v>1715</v>
      </c>
      <c r="L251" s="43" t="s">
        <v>3204</v>
      </c>
      <c r="M251" s="43" t="s">
        <v>3123</v>
      </c>
      <c r="N251" s="43" t="s">
        <v>3124</v>
      </c>
      <c r="O251" s="43" t="s">
        <v>3125</v>
      </c>
      <c r="P251" s="43" t="s">
        <v>579</v>
      </c>
      <c r="Q251" s="43" t="s">
        <v>3126</v>
      </c>
      <c r="S251" s="23">
        <v>44109</v>
      </c>
      <c r="T251" s="43" t="s">
        <v>265</v>
      </c>
      <c r="U251" s="43" t="s">
        <v>266</v>
      </c>
      <c r="V251" s="43" t="s">
        <v>267</v>
      </c>
      <c r="W251" s="43" t="s">
        <v>1718</v>
      </c>
      <c r="X251" s="43" t="s">
        <v>1719</v>
      </c>
      <c r="Y251">
        <v>8772802835</v>
      </c>
      <c r="Z251" s="43" t="s">
        <v>270</v>
      </c>
      <c r="AA251" s="43" t="s">
        <v>271</v>
      </c>
      <c r="AB251">
        <v>24</v>
      </c>
      <c r="AC251">
        <v>0</v>
      </c>
      <c r="AD251">
        <v>108</v>
      </c>
      <c r="AE251" s="43" t="s">
        <v>364</v>
      </c>
      <c r="AF251">
        <v>3</v>
      </c>
      <c r="AG251" s="43" t="s">
        <v>275</v>
      </c>
      <c r="AH251">
        <v>0</v>
      </c>
      <c r="AI251">
        <v>0</v>
      </c>
      <c r="AJ251" s="23">
        <v>43774</v>
      </c>
      <c r="AK251" s="43" t="s">
        <v>3208</v>
      </c>
      <c r="AL251" s="43" t="s">
        <v>3209</v>
      </c>
      <c r="AM251" s="23"/>
      <c r="AN251" s="23"/>
      <c r="AO251" s="23"/>
      <c r="AP251" s="23"/>
      <c r="AQ251" s="23"/>
      <c r="BB251" s="43"/>
      <c r="BC251" s="43" t="s">
        <v>2018</v>
      </c>
      <c r="BD251" s="43" t="s">
        <v>2018</v>
      </c>
      <c r="BE251" s="43" t="s">
        <v>2018</v>
      </c>
      <c r="BF251" s="43" t="s">
        <v>2018</v>
      </c>
      <c r="BG251" s="43" t="s">
        <v>2018</v>
      </c>
      <c r="BH251" t="s">
        <v>2018</v>
      </c>
      <c r="BI251" s="43" t="s">
        <v>2018</v>
      </c>
      <c r="BJ251">
        <v>0</v>
      </c>
      <c r="BK251" s="23">
        <v>44109</v>
      </c>
      <c r="BL251" s="23">
        <v>44356</v>
      </c>
      <c r="BM251">
        <v>8505</v>
      </c>
      <c r="BN251">
        <v>8505</v>
      </c>
      <c r="BO251">
        <v>8505</v>
      </c>
      <c r="BP251">
        <v>25515</v>
      </c>
      <c r="BQ251">
        <v>3300</v>
      </c>
      <c r="BR251">
        <v>400</v>
      </c>
      <c r="BS251">
        <v>400</v>
      </c>
      <c r="BT251">
        <v>4100</v>
      </c>
      <c r="BU251">
        <v>2100</v>
      </c>
      <c r="BV251">
        <v>2100</v>
      </c>
      <c r="BW251">
        <v>2100</v>
      </c>
      <c r="BX251">
        <v>6300</v>
      </c>
      <c r="BY251">
        <v>1200</v>
      </c>
      <c r="BZ251">
        <v>1200</v>
      </c>
      <c r="CA251">
        <v>1200</v>
      </c>
      <c r="CB251">
        <v>3600</v>
      </c>
      <c r="CC251">
        <v>0</v>
      </c>
      <c r="CD251">
        <v>0</v>
      </c>
      <c r="CE251">
        <v>0</v>
      </c>
      <c r="CF251">
        <v>0</v>
      </c>
      <c r="CG251">
        <v>39515</v>
      </c>
      <c r="CH251">
        <v>0</v>
      </c>
      <c r="CI251">
        <v>0</v>
      </c>
      <c r="CJ251">
        <v>0</v>
      </c>
      <c r="CK251">
        <v>0</v>
      </c>
      <c r="CL251">
        <v>2065</v>
      </c>
      <c r="CM251">
        <v>2065</v>
      </c>
      <c r="CN251">
        <v>2065</v>
      </c>
      <c r="CO251">
        <v>6195</v>
      </c>
      <c r="CP251">
        <v>500</v>
      </c>
      <c r="CQ251">
        <v>500</v>
      </c>
      <c r="CR251">
        <v>500</v>
      </c>
      <c r="CS251">
        <v>1500</v>
      </c>
      <c r="CT251">
        <v>1300</v>
      </c>
      <c r="CU251">
        <v>1300</v>
      </c>
      <c r="CV251">
        <v>1300</v>
      </c>
      <c r="CW251">
        <v>3900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11595</v>
      </c>
      <c r="EE251">
        <v>0</v>
      </c>
      <c r="EF251">
        <v>0</v>
      </c>
      <c r="EG251">
        <v>0</v>
      </c>
      <c r="EH251">
        <v>0</v>
      </c>
      <c r="EI251">
        <v>1154</v>
      </c>
      <c r="EJ251">
        <v>1154</v>
      </c>
      <c r="EK251">
        <v>1155</v>
      </c>
      <c r="EL251">
        <v>3500</v>
      </c>
      <c r="EM251">
        <v>37.065000000000005</v>
      </c>
      <c r="EN251">
        <v>660</v>
      </c>
      <c r="EO251">
        <v>660</v>
      </c>
      <c r="EP251">
        <v>660</v>
      </c>
      <c r="EQ251">
        <v>2000</v>
      </c>
      <c r="ER251">
        <v>21.18</v>
      </c>
      <c r="ES251">
        <v>0</v>
      </c>
      <c r="ET251">
        <v>0</v>
      </c>
      <c r="EU251">
        <v>0</v>
      </c>
      <c r="EV251">
        <v>0</v>
      </c>
      <c r="EW251">
        <v>0</v>
      </c>
      <c r="FA251">
        <v>0</v>
      </c>
      <c r="FE251">
        <v>0</v>
      </c>
      <c r="FI251">
        <v>0</v>
      </c>
      <c r="FJ251">
        <v>5441.7550000000001</v>
      </c>
      <c r="FK251">
        <v>27920</v>
      </c>
      <c r="FL251">
        <v>23472.541873773022</v>
      </c>
      <c r="FM251">
        <v>22478.244999999999</v>
      </c>
    </row>
    <row r="252" spans="1:169" x14ac:dyDescent="0.35">
      <c r="A252">
        <v>197787</v>
      </c>
      <c r="B252" s="43" t="s">
        <v>3127</v>
      </c>
      <c r="C252" s="43" t="s">
        <v>3128</v>
      </c>
      <c r="D252" s="43" t="s">
        <v>3129</v>
      </c>
      <c r="E252" s="43" t="s">
        <v>3130</v>
      </c>
      <c r="F252">
        <v>1</v>
      </c>
      <c r="H252" s="23"/>
      <c r="I252">
        <v>43804</v>
      </c>
      <c r="J252" s="43" t="s">
        <v>4241</v>
      </c>
      <c r="K252" s="43" t="s">
        <v>1715</v>
      </c>
      <c r="L252" s="43" t="s">
        <v>259</v>
      </c>
      <c r="M252" s="43" t="s">
        <v>3131</v>
      </c>
      <c r="N252" s="43" t="s">
        <v>3132</v>
      </c>
      <c r="O252" s="43" t="s">
        <v>3133</v>
      </c>
      <c r="P252" s="43" t="s">
        <v>332</v>
      </c>
      <c r="Q252" s="43" t="s">
        <v>3134</v>
      </c>
      <c r="S252" s="23">
        <v>44109</v>
      </c>
      <c r="T252" s="43" t="s">
        <v>311</v>
      </c>
      <c r="U252" s="43" t="s">
        <v>286</v>
      </c>
      <c r="V252" s="43" t="s">
        <v>267</v>
      </c>
      <c r="W252" s="43" t="s">
        <v>1718</v>
      </c>
      <c r="X252" s="43" t="s">
        <v>1719</v>
      </c>
      <c r="Y252">
        <v>8772802835</v>
      </c>
      <c r="Z252" s="43" t="s">
        <v>270</v>
      </c>
      <c r="AA252" s="43" t="s">
        <v>271</v>
      </c>
      <c r="AB252">
        <v>15</v>
      </c>
      <c r="AC252">
        <v>0</v>
      </c>
      <c r="AD252">
        <v>81</v>
      </c>
      <c r="AE252" s="43" t="s">
        <v>344</v>
      </c>
      <c r="AF252">
        <v>10</v>
      </c>
      <c r="AG252" s="43" t="s">
        <v>275</v>
      </c>
      <c r="AJ252" s="23"/>
      <c r="AK252" s="43" t="s">
        <v>259</v>
      </c>
      <c r="AL252" s="43" t="s">
        <v>259</v>
      </c>
      <c r="AM252" s="23"/>
      <c r="AN252" s="23"/>
      <c r="AO252" s="23"/>
      <c r="AP252" s="23"/>
      <c r="AQ252" s="23"/>
      <c r="BB252" s="43"/>
      <c r="BC252" s="43" t="s">
        <v>259</v>
      </c>
      <c r="BD252" s="43" t="s">
        <v>259</v>
      </c>
      <c r="BE252" s="43" t="s">
        <v>259</v>
      </c>
      <c r="BF252" s="43" t="s">
        <v>259</v>
      </c>
      <c r="BG252" s="43" t="s">
        <v>259</v>
      </c>
      <c r="BH252" t="s">
        <v>259</v>
      </c>
      <c r="BI252" s="43" t="s">
        <v>259</v>
      </c>
      <c r="BJ252">
        <v>0</v>
      </c>
      <c r="BK252" s="23">
        <v>44109</v>
      </c>
      <c r="BL252" s="23">
        <v>44356</v>
      </c>
      <c r="BM252">
        <v>8505</v>
      </c>
      <c r="BN252">
        <v>8505</v>
      </c>
      <c r="BO252">
        <v>8505</v>
      </c>
      <c r="BP252">
        <v>25515</v>
      </c>
      <c r="BQ252">
        <v>3300</v>
      </c>
      <c r="BR252">
        <v>400</v>
      </c>
      <c r="BS252">
        <v>400</v>
      </c>
      <c r="BT252">
        <v>4100</v>
      </c>
      <c r="BU252">
        <v>2100</v>
      </c>
      <c r="BV252">
        <v>2100</v>
      </c>
      <c r="BW252">
        <v>2100</v>
      </c>
      <c r="BX252">
        <v>6300</v>
      </c>
      <c r="BY252">
        <v>1200</v>
      </c>
      <c r="BZ252">
        <v>1200</v>
      </c>
      <c r="CA252">
        <v>1200</v>
      </c>
      <c r="CB252">
        <v>3600</v>
      </c>
      <c r="CC252">
        <v>0</v>
      </c>
      <c r="CD252">
        <v>0</v>
      </c>
      <c r="CE252">
        <v>0</v>
      </c>
      <c r="CF252">
        <v>0</v>
      </c>
      <c r="CG252">
        <v>39515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1000</v>
      </c>
      <c r="DC252">
        <v>1000</v>
      </c>
      <c r="DD252">
        <v>1000</v>
      </c>
      <c r="DE252">
        <v>3000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3000</v>
      </c>
      <c r="EE252">
        <v>0</v>
      </c>
      <c r="EF252">
        <v>0</v>
      </c>
      <c r="EG252">
        <v>0</v>
      </c>
      <c r="EH252">
        <v>0</v>
      </c>
      <c r="EI252">
        <v>1154</v>
      </c>
      <c r="EJ252">
        <v>1154</v>
      </c>
      <c r="EK252">
        <v>1155</v>
      </c>
      <c r="EL252">
        <v>3500</v>
      </c>
      <c r="EM252">
        <v>37.065000000000005</v>
      </c>
      <c r="EN252">
        <v>660</v>
      </c>
      <c r="EO252">
        <v>660</v>
      </c>
      <c r="EP252">
        <v>660</v>
      </c>
      <c r="EQ252">
        <v>2000</v>
      </c>
      <c r="ER252">
        <v>21.18</v>
      </c>
      <c r="ES252">
        <v>0</v>
      </c>
      <c r="ET252">
        <v>0</v>
      </c>
      <c r="EU252">
        <v>0</v>
      </c>
      <c r="EV252">
        <v>0</v>
      </c>
      <c r="EW252">
        <v>0</v>
      </c>
      <c r="FA252">
        <v>0</v>
      </c>
      <c r="FE252">
        <v>0</v>
      </c>
      <c r="FI252">
        <v>0</v>
      </c>
      <c r="FJ252">
        <v>5441.7550000000001</v>
      </c>
      <c r="FK252">
        <v>36515</v>
      </c>
      <c r="FL252">
        <v>32447.730880080198</v>
      </c>
      <c r="FM252">
        <v>31073.245000000003</v>
      </c>
    </row>
    <row r="253" spans="1:169" x14ac:dyDescent="0.35">
      <c r="A253">
        <v>196293</v>
      </c>
      <c r="B253" s="43" t="s">
        <v>4155</v>
      </c>
      <c r="C253" s="43" t="s">
        <v>730</v>
      </c>
      <c r="D253" s="43" t="s">
        <v>4156</v>
      </c>
      <c r="E253" s="43" t="s">
        <v>4157</v>
      </c>
      <c r="F253">
        <v>1</v>
      </c>
      <c r="H253" s="23"/>
      <c r="I253">
        <v>43804</v>
      </c>
      <c r="J253" s="43" t="s">
        <v>4242</v>
      </c>
      <c r="K253" s="43" t="s">
        <v>1715</v>
      </c>
      <c r="L253" s="43" t="s">
        <v>259</v>
      </c>
      <c r="M253" s="43" t="s">
        <v>4158</v>
      </c>
      <c r="N253" s="43" t="s">
        <v>4159</v>
      </c>
      <c r="O253" s="43" t="s">
        <v>4160</v>
      </c>
      <c r="P253" s="43" t="s">
        <v>596</v>
      </c>
      <c r="Q253" s="43" t="s">
        <v>4161</v>
      </c>
      <c r="S253" s="23">
        <v>44109</v>
      </c>
      <c r="T253" s="43" t="s">
        <v>311</v>
      </c>
      <c r="U253" s="43" t="s">
        <v>286</v>
      </c>
      <c r="V253" s="43" t="s">
        <v>267</v>
      </c>
      <c r="W253" s="43" t="s">
        <v>1718</v>
      </c>
      <c r="X253" s="43" t="s">
        <v>1719</v>
      </c>
      <c r="Y253">
        <v>8772802835</v>
      </c>
      <c r="Z253" s="43" t="s">
        <v>270</v>
      </c>
      <c r="AA253" s="43" t="s">
        <v>271</v>
      </c>
      <c r="AB253">
        <v>21</v>
      </c>
      <c r="AC253">
        <v>0</v>
      </c>
      <c r="AD253">
        <v>87</v>
      </c>
      <c r="AE253" s="43" t="s">
        <v>354</v>
      </c>
      <c r="AF253">
        <v>6</v>
      </c>
      <c r="AG253" s="43" t="s">
        <v>3345</v>
      </c>
      <c r="AJ253" s="23"/>
      <c r="AK253" s="43" t="s">
        <v>259</v>
      </c>
      <c r="AL253" s="43" t="s">
        <v>259</v>
      </c>
      <c r="AM253" s="23"/>
      <c r="AN253" s="23"/>
      <c r="AO253" s="23"/>
      <c r="AP253" s="23"/>
      <c r="AQ253" s="23"/>
      <c r="BB253" s="43"/>
      <c r="BC253" s="43" t="s">
        <v>259</v>
      </c>
      <c r="BD253" s="43" t="s">
        <v>259</v>
      </c>
      <c r="BE253" s="43" t="s">
        <v>259</v>
      </c>
      <c r="BF253" s="43" t="s">
        <v>259</v>
      </c>
      <c r="BG253" s="43" t="s">
        <v>259</v>
      </c>
      <c r="BH253" t="s">
        <v>259</v>
      </c>
      <c r="BI253" s="43" t="s">
        <v>259</v>
      </c>
      <c r="BJ253">
        <v>0</v>
      </c>
      <c r="BK253" s="23">
        <v>44109</v>
      </c>
      <c r="BL253" s="23">
        <v>44356</v>
      </c>
      <c r="BM253">
        <v>8505</v>
      </c>
      <c r="BN253">
        <v>8505</v>
      </c>
      <c r="BO253">
        <v>8505</v>
      </c>
      <c r="BP253">
        <v>25515</v>
      </c>
      <c r="BQ253">
        <v>3300</v>
      </c>
      <c r="BR253">
        <v>400</v>
      </c>
      <c r="BS253">
        <v>400</v>
      </c>
      <c r="BT253">
        <v>4100</v>
      </c>
      <c r="BU253">
        <v>2100</v>
      </c>
      <c r="BV253">
        <v>2100</v>
      </c>
      <c r="BW253">
        <v>2100</v>
      </c>
      <c r="BX253">
        <v>6300</v>
      </c>
      <c r="BY253">
        <v>1200</v>
      </c>
      <c r="BZ253">
        <v>1200</v>
      </c>
      <c r="CA253">
        <v>1200</v>
      </c>
      <c r="CB253">
        <v>3600</v>
      </c>
      <c r="CC253">
        <v>0</v>
      </c>
      <c r="CD253">
        <v>0</v>
      </c>
      <c r="CE253">
        <v>0</v>
      </c>
      <c r="CF253">
        <v>0</v>
      </c>
      <c r="CG253">
        <v>39515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750</v>
      </c>
      <c r="CU253">
        <v>750</v>
      </c>
      <c r="CV253">
        <v>750</v>
      </c>
      <c r="CW253">
        <v>2250</v>
      </c>
      <c r="CX253">
        <v>0</v>
      </c>
      <c r="CY253">
        <v>0</v>
      </c>
      <c r="CZ253">
        <v>0</v>
      </c>
      <c r="DA253">
        <v>0</v>
      </c>
      <c r="DB253">
        <v>1000</v>
      </c>
      <c r="DC253">
        <v>1000</v>
      </c>
      <c r="DD253">
        <v>1000</v>
      </c>
      <c r="DE253">
        <v>3000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5250</v>
      </c>
      <c r="EE253">
        <v>0</v>
      </c>
      <c r="EF253">
        <v>0</v>
      </c>
      <c r="EG253">
        <v>0</v>
      </c>
      <c r="EH253">
        <v>0</v>
      </c>
      <c r="EI253">
        <v>1154</v>
      </c>
      <c r="EJ253">
        <v>1154</v>
      </c>
      <c r="EK253">
        <v>1155</v>
      </c>
      <c r="EL253">
        <v>3500</v>
      </c>
      <c r="EM253">
        <v>37.065000000000005</v>
      </c>
      <c r="EN253">
        <v>660</v>
      </c>
      <c r="EO253">
        <v>660</v>
      </c>
      <c r="EP253">
        <v>660</v>
      </c>
      <c r="EQ253">
        <v>2000</v>
      </c>
      <c r="ER253">
        <v>21.18</v>
      </c>
      <c r="ES253">
        <v>0</v>
      </c>
      <c r="ET253">
        <v>0</v>
      </c>
      <c r="EU253">
        <v>0</v>
      </c>
      <c r="EV253">
        <v>0</v>
      </c>
      <c r="EW253">
        <v>0</v>
      </c>
      <c r="FA253">
        <v>0</v>
      </c>
      <c r="FE253">
        <v>0</v>
      </c>
      <c r="FI253">
        <v>0</v>
      </c>
      <c r="FJ253">
        <v>5441.7550000000001</v>
      </c>
      <c r="FK253">
        <v>34265</v>
      </c>
      <c r="FL253">
        <v>30098.204962198735</v>
      </c>
      <c r="FM253">
        <v>28823.244999999999</v>
      </c>
    </row>
    <row r="254" spans="1:169" x14ac:dyDescent="0.35">
      <c r="A254">
        <v>194584</v>
      </c>
      <c r="B254" s="43" t="s">
        <v>3135</v>
      </c>
      <c r="C254" s="43" t="s">
        <v>529</v>
      </c>
      <c r="D254" s="43" t="s">
        <v>3136</v>
      </c>
      <c r="E254" s="43" t="s">
        <v>3137</v>
      </c>
      <c r="F254">
        <v>1</v>
      </c>
      <c r="H254" s="23"/>
      <c r="I254">
        <v>43804</v>
      </c>
      <c r="J254" s="43" t="s">
        <v>4240</v>
      </c>
      <c r="K254" s="43" t="s">
        <v>1715</v>
      </c>
      <c r="L254" s="43" t="s">
        <v>3204</v>
      </c>
      <c r="M254" s="43" t="s">
        <v>3138</v>
      </c>
      <c r="N254" s="43" t="s">
        <v>3139</v>
      </c>
      <c r="O254" s="43" t="s">
        <v>3140</v>
      </c>
      <c r="P254" s="43" t="s">
        <v>735</v>
      </c>
      <c r="Q254" s="43" t="s">
        <v>3141</v>
      </c>
      <c r="S254" s="23">
        <v>44109</v>
      </c>
      <c r="T254" s="43" t="s">
        <v>311</v>
      </c>
      <c r="U254" s="43" t="s">
        <v>266</v>
      </c>
      <c r="V254" s="43" t="s">
        <v>267</v>
      </c>
      <c r="W254" s="43" t="s">
        <v>1718</v>
      </c>
      <c r="X254" s="43" t="s">
        <v>1719</v>
      </c>
      <c r="Y254">
        <v>8772802835</v>
      </c>
      <c r="Z254" s="43" t="s">
        <v>270</v>
      </c>
      <c r="AA254" s="43" t="s">
        <v>271</v>
      </c>
      <c r="AB254">
        <v>0</v>
      </c>
      <c r="AC254">
        <v>1250</v>
      </c>
      <c r="AD254">
        <v>124</v>
      </c>
      <c r="AE254" s="43" t="s">
        <v>301</v>
      </c>
      <c r="AF254">
        <v>1</v>
      </c>
      <c r="AG254" s="43" t="s">
        <v>275</v>
      </c>
      <c r="AH254">
        <v>512</v>
      </c>
      <c r="AI254">
        <v>512</v>
      </c>
      <c r="AJ254" s="23">
        <v>43774</v>
      </c>
      <c r="AK254" s="43" t="s">
        <v>3208</v>
      </c>
      <c r="AL254" s="43" t="s">
        <v>3209</v>
      </c>
      <c r="AM254" s="23"/>
      <c r="AN254" s="23"/>
      <c r="AO254" s="23"/>
      <c r="AP254" s="23"/>
      <c r="AQ254" s="23"/>
      <c r="BB254" s="43"/>
      <c r="BC254" s="43" t="s">
        <v>2018</v>
      </c>
      <c r="BD254" s="43" t="s">
        <v>2018</v>
      </c>
      <c r="BE254" s="43" t="s">
        <v>2018</v>
      </c>
      <c r="BF254" s="43" t="s">
        <v>2018</v>
      </c>
      <c r="BG254" s="43" t="s">
        <v>2018</v>
      </c>
      <c r="BH254" t="s">
        <v>2018</v>
      </c>
      <c r="BI254" s="43" t="s">
        <v>2018</v>
      </c>
      <c r="BJ254">
        <v>0</v>
      </c>
      <c r="BK254" s="23">
        <v>44109</v>
      </c>
      <c r="BL254" s="23">
        <v>44356</v>
      </c>
      <c r="BM254">
        <v>8505</v>
      </c>
      <c r="BN254">
        <v>8505</v>
      </c>
      <c r="BO254">
        <v>8505</v>
      </c>
      <c r="BP254">
        <v>25515</v>
      </c>
      <c r="BQ254">
        <v>3300</v>
      </c>
      <c r="BR254">
        <v>400</v>
      </c>
      <c r="BS254">
        <v>400</v>
      </c>
      <c r="BT254">
        <v>4100</v>
      </c>
      <c r="BU254">
        <v>2100</v>
      </c>
      <c r="BV254">
        <v>2100</v>
      </c>
      <c r="BW254">
        <v>2100</v>
      </c>
      <c r="BX254">
        <v>6300</v>
      </c>
      <c r="BY254">
        <v>1200</v>
      </c>
      <c r="BZ254">
        <v>1200</v>
      </c>
      <c r="CA254">
        <v>1200</v>
      </c>
      <c r="CB254">
        <v>3600</v>
      </c>
      <c r="CC254">
        <v>0</v>
      </c>
      <c r="CD254">
        <v>0</v>
      </c>
      <c r="CE254">
        <v>0</v>
      </c>
      <c r="CF254">
        <v>0</v>
      </c>
      <c r="CG254">
        <v>39515</v>
      </c>
      <c r="CH254">
        <v>0</v>
      </c>
      <c r="CI254">
        <v>0</v>
      </c>
      <c r="CJ254">
        <v>0</v>
      </c>
      <c r="CK254">
        <v>0</v>
      </c>
      <c r="CL254">
        <v>1882</v>
      </c>
      <c r="CM254">
        <v>1882</v>
      </c>
      <c r="CN254">
        <v>1881</v>
      </c>
      <c r="CO254">
        <v>5645</v>
      </c>
      <c r="CP254">
        <v>500</v>
      </c>
      <c r="CQ254">
        <v>500</v>
      </c>
      <c r="CR254">
        <v>500</v>
      </c>
      <c r="CS254">
        <v>1500</v>
      </c>
      <c r="CT254">
        <v>1700</v>
      </c>
      <c r="CU254">
        <v>1700</v>
      </c>
      <c r="CV254">
        <v>1700</v>
      </c>
      <c r="CW254">
        <v>5100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12245</v>
      </c>
      <c r="EE254">
        <v>0</v>
      </c>
      <c r="EF254">
        <v>0</v>
      </c>
      <c r="EG254">
        <v>0</v>
      </c>
      <c r="EH254">
        <v>0</v>
      </c>
      <c r="EI254">
        <v>1154</v>
      </c>
      <c r="EJ254">
        <v>1154</v>
      </c>
      <c r="EK254">
        <v>1155</v>
      </c>
      <c r="EL254">
        <v>3500</v>
      </c>
      <c r="EM254">
        <v>37.065000000000005</v>
      </c>
      <c r="EN254">
        <v>660</v>
      </c>
      <c r="EO254">
        <v>660</v>
      </c>
      <c r="EP254">
        <v>660</v>
      </c>
      <c r="EQ254">
        <v>2000</v>
      </c>
      <c r="ER254">
        <v>21.18</v>
      </c>
      <c r="ES254">
        <v>0</v>
      </c>
      <c r="ET254">
        <v>0</v>
      </c>
      <c r="EU254">
        <v>0</v>
      </c>
      <c r="EV254">
        <v>0</v>
      </c>
      <c r="EW254">
        <v>0</v>
      </c>
      <c r="FA254">
        <v>0</v>
      </c>
      <c r="FE254">
        <v>0</v>
      </c>
      <c r="FI254">
        <v>0</v>
      </c>
      <c r="FJ254">
        <v>5441.7550000000001</v>
      </c>
      <c r="FK254">
        <v>27270</v>
      </c>
      <c r="FL254">
        <v>22793.789941940602</v>
      </c>
      <c r="FM254">
        <v>21828.244999999999</v>
      </c>
    </row>
    <row r="255" spans="1:169" x14ac:dyDescent="0.35">
      <c r="A255">
        <v>197553</v>
      </c>
      <c r="B255" s="43" t="s">
        <v>3142</v>
      </c>
      <c r="C255" s="43" t="s">
        <v>1119</v>
      </c>
      <c r="D255" s="43" t="s">
        <v>3143</v>
      </c>
      <c r="E255" s="43" t="s">
        <v>3144</v>
      </c>
      <c r="F255">
        <v>1</v>
      </c>
      <c r="H255" s="23"/>
      <c r="I255">
        <v>43804</v>
      </c>
      <c r="J255" s="43" t="s">
        <v>4242</v>
      </c>
      <c r="K255" s="43" t="s">
        <v>1715</v>
      </c>
      <c r="L255" s="43" t="s">
        <v>259</v>
      </c>
      <c r="M255" s="43" t="s">
        <v>3145</v>
      </c>
      <c r="N255" s="43" t="s">
        <v>3146</v>
      </c>
      <c r="O255" s="43" t="s">
        <v>3147</v>
      </c>
      <c r="P255" s="43" t="s">
        <v>1172</v>
      </c>
      <c r="Q255" s="43" t="s">
        <v>3148</v>
      </c>
      <c r="S255" s="23">
        <v>44109</v>
      </c>
      <c r="T255" s="43" t="s">
        <v>285</v>
      </c>
      <c r="U255" s="43" t="s">
        <v>266</v>
      </c>
      <c r="V255" s="43" t="s">
        <v>267</v>
      </c>
      <c r="W255" s="43" t="s">
        <v>1718</v>
      </c>
      <c r="X255" s="43" t="s">
        <v>1719</v>
      </c>
      <c r="Y255">
        <v>8772802835</v>
      </c>
      <c r="Z255" s="43" t="s">
        <v>270</v>
      </c>
      <c r="AA255" s="43" t="s">
        <v>271</v>
      </c>
      <c r="AB255">
        <v>30</v>
      </c>
      <c r="AC255">
        <v>0</v>
      </c>
      <c r="AD255">
        <v>129</v>
      </c>
      <c r="AE255" s="43" t="s">
        <v>301</v>
      </c>
      <c r="AF255">
        <v>1</v>
      </c>
      <c r="AG255" s="43" t="s">
        <v>275</v>
      </c>
      <c r="AJ255" s="23"/>
      <c r="AK255" s="43" t="s">
        <v>259</v>
      </c>
      <c r="AL255" s="43" t="s">
        <v>259</v>
      </c>
      <c r="AM255" s="23"/>
      <c r="AN255" s="23"/>
      <c r="AO255" s="23"/>
      <c r="AP255" s="23"/>
      <c r="AQ255" s="23"/>
      <c r="BB255" s="43"/>
      <c r="BC255" s="43" t="s">
        <v>259</v>
      </c>
      <c r="BD255" s="43" t="s">
        <v>259</v>
      </c>
      <c r="BE255" s="43" t="s">
        <v>259</v>
      </c>
      <c r="BF255" s="43" t="s">
        <v>259</v>
      </c>
      <c r="BG255" s="43" t="s">
        <v>259</v>
      </c>
      <c r="BH255" t="s">
        <v>259</v>
      </c>
      <c r="BI255" s="43" t="s">
        <v>259</v>
      </c>
      <c r="BJ255">
        <v>0</v>
      </c>
      <c r="BK255" s="23">
        <v>44109</v>
      </c>
      <c r="BL255" s="23">
        <v>44356</v>
      </c>
      <c r="BM255">
        <v>8505</v>
      </c>
      <c r="BN255">
        <v>8505</v>
      </c>
      <c r="BO255">
        <v>8505</v>
      </c>
      <c r="BP255">
        <v>25515</v>
      </c>
      <c r="BQ255">
        <v>3300</v>
      </c>
      <c r="BR255">
        <v>400</v>
      </c>
      <c r="BS255">
        <v>400</v>
      </c>
      <c r="BT255">
        <v>4100</v>
      </c>
      <c r="BU255">
        <v>2100</v>
      </c>
      <c r="BV255">
        <v>2100</v>
      </c>
      <c r="BW255">
        <v>2100</v>
      </c>
      <c r="BX255">
        <v>6300</v>
      </c>
      <c r="BY255">
        <v>1200</v>
      </c>
      <c r="BZ255">
        <v>1200</v>
      </c>
      <c r="CA255">
        <v>1200</v>
      </c>
      <c r="CB255">
        <v>3600</v>
      </c>
      <c r="CC255">
        <v>0</v>
      </c>
      <c r="CD255">
        <v>0</v>
      </c>
      <c r="CE255">
        <v>0</v>
      </c>
      <c r="CF255">
        <v>0</v>
      </c>
      <c r="CG255">
        <v>39515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1700</v>
      </c>
      <c r="CU255">
        <v>1700</v>
      </c>
      <c r="CV255">
        <v>1700</v>
      </c>
      <c r="CW255">
        <v>5100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5100</v>
      </c>
      <c r="EE255">
        <v>0</v>
      </c>
      <c r="EF255">
        <v>0</v>
      </c>
      <c r="EG255">
        <v>0</v>
      </c>
      <c r="EH255">
        <v>0</v>
      </c>
      <c r="EI255">
        <v>1154</v>
      </c>
      <c r="EJ255">
        <v>1154</v>
      </c>
      <c r="EK255">
        <v>1155</v>
      </c>
      <c r="EL255">
        <v>3500</v>
      </c>
      <c r="EM255">
        <v>37.065000000000005</v>
      </c>
      <c r="EN255">
        <v>660</v>
      </c>
      <c r="EO255">
        <v>660</v>
      </c>
      <c r="EP255">
        <v>660</v>
      </c>
      <c r="EQ255">
        <v>2000</v>
      </c>
      <c r="ER255">
        <v>21.18</v>
      </c>
      <c r="ES255">
        <v>0</v>
      </c>
      <c r="ET255">
        <v>0</v>
      </c>
      <c r="EU255">
        <v>0</v>
      </c>
      <c r="EV255">
        <v>0</v>
      </c>
      <c r="EW255">
        <v>0</v>
      </c>
      <c r="FA255">
        <v>0</v>
      </c>
      <c r="FE255">
        <v>0</v>
      </c>
      <c r="FI255">
        <v>0</v>
      </c>
      <c r="FJ255">
        <v>5441.7550000000001</v>
      </c>
      <c r="FK255">
        <v>34415</v>
      </c>
      <c r="FL255">
        <v>30254.840023390832</v>
      </c>
      <c r="FM255">
        <v>28973.244999999999</v>
      </c>
    </row>
    <row r="256" spans="1:169" x14ac:dyDescent="0.35">
      <c r="A256">
        <v>198367</v>
      </c>
      <c r="B256" s="43" t="s">
        <v>3142</v>
      </c>
      <c r="C256" s="43" t="s">
        <v>3415</v>
      </c>
      <c r="D256" s="43" t="s">
        <v>3416</v>
      </c>
      <c r="E256" s="43" t="s">
        <v>3417</v>
      </c>
      <c r="F256">
        <v>1</v>
      </c>
      <c r="G256">
        <v>43803</v>
      </c>
      <c r="H256" s="23">
        <v>43803</v>
      </c>
      <c r="I256">
        <v>43803</v>
      </c>
      <c r="J256" s="43" t="s">
        <v>4233</v>
      </c>
      <c r="K256" s="43" t="s">
        <v>1715</v>
      </c>
      <c r="L256" s="43" t="s">
        <v>259</v>
      </c>
      <c r="M256" s="43" t="s">
        <v>3418</v>
      </c>
      <c r="N256" s="43" t="s">
        <v>3419</v>
      </c>
      <c r="O256" s="43" t="s">
        <v>462</v>
      </c>
      <c r="P256" s="43" t="s">
        <v>342</v>
      </c>
      <c r="Q256" s="43" t="s">
        <v>3420</v>
      </c>
      <c r="S256" s="23">
        <v>44109</v>
      </c>
      <c r="T256" s="43" t="s">
        <v>265</v>
      </c>
      <c r="U256" s="43" t="s">
        <v>286</v>
      </c>
      <c r="V256" s="43" t="s">
        <v>267</v>
      </c>
      <c r="W256" s="43" t="s">
        <v>1718</v>
      </c>
      <c r="X256" s="43" t="s">
        <v>1719</v>
      </c>
      <c r="Y256">
        <v>8772802835</v>
      </c>
      <c r="Z256" s="43" t="s">
        <v>270</v>
      </c>
      <c r="AA256" s="43" t="s">
        <v>271</v>
      </c>
      <c r="AB256">
        <v>0</v>
      </c>
      <c r="AC256">
        <v>1070</v>
      </c>
      <c r="AD256">
        <v>116</v>
      </c>
      <c r="AE256" s="43" t="s">
        <v>301</v>
      </c>
      <c r="AF256">
        <v>1</v>
      </c>
      <c r="AG256" s="43" t="s">
        <v>3345</v>
      </c>
      <c r="AJ256" s="23"/>
      <c r="AK256" s="43" t="s">
        <v>259</v>
      </c>
      <c r="AL256" s="43" t="s">
        <v>259</v>
      </c>
      <c r="AM256" s="23"/>
      <c r="AN256" s="23"/>
      <c r="AO256" s="23"/>
      <c r="AP256" s="23"/>
      <c r="AQ256" s="23"/>
      <c r="BB256" s="43"/>
      <c r="BC256" s="43" t="s">
        <v>259</v>
      </c>
      <c r="BD256" s="43" t="s">
        <v>259</v>
      </c>
      <c r="BE256" s="43" t="s">
        <v>259</v>
      </c>
      <c r="BF256" s="43" t="s">
        <v>259</v>
      </c>
      <c r="BG256" s="43" t="s">
        <v>259</v>
      </c>
      <c r="BH256" t="s">
        <v>259</v>
      </c>
      <c r="BI256" s="43" t="s">
        <v>259</v>
      </c>
      <c r="BJ256">
        <v>0</v>
      </c>
      <c r="BK256" s="23">
        <v>44109</v>
      </c>
      <c r="BL256" s="23">
        <v>44356</v>
      </c>
      <c r="BM256">
        <v>8505</v>
      </c>
      <c r="BN256">
        <v>8505</v>
      </c>
      <c r="BO256">
        <v>8505</v>
      </c>
      <c r="BP256">
        <v>25515</v>
      </c>
      <c r="BQ256">
        <v>3300</v>
      </c>
      <c r="BR256">
        <v>400</v>
      </c>
      <c r="BS256">
        <v>400</v>
      </c>
      <c r="BT256">
        <v>4100</v>
      </c>
      <c r="BU256">
        <v>2100</v>
      </c>
      <c r="BV256">
        <v>2100</v>
      </c>
      <c r="BW256">
        <v>2100</v>
      </c>
      <c r="BX256">
        <v>6300</v>
      </c>
      <c r="BY256">
        <v>1200</v>
      </c>
      <c r="BZ256">
        <v>1200</v>
      </c>
      <c r="CA256">
        <v>1200</v>
      </c>
      <c r="CB256">
        <v>3600</v>
      </c>
      <c r="CC256">
        <v>0</v>
      </c>
      <c r="CD256">
        <v>0</v>
      </c>
      <c r="CE256">
        <v>0</v>
      </c>
      <c r="CF256">
        <v>0</v>
      </c>
      <c r="CG256">
        <v>39515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1700</v>
      </c>
      <c r="CU256">
        <v>1700</v>
      </c>
      <c r="CV256">
        <v>1700</v>
      </c>
      <c r="CW256">
        <v>5100</v>
      </c>
      <c r="CX256">
        <v>0</v>
      </c>
      <c r="CY256">
        <v>0</v>
      </c>
      <c r="CZ256">
        <v>0</v>
      </c>
      <c r="DA256">
        <v>0</v>
      </c>
      <c r="DB256">
        <v>1000</v>
      </c>
      <c r="DC256">
        <v>1000</v>
      </c>
      <c r="DD256">
        <v>1000</v>
      </c>
      <c r="DE256">
        <v>3000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8100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M256">
        <v>0</v>
      </c>
      <c r="EN256">
        <v>660</v>
      </c>
      <c r="EO256">
        <v>660</v>
      </c>
      <c r="EP256">
        <v>660</v>
      </c>
      <c r="EQ256">
        <v>2000</v>
      </c>
      <c r="ER256">
        <v>21.18</v>
      </c>
      <c r="ES256">
        <v>0</v>
      </c>
      <c r="ET256">
        <v>0</v>
      </c>
      <c r="EU256">
        <v>0</v>
      </c>
      <c r="EW256">
        <v>0</v>
      </c>
      <c r="FA256">
        <v>0</v>
      </c>
      <c r="FE256">
        <v>0</v>
      </c>
      <c r="FI256">
        <v>0</v>
      </c>
      <c r="FJ256">
        <v>1978.82</v>
      </c>
      <c r="FK256">
        <v>31415</v>
      </c>
      <c r="FL256">
        <v>30738.252370410592</v>
      </c>
      <c r="FM256">
        <v>29436.18</v>
      </c>
    </row>
    <row r="257" spans="1:169" x14ac:dyDescent="0.35">
      <c r="A257">
        <v>197289</v>
      </c>
      <c r="B257" s="43" t="s">
        <v>3149</v>
      </c>
      <c r="C257" s="43" t="s">
        <v>1323</v>
      </c>
      <c r="D257" s="43" t="s">
        <v>3150</v>
      </c>
      <c r="E257" s="43" t="s">
        <v>3151</v>
      </c>
      <c r="F257">
        <v>1</v>
      </c>
      <c r="G257">
        <v>43769</v>
      </c>
      <c r="H257" s="23">
        <v>43776</v>
      </c>
      <c r="I257">
        <v>43776</v>
      </c>
      <c r="J257" s="43" t="s">
        <v>3152</v>
      </c>
      <c r="K257" s="43" t="s">
        <v>1715</v>
      </c>
      <c r="L257" s="43" t="s">
        <v>3204</v>
      </c>
      <c r="M257" s="43" t="s">
        <v>3153</v>
      </c>
      <c r="N257" s="43" t="s">
        <v>3154</v>
      </c>
      <c r="O257" s="43" t="s">
        <v>3155</v>
      </c>
      <c r="P257" s="43" t="s">
        <v>332</v>
      </c>
      <c r="Q257" s="43" t="s">
        <v>3156</v>
      </c>
      <c r="S257" s="23">
        <v>44109</v>
      </c>
      <c r="T257" s="43" t="s">
        <v>265</v>
      </c>
      <c r="U257" s="43" t="s">
        <v>266</v>
      </c>
      <c r="V257" s="43" t="s">
        <v>267</v>
      </c>
      <c r="W257" s="43" t="s">
        <v>1718</v>
      </c>
      <c r="X257" s="43" t="s">
        <v>1719</v>
      </c>
      <c r="Y257">
        <v>8772802835</v>
      </c>
      <c r="Z257" s="43" t="s">
        <v>270</v>
      </c>
      <c r="AA257" s="43" t="s">
        <v>271</v>
      </c>
      <c r="AB257">
        <v>17</v>
      </c>
      <c r="AC257">
        <v>0</v>
      </c>
      <c r="AD257">
        <v>85</v>
      </c>
      <c r="AE257" s="43" t="s">
        <v>274</v>
      </c>
      <c r="AF257">
        <v>9</v>
      </c>
      <c r="AG257" s="43" t="s">
        <v>275</v>
      </c>
      <c r="AH257">
        <v>13258</v>
      </c>
      <c r="AI257">
        <v>13258</v>
      </c>
      <c r="AJ257" s="23">
        <v>43774</v>
      </c>
      <c r="AK257" s="43" t="s">
        <v>3208</v>
      </c>
      <c r="AL257" s="43" t="s">
        <v>3209</v>
      </c>
      <c r="AM257" s="23">
        <v>43776</v>
      </c>
      <c r="AN257" s="23">
        <v>43776</v>
      </c>
      <c r="AO257" s="23">
        <v>43765</v>
      </c>
      <c r="AP257" s="23">
        <v>43779</v>
      </c>
      <c r="AQ257" s="23">
        <v>43779</v>
      </c>
      <c r="BB257" s="43"/>
      <c r="BC257" s="43" t="s">
        <v>2018</v>
      </c>
      <c r="BD257" s="43" t="s">
        <v>2018</v>
      </c>
      <c r="BE257" s="43" t="s">
        <v>2018</v>
      </c>
      <c r="BF257" s="43" t="s">
        <v>2018</v>
      </c>
      <c r="BG257" s="43" t="s">
        <v>2018</v>
      </c>
      <c r="BH257" t="s">
        <v>2018</v>
      </c>
      <c r="BI257" s="43" t="s">
        <v>2018</v>
      </c>
      <c r="BJ257">
        <v>0.3125</v>
      </c>
      <c r="BK257" s="23">
        <v>44109</v>
      </c>
      <c r="BL257" s="23">
        <v>44356</v>
      </c>
      <c r="BM257">
        <v>8505</v>
      </c>
      <c r="BN257">
        <v>8505</v>
      </c>
      <c r="BO257">
        <v>8505</v>
      </c>
      <c r="BP257">
        <v>25515</v>
      </c>
      <c r="BQ257">
        <v>3300</v>
      </c>
      <c r="BR257">
        <v>400</v>
      </c>
      <c r="BS257">
        <v>400</v>
      </c>
      <c r="BT257">
        <v>4100</v>
      </c>
      <c r="BU257">
        <v>2100</v>
      </c>
      <c r="BV257">
        <v>2100</v>
      </c>
      <c r="BW257">
        <v>2100</v>
      </c>
      <c r="BX257">
        <v>6300</v>
      </c>
      <c r="BY257">
        <v>1200</v>
      </c>
      <c r="BZ257">
        <v>1200</v>
      </c>
      <c r="CA257">
        <v>1200</v>
      </c>
      <c r="CB257">
        <v>3600</v>
      </c>
      <c r="CC257">
        <v>0</v>
      </c>
      <c r="CD257">
        <v>0</v>
      </c>
      <c r="CE257">
        <v>0</v>
      </c>
      <c r="CF257">
        <v>0</v>
      </c>
      <c r="CG257">
        <v>39515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1154</v>
      </c>
      <c r="EJ257">
        <v>1154</v>
      </c>
      <c r="EK257">
        <v>1155</v>
      </c>
      <c r="EL257">
        <v>3500</v>
      </c>
      <c r="EM257">
        <v>37.065000000000005</v>
      </c>
      <c r="EN257">
        <v>660</v>
      </c>
      <c r="EO257">
        <v>660</v>
      </c>
      <c r="EP257">
        <v>660</v>
      </c>
      <c r="EQ257">
        <v>2000</v>
      </c>
      <c r="ER257">
        <v>21.18</v>
      </c>
      <c r="ES257">
        <v>11378</v>
      </c>
      <c r="ET257">
        <v>11378</v>
      </c>
      <c r="EU257">
        <v>11378</v>
      </c>
      <c r="EV257">
        <v>35580</v>
      </c>
      <c r="EW257">
        <v>1507.1688000000001</v>
      </c>
      <c r="FA257">
        <v>0</v>
      </c>
      <c r="FE257">
        <v>0</v>
      </c>
      <c r="FI257">
        <v>0</v>
      </c>
      <c r="FJ257">
        <v>39514.586199999998</v>
      </c>
      <c r="FK257">
        <v>39515</v>
      </c>
      <c r="FL257">
        <v>0.43210392214410825</v>
      </c>
      <c r="FM257">
        <v>0.41380000000208383</v>
      </c>
    </row>
    <row r="258" spans="1:169" x14ac:dyDescent="0.35">
      <c r="A258">
        <v>196981</v>
      </c>
      <c r="B258" s="43" t="s">
        <v>3157</v>
      </c>
      <c r="C258" s="43" t="s">
        <v>3158</v>
      </c>
      <c r="D258" s="43" t="s">
        <v>3159</v>
      </c>
      <c r="E258" s="43" t="s">
        <v>3160</v>
      </c>
      <c r="F258">
        <v>1</v>
      </c>
      <c r="G258">
        <v>43773</v>
      </c>
      <c r="H258" s="23">
        <v>43780</v>
      </c>
      <c r="I258">
        <v>43780</v>
      </c>
      <c r="J258" s="43" t="s">
        <v>3421</v>
      </c>
      <c r="K258" s="43" t="s">
        <v>1715</v>
      </c>
      <c r="L258" s="43" t="s">
        <v>3204</v>
      </c>
      <c r="M258" s="43" t="s">
        <v>3161</v>
      </c>
      <c r="N258" s="43" t="s">
        <v>3162</v>
      </c>
      <c r="O258" s="43" t="s">
        <v>3163</v>
      </c>
      <c r="P258" s="43" t="s">
        <v>831</v>
      </c>
      <c r="Q258" s="43" t="s">
        <v>3164</v>
      </c>
      <c r="S258" s="23">
        <v>44109</v>
      </c>
      <c r="T258" s="43" t="s">
        <v>285</v>
      </c>
      <c r="U258" s="43" t="s">
        <v>266</v>
      </c>
      <c r="V258" s="43" t="s">
        <v>267</v>
      </c>
      <c r="W258" s="43" t="s">
        <v>1718</v>
      </c>
      <c r="X258" s="43" t="s">
        <v>1719</v>
      </c>
      <c r="Y258">
        <v>8772802835</v>
      </c>
      <c r="Z258" s="43" t="s">
        <v>270</v>
      </c>
      <c r="AA258" s="43" t="s">
        <v>271</v>
      </c>
      <c r="AB258">
        <v>24</v>
      </c>
      <c r="AC258">
        <v>1240</v>
      </c>
      <c r="AD258">
        <v>0</v>
      </c>
      <c r="AE258" s="43" t="s">
        <v>301</v>
      </c>
      <c r="AF258">
        <v>1</v>
      </c>
      <c r="AG258" s="43" t="s">
        <v>275</v>
      </c>
      <c r="AH258">
        <v>2364</v>
      </c>
      <c r="AI258">
        <v>2364</v>
      </c>
      <c r="AJ258" s="23">
        <v>43801</v>
      </c>
      <c r="AK258" s="43" t="s">
        <v>1715</v>
      </c>
      <c r="AL258" s="43" t="s">
        <v>259</v>
      </c>
      <c r="AM258" s="23">
        <v>43780</v>
      </c>
      <c r="AN258" s="23">
        <v>43780</v>
      </c>
      <c r="AO258" s="23">
        <v>43769</v>
      </c>
      <c r="AP258" s="23"/>
      <c r="AQ258" s="23"/>
      <c r="BB258" s="43"/>
      <c r="BC258" s="43" t="s">
        <v>2018</v>
      </c>
      <c r="BD258" s="43" t="s">
        <v>259</v>
      </c>
      <c r="BE258" s="43" t="s">
        <v>2018</v>
      </c>
      <c r="BF258" s="43" t="s">
        <v>2018</v>
      </c>
      <c r="BG258" s="43" t="s">
        <v>2018</v>
      </c>
      <c r="BH258">
        <v>43739</v>
      </c>
      <c r="BI258" s="43" t="s">
        <v>2018</v>
      </c>
      <c r="BJ258">
        <v>0.22222222222222221</v>
      </c>
      <c r="BK258" s="23">
        <v>44109</v>
      </c>
      <c r="BL258" s="23">
        <v>44356</v>
      </c>
      <c r="BM258">
        <v>8505</v>
      </c>
      <c r="BN258">
        <v>8505</v>
      </c>
      <c r="BO258">
        <v>8505</v>
      </c>
      <c r="BP258">
        <v>25515</v>
      </c>
      <c r="BQ258">
        <v>3300</v>
      </c>
      <c r="BR258">
        <v>400</v>
      </c>
      <c r="BS258">
        <v>400</v>
      </c>
      <c r="BT258">
        <v>4100</v>
      </c>
      <c r="BU258">
        <v>2100</v>
      </c>
      <c r="BV258">
        <v>2100</v>
      </c>
      <c r="BW258">
        <v>2100</v>
      </c>
      <c r="BX258">
        <v>6300</v>
      </c>
      <c r="BY258">
        <v>1050</v>
      </c>
      <c r="BZ258">
        <v>1050</v>
      </c>
      <c r="CA258">
        <v>1050</v>
      </c>
      <c r="CB258">
        <v>3150</v>
      </c>
      <c r="CC258">
        <v>0</v>
      </c>
      <c r="CD258">
        <v>0</v>
      </c>
      <c r="CE258">
        <v>0</v>
      </c>
      <c r="CF258">
        <v>0</v>
      </c>
      <c r="CG258">
        <v>39065</v>
      </c>
      <c r="CH258">
        <v>0</v>
      </c>
      <c r="CI258">
        <v>0</v>
      </c>
      <c r="CJ258">
        <v>0</v>
      </c>
      <c r="CK258">
        <v>0</v>
      </c>
      <c r="CL258">
        <v>1282</v>
      </c>
      <c r="CM258">
        <v>1282</v>
      </c>
      <c r="CN258">
        <v>1281</v>
      </c>
      <c r="CO258">
        <v>3845</v>
      </c>
      <c r="CP258">
        <v>500</v>
      </c>
      <c r="CQ258">
        <v>500</v>
      </c>
      <c r="CR258">
        <v>500</v>
      </c>
      <c r="CS258">
        <v>1500</v>
      </c>
      <c r="CT258">
        <v>1700</v>
      </c>
      <c r="CU258">
        <v>1700</v>
      </c>
      <c r="CV258">
        <v>1700</v>
      </c>
      <c r="CW258">
        <v>5100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10445</v>
      </c>
      <c r="EE258">
        <v>0</v>
      </c>
      <c r="EF258">
        <v>0</v>
      </c>
      <c r="EG258">
        <v>0</v>
      </c>
      <c r="EH258">
        <v>0</v>
      </c>
      <c r="EI258">
        <v>1154</v>
      </c>
      <c r="EJ258">
        <v>1154</v>
      </c>
      <c r="EK258">
        <v>1155</v>
      </c>
      <c r="EL258">
        <v>3500</v>
      </c>
      <c r="EM258">
        <v>37.065000000000005</v>
      </c>
      <c r="EN258">
        <v>660</v>
      </c>
      <c r="EO258">
        <v>660</v>
      </c>
      <c r="EP258">
        <v>660</v>
      </c>
      <c r="EQ258">
        <v>2000</v>
      </c>
      <c r="ER258">
        <v>21.18</v>
      </c>
      <c r="ES258">
        <v>7740</v>
      </c>
      <c r="ET258">
        <v>7740</v>
      </c>
      <c r="EU258">
        <v>7740</v>
      </c>
      <c r="EV258">
        <v>24204</v>
      </c>
      <c r="EW258">
        <v>1025.28144</v>
      </c>
      <c r="FA258">
        <v>0</v>
      </c>
      <c r="FE258">
        <v>0</v>
      </c>
      <c r="FI258">
        <v>0</v>
      </c>
      <c r="FJ258">
        <v>28620.473560000002</v>
      </c>
      <c r="FK258">
        <v>28620</v>
      </c>
      <c r="FL258">
        <v>-0.49450733052314066</v>
      </c>
      <c r="FM258">
        <v>-0.47356000000218046</v>
      </c>
    </row>
    <row r="259" spans="1:169" x14ac:dyDescent="0.35">
      <c r="A259">
        <v>197518</v>
      </c>
      <c r="B259" s="43" t="s">
        <v>3165</v>
      </c>
      <c r="C259" s="43" t="s">
        <v>3166</v>
      </c>
      <c r="D259" s="43" t="s">
        <v>3167</v>
      </c>
      <c r="E259" s="43" t="s">
        <v>3168</v>
      </c>
      <c r="F259">
        <v>1</v>
      </c>
      <c r="H259" s="23"/>
      <c r="I259">
        <v>43804</v>
      </c>
      <c r="J259" s="43" t="s">
        <v>4240</v>
      </c>
      <c r="K259" s="43" t="s">
        <v>1715</v>
      </c>
      <c r="L259" s="43" t="s">
        <v>3204</v>
      </c>
      <c r="M259" s="43" t="s">
        <v>3169</v>
      </c>
      <c r="N259" s="43" t="s">
        <v>3170</v>
      </c>
      <c r="O259" s="43" t="s">
        <v>3171</v>
      </c>
      <c r="P259" s="43" t="s">
        <v>372</v>
      </c>
      <c r="Q259" s="43" t="s">
        <v>3172</v>
      </c>
      <c r="R259">
        <v>2.5139999999999998</v>
      </c>
      <c r="S259" s="23">
        <v>44109</v>
      </c>
      <c r="T259" s="43" t="s">
        <v>311</v>
      </c>
      <c r="U259" s="43" t="s">
        <v>266</v>
      </c>
      <c r="V259" s="43" t="s">
        <v>267</v>
      </c>
      <c r="W259" s="43" t="s">
        <v>1718</v>
      </c>
      <c r="X259" s="43" t="s">
        <v>1719</v>
      </c>
      <c r="Y259">
        <v>8772802835</v>
      </c>
      <c r="Z259" s="43" t="s">
        <v>270</v>
      </c>
      <c r="AA259" s="43" t="s">
        <v>271</v>
      </c>
      <c r="AB259">
        <v>18</v>
      </c>
      <c r="AC259">
        <v>990</v>
      </c>
      <c r="AD259">
        <v>89</v>
      </c>
      <c r="AE259" s="43" t="s">
        <v>324</v>
      </c>
      <c r="AF259">
        <v>8</v>
      </c>
      <c r="AG259" s="43" t="s">
        <v>275</v>
      </c>
      <c r="AH259">
        <v>1941</v>
      </c>
      <c r="AI259">
        <v>1941</v>
      </c>
      <c r="AJ259" s="23">
        <v>43790</v>
      </c>
      <c r="AK259" s="43" t="s">
        <v>3208</v>
      </c>
      <c r="AL259" s="43" t="s">
        <v>3209</v>
      </c>
      <c r="AM259" s="23"/>
      <c r="AN259" s="23"/>
      <c r="AO259" s="23"/>
      <c r="AP259" s="23"/>
      <c r="AQ259" s="23"/>
      <c r="BB259" s="43"/>
      <c r="BC259" s="43" t="s">
        <v>2018</v>
      </c>
      <c r="BD259" s="43" t="s">
        <v>2018</v>
      </c>
      <c r="BE259" s="43" t="s">
        <v>2018</v>
      </c>
      <c r="BF259" s="43" t="s">
        <v>2018</v>
      </c>
      <c r="BG259" s="43" t="s">
        <v>2018</v>
      </c>
      <c r="BH259" t="s">
        <v>2018</v>
      </c>
      <c r="BI259" s="43" t="s">
        <v>2018</v>
      </c>
      <c r="BJ259">
        <v>0</v>
      </c>
      <c r="BK259" s="23">
        <v>44109</v>
      </c>
      <c r="BL259" s="23">
        <v>44356</v>
      </c>
      <c r="BM259">
        <v>8505</v>
      </c>
      <c r="BN259">
        <v>8505</v>
      </c>
      <c r="BO259">
        <v>8505</v>
      </c>
      <c r="BP259">
        <v>25515</v>
      </c>
      <c r="BQ259">
        <v>3300</v>
      </c>
      <c r="BR259">
        <v>400</v>
      </c>
      <c r="BS259">
        <v>400</v>
      </c>
      <c r="BT259">
        <v>4100</v>
      </c>
      <c r="BU259">
        <v>2100</v>
      </c>
      <c r="BV259">
        <v>2100</v>
      </c>
      <c r="BW259">
        <v>2100</v>
      </c>
      <c r="BX259">
        <v>6300</v>
      </c>
      <c r="BY259">
        <v>1200</v>
      </c>
      <c r="BZ259">
        <v>1200</v>
      </c>
      <c r="CA259">
        <v>1200</v>
      </c>
      <c r="CB259">
        <v>3600</v>
      </c>
      <c r="CC259">
        <v>0</v>
      </c>
      <c r="CD259">
        <v>0</v>
      </c>
      <c r="CE259">
        <v>0</v>
      </c>
      <c r="CF259">
        <v>0</v>
      </c>
      <c r="CG259">
        <v>39515</v>
      </c>
      <c r="CH259">
        <v>0</v>
      </c>
      <c r="CI259">
        <v>0</v>
      </c>
      <c r="CJ259">
        <v>0</v>
      </c>
      <c r="CK259">
        <v>0</v>
      </c>
      <c r="CL259">
        <v>1415</v>
      </c>
      <c r="CM259">
        <v>1415</v>
      </c>
      <c r="CN259">
        <v>1415</v>
      </c>
      <c r="CO259">
        <v>4245</v>
      </c>
      <c r="CP259">
        <v>500</v>
      </c>
      <c r="CQ259">
        <v>500</v>
      </c>
      <c r="CR259">
        <v>500</v>
      </c>
      <c r="CS259">
        <v>1500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5745</v>
      </c>
      <c r="EE259">
        <v>0</v>
      </c>
      <c r="EF259">
        <v>0</v>
      </c>
      <c r="EG259">
        <v>0</v>
      </c>
      <c r="EH259">
        <v>0</v>
      </c>
      <c r="EI259">
        <v>1154</v>
      </c>
      <c r="EJ259">
        <v>1154</v>
      </c>
      <c r="EK259">
        <v>1155</v>
      </c>
      <c r="EL259">
        <v>3500</v>
      </c>
      <c r="EM259">
        <v>37.065000000000005</v>
      </c>
      <c r="EN259">
        <v>660</v>
      </c>
      <c r="EO259">
        <v>660</v>
      </c>
      <c r="EP259">
        <v>660</v>
      </c>
      <c r="EQ259">
        <v>2000</v>
      </c>
      <c r="ER259">
        <v>21.18</v>
      </c>
      <c r="ES259">
        <v>0</v>
      </c>
      <c r="ET259">
        <v>0</v>
      </c>
      <c r="EU259">
        <v>0</v>
      </c>
      <c r="EV259">
        <v>0</v>
      </c>
      <c r="EW259">
        <v>0</v>
      </c>
      <c r="FA259">
        <v>0</v>
      </c>
      <c r="FE259">
        <v>0</v>
      </c>
      <c r="FI259">
        <v>0</v>
      </c>
      <c r="FJ259">
        <v>5441.7550000000001</v>
      </c>
      <c r="FK259">
        <v>33770</v>
      </c>
      <c r="FL259">
        <v>29581.309260264814</v>
      </c>
      <c r="FM259">
        <v>28328.244999999999</v>
      </c>
    </row>
    <row r="260" spans="1:169" x14ac:dyDescent="0.35">
      <c r="A260">
        <v>196404</v>
      </c>
      <c r="B260" s="43" t="s">
        <v>3173</v>
      </c>
      <c r="C260" s="43" t="s">
        <v>3174</v>
      </c>
      <c r="D260" s="43" t="s">
        <v>3175</v>
      </c>
      <c r="E260" s="43" t="s">
        <v>3176</v>
      </c>
      <c r="F260">
        <v>1</v>
      </c>
      <c r="H260" s="23"/>
      <c r="I260">
        <v>43804</v>
      </c>
      <c r="J260" s="43" t="s">
        <v>4242</v>
      </c>
      <c r="K260" s="43" t="s">
        <v>1715</v>
      </c>
      <c r="L260" s="43" t="s">
        <v>259</v>
      </c>
      <c r="M260" s="43" t="s">
        <v>3177</v>
      </c>
      <c r="N260" s="43" t="s">
        <v>3178</v>
      </c>
      <c r="O260" s="43" t="s">
        <v>3179</v>
      </c>
      <c r="P260" s="43" t="s">
        <v>342</v>
      </c>
      <c r="Q260" s="43" t="s">
        <v>3180</v>
      </c>
      <c r="S260" s="23">
        <v>44109</v>
      </c>
      <c r="T260" s="43" t="s">
        <v>311</v>
      </c>
      <c r="U260" s="43" t="s">
        <v>266</v>
      </c>
      <c r="V260" s="43" t="s">
        <v>267</v>
      </c>
      <c r="W260" s="43" t="s">
        <v>1718</v>
      </c>
      <c r="X260" s="43" t="s">
        <v>1719</v>
      </c>
      <c r="Y260">
        <v>8772802835</v>
      </c>
      <c r="Z260" s="43" t="s">
        <v>270</v>
      </c>
      <c r="AA260" s="43" t="s">
        <v>271</v>
      </c>
      <c r="AB260">
        <v>0</v>
      </c>
      <c r="AC260">
        <v>0</v>
      </c>
      <c r="AD260">
        <v>0</v>
      </c>
      <c r="AE260" s="43" t="s">
        <v>324</v>
      </c>
      <c r="AF260">
        <v>8</v>
      </c>
      <c r="AG260" s="43" t="s">
        <v>446</v>
      </c>
      <c r="AJ260" s="23"/>
      <c r="AK260" s="43" t="s">
        <v>259</v>
      </c>
      <c r="AL260" s="43" t="s">
        <v>259</v>
      </c>
      <c r="AM260" s="23"/>
      <c r="AN260" s="23"/>
      <c r="AO260" s="23"/>
      <c r="AP260" s="23"/>
      <c r="AQ260" s="23"/>
      <c r="BB260" s="43"/>
      <c r="BC260" s="43" t="s">
        <v>259</v>
      </c>
      <c r="BD260" s="43" t="s">
        <v>259</v>
      </c>
      <c r="BE260" s="43" t="s">
        <v>259</v>
      </c>
      <c r="BF260" s="43" t="s">
        <v>259</v>
      </c>
      <c r="BG260" s="43" t="s">
        <v>259</v>
      </c>
      <c r="BH260" t="s">
        <v>259</v>
      </c>
      <c r="BI260" s="43" t="s">
        <v>259</v>
      </c>
      <c r="BJ260">
        <v>0</v>
      </c>
      <c r="BK260" s="23">
        <v>44109</v>
      </c>
      <c r="BL260" s="23">
        <v>44356</v>
      </c>
      <c r="BM260">
        <v>8505</v>
      </c>
      <c r="BN260">
        <v>8505</v>
      </c>
      <c r="BO260">
        <v>8505</v>
      </c>
      <c r="BP260">
        <v>25515</v>
      </c>
      <c r="BQ260">
        <v>3300</v>
      </c>
      <c r="BR260">
        <v>400</v>
      </c>
      <c r="BS260">
        <v>400</v>
      </c>
      <c r="BT260">
        <v>4100</v>
      </c>
      <c r="BU260">
        <v>2100</v>
      </c>
      <c r="BV260">
        <v>2100</v>
      </c>
      <c r="BW260">
        <v>2100</v>
      </c>
      <c r="BX260">
        <v>6300</v>
      </c>
      <c r="BY260">
        <v>1200</v>
      </c>
      <c r="BZ260">
        <v>1200</v>
      </c>
      <c r="CA260">
        <v>1200</v>
      </c>
      <c r="CB260">
        <v>3600</v>
      </c>
      <c r="CC260">
        <v>0</v>
      </c>
      <c r="CD260">
        <v>0</v>
      </c>
      <c r="CE260">
        <v>0</v>
      </c>
      <c r="CF260">
        <v>0</v>
      </c>
      <c r="CG260">
        <v>39515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1154</v>
      </c>
      <c r="EJ260">
        <v>1154</v>
      </c>
      <c r="EK260">
        <v>1155</v>
      </c>
      <c r="EL260">
        <v>3500</v>
      </c>
      <c r="EM260">
        <v>37.065000000000005</v>
      </c>
      <c r="EN260">
        <v>660</v>
      </c>
      <c r="EO260">
        <v>660</v>
      </c>
      <c r="EP260">
        <v>660</v>
      </c>
      <c r="EQ260">
        <v>2000</v>
      </c>
      <c r="ER260">
        <v>21.18</v>
      </c>
      <c r="ES260">
        <v>0</v>
      </c>
      <c r="ET260">
        <v>0</v>
      </c>
      <c r="EU260">
        <v>0</v>
      </c>
      <c r="EV260">
        <v>0</v>
      </c>
      <c r="EW260">
        <v>0</v>
      </c>
      <c r="FA260">
        <v>0</v>
      </c>
      <c r="FE260">
        <v>0</v>
      </c>
      <c r="FI260">
        <v>0</v>
      </c>
      <c r="FJ260">
        <v>5441.7550000000001</v>
      </c>
      <c r="FK260">
        <v>39515</v>
      </c>
      <c r="FL260">
        <v>35580.43210392214</v>
      </c>
      <c r="FM260">
        <v>34073.245000000003</v>
      </c>
    </row>
    <row r="261" spans="1:169" x14ac:dyDescent="0.35">
      <c r="A261">
        <v>197892</v>
      </c>
      <c r="B261" s="43" t="s">
        <v>3181</v>
      </c>
      <c r="C261" s="43" t="s">
        <v>3182</v>
      </c>
      <c r="D261" s="43" t="s">
        <v>3183</v>
      </c>
      <c r="E261" s="43" t="s">
        <v>3184</v>
      </c>
      <c r="F261">
        <v>1</v>
      </c>
      <c r="H261" s="23"/>
      <c r="I261">
        <v>43804</v>
      </c>
      <c r="J261" s="43" t="s">
        <v>4240</v>
      </c>
      <c r="K261" s="43" t="s">
        <v>1715</v>
      </c>
      <c r="L261" s="43" t="s">
        <v>3204</v>
      </c>
      <c r="M261" s="43" t="s">
        <v>3185</v>
      </c>
      <c r="N261" s="43" t="s">
        <v>3186</v>
      </c>
      <c r="O261" s="43" t="s">
        <v>3187</v>
      </c>
      <c r="P261" s="43" t="s">
        <v>1514</v>
      </c>
      <c r="Q261" s="43" t="s">
        <v>3188</v>
      </c>
      <c r="S261" s="23">
        <v>44109</v>
      </c>
      <c r="T261" s="43" t="s">
        <v>311</v>
      </c>
      <c r="U261" s="43" t="s">
        <v>266</v>
      </c>
      <c r="V261" s="43" t="s">
        <v>267</v>
      </c>
      <c r="W261" s="43" t="s">
        <v>1718</v>
      </c>
      <c r="X261" s="43" t="s">
        <v>1719</v>
      </c>
      <c r="Y261">
        <v>8772802835</v>
      </c>
      <c r="Z261" s="43" t="s">
        <v>270</v>
      </c>
      <c r="AA261" s="43" t="s">
        <v>271</v>
      </c>
      <c r="AB261">
        <v>30</v>
      </c>
      <c r="AC261">
        <v>0</v>
      </c>
      <c r="AD261">
        <v>131</v>
      </c>
      <c r="AE261" s="43" t="s">
        <v>301</v>
      </c>
      <c r="AF261">
        <v>1</v>
      </c>
      <c r="AG261" s="43" t="s">
        <v>275</v>
      </c>
      <c r="AH261">
        <v>2976</v>
      </c>
      <c r="AI261">
        <v>2976</v>
      </c>
      <c r="AJ261" s="23">
        <v>43790</v>
      </c>
      <c r="AK261" s="43" t="s">
        <v>1715</v>
      </c>
      <c r="AL261" s="43" t="s">
        <v>259</v>
      </c>
      <c r="AM261" s="23"/>
      <c r="AN261" s="23"/>
      <c r="AO261" s="23"/>
      <c r="AP261" s="23"/>
      <c r="AQ261" s="23"/>
      <c r="BB261" s="43"/>
      <c r="BC261" s="43" t="s">
        <v>259</v>
      </c>
      <c r="BD261" s="43" t="s">
        <v>259</v>
      </c>
      <c r="BE261" s="43" t="s">
        <v>259</v>
      </c>
      <c r="BF261" s="43" t="s">
        <v>259</v>
      </c>
      <c r="BG261" s="43" t="s">
        <v>259</v>
      </c>
      <c r="BH261" t="s">
        <v>259</v>
      </c>
      <c r="BI261" s="43" t="s">
        <v>259</v>
      </c>
      <c r="BJ261">
        <v>0</v>
      </c>
      <c r="BK261" s="23">
        <v>44109</v>
      </c>
      <c r="BL261" s="23">
        <v>44356</v>
      </c>
      <c r="BM261">
        <v>8505</v>
      </c>
      <c r="BN261">
        <v>8505</v>
      </c>
      <c r="BO261">
        <v>8505</v>
      </c>
      <c r="BP261">
        <v>25515</v>
      </c>
      <c r="BQ261">
        <v>3300</v>
      </c>
      <c r="BR261">
        <v>400</v>
      </c>
      <c r="BS261">
        <v>400</v>
      </c>
      <c r="BT261">
        <v>4100</v>
      </c>
      <c r="BU261">
        <v>2100</v>
      </c>
      <c r="BV261">
        <v>2100</v>
      </c>
      <c r="BW261">
        <v>2100</v>
      </c>
      <c r="BX261">
        <v>6300</v>
      </c>
      <c r="BY261">
        <v>1200</v>
      </c>
      <c r="BZ261">
        <v>1200</v>
      </c>
      <c r="CA261">
        <v>1200</v>
      </c>
      <c r="CB261">
        <v>3600</v>
      </c>
      <c r="CC261">
        <v>0</v>
      </c>
      <c r="CD261">
        <v>0</v>
      </c>
      <c r="CE261">
        <v>0</v>
      </c>
      <c r="CF261">
        <v>0</v>
      </c>
      <c r="CG261">
        <v>39515</v>
      </c>
      <c r="CH261">
        <v>0</v>
      </c>
      <c r="CI261">
        <v>0</v>
      </c>
      <c r="CJ261">
        <v>0</v>
      </c>
      <c r="CK261">
        <v>0</v>
      </c>
      <c r="CL261">
        <v>1082</v>
      </c>
      <c r="CM261">
        <v>1082</v>
      </c>
      <c r="CN261">
        <v>1081</v>
      </c>
      <c r="CO261">
        <v>3245</v>
      </c>
      <c r="CP261">
        <v>500</v>
      </c>
      <c r="CQ261">
        <v>500</v>
      </c>
      <c r="CR261">
        <v>500</v>
      </c>
      <c r="CS261">
        <v>1500</v>
      </c>
      <c r="CT261">
        <v>1700</v>
      </c>
      <c r="CU261">
        <v>1700</v>
      </c>
      <c r="CV261">
        <v>1700</v>
      </c>
      <c r="CW261">
        <v>5100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9845</v>
      </c>
      <c r="EE261">
        <v>0</v>
      </c>
      <c r="EF261">
        <v>0</v>
      </c>
      <c r="EG261">
        <v>0</v>
      </c>
      <c r="EH261">
        <v>0</v>
      </c>
      <c r="EI261">
        <v>1154</v>
      </c>
      <c r="EJ261">
        <v>1154</v>
      </c>
      <c r="EK261">
        <v>1155</v>
      </c>
      <c r="EL261">
        <v>3500</v>
      </c>
      <c r="EM261">
        <v>37.065000000000005</v>
      </c>
      <c r="EN261">
        <v>660</v>
      </c>
      <c r="EO261">
        <v>660</v>
      </c>
      <c r="EP261">
        <v>660</v>
      </c>
      <c r="EQ261">
        <v>2000</v>
      </c>
      <c r="ER261">
        <v>21.18</v>
      </c>
      <c r="ES261">
        <v>0</v>
      </c>
      <c r="ET261">
        <v>0</v>
      </c>
      <c r="EU261">
        <v>0</v>
      </c>
      <c r="EV261">
        <v>0</v>
      </c>
      <c r="EW261">
        <v>0</v>
      </c>
      <c r="FA261">
        <v>0</v>
      </c>
      <c r="FE261">
        <v>0</v>
      </c>
      <c r="FI261">
        <v>0</v>
      </c>
      <c r="FJ261">
        <v>5441.7550000000001</v>
      </c>
      <c r="FK261">
        <v>29670</v>
      </c>
      <c r="FL261">
        <v>25299.950921014159</v>
      </c>
      <c r="FM261">
        <v>24228.244999999999</v>
      </c>
    </row>
    <row r="262" spans="1:169" x14ac:dyDescent="0.35">
      <c r="A262">
        <v>197275</v>
      </c>
      <c r="B262" s="43" t="s">
        <v>3189</v>
      </c>
      <c r="C262" s="43" t="s">
        <v>3190</v>
      </c>
      <c r="D262" s="43" t="s">
        <v>3191</v>
      </c>
      <c r="E262" s="43" t="s">
        <v>3192</v>
      </c>
      <c r="F262">
        <v>1</v>
      </c>
      <c r="H262" s="23"/>
      <c r="I262">
        <v>43804</v>
      </c>
      <c r="J262" s="43" t="s">
        <v>4242</v>
      </c>
      <c r="K262" s="43" t="s">
        <v>1715</v>
      </c>
      <c r="L262" s="43" t="s">
        <v>259</v>
      </c>
      <c r="M262" s="43" t="s">
        <v>3193</v>
      </c>
      <c r="N262" s="43" t="s">
        <v>3194</v>
      </c>
      <c r="O262" s="43" t="s">
        <v>3195</v>
      </c>
      <c r="P262" s="43" t="s">
        <v>297</v>
      </c>
      <c r="Q262" s="43" t="s">
        <v>3196</v>
      </c>
      <c r="S262" s="23">
        <v>44109</v>
      </c>
      <c r="T262" s="43" t="s">
        <v>285</v>
      </c>
      <c r="U262" s="43" t="s">
        <v>266</v>
      </c>
      <c r="V262" s="43" t="s">
        <v>267</v>
      </c>
      <c r="W262" s="43" t="s">
        <v>1718</v>
      </c>
      <c r="X262" s="43" t="s">
        <v>1719</v>
      </c>
      <c r="Y262">
        <v>8772802835</v>
      </c>
      <c r="Z262" s="43" t="s">
        <v>270</v>
      </c>
      <c r="AA262" s="43" t="s">
        <v>271</v>
      </c>
      <c r="AB262">
        <v>0</v>
      </c>
      <c r="AC262">
        <v>0</v>
      </c>
      <c r="AD262">
        <v>0</v>
      </c>
      <c r="AE262" s="43" t="s">
        <v>376</v>
      </c>
      <c r="AF262">
        <v>7</v>
      </c>
      <c r="AG262" s="43" t="s">
        <v>275</v>
      </c>
      <c r="AJ262" s="23"/>
      <c r="AK262" s="43" t="s">
        <v>259</v>
      </c>
      <c r="AL262" s="43" t="s">
        <v>259</v>
      </c>
      <c r="AM262" s="23"/>
      <c r="AN262" s="23"/>
      <c r="AO262" s="23"/>
      <c r="AP262" s="23"/>
      <c r="AQ262" s="23"/>
      <c r="BB262" s="43"/>
      <c r="BC262" s="43" t="s">
        <v>259</v>
      </c>
      <c r="BD262" s="43" t="s">
        <v>259</v>
      </c>
      <c r="BE262" s="43" t="s">
        <v>259</v>
      </c>
      <c r="BF262" s="43" t="s">
        <v>259</v>
      </c>
      <c r="BG262" s="43" t="s">
        <v>259</v>
      </c>
      <c r="BH262" t="s">
        <v>259</v>
      </c>
      <c r="BI262" s="43" t="s">
        <v>259</v>
      </c>
      <c r="BJ262">
        <v>0</v>
      </c>
      <c r="BK262" s="23">
        <v>44109</v>
      </c>
      <c r="BL262" s="23">
        <v>44356</v>
      </c>
      <c r="BM262">
        <v>8505</v>
      </c>
      <c r="BN262">
        <v>8505</v>
      </c>
      <c r="BO262">
        <v>8505</v>
      </c>
      <c r="BP262">
        <v>25515</v>
      </c>
      <c r="BQ262">
        <v>3300</v>
      </c>
      <c r="BR262">
        <v>400</v>
      </c>
      <c r="BS262">
        <v>400</v>
      </c>
      <c r="BT262">
        <v>4100</v>
      </c>
      <c r="BU262">
        <v>2100</v>
      </c>
      <c r="BV262">
        <v>2100</v>
      </c>
      <c r="BW262">
        <v>2100</v>
      </c>
      <c r="BX262">
        <v>6300</v>
      </c>
      <c r="BY262">
        <v>1200</v>
      </c>
      <c r="BZ262">
        <v>1200</v>
      </c>
      <c r="CA262">
        <v>1200</v>
      </c>
      <c r="CB262">
        <v>3600</v>
      </c>
      <c r="CC262">
        <v>0</v>
      </c>
      <c r="CD262">
        <v>0</v>
      </c>
      <c r="CE262">
        <v>0</v>
      </c>
      <c r="CF262">
        <v>0</v>
      </c>
      <c r="CG262">
        <v>39515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1154</v>
      </c>
      <c r="EJ262">
        <v>1154</v>
      </c>
      <c r="EK262">
        <v>1155</v>
      </c>
      <c r="EL262">
        <v>3500</v>
      </c>
      <c r="EM262">
        <v>37.065000000000005</v>
      </c>
      <c r="EN262">
        <v>660</v>
      </c>
      <c r="EO262">
        <v>660</v>
      </c>
      <c r="EP262">
        <v>660</v>
      </c>
      <c r="EQ262">
        <v>2000</v>
      </c>
      <c r="ER262">
        <v>21.18</v>
      </c>
      <c r="ES262">
        <v>0</v>
      </c>
      <c r="ET262">
        <v>0</v>
      </c>
      <c r="EU262">
        <v>0</v>
      </c>
      <c r="EV262">
        <v>0</v>
      </c>
      <c r="EW262">
        <v>0</v>
      </c>
      <c r="FA262">
        <v>0</v>
      </c>
      <c r="FE262">
        <v>0</v>
      </c>
      <c r="FI262">
        <v>0</v>
      </c>
      <c r="FJ262">
        <v>5441.7550000000001</v>
      </c>
      <c r="FK262">
        <v>39515</v>
      </c>
      <c r="FL262">
        <v>35580.43210392214</v>
      </c>
      <c r="FM262">
        <v>34073.245000000003</v>
      </c>
    </row>
    <row r="263" spans="1:169" x14ac:dyDescent="0.35">
      <c r="A263">
        <v>197634</v>
      </c>
      <c r="B263" s="43" t="s">
        <v>3197</v>
      </c>
      <c r="C263" s="43" t="s">
        <v>3198</v>
      </c>
      <c r="D263" s="43" t="s">
        <v>3199</v>
      </c>
      <c r="E263" s="43" t="s">
        <v>3200</v>
      </c>
      <c r="F263">
        <v>1</v>
      </c>
      <c r="H263" s="23"/>
      <c r="I263">
        <v>43804</v>
      </c>
      <c r="J263" s="43" t="s">
        <v>4242</v>
      </c>
      <c r="K263" s="43" t="s">
        <v>1715</v>
      </c>
      <c r="L263" s="43" t="s">
        <v>259</v>
      </c>
      <c r="M263" s="43" t="s">
        <v>3201</v>
      </c>
      <c r="N263" s="43" t="s">
        <v>3202</v>
      </c>
      <c r="O263" s="43" t="s">
        <v>2510</v>
      </c>
      <c r="P263" s="43" t="s">
        <v>1514</v>
      </c>
      <c r="Q263" s="43" t="s">
        <v>3203</v>
      </c>
      <c r="S263" s="23">
        <v>44109</v>
      </c>
      <c r="T263" s="43" t="s">
        <v>311</v>
      </c>
      <c r="U263" s="43" t="s">
        <v>266</v>
      </c>
      <c r="V263" s="43" t="s">
        <v>267</v>
      </c>
      <c r="W263" s="43" t="s">
        <v>1718</v>
      </c>
      <c r="X263" s="43" t="s">
        <v>1719</v>
      </c>
      <c r="Y263">
        <v>8772802835</v>
      </c>
      <c r="Z263" s="43" t="s">
        <v>270</v>
      </c>
      <c r="AA263" s="43" t="s">
        <v>271</v>
      </c>
      <c r="AB263">
        <v>0</v>
      </c>
      <c r="AC263">
        <v>0</v>
      </c>
      <c r="AD263">
        <v>0</v>
      </c>
      <c r="AE263" s="43" t="s">
        <v>344</v>
      </c>
      <c r="AF263">
        <v>10</v>
      </c>
      <c r="AG263" s="43" t="s">
        <v>275</v>
      </c>
      <c r="AJ263" s="23"/>
      <c r="AK263" s="43" t="s">
        <v>259</v>
      </c>
      <c r="AL263" s="43" t="s">
        <v>259</v>
      </c>
      <c r="AM263" s="23"/>
      <c r="AN263" s="23"/>
      <c r="AO263" s="23"/>
      <c r="AP263" s="23"/>
      <c r="AQ263" s="23"/>
      <c r="BB263" s="43"/>
      <c r="BC263" s="43" t="s">
        <v>259</v>
      </c>
      <c r="BD263" s="43" t="s">
        <v>259</v>
      </c>
      <c r="BE263" s="43" t="s">
        <v>259</v>
      </c>
      <c r="BF263" s="43" t="s">
        <v>259</v>
      </c>
      <c r="BG263" s="43" t="s">
        <v>259</v>
      </c>
      <c r="BH263" t="s">
        <v>259</v>
      </c>
      <c r="BI263" s="43" t="s">
        <v>259</v>
      </c>
      <c r="BJ263">
        <v>0</v>
      </c>
      <c r="BK263" s="23">
        <v>44109</v>
      </c>
      <c r="BL263" s="23">
        <v>44356</v>
      </c>
      <c r="BM263">
        <v>8505</v>
      </c>
      <c r="BN263">
        <v>8505</v>
      </c>
      <c r="BO263">
        <v>8505</v>
      </c>
      <c r="BP263">
        <v>25515</v>
      </c>
      <c r="BQ263">
        <v>3300</v>
      </c>
      <c r="BR263">
        <v>400</v>
      </c>
      <c r="BS263">
        <v>400</v>
      </c>
      <c r="BT263">
        <v>4100</v>
      </c>
      <c r="BU263">
        <v>2100</v>
      </c>
      <c r="BV263">
        <v>2100</v>
      </c>
      <c r="BW263">
        <v>2100</v>
      </c>
      <c r="BX263">
        <v>6300</v>
      </c>
      <c r="BY263">
        <v>1200</v>
      </c>
      <c r="BZ263">
        <v>1200</v>
      </c>
      <c r="CA263">
        <v>1200</v>
      </c>
      <c r="CB263">
        <v>3600</v>
      </c>
      <c r="CC263">
        <v>0</v>
      </c>
      <c r="CD263">
        <v>0</v>
      </c>
      <c r="CE263">
        <v>0</v>
      </c>
      <c r="CF263">
        <v>0</v>
      </c>
      <c r="CG263">
        <v>39515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1154</v>
      </c>
      <c r="EJ263">
        <v>1154</v>
      </c>
      <c r="EK263">
        <v>1155</v>
      </c>
      <c r="EL263">
        <v>3500</v>
      </c>
      <c r="EM263">
        <v>37.065000000000005</v>
      </c>
      <c r="EN263">
        <v>660</v>
      </c>
      <c r="EO263">
        <v>660</v>
      </c>
      <c r="EP263">
        <v>660</v>
      </c>
      <c r="EQ263">
        <v>2000</v>
      </c>
      <c r="ER263">
        <v>21.18</v>
      </c>
      <c r="ES263">
        <v>0</v>
      </c>
      <c r="ET263">
        <v>0</v>
      </c>
      <c r="EU263">
        <v>0</v>
      </c>
      <c r="EV263">
        <v>0</v>
      </c>
      <c r="EW263">
        <v>0</v>
      </c>
      <c r="FA263">
        <v>0</v>
      </c>
      <c r="FE263">
        <v>0</v>
      </c>
      <c r="FI263">
        <v>0</v>
      </c>
      <c r="FJ263">
        <v>5441.7550000000001</v>
      </c>
      <c r="FK263">
        <v>39515</v>
      </c>
      <c r="FL263">
        <v>35580.43210392214</v>
      </c>
      <c r="FM263">
        <v>34073.245000000003</v>
      </c>
    </row>
    <row r="264" spans="1:169" x14ac:dyDescent="0.35">
      <c r="B264" s="43"/>
      <c r="C264" s="43"/>
      <c r="D264" s="43"/>
      <c r="E264" s="43"/>
      <c r="H264" s="23"/>
      <c r="J264" s="43"/>
      <c r="K264" s="43"/>
      <c r="L264" s="43"/>
      <c r="M264" s="43"/>
      <c r="N264" s="43"/>
      <c r="O264" s="43"/>
      <c r="P264" s="43"/>
      <c r="Q264" s="43"/>
      <c r="S264" s="23"/>
      <c r="T264" s="43"/>
      <c r="U264" s="43"/>
      <c r="V264" s="43"/>
      <c r="W264" s="43"/>
      <c r="X264" s="43"/>
      <c r="Z264" s="43"/>
      <c r="AA264" s="43"/>
      <c r="AE264" s="43"/>
      <c r="AG264" s="43"/>
      <c r="AJ264" s="23"/>
      <c r="AK264" s="43"/>
      <c r="AL264" s="43"/>
      <c r="AM264" s="23"/>
      <c r="AN264" s="23"/>
      <c r="AO264" s="23"/>
      <c r="AP264" s="23"/>
      <c r="AQ264" s="23"/>
      <c r="BB264" s="43"/>
      <c r="BC264" s="43"/>
      <c r="BD264" s="43"/>
      <c r="BE264" s="43"/>
      <c r="BF264" s="43"/>
      <c r="BG264" s="43"/>
      <c r="BI264" s="43"/>
      <c r="BK264" s="23"/>
      <c r="BL264" s="2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0674B-2F42-46F9-B7B1-A3ED2A1A19CD}">
  <sheetPr codeName="Sheet7"/>
  <dimension ref="A1:AE2"/>
  <sheetViews>
    <sheetView zoomScale="85" zoomScaleNormal="85" workbookViewId="0">
      <selection activeCell="A2" sqref="A2"/>
    </sheetView>
  </sheetViews>
  <sheetFormatPr defaultRowHeight="14.5" x14ac:dyDescent="0.35"/>
  <cols>
    <col min="1" max="1" width="9.81640625" bestFit="1" customWidth="1"/>
  </cols>
  <sheetData>
    <row r="1" spans="1:31" x14ac:dyDescent="0.35">
      <c r="A1" t="s">
        <v>90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89</v>
      </c>
      <c r="J1" t="s">
        <v>88</v>
      </c>
      <c r="K1" t="s">
        <v>87</v>
      </c>
      <c r="L1" t="s">
        <v>86</v>
      </c>
      <c r="M1" t="s">
        <v>85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32</v>
      </c>
      <c r="V1" t="s">
        <v>34</v>
      </c>
      <c r="W1" t="s">
        <v>36</v>
      </c>
      <c r="X1" t="s">
        <v>38</v>
      </c>
      <c r="Y1" t="s">
        <v>40</v>
      </c>
      <c r="Z1" t="s">
        <v>42</v>
      </c>
      <c r="AA1" t="s">
        <v>44</v>
      </c>
      <c r="AB1" t="s">
        <v>46</v>
      </c>
      <c r="AC1" t="s">
        <v>49</v>
      </c>
      <c r="AD1" t="s">
        <v>50</v>
      </c>
      <c r="AE1" t="s">
        <v>80</v>
      </c>
    </row>
    <row r="2" spans="1:31" x14ac:dyDescent="0.35">
      <c r="A2" s="23">
        <f ca="1">'FA Report'!C1</f>
        <v>43805</v>
      </c>
      <c r="B2">
        <f>'FA Report'!C7</f>
        <v>485</v>
      </c>
      <c r="C2">
        <f>'FA Report'!C8</f>
        <v>355</v>
      </c>
      <c r="D2">
        <f>+'FA Report'!C9</f>
        <v>130</v>
      </c>
      <c r="E2">
        <f>+'FA Report'!C10</f>
        <v>100</v>
      </c>
      <c r="F2">
        <f>+'FA Report'!C11</f>
        <v>385</v>
      </c>
      <c r="G2">
        <f ca="1">+'FA Report'!C12</f>
        <v>10.318309859154397</v>
      </c>
      <c r="H2" s="40">
        <f>+'FA Report'!C13</f>
        <v>4.3979381443298973</v>
      </c>
      <c r="I2">
        <f ca="1">+'FA Report'!C14</f>
        <v>164</v>
      </c>
      <c r="J2">
        <f ca="1">+'FA Report'!C15</f>
        <v>3</v>
      </c>
      <c r="K2">
        <f ca="1">+'FA Report'!C16</f>
        <v>0</v>
      </c>
      <c r="L2">
        <f ca="1">+'FA Report'!C17</f>
        <v>0</v>
      </c>
      <c r="M2">
        <f ca="1">+'FA Report'!C18</f>
        <v>0</v>
      </c>
      <c r="N2">
        <f>+'FA Report'!C19</f>
        <v>110</v>
      </c>
      <c r="O2">
        <f>+'FA Report'!C20</f>
        <v>75</v>
      </c>
      <c r="P2">
        <f>+'FA Report'!C21</f>
        <v>0</v>
      </c>
      <c r="Q2">
        <f>+'FA Report'!C22</f>
        <v>31</v>
      </c>
      <c r="R2">
        <f>+'FA Report'!C23</f>
        <v>93</v>
      </c>
      <c r="S2">
        <f>+'FA Report'!C24</f>
        <v>36</v>
      </c>
      <c r="T2">
        <f>+'FA Report'!C25</f>
        <v>36</v>
      </c>
      <c r="U2">
        <f>+'FA Report'!C26</f>
        <v>0</v>
      </c>
      <c r="V2">
        <f>+'FA Report'!C27</f>
        <v>0</v>
      </c>
      <c r="W2">
        <f>+'FA Report'!C28</f>
        <v>0</v>
      </c>
      <c r="X2">
        <f>+'FA Report'!C29</f>
        <v>0</v>
      </c>
      <c r="Y2">
        <f>+'FA Report'!C30</f>
        <v>0</v>
      </c>
      <c r="Z2">
        <f>+'FA Report'!C31</f>
        <v>0</v>
      </c>
      <c r="AA2">
        <f>+'FA Report'!C32</f>
        <v>0</v>
      </c>
      <c r="AB2">
        <f>+'FA Report'!C33</f>
        <v>0</v>
      </c>
      <c r="AC2">
        <f>+'FA Report'!C35</f>
        <v>103</v>
      </c>
      <c r="AD2" s="38">
        <f>+'FA Report'!C36</f>
        <v>0.13343501430846411</v>
      </c>
      <c r="AE2" s="42">
        <f ca="1">+'FA Report'!C37</f>
        <v>44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BC5A53-0C61-41DE-A623-6A061E941E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FA Report</vt:lpstr>
      <vt:lpstr>Tracking</vt:lpstr>
      <vt:lpstr>Combined</vt:lpstr>
      <vt:lpstr>MR</vt:lpstr>
      <vt:lpstr>LT</vt:lpstr>
      <vt:lpstr>Tracking1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Fullmer</dc:creator>
  <cp:lastModifiedBy>Andrew Fullmer</cp:lastModifiedBy>
  <cp:lastPrinted>2019-11-14T18:40:05Z</cp:lastPrinted>
  <dcterms:created xsi:type="dcterms:W3CDTF">2019-11-04T17:17:05Z</dcterms:created>
  <dcterms:modified xsi:type="dcterms:W3CDTF">2019-12-06T16:59:14Z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,	;	,	{	}	[@[{0}]]	1033</vt:lpwstr>
  </property>
</Properties>
</file>